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Users\plpool\Desktop\Marcin Kot's legacy_14_12_12\Marcin Kot's legacy\ipg_reader\"/>
    </mc:Choice>
  </mc:AlternateContent>
  <bookViews>
    <workbookView xWindow="0" yWindow="0" windowWidth="24000" windowHeight="9600" activeTab="1"/>
  </bookViews>
  <sheets>
    <sheet name="input" sheetId="1" r:id="rId1"/>
    <sheet name="results" sheetId="3" r:id="rId2"/>
    <sheet name="manual" sheetId="4" r:id="rId3"/>
    <sheet name="teo" sheetId="5" state="hidden" r:id="rId4"/>
  </sheets>
  <definedNames>
    <definedName name="_xlnm._FilterDatabase" localSheetId="0" hidden="1">input!#REF!</definedName>
    <definedName name="_xlnm._FilterDatabase" localSheetId="1" hidden="1">results!#REF!</definedName>
    <definedName name="c.char">teo!$D$1</definedName>
    <definedName name="cell">#REF!</definedName>
    <definedName name="cnt">#REF!</definedName>
    <definedName name="cnt_nr">#REF!</definedName>
    <definedName name="cntnr">#REF!</definedName>
    <definedName name="endtime">input!$C$5</definedName>
    <definedName name="fi.len">teo!$C$1</definedName>
    <definedName name="logonmode">input!$C$3</definedName>
    <definedName name="projectname">input!$C$7</definedName>
    <definedName name="starttime">input!$C$4</definedName>
  </definedNames>
  <calcPr calcId="162913"/>
</workbook>
</file>

<file path=xl/calcChain.xml><?xml version="1.0" encoding="utf-8"?>
<calcChain xmlns="http://schemas.openxmlformats.org/spreadsheetml/2006/main">
  <c r="O11" i="1" l="1"/>
  <c r="P11" i="1"/>
  <c r="Q11" i="1"/>
  <c r="N11" i="1"/>
  <c r="C6" i="1" l="1"/>
  <c r="C4" i="5" l="1"/>
  <c r="D4" i="5" s="1"/>
  <c r="E4" i="5" s="1"/>
  <c r="F4" i="5" s="1"/>
  <c r="C5" i="5"/>
  <c r="D5" i="5" s="1"/>
  <c r="E5" i="5" s="1"/>
  <c r="F5" i="5" s="1"/>
</calcChain>
</file>

<file path=xl/comments1.xml><?xml version="1.0" encoding="utf-8"?>
<comments xmlns="http://schemas.openxmlformats.org/spreadsheetml/2006/main">
  <authors>
    <author>project</author>
  </authors>
  <commentList>
    <comment ref="G11" authorId="0" shapeId="0">
      <text>
        <r>
          <rPr>
            <b/>
            <sz val="9"/>
            <color indexed="81"/>
            <rFont val="Tahoma"/>
            <family val="2"/>
            <charset val="238"/>
          </rPr>
          <t>project:</t>
        </r>
        <r>
          <rPr>
            <sz val="9"/>
            <color indexed="81"/>
            <rFont val="Tahoma"/>
            <family val="2"/>
            <charset val="238"/>
          </rPr>
          <t xml:space="preserve">
0 na początku nie jest wymagane</t>
        </r>
      </text>
    </comment>
    <comment ref="H11" authorId="0" shapeId="0">
      <text>
        <r>
          <rPr>
            <b/>
            <sz val="9"/>
            <color indexed="81"/>
            <rFont val="Tahoma"/>
            <family val="2"/>
            <charset val="238"/>
          </rPr>
          <t>project:</t>
        </r>
        <r>
          <rPr>
            <sz val="9"/>
            <color indexed="81"/>
            <rFont val="Tahoma"/>
            <family val="2"/>
            <charset val="238"/>
          </rPr>
          <t xml:space="preserve">
0 na początku nie jest wymagane</t>
        </r>
      </text>
    </comment>
    <comment ref="I11" authorId="0" shapeId="0">
      <text>
        <r>
          <rPr>
            <b/>
            <sz val="9"/>
            <color indexed="81"/>
            <rFont val="Tahoma"/>
            <family val="2"/>
            <charset val="238"/>
          </rPr>
          <t>project:</t>
        </r>
        <r>
          <rPr>
            <sz val="9"/>
            <color indexed="81"/>
            <rFont val="Tahoma"/>
            <family val="2"/>
            <charset val="238"/>
          </rPr>
          <t xml:space="preserve">
0 na początku nie jest wymagane</t>
        </r>
      </text>
    </comment>
    <comment ref="L11" authorId="0" shapeId="0">
      <text>
        <r>
          <rPr>
            <b/>
            <sz val="9"/>
            <color indexed="81"/>
            <rFont val="Tahoma"/>
            <family val="2"/>
            <charset val="238"/>
          </rPr>
          <t>project:</t>
        </r>
        <r>
          <rPr>
            <sz val="9"/>
            <color indexed="81"/>
            <rFont val="Tahoma"/>
            <family val="2"/>
            <charset val="238"/>
          </rPr>
          <t xml:space="preserve">
tak wpisujemy kod 01-234</t>
        </r>
      </text>
    </comment>
    <comment ref="U11" authorId="0" shapeId="0">
      <text>
        <r>
          <rPr>
            <b/>
            <sz val="9"/>
            <color indexed="81"/>
            <rFont val="Tahoma"/>
            <family val="2"/>
            <charset val="238"/>
          </rPr>
          <t>project:</t>
        </r>
        <r>
          <rPr>
            <sz val="9"/>
            <color indexed="81"/>
            <rFont val="Tahoma"/>
            <family val="2"/>
            <charset val="238"/>
          </rPr>
          <t xml:space="preserve">
0 na początku nie jest wymagane</t>
        </r>
      </text>
    </comment>
    <comment ref="V11" authorId="0" shapeId="0">
      <text>
        <r>
          <rPr>
            <b/>
            <sz val="9"/>
            <color indexed="81"/>
            <rFont val="Tahoma"/>
            <family val="2"/>
            <charset val="238"/>
          </rPr>
          <t>project:</t>
        </r>
        <r>
          <rPr>
            <sz val="9"/>
            <color indexed="81"/>
            <rFont val="Tahoma"/>
            <family val="2"/>
            <charset val="238"/>
          </rPr>
          <t xml:space="preserve">
0 na początku nie jest wymagane</t>
        </r>
      </text>
    </comment>
    <comment ref="Z11" authorId="0" shapeId="0">
      <text>
        <r>
          <rPr>
            <b/>
            <sz val="9"/>
            <color indexed="81"/>
            <rFont val="Tahoma"/>
            <family val="2"/>
            <charset val="238"/>
          </rPr>
          <t>project:</t>
        </r>
        <r>
          <rPr>
            <sz val="9"/>
            <color indexed="81"/>
            <rFont val="Tahoma"/>
            <family val="2"/>
            <charset val="238"/>
          </rPr>
          <t xml:space="preserve">
tak wpisujemy kod 01-234</t>
        </r>
      </text>
    </comment>
    <comment ref="H13" authorId="0" shapeId="0">
      <text>
        <r>
          <rPr>
            <b/>
            <sz val="9"/>
            <color indexed="81"/>
            <rFont val="Tahoma"/>
            <family val="2"/>
            <charset val="238"/>
          </rPr>
          <t>project:</t>
        </r>
        <r>
          <rPr>
            <sz val="9"/>
            <color indexed="81"/>
            <rFont val="Tahoma"/>
            <family val="2"/>
            <charset val="238"/>
          </rPr>
          <t xml:space="preserve">
0 na początku nie jest wymagane</t>
        </r>
      </text>
    </comment>
  </commentList>
</comments>
</file>

<file path=xl/sharedStrings.xml><?xml version="1.0" encoding="utf-8"?>
<sst xmlns="http://schemas.openxmlformats.org/spreadsheetml/2006/main" count="578" uniqueCount="317">
  <si>
    <t>Nazwa</t>
  </si>
  <si>
    <t>KRS</t>
  </si>
  <si>
    <t>REGON</t>
  </si>
  <si>
    <t>NIP</t>
  </si>
  <si>
    <t>Ulica</t>
  </si>
  <si>
    <t>Miejscowosc</t>
  </si>
  <si>
    <t>Nazwa_podmiotu</t>
  </si>
  <si>
    <t>Imie</t>
  </si>
  <si>
    <t>typ</t>
  </si>
  <si>
    <t>key</t>
  </si>
  <si>
    <t>hit</t>
  </si>
  <si>
    <t>nazwa</t>
  </si>
  <si>
    <t>Wynik</t>
  </si>
  <si>
    <t>Test</t>
  </si>
  <si>
    <t>link</t>
  </si>
  <si>
    <t>Press [Start] button to start a search.</t>
  </si>
  <si>
    <t>ZIP</t>
  </si>
  <si>
    <t>Brak dokumentów spełniających kryteria zapytania.</t>
  </si>
  <si>
    <t>- the search was not performed for the search key. Please, consider to include such item in the re-search list.</t>
  </si>
  <si>
    <r>
      <t xml:space="preserve">Please note - search keys outside a table will </t>
    </r>
    <r>
      <rPr>
        <b/>
        <sz val="11"/>
        <color theme="1"/>
        <rFont val="Arial"/>
        <family val="2"/>
        <charset val="238"/>
        <scheme val="minor"/>
      </rPr>
      <t xml:space="preserve">not </t>
    </r>
    <r>
      <rPr>
        <sz val="11"/>
        <color theme="1"/>
        <rFont val="Arial"/>
        <family val="2"/>
        <scheme val="minor"/>
      </rPr>
      <t xml:space="preserve">be </t>
    </r>
    <r>
      <rPr>
        <b/>
        <sz val="11"/>
        <color theme="1"/>
        <rFont val="Arial"/>
        <family val="2"/>
        <charset val="238"/>
        <scheme val="minor"/>
      </rPr>
      <t>included</t>
    </r>
  </si>
  <si>
    <t>in the search process and results output.</t>
  </si>
  <si>
    <t>Results will be described in column "Wynik" and will appear on the [results] worksheet.</t>
  </si>
  <si>
    <t>Raw data appears on the [tech] worksheet.</t>
  </si>
  <si>
    <r>
      <t xml:space="preserve">Please be advised that cleared content is </t>
    </r>
    <r>
      <rPr>
        <b/>
        <sz val="11"/>
        <color rgb="FFFF0000"/>
        <rFont val="Arial"/>
        <family val="2"/>
        <charset val="238"/>
        <scheme val="minor"/>
      </rPr>
      <t>not recoverable</t>
    </r>
    <r>
      <rPr>
        <sz val="11"/>
        <color theme="1"/>
        <rFont val="Arial"/>
        <family val="2"/>
        <scheme val="minor"/>
      </rPr>
      <t>,</t>
    </r>
  </si>
  <si>
    <r>
      <rPr>
        <b/>
        <sz val="11"/>
        <color rgb="FFFF0000"/>
        <rFont val="Arial"/>
        <family val="2"/>
        <charset val="238"/>
        <scheme val="minor"/>
      </rPr>
      <t>make sure</t>
    </r>
    <r>
      <rPr>
        <sz val="11"/>
        <color theme="1"/>
        <rFont val="Arial"/>
        <family val="2"/>
        <scheme val="minor"/>
      </rPr>
      <t xml:space="preserve"> that nobody needs it.</t>
    </r>
  </si>
  <si>
    <t>Put "1" into column [Test] to perform a test search. Test search will return only quantities for search keys.</t>
  </si>
  <si>
    <t>len</t>
  </si>
  <si>
    <t>Out</t>
  </si>
  <si>
    <t>transform</t>
  </si>
  <si>
    <t>In2</t>
  </si>
  <si>
    <t>in</t>
  </si>
  <si>
    <t>#</t>
  </si>
  <si>
    <t>field length:</t>
  </si>
  <si>
    <t>KAPITAL</t>
  </si>
  <si>
    <t>data_wpisu_do_rejestru</t>
  </si>
  <si>
    <t>adres</t>
  </si>
  <si>
    <t>wojewodztwo</t>
  </si>
  <si>
    <t>powiat</t>
  </si>
  <si>
    <t>gmina</t>
  </si>
  <si>
    <t>miejsowosc</t>
  </si>
  <si>
    <t>www</t>
  </si>
  <si>
    <t>email</t>
  </si>
  <si>
    <t>reprezentacja</t>
  </si>
  <si>
    <t>wspolnicy</t>
  </si>
  <si>
    <t>nadzor</t>
  </si>
  <si>
    <t>cel_dzialania_organizacji</t>
  </si>
  <si>
    <t>informacje_o_zlozonych_sprawozdaniach</t>
  </si>
  <si>
    <t>jedyny_akcjonariusz</t>
  </si>
  <si>
    <t>kurator</t>
  </si>
  <si>
    <t>likwidacja</t>
  </si>
  <si>
    <t>oddzialy</t>
  </si>
  <si>
    <t>ogloszenia</t>
  </si>
  <si>
    <t>organ_zalozycielski_podmiot_tworzacy</t>
  </si>
  <si>
    <t>osoba_powolana</t>
  </si>
  <si>
    <t>partnerzy</t>
  </si>
  <si>
    <t>podmioty_przejete</t>
  </si>
  <si>
    <t>postepowanie_upadlosciowe</t>
  </si>
  <si>
    <t>powstanie</t>
  </si>
  <si>
    <t>przedmiot_dzialalnosci</t>
  </si>
  <si>
    <t>przeksztalcenie</t>
  </si>
  <si>
    <t>raporty_handlowe_infocredit</t>
  </si>
  <si>
    <t>rozwiazanie_uniewaznienie</t>
  </si>
  <si>
    <t>sprawozdania_finansowe</t>
  </si>
  <si>
    <t>uwagi</t>
  </si>
  <si>
    <t>data_wykreslenia_z_KRS</t>
  </si>
  <si>
    <t>ulica</t>
  </si>
  <si>
    <t>Podmiot_Osoba</t>
  </si>
  <si>
    <t>History</t>
  </si>
  <si>
    <t>history_hit</t>
  </si>
  <si>
    <t>MSiG</t>
  </si>
  <si>
    <t>$key[$i][$c_input] == 0 then $output_string = $t_input.ListColumns("Wynik").DataBodyRange; $input_i = $i + 1</t>
  </si>
  <si>
    <t>$key[$i][$c_input] == 1 then $output_string = $t_input2.ListColumns("Wynik").DataBodyRange; $input_i = $i - $t_input.listrows.count + 1 end</t>
  </si>
  <si>
    <t>$key[$i][$c_history] != 1 then</t>
  </si>
  <si>
    <t>logon</t>
  </si>
  <si>
    <t>QC_entityBox</t>
  </si>
  <si>
    <t>postepowanie_ukladowe</t>
  </si>
  <si>
    <t>zarzad_komisaryczny</t>
  </si>
  <si>
    <t>Comment</t>
  </si>
  <si>
    <t>MSiG_data</t>
  </si>
  <si>
    <t>MSiG_nr_wpisu</t>
  </si>
  <si>
    <t>End:</t>
  </si>
  <si>
    <t>Start:</t>
  </si>
  <si>
    <t>Warszawa</t>
  </si>
  <si>
    <t>links</t>
  </si>
  <si>
    <t>Project:</t>
  </si>
  <si>
    <t>Spend:</t>
  </si>
  <si>
    <t>Results:</t>
  </si>
  <si>
    <t>Source:</t>
  </si>
  <si>
    <t>postepowanie_naprawcze</t>
  </si>
  <si>
    <t>zawieszenie/wznowienie_wykonywanej_dzialalnosci</t>
  </si>
  <si>
    <t>pwc</t>
  </si>
  <si>
    <t>Kowalski</t>
  </si>
  <si>
    <t>Grzybowska</t>
  </si>
  <si>
    <t>Use this field anyway you like</t>
  </si>
  <si>
    <t>Leave this field empty</t>
  </si>
  <si>
    <t>See the manual</t>
  </si>
  <si>
    <t>Put "1" into column [History] to perform a history search. Then whole entity history will be downloaded.</t>
  </si>
  <si>
    <t>Press [Clear Input] button to clear search keys and results on [results] tab.</t>
  </si>
  <si>
    <t>Press [Clear Results] button to clear results on [results] tab.</t>
  </si>
  <si>
    <t>- as is.</t>
  </si>
  <si>
    <t>Niepoprawny numer</t>
  </si>
  <si>
    <t>Jan</t>
  </si>
  <si>
    <t>projekt</t>
  </si>
  <si>
    <t>Login to [wolterskluwer.pl] with password</t>
  </si>
  <si>
    <t>PESEL</t>
  </si>
  <si>
    <t>pwc advisory</t>
  </si>
  <si>
    <t>Bieda</t>
  </si>
  <si>
    <t>Roman</t>
  </si>
  <si>
    <t>1 of 2</t>
  </si>
  <si>
    <t>https://lex.online.wolterskluwer.pl/WKPLOnline/index.rpc?fromHistory=false&amp;leftNodeId=lmtree-item-219810&amp;lmId=lm_baza#content.rpc?nro=619505983&amp;wersja=10</t>
  </si>
  <si>
    <t>MSiG-KRS.2019.68.172470</t>
  </si>
  <si>
    <t>PWC ADVISORY SPÓŁKA Z OGRANICZONĄ ODPOWIEDZIALNOŚCIĄ SPÓŁKA KOMANDYTOWA</t>
  </si>
  <si>
    <t>spółka komandytowa</t>
  </si>
  <si>
    <t>Ul. POLNA 11, 00-633 WARSZAWA</t>
  </si>
  <si>
    <t>MAZOWIECKIE</t>
  </si>
  <si>
    <t xml:space="preserve">Ul. POLNA 11, </t>
  </si>
  <si>
    <t>00-633</t>
  </si>
  <si>
    <t>REPREZENTACJA
SPOSÓB REPREZENTACJI: UPRAWNIONYM DO REPREZENTACJI SPÓŁKI JEST KOMPLEMENTARIUSZ
WSPÓLNICY REPREZENTUJĄCY SPÓŁKĘ:
PWC ADVISORY SPÓŁKA Z OGRANICZONĄ ODPOWIEDZIALNOŚCIĄ REGON: 121073028 KRS: 341818
PROKURENCI:
SIEŃKO ANNA MAŁGO PESEL: 59032502846 PROKURENT SAMOISTNY
ŁUBA PIOTR TYTUS PESEL: 66051900218 PROKURENT SAMOISTNY
ROMANOWSKI PIOTR PESEL: 69112200355 PROKURENT SAMOISTNY
KRASOŃ ADAM ANDRZEJ PESEL: 67113000752 PROKURA SAMOISTNA
SOCHA JACEK FRANCISZEK PESEL: 54090900050 PROKURENT SAMOISTNY
KOKOSIŃSKA JOLANTA JÓZEFA PESEL: 64050912326 PROKURENT SAMOISTNY
MURPHY KEITH PESEL: 67032215518 PROKURENT SAMOISTNY
IGNATOWICZ MARIUSZ KRZYSZTOF PESEL: 70042805235 PROKURENT SAMOISTNY
MASTALERZ MICHAŁ PIOTR PESEL: 72102700137 PROKURENT SAMOISTNY
REINFUSS TOMASZ ZYGMUNT PESEL: 67101009837 PROKURENT SAMOISTNY
KONIECZNY TOMASZ ZBIGNIEW PESEL: 71033004035 PROKURENT SAMOISTNY
OSTASZEWSKA AGNIESZKA PESEL: 71113003882 PROKURENT SAMOISTNY
SZUŁDRZYŃSKI KRZYSZTOF MARCIN PESEL: 69060301555 PROKURENT SAMOISTNY
LUBACZEWSKI ROMAN PESEL: 66120114098 PROKURENT SAMOISTNY
PEPLIŃSKI PAUL PESEL: 63082214118 PROKURENT SAMOISTNY
BADOWSKI KRZYSZTOF PESEL: 73021100033 PROKURENT SAMOISTNY
GRYGIER SIDDONS OLGA BARBARA PESEL: 63080402041 PROKURA SAMOISTNA
CIESIELSKI MARCIN PESEL: 77100700172 PROKURENT SAMOISTNY
NOGAJCZYK PIOTR PESEL: 72042900156 PROKURENT SAMOISTNY
BARAŃCZYK TOMASZ STANISŁAW PESEL: 71050806137 PROKURENT SAMOISTNY
GAJEWSKA JEDWABNY AGNIESZKA PESEL: 76013007703 PROKURENT SAMOISTNY
KRUŻMANOWSKA TEODORA PESEL: 54061104382 PROKURENT SAMOISTNY
URBAN PIOTR WIESŁAW PESEL: 74083004710 PROKURENT SAMOISTNY
DEMUSIAK ADAM KRZYSZTOF PESEL: 79092500817 PROKURENT SAMOISTNY
WILDER RUSSEL MICHAEL PESEL: 68082213273 PROKURENT SAMOISTNY
WICHOWSKI JAROSŁAW PESEL: 66060504490 PROKURENT SAMOISTNY
DŻURAK PAWEŁ PESEL: 69010600512 PROKURENT SAMOISTNY
ŚPIEWAK MARIUSZ PESEL: 75052601035 PROKURENT SAMOISTNY
KALINOWSKI DAMIAN KRZYSZTOF PESEL: 78092004376 PROKURENT SAMOISTNY
SŁOWIŃSKI WOJCIECH PESEL: 70032604819 PROKURENT SAMOISTNY
WESOŁOWSKI PAWEŁ PESEL: 78102800136 PROKURENT SAMOISTNY
JAMIOŁ ADAM PIOTR PESEL: 74062309678 PROKURENT SAMOISTNY
MAZUR MICHAŁ PESEL: 79060701033 PROKURENT SAMOISTNY
BARCHOŃ KINGA PESEL: 74100300562 PROKURENT SAMOISTNY
KLIMCZAK MARCIN PAWEŁ PESEL: 76111209056 PROKURENT SAMOISTNY
PAPROTNY PRZEMYSŁAW KAZIMIERZ PESEL: 79030414837 PROKURENT SAMOISTNY
RÓWIŃSKI PIOTR PESEL: 77062615372 PROKURENT SAMOISTNY
SIDELNIK MARCIN PESEL: 77080903815 PROKURENT SAMOISTNY
STYRNIK BARTŁOMIEJ RAFAŁ PESEL: 81040909791 PROKURENT SAMOISTNY
MŁYNIEC MAREK AURELIUSZ PESEL: 74121000555 PROKURENT SAMOISTNY
DĘBIŃSKA POKORSKA DOROTA MARIOLA PROKURENT SAMOISTNY
GLEESON PAUL JOSEPH PROKURENT SAMOISTNY
TYMKIV OLEG PROKURENT SAMOISTNY
WESTPHAL GUNTER MAX PROKURENT SAMOISTNY
SZCZEBLEWSKA ANNA PATRYCJA PESEL: 77061200988 PROKURENT SAMOISTNY
ŁAPTAŚ GRZEGORZ PAWEŁ PESEL: 80091507231 PROKURENT SAMOISTNY
MAKUSAK MARCIN WOJCIECH PESEL: 82082608910 PROKURENT SAMOISTNY
BIEŃKO ADAM MACIEJ PESEL: 75053005418 PROKURA SAMOISTNA</t>
  </si>
  <si>
    <t>REPREZENTACJA
SPOSÓB REPREZENTACJI: UPRAWNIONYM DO REPREZENTACJI SPÓŁKI JEST KOMPLEMENTARIUSZ
WSPÓLNICY REPREZENTUJĄCY SPÓŁKĘ:
PWC ADVISORY SPÓŁKA Z OGRANICZONĄ ODPOWIEDZIALNOŚCIĄ REGON: 121073028 KRS: 341818
PROKURENCI:
SIEŃKO ANNA MAŁGO PESEL: 59032502846 PROKURENT SAMOISTNY
ŁUBA PIOTR TYTUS PESEL: 66051900218 PROKURENT SAMOISTNY
ROMANOWSKI PIOTR PESEL: 69112200355 PROKURENT SAMOISTNY
KRASOŃ ADAM ANDRZEJ PESEL: 67113000752 PROKURA SAMOISTNA
SOCHA JACEK FRANCISZEK PESEL: 54090900050 PROKURENT SAMOISTNY
KOKOSIŃSKA JOLANTA JÓZEFA PESEL: 64050912326 PROKURENT SAMOISTNY
MURPHY KEITH PESEL: 67032215518 PROKURENT SAMOISTNY
IGNATOWICZ MARIUSZ KRZYSZTOF PESEL: 70042805235 PROKURENT SAMOISTNY
MASTALERZ MICHAŁ PIOTR PESEL: 72102700137 PROKURENT SAMOISTNY
REINFUSS TOMASZ ZYGMUNT PESEL: 67101009837 PROKURENT SAMOISTNY
KONIECZNY TOMASZ ZBIGNIEW PESEL: 71033004035 PROKURENT SAMOISTNY
OSTASZEWSKA AGNIESZKA PESEL: 71113003882 PROKURENT SAMOISTNY
SZUŁDRZYŃSKI KRZYSZTOF MARCIN PESEL: 69060301555 PROKURENT SAMOISTNY
LUBACZEWSKI ROMAN PESEL: 66120114098 PROKURENT SAMOISTNY
PEPLIŃSKI PAUL PESEL: 63082214118 PROKURENT SAMOISTNY
BADOWSKI KRZYSZTOF PESEL: 73021100033 PROKURENT SAMOISTNY
GRYGIER SIDDONS OLGA BARBARA PESEL: 63080402041 PROKURA SAMOISTNA
CIESIELSKI MARCIN PESEL: 77100700172 PROKURENT SAMOISTNY
NOGAJCZYK PIOTR PESEL: 72042900156 PROKURENT SAMOISTNY
BARAŃCZYK TOMASZ STANISŁAW PESEL: 71050806137 PROKURENT SAMOISTNY
GAJEWSKA JEDWABNY AGNIESZKA PESEL: 76013007703 PROKURENT SAMOISTNY
KRUŻMANOWSKA TEODORA PESEL: 54061104382 PROKURENT SAMOISTNY
URBAN PIOTR WIESŁAW PESEL: 74083004710 PROKURENT SAMOISTNY
DEMUSIAK ADAM KRZYSZTOF PESEL: 79092500817 PROKURENT SAMOISTNY
WILDER RUSSEL MICHAEL PESEL: 68082213273 PROKURENT SAMOISTNY
WICHOWSKI JAROSŁAW PESEL: 66060504490 PROKURENT SAMOISTNY
DŻURAK PAWEŁ PESEL: 69010600512 PROKURENT SAMOISTNY
ŚPIEWAK MARIUSZ PESEL: 75052601035 PROKURENT SAMOISTNY
KALINOWSKI DAMIAN KRZYSZTOF PESEL: 78092004376 PROKURENT SAMOISTNY
SŁOWIŃSKI WOJCIECH PESEL: 70032604819 PROKURENT SAMOISTNY
WESOŁOWSKI PAWEŁ PESEL: 78102800136 PROKURENT SAMOISTNY
JAMIOŁ ADAM PIOTR PESEL: 74062309678 PROKURENT SAMOISTNY
MAZUR MICHAŁ PESEL: 79060701033 PROKURENT SAMOISTNY
BARCHOŃ KINGA PESEL: 74100300562 PROKURENT SAMOISTNY
KLIMCZAK MARCIN PAWEŁ PESEL: 76111209056 PROKURENT SAMOISTNY
PAPROTNY PRZEMYSŁAW KAZIMIERZ PESEL: 79030414837 PROKURENT SAMOISTNY
RÓWIŃSKI PIOTR PESEL: 77062615372 PROKURENT SAMOISTNY
SIDELNIK MARCIN PESEL: 77080903815 PROKURENT SAMOISTNY
STYRNIK BARTŁOMIEJ RAFAŁ PESEL: 81040909791 PROKURENT SAMOISTNY
MŁYNIEC MAREK AURELIUSZ PESEL: 74121000555 PROKURENT SAMOISTNY
DĘBIŃSKA POKORSKA DOROTA MARIOLA PROKURENT SAMOISTNY
GLEESON PAUL JOSEPH PROKURENT SAMOISTNY
TYMKIV OLEG PROKURENT SAMOISTNY
WESTPHAL GUNTER MAX PROKURENT SAMOISTNY
SZCZEBLEWSKA ANNA PATRYCJA PESEL: 77061200988 PROKURENT SAMOISTNY
ŁAPTAŚ GRZEGORZ PAWEŁ PESEL: 80091507231 PROKURENT SAMOISTNY
MAKUSAK MARCIN WOJCIECH PESEL: 82082608910 PROKURENT SAMOISTNY
BIEŃKO ADAM MACIEJ PESEL: 75053005418 PROKURA SAMOISTNAWSPÓLNICY
KOMANDYTARIUSZE:
SIEŃKO ANNA MAŁGO PESEL: 59032502846 suma komandytowa: 2000,00 ZŁ
PRICEWATERHOUSECOOPERS SPÓŁKA Z OGRANICZONĄ ODPOWIEDZIALNOŚCIĄ REGON: 012500673 KRS: 44655 suma komandytowa: 2.000,00 ZŁ
PRICEWATERHOUSECOOPERS POLSKA SPÓŁKA Z OGRANICZONĄ ODPOWIEDZIALNOŚCIĄ REGON: 006718980 KRS: 88405 suma komandytowa: 2.000,00 ZŁ
ŁUBA PIOTR TYTUS PESEL: 66051900218 suma komandytowa: 2000,00 ZŁ
ROMANOWSKI PIOTR PESEL: 69112200355 suma komandytowa: 2000,00 ZŁ
KRASOŃ ADAM ANDRZEJ PESEL: 67113000752 suma komandytowa: 2000,00 ZŁ
WÓJCIK MARTA PAULINA PESEL: 79012602108 suma komandytowa: 2000,00 ZŁ
KOKOSIŃSKA JOLANTA JÓZEFA PESEL: 64050912326 suma komandytowa: 2000,00 ZŁ
LUBACZEWSKI ROMAN PESEL: 66120114098 suma komandytowa: 2000,00 ZŁ
BADOWSKI KRZYSZTOF PESEL: 73021100033 suma komandytowa: 2000,00 ZŁ
POŚWIATA PIOTR JACEK PESEL: 76092611855 suma komandytowa: 2000,00 ZŁ
GRYGIER SIDDONS OLGA BARBARA PESEL: 63080402041 suma komandytowa: 2000,00 ZŁ
DOBROWOLSKI PAWEŁ JAN PESEL: 76070801078 suma komandytowa: 2000,00 ZŁ
URBAN GRZEGORZ PESEL: 75031504030 suma komandytowa: 2000,00 ZŁ
KROENKE MACIEJ FLORIAN PESEL: 81013100073 suma komandytowa: 2000,00 ZŁ
NOGAJCZYK PIOTR PESEL: 72042900156 suma komandytowa: 2000,00 ZŁ
RUDZKI PIOTR PESEL: 79102604454 suma komandytowa: 2.000,00 ZŁ
PRZYBYŁOWSKI MACIEJ KAROL PESEL: 72010203432 suma komandytowa: 2000,00 ZŁ
GAJEWSKA JEDWABNY AGNIESZKA PESEL: 76013007703 suma komandytowa: 2000,00 ZŁ
KRUŻMANOWSKA TEODORA PESEL: 54061104382 suma komandytowa: 2000,00 ZŁ
WIŚNIEWSKI ADAM GRZEGORZ PESEL: 80061600917 suma komandytowa: 2000,00 ZŁ
KUREK JACEK STANISŁAW PESEL: 70070701697 suma komandytowa: 2000,00 ZŁ
NIEWIŃSKA EWELINA MONIKA PESEL: 79070401668 suma komandytowa: 2000,00 ZŁ
BYRT MARCIN WITOLD PESEL: 79061800694 suma komandytowa: 2000,00 ZŁ
DEMUSIAK ADAM KRZYSZTOF PESEL: 79092500817 suma komandytowa: 2000,00 ZŁ
WILDER RUSSEL MICHAEL PESEL: 68082213273 suma komandytowa: 2000,00 ZŁ
TURALSKA AGATA EWA PESEL: 72082301340 suma komandytowa: 2000,00 ZŁ
WICHOWSKI JAROSŁAW PESEL: 66060504490 suma komandytowa: 2000,00 ZŁ
LEWCZUK MICHAŁ PESEL: 84113003950 suma komandytowa: 2000,00 ZŁ
KRECZMAR MICHAŁ PESEL: 69120501015 suma komandytowa: 2000,00 ZŁ
DŻURAK PAWEŁ PESEL: 69010600512 suma komandytowa: 2000,00 ZŁ
ŚPIEWAK MARIUSZ PESEL: 75052601035 suma komandytowa: 2000,00 ZŁ
KALINOWSKI DAMIAN KRZYSZTOF PESEL: 78092004376 suma komandytowa: 2000,00 ZŁ
CHMIELEWSKI BARTŁOMIEJ TOMASZ PESEL: 73012712236 suma komandytowa: 2000,00 ZŁ
PIĄTKOWSKI SZYMON PIOTR PESEL: 80053010137 suma komandytowa: 2000,00 ZŁ
SŁOWIŃSKI WOJCIECH PESEL: 70032604819 suma komandytowa: 2000,00 ZŁ
KURASZ JAKUB RADOSŁAW PESEL: 75072200892 suma komandytowa: 2000,00 ZŁ
MARCZAK MARTA PESEL: 76022609204 suma komandytowa: 2000,00 ZŁ
JAMIOŁ ADAM PIOTR PESEL: 74062309678 suma komandytowa: 2000,00 ZŁ
MAZUR MICHAŁ PESEL: 79060701033 suma komandytowa: 2000,00 ZŁ
SUGALSKI WITOLD STANISŁAW PESEL: 71052306536 suma komandytowa: 2000,00 ZŁ
BARCHOŃ KINGA PESEL: 74100300562 suma komandytowa: 2000,00 ZŁ
KLIMCZAK MARCIN PAWEŁ PESEL: 76111209056 suma komandytowa: 2000,00 ZŁ
GORDON MATEUSZ MIECZYSŁAW PESEL: 83090700438 suma komandytowa: 2000,00 ZŁ
BORKOWSKI ŁUKASZ PESEL: 79122300437 suma komandytowa: 2000,00 ZŁ
CICHOCKA TYLMAN BEATA PESEL: 76102802783 suma komandytowa: 2000,00 ZŁ
PAPROTNY PRZEMYSŁAW KAZIMIERZ PESEL: 79030414837 suma komandytowa: 2000,00 ZŁ
DĘBIŃSKA POKORSKA DOROTA MARIOLA PESEL: 81120801421 suma komandytowa: 2000,00 ZŁ
STYRNIK BARTŁOMIEJ RAFAŁ PESEL: 81040909791 suma komandytowa: 2000,00 ZŁ
MŁYNIEC MAREK AURELIUSZ PESEL: 74121000555 suma komandytowa: 2000,00 ZŁ
SZCZEBLEWSKA ANNA PATRYCJA PESEL: 77061200988 suma komandytowa: 2000,00 ZŁ
ŁAPTAŚ GRZEGORZ PAWEŁ PESEL: 80091507231 suma komandytowa: 2000,00 ZŁ
MCCLOSKEY FINBARR suma komandytowa: 2000,00 ZŁ
MCMILLAN CHARLES JEFFERY suma komandytowa: 2000,00 ZŁ
BEDNARSKI PIOTR JAN PESEL: 61052702395 suma komandytowa: 2000,00 ZŁ
LEWANTY EWA PESEL: 65082800049 suma komandytowa: 2000,00 ZŁ
GLEESON PAUL JOSEPH PESEL: 68092114339 suma komandytowa: 2000,00 ZŁ
TYMKIV OLEG PESEL: 69031816479 suma komandytowa: 2000,00 ZŁ
TROFIN ANDREI PESEL: 70122314974 suma komandytowa: 2000,00 ZŁ
BIEŃKO ADAM MACIEJ PESEL: 75053005418 suma komandytowa: 2000,00 ZŁ
NOWACKI MICHAŁ BARNABA PESEL: 76121900637 suma komandytowa: 2000,00 ZŁ
TARGIEL MICHAŁ ŁUKASZ PESEL: 78082500437 suma komandytowa: 2000,00 ZŁ
GÓJSKI MICHAŁ PESEL: 80011902892 suma komandytowa: 2000,00 ZŁ
BOROWIEC JAKUB PESEL: 80020808299 suma komandytowa: 2000,00 ZŁ
DOMANIK JAN KRZYSZTOF PESEL: 81050600839 suma komandytowa: 2000,00 ZŁ
MITRĘGA MICHAŁ JAKUB PESEL: 81053102710 suma komandytowa: 2000,00 ZŁ
JAROSZEWICZ PAWEŁ PESEL: 82030702833 suma komandytowa: 2000,00 ZŁ
SZULC WOJCIECH PESEL: 82042713430 suma komandytowa: 2000,00 ZŁ
ŻOCHOWSKI ŁUKASZ PESEL: 82051604198 suma komandytowa: 2000,00 ZŁ
CHLEBICKI MAREK PESEL: 82052601613 suma komandytowa: 2000,00 ZŁ
KOŻUCHOWSKA ANNA MARIA PESEL: 82092200342 suma komandytowa: 2000,00 ZŁ
JÓZEFIAK GRZEGORZ PESEL: 83110616114 suma komandytowa: 2000,00 ZŁ
OSTASZEWSKI ADAM JULIAN PESEL: 85012200413 suma komandytowa: 2000,00 ZŁ
OTTO KORNELIA IGA PESEL: 86052407125 suma komandytowa: 2000,00 ZŁ
KARLIKOWSKA REDZISZ ZOFIA IWONA PESEL: 67050700502 suma komandytowa: 2.000,00 ZŁ
MIŁOSZ TOMASZ PESEL: 75010500158 suma komandytowa: 2.000,00 ZŁ
BARRETT UNA BERNADETTE suma komandytowa: 2.000,00 ZŁ.
KOMPLEMENTARIUSZE:
PWC ADVISORY SPÓŁKA Z OGRANICZONĄ ODPOWIEDZIALNOŚCIĄ REGON: 121073028 KRS: 341818</t>
  </si>
  <si>
    <t>POWSTANIE</t>
  </si>
  <si>
    <t>PRZEDMIOT DZIAŁALNOŚCI</t>
  </si>
  <si>
    <t>INFORMACJE O ZŁOŻONYCH SPRAWOZDANIACH
data złożenia 07.03.2019 okres OD 01.01.2018 DO 31.07.2018
data złożenia 08.02.2019 okres OD 01.07.2017 DO 30.06.2018</t>
  </si>
  <si>
    <t>RAPORTY HANDLOWE INFOCREDIT
Dane zawarte w raporcie:
Aktualizuj raport
  Pobierz raport w formacie:
Profil finansowy (za lata 2013 2014 2015 2016 2017)
Wskaźniki finansowe (za lata 2017 2016 2015 2014 2013)
Zatrudnienie (za lata 2017 2016 2014 2013)
Bilans (za lata 2017 2016 2015 2014 2013)
Rachunek zysków i strat (za lata 2017 2016 2015 2014 2013)
Audytor (za lata 2017)
  Wersja polska
Wersja angielska
Liczba punktów infocredit w subskrybcji: 1223</t>
  </si>
  <si>
    <t>6 of 6</t>
  </si>
  <si>
    <t>2 of 2</t>
  </si>
  <si>
    <t>https://lex.online.wolterskluwer.pl/WKPLOnline/index.rpc?fromHistory=false&amp;leftNodeId=lmtree-item-219810&amp;lmId=lm_baza#content.rpc?nro=606919588&amp;wersja=21</t>
  </si>
  <si>
    <t>MSiG-KRS.2019.36.77021</t>
  </si>
  <si>
    <t>PWC ADVISORY SPÓŁKA Z OGRANICZONĄ ODPOWIEDZIALNOŚCIĄ</t>
  </si>
  <si>
    <t>spółka z o.o.</t>
  </si>
  <si>
    <t>5000,00 ZŁ</t>
  </si>
  <si>
    <t>REPREZENTACJA
SPOSÓB REPREZENTACJI: KAŻDY CZŁONEK ZARZĄDU SAMODZIELNIE
ZARZĄD:
KRASOŃ ADAM ANDRZEJ PESEL: 67113000752 PREZES ZARZĄDU
PROKURENCI:
KRUŻMANOWSKA TEODORA PESEL: 54061104382 PROKURA SAMOISTNA
WICHOWSKI JAROSŁAW PESEL: 66060504490 PROKURENT SAMOISTNY</t>
  </si>
  <si>
    <t>WSPÓLNICY
PRICEWATERHOUSECOOPERS EASTERN EUROPE B.V. udział: 100 UDZIAŁÓW O ŁĄCZNEJ WARTOŚCI 5.000,00 ZŁ udział całościowy: TAK</t>
  </si>
  <si>
    <t>INFORMACJE O ZŁOŻONYCH SPRAWOZDANIACH
data złożenia 21.09.2018 okres OD 01.01.2017 DO 31.12.2017
data złożenia 12.07.2017 okres OD 01.01.2016 DO 31.12.2016
data złożenia 13.05.2016 okres OD 01.01.2015 DO 31.12.2015
data złożenia 06.05.2015 okres OD 01.01.2014 DO 31.12.2014
data złożenia 24.06.2014 okres OD 01.01.2013 DO 31.12.2013
data złożenia 17.04.2013 okres 01.01.2012 - 31.12.2012
data złożenia 13.07.2012 okres 01.01.2011- 31.12.2011
data złożenia 22.06.2011 okres 17.11.2009-31.12.2010</t>
  </si>
  <si>
    <t>RAPORTY HANDLOWE INFOCREDIT
Dane zawarte w raporcie:
Aktualizuj raport
  Pobierz raport w formacie:
Profil finansowy (za lata 2010 2011 2014 2017)
Wskaźniki finansowe (za lata 2017 2014 2011 2010)
Zatrudnienie (za lata 2017)
Bilans (za lata 2017 2014 2011 2010)
Rachunek zysków i strat (za lata 2017 2014 2011 2010)
  Wersja polska
Wersja angielska
Liczba punktów infocredit w subskrybcji: 1223</t>
  </si>
  <si>
    <t>5 of 5</t>
  </si>
  <si>
    <t>1 of 1</t>
  </si>
  <si>
    <t>https://lex.online.wolterskluwer.pl/WKPLOnline/index.rpc?fromHistory=false&amp;leftNodeId=lmtree-item-219810&amp;lmId=lm_baza#https://lex.online.wolterskluwer.pl/WKPLOnline/filtrMsigKRSPodmiot.rpc--ASK--nazwa=&amp;wraperCzyCaleWyr=0&amp;wraperKrsRegonNip=341818&amp;wyborKrsRegonNip=0&amp;rodzPodm=-1&amp;showMore=true&amp;nrWpisu=&amp;wraperKtorePkd=0&amp;wraperNrPkd2004=-1&amp;wraperNrPkd2007=-1&amp;siedziba=&amp;ulica=&amp;kodPocztowy1=&amp;kodPocztowy2=&amp;region=POLSKA&amp;wraperNrRegGlob=&amp;owGid=219810&amp;submit=1&amp;full=1&amp;hId=1</t>
  </si>
  <si>
    <t>https://lex.online.wolterskluwer.pl/WKPLOnline/index.rpc?fromHistory=false&amp;leftNodeId=lmtree-item-219810&amp;lmId=lm_baza#https://lex.online.wolterskluwer.pl/WKPLOnline/filtrMsigKRSPodmiot.rpc--ASK--nazwa=&amp;wraperCzyCaleWyr=0&amp;wraperKrsRegonNip=121073028&amp;wyborKrsRegonNip=1&amp;rodzPodm=-1&amp;showMore=true&amp;nrWpisu=&amp;wraperKtorePkd=0&amp;wraperNrPkd2004=-1&amp;wraperNrPkd2007=-1&amp;siedziba=&amp;ulica=&amp;kodPocztowy1=&amp;kodPocztowy2=&amp;region=POLSKA&amp;wraperNrRegGlob=&amp;owGid=219810&amp;submit=1&amp;full=1&amp;hId=1</t>
  </si>
  <si>
    <t>https://lex.online.wolterskluwer.pl/WKPLOnline/index.rpc?fromHistory=false&amp;leftNodeId=lmtree-item-219810&amp;lmId=lm_baza#https://lex.online.wolterskluwer.pl/WKPLOnline/filtrMsigKRSPodmiot.rpc--ASK--nazwa=&amp;wraperCzyCaleWyr=0&amp;wraperKrsRegonNip=6751423951&amp;wyborKrsRegonNip=2&amp;rodzPodm=-1&amp;showMore=true&amp;nrWpisu=&amp;wraperKtorePkd=0&amp;wraperNrPkd2004=-1&amp;wraperNrPkd2007=-1&amp;siedziba=&amp;ulica=&amp;kodPocztowy1=&amp;kodPocztowy2=&amp;region=POLSKA&amp;wraperNrRegGlob=&amp;owGid=219810&amp;submit=1&amp;full=1&amp;hId=1</t>
  </si>
  <si>
    <t>1 of 13</t>
  </si>
  <si>
    <t>https://lex.online.wolterskluwer.pl/WKPLOnline/index.rpc?fromHistory=false&amp;leftNodeId=lmtree-item-219813&amp;lmId=lm_baza#content.rpc?nro=604316115&amp;wersja=76</t>
  </si>
  <si>
    <t>MSiG-KRS.2018.223.1068525</t>
  </si>
  <si>
    <t>PWC POLSKA SPÓŁKA Z OGRANICZONĄ ODPOWIEDZIALNOŚCIĄ</t>
  </si>
  <si>
    <t>25633200,00 PLN</t>
  </si>
  <si>
    <t>Ul. KACZYŃSKIEGO LECHA 14, 00-638 WARSZAWA</t>
  </si>
  <si>
    <t xml:space="preserve">Ul. KACZYŃSKIEGO LECHA 14, </t>
  </si>
  <si>
    <t>00-638</t>
  </si>
  <si>
    <t>REPREZENTACJA
SPOSÓB REPREZENTACJI: KAŻDY CZŁONEK ZARZĄDU DZIAŁAJĄCY SAMODZIELNIE
ZARZĄD:
KRASOŃ ADAM ANDRZEJ PESEL: 67113000752 PREZES ZARZĄDU
WILDER RUSSELL MICHAEL CZŁONEK ZARZĄDU
PROKURENCI:
SIEŃKO ANNA MAŁGO PESEL: 59032502846 SAMOISTNA
ŁUBA PIOTR TYTUS PESEL: 66051900218 SAMOISTNA
ROMANOWSKI PIOTR PESEL: 69112200355 SAMOISTNA
SOCHA JACEK FRANCISZEK PESEL: 54090900050 SAMOISTNA
KOKOSIŃSKA JOLANTA JÓZEFA PESEL: 64050912326 SAMOISTNA
MURPHY KEITH PESEL: 67032215518 SAMOISTNA
IGNATOWICZ MARIUSZ KRZYSZTOF PESEL: 70042805235 SAMOISTNA
MASTALERZ MICHAŁ PIOTR PESEL: 72102700137 PROKURA SAMOISTNA
REINFUSS TOMASZ ZYGMUNT PESEL: 67101009837 SAMOISTNA
KONIECZNY TOMASZ ZBIGNIEW PESEL: 71033004035 PROKURA SAMOISTNA
OSTASZEWSKA AGNIESZKA PESEL: 71113003882 SAMOISTNA
SZUŁDRZYŃSKI KRZYSZTOF MARCIN PESEL: 69060301555 SAMOISTNA
LUBACZEWSKI ROMAN PESEL: 66120114098 SAMOISTNA
PEPLIŃSKI PAUL PESEL: 63082214118 SAMOISTNA
BADOWSKI KRZYSZTOF PESEL: 73021100033 PROKURA SAMOISTNA
GLEESON PAUL JOSEPH SAMOISTNA
WESTPHAL GUNTER MAX SAMOISTNA
CIESIELSKI MARCIN PESEL: 77100700172 PROKURA SAMOISTNA
NOGAJCZYK PIOTR PESEL: 72042900156 PROKURA SAMOISTNA
BARAŃCZYK TOMASZ STANISŁAW PESEL: 71050806137 SAMOISTNA
GAJEWSKA JEDWABNY AGNIESZKA PESEL: 76013007703 PROKURA SAMOISTNA
KRUŻMANOWSKA TEODORA PESEL: 54061104382 SAMOISTNA
URBAN PIOTR WIESŁAW PESEL: 74083004710 PROKURA SAMOISTNA
DEMUSIAK ADAM KRZYSZTOF PESEL: 79092500817 PROKURA SAMOISTNA
WILDER RUSSELL MICHAEL PESEL: 68082213273 SAMOISTNA
WICHOWSKI JAROSŁAW PESEL: 66060504490 PROKURA SAMOISTNA
DŻURAK PAWEŁ PESEL: 69010600512 SAMOISTNA
ŚPIEWAK MARIUSZ PESEL: 75052601035 SAMOISTNA
KALINOWSKI DAMIAN KRZYSZTOF PESEL: 78092004376 PROKURA SAMOISTNA
SŁOWIŃSKI WOJCIECH PESEL: 70032604819 PROKURA SAMOISTNA
WESOŁOWSKI PAWEŁ PESEL: 78102800136 PROKURA SAMOISTNA
JAMIOŁ ADAM PIOTR PESEL: 74062309678 SAMOISTNA
MAZUR MICHAŁ PESEL: 79060701033 PROKURA SAMOISTNA
BARCHOŃ KINGA PESEL: 74100300562 PROKURA SAMOISTNA
KLIMCZAK MARCIN PAWEŁ PESEL: 76111209056 PROKURA SAMOISTNA
PAPROTNY PRZEMYSŁAW KAZIMIERZ PESEL: 79030414837 PROKURA SAMOISTNA
DĘBIŃSKA POKORSKA DOROTA MARIOLA PESEL: 81120801421 PROKURA SAMOISTNA
RÓWIŃSKI PIOTR PESEL: 77062615372 PROKURA SAMOISTNA
SIDELNIK MARCIN PESEL: 77080903815 SAMOISTNA
STYRNIK BARTŁOMIEJ RAFAŁ PESEL: 81040909791 SAMOISTNA
MŁYNIEC MAREK AURELIUSZ PESEL: 74121000555 SAMOISTNAUWAGI
Wpis 32 z dnia 2010.08.18; dodanie informacji wcześniej opublikowanych;WILDER RUSSELL MICHAEL, PESEL: 68082213273, REPREZENTACJA Wpis 32 z dnia 2010.08.18;dodanie informacji wcześniej opublikowanych;GRYGIER SIDDONS OLGA, PESEL: 63080402041, REPREZENTACJA Wpis 32 z dnia 2010.08.18;dodanie informacji wcześniej opublikowanych;FRIARS ANDREW, PESEL: 66110812278, REPREZENTACJA Wpis 32 z dnia 2010.08.18;dodanie informacji wcześniej opublikowanych;WEBB REGINALD VALLANCE, PESEL: 52030221836, PROKURENCI Wpis 32 z dnia 2010.08.18;dodanie informacji wcześniej opublikowanych;AHERN MICHAEL ROBERT, PESEL: 63062115172, PROKURENCI Wpis 32 z dnia 2010.08.18;dodanie informacji wcześniej opublikowanych;VAN DER MEIJ CAMIEL EUGENE, PESEL: 62100913291, PROKURENCI Wpis 77 z dnia 2018.10.09;WYKREŚLENIE WSZYSTKICH WPISÓW Z KRAJOWEGO REJESTRU SĄDOWEGO. WPIS NIE JEST PRAWOMOCNY.</t>
  </si>
  <si>
    <t>WSPÓLNICY
PRICEWATERHOUSECOOPERS SPÓŁKA Z OGRANICZONĄ ODPOWIEDZIALNOŚCIĄ REGON: 012500673 KRS: 44655 udział: 137.544 UDZIAŁY O ŁĄCZNEJ WYSOKOŚCI 6.877.200 ZŁOTYCH udział całościowy: NIE
PRICEWATERHOUSECOOPERS POLSKA SPÓŁKA Z OGRANICZONĄ ODPOWIEDZIALNOŚCIĄ REGON: 006718980 KRS: 88405 udział: 375.100 UDZIAŁÓW O ŁĄCZNEJ WARTOŚCI 18.755.000,00 ZŁ udział całościowy: NIE</t>
  </si>
  <si>
    <t>PRZEKSZTAŁCENIE</t>
  </si>
  <si>
    <t>OGŁOSZENIA
MSiG-Ogl.2015.103.7271 KRS  120338 2015.05.29
ogłoszenie wymagane przez k.s.h.
PWC POLSKA SPÓŁKA Z OGRANICZONĄ ODPOWIEDZIALNOŚCIĄ sp. z o.o.; w Warszawie
Sąd Rejonowy dla m. stoł. Warszawy w Warszawie,  XII   Gospodarczy - Krajowy Rejestr Sądowy
wszystkie ogłoszenia</t>
  </si>
  <si>
    <t>INFORMACJE O ZŁOŻONYCH SPRAWOZDANIACH
data złożenia 21.09.2018 okres OD 01.01.2017 DO 31.12.2017
data złożenia 05.07.2017 okres OD 01.01.2016 DO 31.12.2016
data złożenia 07.07.2016 okres OD 01.01.2015 DO 31.12.2015
data złożenia 17.06.2015 okres OD 01.01.2014 DO 31.12.2014
data złożenia 09.07.2014 okres OD 01.01.2013 DO 31.12.2013
data złożenia 08.07.2013 okres 01.01.2012- 31.12.2012
data złożenia 20.06.2012 okres 01.01.2011-31.12.2011
data złożenia 12.05.2011 okres 01.01.2010 -31.12.2010
data złożenia 11.05.2010 okres 01.01.2009 - 31.12.2009
data złożenia 09.07.2009 okres 01.01.2008 - 31.12.2008
data złożenia 03.07.2008 okres 01.01.2007 - 31.12.2007
data złożenia 22.05.2007 okres 01.01.2006-31.12.2006
data złożenia 13.07.2006 okres 01.01.2005 - - 31.12.2005
okres za jaki zIożono dokument 01.01.2004 - 31.12.2004 data ztożenia 13.07.2005
okres za jaki złożono dokument 01.01.2003 R. - 31.12.2003 R. data złożenia 12.07.2004</t>
  </si>
  <si>
    <t>RAPORTY HANDLOWE INFOCREDIT
brak dostępnego raportu finansowego InfoCredit dla danego podmiotu</t>
  </si>
  <si>
    <t>SPRAWOZDANIA FINANSOWE
M.P."B".2012.2622.14450 KRS  120338 2012.10.23
sprawozdanie finansowe   2011
PWC POLSKA sp. z o.o.; w Warszawie ; PKD(EKD) 6920
M.P."B".2011.1566.8624 KRS  120338 2011.09.12
sprawozdanie finansowe   2010
PwC POLSKA sp. z o.o.; w Warszawie ; PKD(EKD) 6920
M.P."B".2010.1321.7281 KRS  120338 2010.08.04
sprawozdanie finansowe   2009
PwC POLSKA sp. z o.o.; w Warszawie ; PKD(EKD) 6920
wszystkie sprawozdania</t>
  </si>
  <si>
    <t>UWAGI
Wpis 32 z dnia 2010.08.18; dodanie informacji wcześniej opublikowanych;WILDER RUSSELL MICHAEL, PESEL: 68082213273, REPREZENTACJA Wpis 32 z dnia 2010.08.18;dodanie informacji wcześniej opublikowanych;GRYGIER SIDDONS OLGA, PESEL: 63080402041, REPREZENTACJA Wpis 32 z dnia 2010.08.18;dodanie informacji wcześniej opublikowanych;FRIARS ANDREW, PESEL: 66110812278, REPREZENTACJA Wpis 32 z dnia 2010.08.18;dodanie informacji wcześniej opublikowanych;WEBB REGINALD VALLANCE, PESEL: 52030221836, PROKURENCI Wpis 32 z dnia 2010.08.18;dodanie informacji wcześniej opublikowanych;AHERN MICHAEL ROBERT, PESEL: 63062115172, PROKURENCI Wpis 32 z dnia 2010.08.18;dodanie informacji wcześniej opublikowanych;VAN DER MEIJ CAMIEL EUGENE, PESEL: 62100913291, PROKURENCI Wpis 77 z dnia 2018.10.09;WYKREŚLENIE WSZYSTKICH WPISÓW Z KRAJOWEGO REJESTRU SĄDOWEGO. WPIS NIE JEST PRAWOMOCNY.</t>
  </si>
  <si>
    <t>9 of 9</t>
  </si>
  <si>
    <t>2 of 13</t>
  </si>
  <si>
    <t>https://lex.online.wolterskluwer.pl/WKPLOnline/index.rpc?fromHistory=false&amp;leftNodeId=lmtree-item-219813&amp;lmId=lm_baza#content.rpc?nro=619505983&amp;wersja=10</t>
  </si>
  <si>
    <t>3 of 13</t>
  </si>
  <si>
    <t>https://lex.online.wolterskluwer.pl/WKPLOnline/index.rpc?fromHistory=false&amp;leftNodeId=lmtree-item-219813&amp;lmId=lm_baza#content.rpc?nro=606919588&amp;wersja=21</t>
  </si>
  <si>
    <t>4 of 13</t>
  </si>
  <si>
    <t>https://lex.online.wolterskluwer.pl/WKPLOnline/index.rpc?fromHistory=false&amp;leftNodeId=lmtree-item-219813&amp;lmId=lm_baza#content.rpc?nro=604125457&amp;wersja=78</t>
  </si>
  <si>
    <t>MSiG-KRS.2018.225.1108039</t>
  </si>
  <si>
    <t>PRICEWATERHOUSECOOPERS SPÓŁKA Z OGRANICZONĄ ODPOWIEDZIALNOŚCIĄ</t>
  </si>
  <si>
    <t>10363900,00 ZŁ</t>
  </si>
  <si>
    <t>REPREZENTACJA
SPOSÓB REPREZENTACJI: PREZES ZARZĄDU, WICE-PREZES ZARZĄDU DZIAŁAJĄC SAMODZIELNIE LUB CZŁONEK ZARZĄDU DZIAŁAJĄC ŁĄCZNIE Z PREZESEM ZARZĄDU ALBO WICE-PREZESEM ZARZĄDU.
ZARZĄD:
MAJ WOJCIECH PESEL: 51082310118 CZŁONEK ZARZĄDU
SZUŁDRZYŃSKI KRZYSZTOF MARCIN PESEL: 69060301555 PREZES ZARZĄDU
BARCHOŃ KINGA PESEL: 74100300562 WICEPREZES ZARZĄDU
GIEL EWA PESEL: 80062201988 CZŁONEK ZARZĄDU
GÓRNA MAŁGORZATA PESEL: 81100901709 CZŁONEK ZARZĄDU
PROKURENCI:
CELIŃSKI ADAM STANISŁAW PESEL: 60111300657 SAMOISTNA
SZMIGIELSKI MIROSŁAW PESEL: 58021603175 SAMOISTNA
KRASOŃ ADAM ANDRZEJ PESEL: 67113000752 SAMOISTNA
MURPHY KEITH PESEL: 67032215518 SAMOISTNA
IGNATOWICZ MARIUSZ KRZYSZTOF PESEL: 70042805235 SAMOISTNA
MASTALERZ MICHAŁ PIOTR PESEL: 72102700137 SAMOISTNA
REINFUSS TOMASZ ZYGMUNT PESEL: 67101009837 SAMOISTNA
KONIECZNY TOMASZ ZBIGNIEW PESEL: 71033004035 SAMOISTNA
OSTASZEWSKA AGNIESZKA PESEL: 71113003882 SAMOISTNA
DZIURDZIA MARIUSZ JAN PESEL: 74031800535 SAMOISTNA
WYSZOGRODZKI PIOTR ANDRZEJ PESEL: 74021205391 SAMOISTNA
PIKULA ARTUR PESEL: 68040402158 SAMOISTNA
BARAŃCZYK TOMASZ STANISŁAW PESEL: 71050806137 SAMOISTNA
KRUŻMANOWSKA TEODORA PESEL: 54061104382 SAMOISTNA
WILDER RUSSELL MICHAEL SAMOISTNA
GLEESON PAUL JOSEPH SAMOISTNA
WESTPHAL GUNTER MAX SAMOISTNA
GREEN DAVID MURDOCH SAMOISTNA
URBAN PIOTR WIESŁAW PESEL: 74083004710 SAMOISTNA
OŻAROWSKI PAWEŁ PESEL: 70110602094 SAMOISTNA
WICHOWSKI JAROSŁAW PESEL: 66060504490 PROKURA SAMOISTNA
KLEIN JAMES PHILLIP SAMOISTNA
CHOMIUK MARCIN FILIP PESEL: 74012200455 SAMOISTNA
JAROSZ ANDRZEJ JACEK PESEL: 66012104433 SAMOISTNA
PEPLIŃSKI PAUL PROKURA SAMOISTNA
DRÓBKA RAFAŁ PESEL: 74011001132 PROKURA SAMOISTNA
KREMPA SŁAWOMIR PESEL: 72071502338 SAMOISTNA
WESOŁOWSKI PAWEŁ PESEL: 78102800136 SAMOISTNA
KASSEL TOMASZ PESEL: 72071007017 PROKURA SAMOISTNA
WACŁAWEK JAN PESEL: 74091400854 PROKURA SAMOISTNA
MICHALCZYK PIOTR ZYGMUNT PESEL: 72080306439 SAMOISTNA
GARCZYK WYSOCKA AGATA PESEL: 77043005664 SAMOISTNA
WIEWIÓRKA PIOTR PESEL: 76073002179 SAMOISTNA
JASIOŁEK BARTOSZ WOJCIECH PESEL: 74032601975 SAMOISTNA
GONTA MIECZYSŁAW TOMASZ PESEL: 75061902572 SAMOISTNA
ACCORDI AGNIESZKA PESEL: 79080407320 SAMOISTNA
LASKOWSKA MONIKA PESEL: 76120102283 SAMOISTNA
RÓWIŃSKI PIOTR PESEL: 77062615372 SAMOISTNA
SIDELNIK MARCIN PESEL: 77080903815 SAMOISTNA
JURKIEWICZ ROBERT PIOTR PESEL: 77090305335 SAMOISTNA</t>
  </si>
  <si>
    <t>WSPÓLNICY
PRICEWATERHOUSECOOPERS POLSKA SPÓŁKA Z OGRANICZONĄ ODPOWIEDZIALNOŚCIĄ REGON: 006718980 KRS: 88405 udział: 851 UDZIAŁÓW 0 ŁĄCZNEJ WYSOKOŚCI 2.595.550 ZŁOTYCH udział całościowy: NIE
PRICEWATERHOUSECOOPERS ASSURANCE SERVICES POLSKA SPÓŁKA Z OGRANICZONĄ ODPOWIEDZIALNOŚCIĄ REGON: 369071860 KRS: 711086 udział: 2.547 UDZIAŁÓW O ŁĄCZNEJ WARTOŚCI 7.768.350,00 ZŁ udział całościowy: NIE</t>
  </si>
  <si>
    <t>NADZÓR
KOMISJA REWIZYJNA:
ROGACKI WITOLD PESEL: 79082500533
MADEJSKA MARTA PESEL: 71111905049
GOSPODARCZYK CHLASTAWA KATARZYNA ELŻBIETA PESEL: 78111902700</t>
  </si>
  <si>
    <t>ODDZIAŁY</t>
  </si>
  <si>
    <t>OGŁOSZENIA
MSiG-Ogl.2018.100.21846 KRS  44655 2018.05.24
ogłoszenie wymagane przez k.s.h.
PRICEWATERHOUSECOOPERS SPÓŁKA Z OGRANICZONĄ ODPOWIEDZIALNOŚCIĄ sp. z o.o.; w Warszawie
Sąd Rejonowy dla m. stoł. Warszawy w Warszawie,  XII   Gospodarczy - Krajowy Rejestr Sądowy
MSiG-Ogl.2004.119.6641 KRS  44655 2004.06.21
ogłoszenie wymagane przez k.s.h.
„PRICEWATERHOUSECOOPERS" SPÓŁKA Z OGRANICZONĄ ODPOWIEDZIALNOŚCIĄ sp. z o.o.; w Warszawie
wszystkie ogłoszenia</t>
  </si>
  <si>
    <t>INFORMACJE O ZŁOŻONYCH SPRAWOZDANIACH
data złożenia 11.01.2018 okres OD 01.07.2016 DO 30.06.2017
data złożenia 22.12.2016 okres OD 01.07.2015 DO 30.06.2016
data złożenia 08.01.2016 okres OD 01.07.2014 DO 30.06.2015
data złożenia 09.01.2015 okres OD 01.07.2013 DO 30.06.2014
data złożenia 14.01.2014 okres 01.07.2012 - 30.06.2013
data złożenia 15.01.2013 okres 01.07.2011 - 30.06.2012
data złożenia 21.12.2011 okres 01.07.2010 - 30.06.2011
data złożenia 13.01.2011 okres 01.07.2009 - 30.06.2010
data złożenia 14.01.2010 okres 01.07.2008 - 30.06.2009
data złożenia 15.01.2009 okres 01.07.2007 - 30.06.2008 R.
data złożenia 08.01.2008 okres 01.07.2006-30.06.2007 R.
data złożenia 22.12.2006 okres 01.07.2005 - 30.06.2006
okres za jaki złożono dokument 01.07.2004 - 30.06.2005 data złożenia 13.01.2005
okres za jaki złożono dokument 01.07.2003 - 30.06.2004 data złożenia 14.12.2004
okres za jaki ztożono dokument 01.07.2002 - 30.06.2003 data złożenia 02.04.2004
okres za jaki złożono dokument 01.07.2001 - 30.06.2002 data złożenia 15.01.2003
okres za jaki złożono dokument 01.07.2000-30.06.2001 data złożenia 14.12.2001</t>
  </si>
  <si>
    <t>SPRAWOZDANIA FINANSOWE
M.P."B".2012.932.5160 KRS  44655 2012.03.27
sprawozdanie finansowe   2010   2011
PRICEWATERHOUSECOOPERS sp. z o.o.; w Warszawie ; PKD(EKD) 6920
M.P."B".2011.884.4971 KRS  44655 2011.05.06
sprawozdanie finansowe   2009   2010
PRICEWATERHOUSECOOPERS sp. z o.o.; w Warszawie ; PKD(EKD) 6920
M.P."B".2010.849.4670 KRS  44655 2010.05.24
sprawozdanie finansowe   2008   2009
PRICEWATERHOUSECOOPERS sp. z o.o.; w Warszawie ; PKD(EKD) 6920
wszystkie sprawozdania</t>
  </si>
  <si>
    <t>UWAGI
Wpis 80 z dnia 2018.10.26; WYKREŚLENIE WSZYSTKICH WPISÓW Z KRAJOWEGO REJESTRU SĄDOWEGO. WPIS NIE JEST PRAWOMOCNY.</t>
  </si>
  <si>
    <t>11 of 11</t>
  </si>
  <si>
    <t>5 of 13</t>
  </si>
  <si>
    <t>https://lex.online.wolterskluwer.pl/WKPLOnline/index.rpc?fromHistory=false&amp;leftNodeId=lmtree-item-219813&amp;lmId=lm_baza#content.rpc?nro=605449548&amp;wersja=25</t>
  </si>
  <si>
    <t>MSiG-KRS.2019.33.71142</t>
  </si>
  <si>
    <t>PRICEWATERHOUSECOOPERS SERVICE DELIVERY CENTER POLAND SPÓŁKA Z OGRANICZONĄ ODPOWIEDZIALNOŚCIĄ</t>
  </si>
  <si>
    <t>50000,00 ZŁ</t>
  </si>
  <si>
    <t>REPREZENTACJA
SPOSÓB REPREZENTACJI: KAŻDY CZŁONEK ZARZĄDU MA PRAWO REPREZENTOWANIA SPÓŁKI SAMODZIELNIE.
ZARZĄD:
KRASOŃ ADAM ANDRZEJ PESEL: 67113000752 CZŁONEK ZARZĄDU
LUBACZEWSKI ROMAN PESEL: 66120114098 PREZES ZARZĄDU
FRÜHAUF STEFAN HEINRICH CZŁONEK ZARZĄDU
SECHSER JÖRG CZŁONEK ZARZĄDU
COPE ANDREW JULIAN CZŁONEK ZARZĄDU
POTTER CHRISTOPHER WILLIAM CZŁONEK ZARZĄDU
PROKURENCI:
MURPHY KEITH PESEL: 67032215518 SAMOISTNA
KRUŻMANOWSKA TEODORA PESEL: 54061104382 SAMOISTNA</t>
  </si>
  <si>
    <t>WSPÓLNICY
PRICEWATERHOUSECOOPERS SERVICE DELIVERY CENTRE HOLDINGS (KATOWICE) B.V. udział: 1.000 UDZIAŁÓW O ŁĄCZNEJ WYSOKOŚCI 50.000 ZŁOTYCH udział całościowy: TAK</t>
  </si>
  <si>
    <t>INFORMACJE O ZŁOŻONYCH SPRAWOZDANIACH
data złożenia 20.12.2018 okres OD 01.07.2017 DO 30.06.2018
data złożenia 11.01.2018 okres OD 01.07.2016 DO 30.06.2017
data złożenia 22.12.2016 okres OD 01.07.2015 DO 30.06.2016
data złożenia 26.11.2015 okres OD 01.07.2014 DO 30.06.2015
data złożenia 15.12.2014 okres OD 01.07.2013 DO 30.06.2014
data złożenia 14.01.2014 okres 01.07.2012 R. - 30.06.2013 R.
data złożenia 15.01.2012 okres 01.07.2011 - 30.06.2012
data złożenia 03.01.2012 okres 01.01.2010 - 30.06.2011
data złożenia 05.07.2010 okres 07.01.2009 - 31.12.2009</t>
  </si>
  <si>
    <t>RAPORTY HANDLOWE INFOCREDIT
Dane zawarte w raporcie:
Aktualizuj raport
  Pobierz raport w formacie:
Profil finansowy (za lata 2013 2014 2015 2016 2017)
Wskaźniki finansowe (za lata 2017 2016 2015)
Zatrudnienie (za lata 2017 2014 2013)
Bilans (za lata 2017 2016 2015 2014 2013)
Rachunek zysków i strat (za lata 2017 2016 2015 2014 2013)
  Wersja polska
Wersja angielska
Liczba punktów infocredit w subskrybcji: 1223</t>
  </si>
  <si>
    <t>SPRAWOZDANIA FINANSOWE
Sprawozdanie z KRS.2012 KRS  320947 2013.06.30
sprawozdanie finansowe   2012   2013
PRICEWATERHOUSECOOPERS SERVICE DELIVERY CENTER POLAND SPÓŁKA Z OGRANICZONĄ ODPOWIEDZIALNOŚCIĄ sp. z o.o.; w Warszawie
Sprawozdanie z KRS.2011 KRS  320947 2012.06.30
sprawozdanie finansowe   2011   2012
PRICEWATERHOUSECOOPERS SERVICE DELIVERY CENTER POLAND SPÓŁKA Z OGRANICZONĄ ODPOWIEDZIALNOŚCIĄ sp. z o.o.; w Warszawie
Sprawozdanie z KRS.2010 KRS  320947 2011.06.30
sprawozdanie finansowe   2010   2011
PRICEWATERHOUSECOOPERS SERVICE DELIVERY CENTER POLAND SPÓŁKA Z OGRANICZONĄ ODPOWIEDZIALNOŚCIĄ sp. z o.o.; w Warszawie
wszystkie sprawozdania</t>
  </si>
  <si>
    <t>6 of 13</t>
  </si>
  <si>
    <t>https://lex.online.wolterskluwer.pl/WKPLOnline/index.rpc?fromHistory=false&amp;leftNodeId=lmtree-item-219813&amp;lmId=lm_baza#content.rpc?nro=608659301&amp;wersja=9</t>
  </si>
  <si>
    <t>MSiG-KRS.2016.71.80191</t>
  </si>
  <si>
    <t>PRICEWATERHOUSECOOPERS PROFESSIONAL SERVICES SPÓŁKA Z OGRANICZONĄ ODPOWIEDZIALNOŚCIĄ</t>
  </si>
  <si>
    <t>Ul. ARMII LUDOWEJ, ALEJA 14, 00-638 WARSZAWA</t>
  </si>
  <si>
    <t xml:space="preserve">Ul. ARMII LUDOWEJ, ALEJA 14, </t>
  </si>
  <si>
    <t>REPREZENTACJA
SPOSÓB REPREZENTACJI: KAŻDY CZŁONEK ZARZĄDU MA PRAWO REPREZENTOWANIA SPÓŁKI SAMODZIELNIE.
ZARZĄD:
DŻURAK PAWEŁ KAROL PESEL: 69010600512 PREZES ZARZĄDU</t>
  </si>
  <si>
    <t>WSPÓLNICY
PWC POLSKA SPÓŁKA Z OGRANICZONĄ ODPOWIEDZIALNOŚCIĄ REGON: 015239399 KRS: 120338 udział: 100 UDZIAŁÓW O ŁĄCZNEJ WARTOŚCI 5000,00 ZŁ udział całościowy: TAK</t>
  </si>
  <si>
    <t>NADZÓR
RADA NADZORCZA:
ŁUBA PIOTR PESEL: 66051900218
KRASOŃ ADAM ANDRZEJ PESEL: 67113000752
MURPHY KEITH PESEL: 67032215518
LUBACZEWSKI ROMAN KAZIMIERZ PESEL: 66120114098</t>
  </si>
  <si>
    <t>INFORMACJE O ZŁOŻONYCH SPRAWOZDANIACH
data złożenia 18.12.2014 okres OD 01.07.2013 DO 30.06.2014
data złożenia 14.01.2014 okres 01.07.2012-30.06.2013
data złożenia 15.01.2013 okres 1.07.2011-30.06.2012
data złożenia 21.12.2011 okres 22.11.2010 R. - 30.06.2011 R.</t>
  </si>
  <si>
    <t>RAPORTY HANDLOWE INFOCREDIT
Dane zawarte w raporcie:
Aktualizuj raport
  Pobierz raport w formacie:
Profil finansowy (za lata 2011 2012 2013 2014 2015)
Wskaźniki finansowe (za lata 2015)
Zatrudnienie (za lata 2014 2013 2012)
Bilans (za lata 2015 2014 2013 2012 2011)
Rachunek zysków i strat (za lata 2015 2014 2013 2012 2011)
  Wersja polska
Wersja angielska
Liczba punktów infocredit w subskrybcji: 1223</t>
  </si>
  <si>
    <t>SPRAWOZDANIA FINANSOWE
Sprawozdanie z KRS.2012 KRS  370993 2013.06.30
sprawozdanie finansowe   2012   2013
PRICEWATERHOUSECOOPERS PROFESSIONAL SERVICES SPÓŁKA Z OGRANICZONĄ ODPOWIEDZIALNOŚCIĄ sp. z o.o.; w Warszawie
Sprawozdanie z KRS.2011 KRS  370993 2011.06.30
sprawozdanie finansowe   2010   2011
PRICEWATERHOUSECOOPERS PROFESSIONAL SERVICES SPÓŁKA Z OGRANICZONĄ ODPOWIEDZIALNOŚCIĄ sp. z o.o.; w Warszawie</t>
  </si>
  <si>
    <t>UWAGI
Wpis 11 z dnia 2016.04.05; WYKREŚLENIE WSZYSTKICH WPISÓW Z KRAJOWEGO REJESTRU SĄDOWEGO. WPIS NIE JEST PRAWOMOCNY.
Data uprawomocnienia wykreślenia z KRS: 2016.04.23</t>
  </si>
  <si>
    <t>8 of 8</t>
  </si>
  <si>
    <t>7 of 13</t>
  </si>
  <si>
    <t>https://lex.online.wolterskluwer.pl/WKPLOnline/index.rpc?fromHistory=false&amp;leftNodeId=lmtree-item-219813&amp;lmId=lm_baza#content.rpc?nro=604844562&amp;wersja=38</t>
  </si>
  <si>
    <t>MSiG-KRS.2019.70.187258</t>
  </si>
  <si>
    <t>PRICEWATERHOUSECOOPERS POLSKA SPÓŁKA Z OGRANICZONĄ ODPOWIEDZIALNOŚCIĄ SPÓŁKA KOMANDYTOWA</t>
  </si>
  <si>
    <t>REPREZENTACJA
SPOSÓB REPREZENTACJI: KOMPLEMENTARIUSZ MA PRAWO REPREZENTOWAĆ SPÓŁKĘ SAMODZIELNIE. OŚWIADCZENIA W IMIENIU KOMPLEMENTARIUSZA - SKŁADAJĄ OSOBY UMOCOWANE DO REPREZENTOWANIA KOMPLEMENTARIUSZA ZGODNIE Z OKREŚLONYMI DLA NIEGO ZASADAMI REPREZENTACJI.
WSPÓLNICY REPREZENTUJĄCY SPÓŁKĘ:
PRICEWATERHOUSECOOPERS POLSKA SPÓŁKA Z OGRANICZONĄ ODPOWIEDZIALNOŚCIĄ REGON: 006718980 KRS: 88405
PROKURENCI:
CELIŃSKI ADAM STANISŁAW PESEL: 60111300657 PROKURA SAMOISTNA
KRASOŃ ADAM ANDRZEJ PESEL: 67113000752 PROKURENT SAMOISTNY
IGNATOWICZ MARIUSZ KRZYSZTOF PESEL: 70042805235 PROKURENT SAMOISTNY
MASTALERZ MICHAŁ PIOTR PESEL: 72102700137 PROKURA SAMOISTNA
REINFUSS TOMASZ ZYGMUNT PESEL: 67101009837 PROKURA SAMOISTNA
KONIECZNY TOMASZ ZBIGNIEW PESEL: 71033004035 PROKURENT SAMOISTNY
OSTASZEWSKA AGNIESZKA PESEL: 71113003882 PROKURA SAMOISTNA
SZUŁDRZYŃSKI KRZYSZTOF MARCIN PESEL: 69060301555 PROKURENT SAMOISTNY
DZIURDZIA MARIUSZ JAN PESEL: 74031800535 PROKURA SAMOISTNA
WYSZOGRODZKI PIOTR ANDRZEJ PESEL: 74021205391 PROKURA SAMOISTNA
PIKULA ARTUR PESEL: 68040402158 PROKURENT SAMOISTNY
BARAŃCZYK TOMASZ STANISŁAW PESEL: 71050806137 PROKURENT SAMOISTNY
KRUŻMANOWSKA TEODORA PESEL: 54061104382 PROKURENT SAMOISTNY
URBAN PIOTR WIESŁAW PESEL: 74083004710 PROKURENT SAMOISTNY
OŻAROWSKI PAWEŁ PESEL: 70110602094 PROKURA SAMOISTNA
WICHOWSKI JAROSŁAW PESEL: 66060504490 PROKURENT SAMOISTNY
CHOMIUK MARCIN FILIP PESEL: 74012200455 PROKURENT SAMOISTNY
JAROSZ ANDRZEJ JACEK PESEL: 66012104433 PROKURENT SAMOISTNY
TOKARSKI JAN STANISŁAW PESEL: 80120600030 PROKURENT SAMOISTNY
DRÓBKA RAFAŁ PESEL: 74011001132 PROKURENT SAMOISTNY
KREMPA SŁAWOMIR PESEL: 72071502338 PROKURENT SAMOISTNY
WESOŁOWSKI PAWEŁ PESEL: 78102800136 PROKURENT SAMOISTNY
KASSEL TOMASZ PESEL: 72071007017 PROKURENT SAMOISTNY
WACŁAWEK JAN PESEL: 74091400854 PROKURENT SAMOISTNY
MICHALCZYK PIOTR ZYGMUNT PESEL: 72080306439 PROKURA SAMOISTNA
GARCZYK WYSOCKA AGATA PESEL: 77043005664 PROKURA SAMOISTNA
WIEWIÓRKA PIOTR PESEL: 76073002179 PROKURENT SAMOISTNY
JASIOŁEK BARTOSZ WOJCIECH PESEL: 74032601975 PROKURENT SAMOISTNY
GONTA MIECZYSŁAW TOMASZ PESEL: 75061902572 PROKURENT SAMOISTNY
ACCORDI AGNIESZKA PESEL: 79080407320 PROKURA SAMOISTNA
LASKOWSKA MONIKA PESEL: 76120102283 PROKURENT SAMOISTNY
RÓWIŃSKI PIOTR PESEL: 77062615372 PROKURENT SAMOISTNY
SIDELNIK MARCIN PESEL: 77080903815 PROKURENT SAMOISTNY
JURKIEWICZ ROBERT PIOTR PESEL: 77090305335 PROKURENT SAMOISTNY
MAKUSAK MARCIN WOJCIECH PESEL: 82082608910 PROKURENT SAMOISTNY
KLEIN JAMES PHILIP PESEL: 65091413254 PROKURA SAMOISTNA
GREEN DAVID MURDOCH PESEL: 69081514358 PROKURA SAMOISTNA
IGNASZAK KATARZYNA ANNA PESEL: 80070319507 PROKURA SAMOISTNA
VOLKOVA OLENA PESEL: 80082019284 PROKURA SAMOISTNA</t>
  </si>
  <si>
    <t>REPREZENTACJA
SPOSÓB REPREZENTACJI: KOMPLEMENTARIUSZ MA PRAWO REPREZENTOWAĆ SPÓŁKĘ SAMODZIELNIE. OŚWIADCZENIA W IMIENIU KOMPLEMENTARIUSZA - SKŁADAJĄ OSOBY UMOCOWANE DO REPREZENTOWANIA KOMPLEMENTARIUSZA ZGODNIE Z OKREŚLONYMI DLA NIEGO ZASADAMI REPREZENTACJI.
WSPÓLNICY REPREZENTUJĄCY SPÓŁKĘ:
PRICEWATERHOUSECOOPERS POLSKA SPÓŁKA Z OGRANICZONĄ ODPOWIEDZIALNOŚCIĄ REGON: 006718980 KRS: 88405
PROKURENCI:
CELIŃSKI ADAM STANISŁAW PESEL: 60111300657 PROKURA SAMOISTNA
KRASOŃ ADAM ANDRZEJ PESEL: 67113000752 PROKURENT SAMOISTNY
IGNATOWICZ MARIUSZ KRZYSZTOF PESEL: 70042805235 PROKURENT SAMOISTNY
MASTALERZ MICHAŁ PIOTR PESEL: 72102700137 PROKURA SAMOISTNA
REINFUSS TOMASZ ZYGMUNT PESEL: 67101009837 PROKURA SAMOISTNA
KONIECZNY TOMASZ ZBIGNIEW PESEL: 71033004035 PROKURENT SAMOISTNY
OSTASZEWSKA AGNIESZKA PESEL: 71113003882 PROKURA SAMOISTNA
SZUŁDRZYŃSKI KRZYSZTOF MARCIN PESEL: 69060301555 PROKURENT SAMOISTNY
DZIURDZIA MARIUSZ JAN PESEL: 74031800535 PROKURA SAMOISTNA
WYSZOGRODZKI PIOTR ANDRZEJ PESEL: 74021205391 PROKURA SAMOISTNA
PIKULA ARTUR PESEL: 68040402158 PROKURENT SAMOISTNY
BARAŃCZYK TOMASZ STANISŁAW PESEL: 71050806137 PROKURENT SAMOISTNY
KRUŻMANOWSKA TEODORA PESEL: 54061104382 PROKURENT SAMOISTNY
URBAN PIOTR WIESŁAW PESEL: 74083004710 PROKURENT SAMOISTNY
OŻAROWSKI PAWEŁ PESEL: 70110602094 PROKURA SAMOISTNA
WICHOWSKI JAROSŁAW PESEL: 66060504490 PROKURENT SAMOISTNY
CHOMIUK MARCIN FILIP PESEL: 74012200455 PROKURENT SAMOISTNY
JAROSZ ANDRZEJ JACEK PESEL: 66012104433 PROKURENT SAMOISTNY
TOKARSKI JAN STANISŁAW PESEL: 80120600030 PROKURENT SAMOISTNY
DRÓBKA RAFAŁ PESEL: 74011001132 PROKURENT SAMOISTNY
KREMPA SŁAWOMIR PESEL: 72071502338 PROKURENT SAMOISTNY
WESOŁOWSKI PAWEŁ PESEL: 78102800136 PROKURENT SAMOISTNY
KASSEL TOMASZ PESEL: 72071007017 PROKURENT SAMOISTNY
WACŁAWEK JAN PESEL: 74091400854 PROKURENT SAMOISTNY
MICHALCZYK PIOTR ZYGMUNT PESEL: 72080306439 PROKURA SAMOISTNA
GARCZYK WYSOCKA AGATA PESEL: 77043005664 PROKURA SAMOISTNA
WIEWIÓRKA PIOTR PESEL: 76073002179 PROKURENT SAMOISTNY
JASIOŁEK BARTOSZ WOJCIECH PESEL: 74032601975 PROKURENT SAMOISTNY
GONTA MIECZYSŁAW TOMASZ PESEL: 75061902572 PROKURENT SAMOISTNY
ACCORDI AGNIESZKA PESEL: 79080407320 PROKURA SAMOISTNA
LASKOWSKA MONIKA PESEL: 76120102283 PROKURENT SAMOISTNY
RÓWIŃSKI PIOTR PESEL: 77062615372 PROKURENT SAMOISTNY
SIDELNIK MARCIN PESEL: 77080903815 PROKURENT SAMOISTNY
JURKIEWICZ ROBERT PIOTR PESEL: 77090305335 PROKURENT SAMOISTNY
MAKUSAK MARCIN WOJCIECH PESEL: 82082608910 PROKURENT SAMOISTNY
KLEIN JAMES PHILIP PESEL: 65091413254 PROKURA SAMOISTNA
GREEN DAVID MURDOCH PESEL: 69081514358 PROKURA SAMOISTNA
IGNASZAK KATARZYNA ANNA PESEL: 80070319507 PROKURA SAMOISTNA
VOLKOVA OLENA PESEL: 80082019284 PROKURA SAMOISTNAWSPÓLNICY
KOMANDYTARIUSZE:
IGNATOWICZ MARIUSZ KRZYSZTOF PESEL: 70042805235 suma komandytowa: 2.000,00 ZŁ
KUBIŃSKA JOANNA KATARZYNA PESEL: 68021201464 suma komandytowa: 2.000,00 ZŁ
KWIATKOWSKA ZIELECH KATARZYNA PESEL: 71020107525 suma komandytowa: 2.000,00 ZŁ
BARAŃCZYK TOMASZ STANISŁAW PESEL: 71050806137 suma komandytowa: 2.000,00 ZŁ
URBAN PIOTR WIESŁAW PESEL: 74083004710 suma komandytowa: 2.000,00 ZŁ
WĄSIKIEWICZ ŁUKASZ PESEL: 76122708258 suma komandytowa: 2.000,00 ZŁ
CHOMIUK MARCIN FILIP PESEL: 74012200455 suma komandytowa: 2.000,00 ZŁ
JAROSZ ANDRZEJ JACEK PESEL: 66012104433 suma komandytowa: 2.000,00 ZŁ
TOKARSKI JAN STANISŁAW PESEL: 80120600030 suma komandytowa: 2.000,00 ZŁ
PODGÓRNA KATARZYNA ANNA PESEL: 78092506342 suma komandytowa: 2.000,00 ZŁ
DRÓBKA RAFAŁ PESEL: 74011001132 suma komandytowa: 2.000,00 ZŁ
KREMPA SŁAWOMIR PESEL: 72071502338 suma komandytowa: 2.000,00 ZŁ
PABIAŃSKA MARTA EWA PESEL: 77080604327 suma komandytowa: 2.000,00 ZŁ
KASSEL TOMASZ PESEL: 72071007017 suma komandytowa: 2.000,00 ZŁ
WACŁAWEK JAN PESEL: 74091400854 suma komandytowa: 2.000,00 ZŁ
PABIAŃSKI TOMASZ PIOTR PESEL: 82081808472 suma komandytowa: 2.000,00 ZŁ
WIEWIÓRKA PIOTR PESEL: 76073002179 suma komandytowa: 2.000,00 ZŁ
JASIOŁEK BARTOSZ WOJCIECH PESEL: 74032601975 suma komandytowa: 2.000,00 ZŁ
GONTA MIECZYSŁAW TOMASZ PESEL: 75061902572 suma komandytowa: 2.000,00 ZŁ
LASKOWSKA MONIKA PESEL: 76120102283 suma komandytowa: 2.000,00 ZŁ
RÓWIŃSKI PIOTR PESEL: 77062615372 suma komandytowa: 2.000,00 ZŁ
SIDELNIK MARCIN PESEL: 77080903815 suma komandytowa: 2.000,00 ZŁ
JURKIEWICZ ROBERT PIOTR PESEL: 77090305335 suma komandytowa: 2.000,00 ZŁ
MAKUSAK MARCIN WOJCIECH PESEL: 82082608910 suma komandytowa: 2.000,00 ZŁ
PRICEWATERHOUSECOOPERS POLSKA SPÓŁKA Z OGRANICZONĄ ODPOWIEDZIALNOŚCIĄ AUDYT SPÓŁKA KOMANDYTOWA REGON: 012500673 KRS: 750050 suma komandytowa: 2.000,00 ZŁ
PAWLICKI ADAM FRANCISZEK PESEL: 74100408871 suma komandytowa: 2.000,00 ZŁ
LEBDA SEBASTIAN PESEL: 74123015599 suma komandytowa: 2.000,00 ZŁ
WOLNA DOROTA ANNA PESEL: 78051205200 suma komandytowa: 2.000,00 ZŁ
PULSAKOWSKI RAFAŁ WŁADYSŁAW PESEL: 78062702394 suma komandytowa: 2.000,00 ZŁ
OKTAWIEC AGATA JOANNA PESEL: 78072302908 suma komandytowa: 2.000,00 ZŁ
ZWYRTEK MICHAŁ EUGENIUSZ PESEL: 79100700817 suma komandytowa: 2.000,00 ZŁ
SZCZOTKA RAFAŁ PESEL: 79120116311 suma komandytowa: 2.000,00 ZŁ
WOŹNIAK MIKOŁAJ WOJCIECH PESEL: 80030603536 suma komandytowa: 2.000,00 ZŁ
MATUSIAK JAKUB KAROL PESEL: 80051606370 suma komandytowa: 2.000,00 ZŁ
DĄBEK SZYMON MACIEJ PESEL: 80100509719 suma komandytowa: 2.000,00 ZŁ
MARGOL BARTOSZ PESEL: 81030814234 suma komandytowa: 2.000,00 ZŁ
WOŹNIAKIEWICZ PIOTR STEFAN PESEL: 81052606932 suma komandytowa: 2.000,00 ZŁ
KRAMZA ARKADIUSZ JACEK PESEL: 85042316894 suma komandytowa: 2.000,00 ZŁ
MAŚLAK RADOMIŁ STANISŁAW PESEL: 72011901698 suma komandytowa: 2000,00 ZŁ
NARKIEWICZ TARŁOWSKA JOANNA DOROTA PESEL: 74111808305 suma komandytowa: 2000,00 ZŁ
KOMPLEMENTARIUSZE:
PRICEWATERHOUSECOOPERS POLSKA SPÓŁKA Z OGRANICZONĄ ODPOWIEDZIALNOŚCIĄ REGON: 006718980 KRS: 88405</t>
  </si>
  <si>
    <t>INFORMACJE O ZŁOŻONYCH SPRAWOZDANIACH
data złożenia 21.09.2018 okres OD 01.01.2017 DO 31.12.2017
data złożenia 14.07.2017 okres OD 01.01.2016 DO 31.12.2016
data złożenia 10.05.2016 okres OD 01.01.2015 DO 31.12.2015
data złożenia 07.07.2015 okres OD 01.01.2014 DO 31.12.2014
data złożenia 07.05.2014 okres OD 01.01.2013 DO 31.12.2013
data złożenia 08.05.2013 okres 01.01.2012-31.12.2012
data złożenia 08.05.2012 okres 01.01.2011 - 31.12.2011
data złożenia 22.04.2011 okres 01.01.2010 - 31.12.2010
data złożenia 04.05.2010 okres 01.01.2009 R. - 31.12.2009 R.
data złożenia 06.05.2009 okres 01.01.2008-31.12.2008
data złożenia 12.05.2008 okres 01.01.2007 - 31.12.2007</t>
  </si>
  <si>
    <t>RAPORTY HANDLOWE INFOCREDIT
Dane zawarte w raporcie:
Aktualizuj raport
  Pobierz raport w formacie:
Profil finansowy (za lata 2013 2014 2015 2016 2017)
Wskaźniki finansowe (za lata 2017 2016 2015 2014 2013)
Bilans (za lata 2017 2016 2015 2014 2013)
Rachunek zysków i strat (za lata 2017 2016 2015 2014 2013)
  Wersja polska
Wersja angielska
Liczba punktów infocredit w subskrybcji: 1223</t>
  </si>
  <si>
    <t>8 of 13</t>
  </si>
  <si>
    <t>https://lex.online.wolterskluwer.pl/WKPLOnline/index.rpc?fromHistory=false&amp;leftNodeId=lmtree-item-219813&amp;lmId=lm_baza#content.rpc?nro=619525523&amp;wersja=6</t>
  </si>
  <si>
    <t>MSiG-KRS.2019.58.126739</t>
  </si>
  <si>
    <t>PRICEWATERHOUSECOOPERS POLSKA SPÓŁKA Z OGRANICZONĄ ODPOWIEDZIALNOŚCIĄ AUDYT SPÓŁKA KOMANDYTOWA</t>
  </si>
  <si>
    <t>REPREZENTACJA
SPOSÓB REPREZENTACJI: UPRAWNIONYM DO REPREZENTACJI SPÓŁKI JEST KOMPLEMENTARIUSZ.
WSPÓLNICY REPREZENTUJĄCY SPÓŁKĘ:
PRICEWATERHOUSECOOPERS POLSKA SPÓŁKA Z OGRANICZONĄ ODPOWIEDZIALNOŚCIĄ REGON: 006718980 KRS: 88405
PROKURENCI:
CELIŃSKI ADAM STANISŁAW PESEL: 60111300657 PROKURA SAMOISTNA
SZMIGIELSKI MIROSŁAW PESEL: 58021603175 PROKURA SAMOISTNA
KRASOŃ ADAM ANDRZEJ PESEL: 67113000752 PROKURA SAMOISTNA
MASTALERZ MICHAŁ PIOTR PESEL: 72102700137 PROKURA SAMOISTNA
REINFUSS TOMASZ ZYGMUNT PESEL: 67101009837 PROKURA SAMOISTNA
KONIECZNY TOMASZ ZBIGNIEW PESEL: 71033004035 PROKURA SAMOISTNA
OSTASZEWSKA AGNIESZKA PESEL: 71113003882 PROKURA SAMOISTNA
SZUŁDRZYŃSKI KRZYSZTOF MARCIN PESEL: 69060301555 PROKURA SAMOISTNA
DZIURDZIA MARIUSZ JAN PESEL: 74031800535 PROKURA SAMOISTNA
WYSZOGRODZKI PIOTR ANDRZEJ PESEL: 74021205391 PROKURA SAMOISTNA
PIKULA ARTUR PESEL: 68040402158 PROKURA SAMOISTNA
KRUŻMANOWSKA TEODORA PESEL: 54061104382 PROKURA SAMOISTNA
OŻAROWSKI PAWEŁ PESEL: 70110602094 PROKURA SAMOISTNA
WICHOWSKI JAROSŁAW PESEL: 66060504490 PROKURA SAMOISTNA
WESOŁOWSKI PAWEŁ PESEL: 78102800136 PROKURA SAMOISTNA
MICHALCZYK PIOTR ZYGMUNT PESEL: 72080306439 PROKURA SAMOISTNA
GARCZYK WYSOCKA AGATA PESEL: 77043005664 PROKURA SAMOISTNA
ACCORDI AGNIESZKA PESEL: 79080407320 PROKURA SAMOISTNA
KLEIN JAMES PHILIP PESEL: 65091413254 PROKURA SAMOISTNA
GREEN DAVID MURDOCH PESEL: 69081514358 PROKURA SAMOISTNA
IGNASZAK KATARZYNA ANNA PESEL: 80070319507 PROKURA SAMOISTNA
VOLKOVA OLENA PESEL: 80082019284 PROKURA SAMOISTNA</t>
  </si>
  <si>
    <t>REPREZENTACJA
SPOSÓB REPREZENTACJI: UPRAWNIONYM DO REPREZENTACJI SPÓŁKI JEST KOMPLEMENTARIUSZ.
WSPÓLNICY REPREZENTUJĄCY SPÓŁKĘ:
PRICEWATERHOUSECOOPERS POLSKA SPÓŁKA Z OGRANICZONĄ ODPOWIEDZIALNOŚCIĄ REGON: 006718980 KRS: 88405
PROKURENCI:
CELIŃSKI ADAM STANISŁAW PESEL: 60111300657 PROKURA SAMOISTNA
SZMIGIELSKI MIROSŁAW PESEL: 58021603175 PROKURA SAMOISTNA
KRASOŃ ADAM ANDRZEJ PESEL: 67113000752 PROKURA SAMOISTNA
MASTALERZ MICHAŁ PIOTR PESEL: 72102700137 PROKURA SAMOISTNA
REINFUSS TOMASZ ZYGMUNT PESEL: 67101009837 PROKURA SAMOISTNA
KONIECZNY TOMASZ ZBIGNIEW PESEL: 71033004035 PROKURA SAMOISTNA
OSTASZEWSKA AGNIESZKA PESEL: 71113003882 PROKURA SAMOISTNA
SZUŁDRZYŃSKI KRZYSZTOF MARCIN PESEL: 69060301555 PROKURA SAMOISTNA
DZIURDZIA MARIUSZ JAN PESEL: 74031800535 PROKURA SAMOISTNA
WYSZOGRODZKI PIOTR ANDRZEJ PESEL: 74021205391 PROKURA SAMOISTNA
PIKULA ARTUR PESEL: 68040402158 PROKURA SAMOISTNA
KRUŻMANOWSKA TEODORA PESEL: 54061104382 PROKURA SAMOISTNA
OŻAROWSKI PAWEŁ PESEL: 70110602094 PROKURA SAMOISTNA
WICHOWSKI JAROSŁAW PESEL: 66060504490 PROKURA SAMOISTNA
WESOŁOWSKI PAWEŁ PESEL: 78102800136 PROKURA SAMOISTNA
MICHALCZYK PIOTR ZYGMUNT PESEL: 72080306439 PROKURA SAMOISTNA
GARCZYK WYSOCKA AGATA PESEL: 77043005664 PROKURA SAMOISTNA
ACCORDI AGNIESZKA PESEL: 79080407320 PROKURA SAMOISTNA
KLEIN JAMES PHILIP PESEL: 65091413254 PROKURA SAMOISTNA
GREEN DAVID MURDOCH PESEL: 69081514358 PROKURA SAMOISTNA
IGNASZAK KATARZYNA ANNA PESEL: 80070319507 PROKURA SAMOISTNA
VOLKOVA OLENA PESEL: 80082019284 PROKURA SAMOISTNAWSPÓLNICY
KOMANDYTARIUSZE:
CELIŃSKI ADAM STANISŁAW PESEL: 60111300657 suma komandytowa: 2.000,00 ZŁ
SZMIGIELSKI MIROSŁAW PESEL: 58021603175 suma komandytowa: 2.000,00 ZŁ
MASTALERZ MICHAŁ PIOTR PESEL: 72102700137 suma komandytowa: 2.000,00 ZŁ
REINFUSS TOMASZ ZYGMUNT PESEL: 67101009837 suma komandytowa: 2.000,00 ZŁ
KONIECZNY TOMASZ ZBIGNIEW PESEL: 71033004035 suma komandytowa: 2.000,00 ZŁ
OSTASZEWSKA AGNIESZKA PESEL: 71113003882 suma komandytowa: 2.000,00 ZŁ
SZUŁDRZYŃSKI KRZYSZTOF MARCIN PESEL: 69060301555 suma komandytowa: 2.000,00 ZŁ
PEPLIŃSKI PAUL PESEL: 63082214118 suma komandytowa: 2000 ZŁOTYCH
DZIURDZIA MARIUSZ JAN PESEL: 74031800535 suma komandytowa: 2.000,00 ZŁ
WYSZOGRODZKI PIOTR ANDRZEJ PESEL: 74021205391 suma komandytowa: 2.000,00 ZŁ
MADEJSKA MARTA PESEL: 71111905049 suma komandytowa: 2.000,00 ZŁ
PIKULA ARTUR PESEL: 68040402158 suma komandytowa: 2.000,00 ZŁ
SAWICKI MARCIN JANUSZ PESEL: 77060909819 suma komandytowa: 2.000,00 ZŁ
OŻAROWSKI PAWEŁ PESEL: 70110602094 suma komandytowa: 2.000,00 ZŁ
KOPROWSKI ŁUKASZ JERZY PESEL: 76100604677 suma komandytowa: 2.000,00 ZŁ
SŁABOLEPSZY TOMASZ MACIEJ PESEL: 77012906796 suma komandytowa: 2.000,00 ZŁ
WESOŁOWSKI PAWEŁ PESEL: 78102800136 suma komandytowa: 2.000,00 ZŁ
MICHALCZYK PIOTR ZYGMUNT PESEL: 72080306439 suma komandytowa: 2.000,00 ZŁ
GARCZYK WYSOCKA AGATA PESEL: 77043005664 suma komandytowa: 2.000,00 ZŁ
BEJGER PIOTR PESEL: 77060611172 suma komandytowa: 2.000,00 ZŁ
ACCORDI AGNIESZKA PESEL: 79080407320 suma komandytowa: 2.000,00 ZŁ
PRICEWATERHOUSECOOPERS ASSURANCE SERVICES POLSKA SPÓŁKA Z OGRANICZONĄ ODPOWIEDZIALNOŚCIĄ REGON: 369071860 KRS: 711086 suma komandytowa: 2.000,00 ZŁ
KLEIN JAMES PHILIP PESEL: 65091413254 suma komandytowa: 2.000,00 ZŁ
GREEN DAVID MURDOCH PESEL: 69081514358 suma komandytowa: 2.000,00 ZŁ
GÓRA ANNA IRENA PESEL: 76102202026 suma komandytowa: 2.000,00 ZŁ
SZLACHCIC MAŁGORZATA IWONA PESEL: 80050704246 suma komandytowa: 2.000,00 ZŁ
GIEL EWA WANDA PESEL: 80062201988 suma komandytowa: 2.000,00 ZŁ
IGNASZAK KATARZYNA ANNA PESEL: 80070319507 suma komandytowa: 2.000,00 ZŁ
BĄCZYK ANNA PESEL: 80072811847 suma komandytowa: 2.000,00 ZŁ
VOLKOVA OLENA PESEL: 80082019284 suma komandytowa: 2.000,00 ZŁ
GŁUCH ŁUKASZ RYSZARD PESEL: 81070514572 suma komandytowa: 2.000,00 ZŁ
GÓRNA MAŁGORZATA KAROLINA PESEL: 81100901709 suma komandytowa: 2.000,00 ZŁ
KSIĘŻOPOLSKI MATEUSZ PESEL: 82080419110 suma komandytowa: 2.000,00 ZŁ
PŁONKA MATEUSZ PESEL: 83111111557 suma komandytowa: 2.000,00 ZŁ
SIECZKOWSKI KRZYSZTOF MARCIN PESEL: 84072517635 suma komandytowa: 2.000,00 ZŁ
KOMPLEMENTARIUSZE:
PRICEWATERHOUSECOOPERS POLSKA SPÓŁKA Z OGRANICZONĄ ODPOWIEDZIALNOŚCIĄ REGON: 006718980 KRS: 88405</t>
  </si>
  <si>
    <t>INFORMACJE O ZŁOŻONYCH SPRAWOZDANIACH
data złożenia 08.02.2019 okres OD 01.07.2017 DO 30.06.2018
data złożenia 01.02.2019 okres OD 01.07.2017 DO 30.06.2018</t>
  </si>
  <si>
    <t>RAPORTY HANDLOWE INFOCREDIT
Dane zawarte w raporcie:
Aktualizuj raport
  Pobierz raport w formacie:
Profil finansowy (za lata 2013 2014 2015 2016 2017)
Wskaźniki finansowe (za lata 2017 2016 2015 2014 2013)
Zatrudnienie (za lata 2014 2013 2012 2010)
Bilans (za lata 2017 2016 2015 2014 2013)
Rachunek zysków i strat (za lata 2017 2016 2015 2014 2013)
Audytor (za lata 2016)
  Wersja polska
Wersja angielska
Liczba punktów infocredit w subskrybcji: 1223</t>
  </si>
  <si>
    <t>9 of 13</t>
  </si>
  <si>
    <t>https://lex.online.wolterskluwer.pl/WKPLOnline/index.rpc?fromHistory=false&amp;leftNodeId=lmtree-item-219813&amp;lmId=lm_baza#content.rpc?nro=604227137&amp;wersja=58</t>
  </si>
  <si>
    <t>MSiG-KRS.2019.39.83218</t>
  </si>
  <si>
    <t>PRICEWATERHOUSECOOPERS POLSKA SPÓŁKA Z OGRANICZONĄ ODPOWIEDZIALNOŚCIĄ</t>
  </si>
  <si>
    <t>5888700,00 PLN</t>
  </si>
  <si>
    <t>REPREZENTACJA
SPOSÓB REPREZENTACJI: DO SKŁADANIA OŚWIADCZEŃ I DO PODPISYWANIA W IMIENIU SPÓŁKI JEST UPOWAŻNIONY KAŻDY CZŁONEK ZARZĄDU DZIAŁAJĄCY SAMODZIELNIE I BEZ OGRANICZEŃ ZE SKUTKIEM PRAWNYM WOBEC OSÓB TRZECICH.
ZARZĄD:
KRASOŃ ADAM ANDRZEJ PESEL: 67113000752 PREZES ZARZĄDU
REINFUSS TOMASZ ZYGMUNT PESEL: 67101009837 CZŁONEK ZARZĄDU
OSTASZEWSKA AGNIESZKA PESEL: 71113003882 CZŁONEK ZARZĄDU
PROKURENCI:
KOKOSIŃSKA JOLANTA JÓZEFA PESEL: 64050912326 SAMOISTNA
WYSZOGRODZKI PIOTR ANDRZEJ PESEL: 74021205391 SAMOISTNA
PIKULA ARTUR PESEL: 68040402158 SAMOISTNA
BARAŃCZYK TOMASZ STANISŁAW PESEL: 71050806137 SAMOISTNA
KRUŻMANOWSKA TEODORA PESEL: 54061104382 SAMOISTNA
WESTPHAL GUNTER MAX PROKURA SAMOISTNA
WICHOWSKI JAROSŁAW PESEL: 66060504490 PROKURA SAMOISTNA
KEITH MURPHY SAMOISTNA
PEPLIŃSKI PAUL PROKURA SAMOISTNA</t>
  </si>
  <si>
    <t>WSPÓLNICY
PRICEWATERHOUSECOOPERS SPÓŁKA Z OGRANICZONĄ ODPOWIEDZIALNOŚCIĄ REGON: 012500673 KRS: 44655 udział: 1.637 UDZIAŁÓW O ŁĄCZNEJ WYSOKOŚCI 1.473.300 ZŁOTYCH udział całościowy: NIE
PRICEWATERHOUSECOOPERS EASTERN EUROPE B.V. udział: 4.906 UDZIAŁÓW O ŁĄCZNEJ WYSOKOŚCI 4.415.400 ZŁOTYCH udział całościowy: NIE</t>
  </si>
  <si>
    <t>NADZÓR
KOMISJA REWIZYJNA:
SZMIGIELSKI MIROSŁAW PESEL: 58021603175
MASTALERZ MICHAŁ PIOTR PESEL: 72102700137
MADEJSKA MARTA PESEL: 71111905049</t>
  </si>
  <si>
    <t>OGŁOSZENIA
MSiG-Ogl.2005.91.5041 KRS  88405 2005.05.11
ogłoszenie wymagane przez k.s.h.
PRICEWATERHOUSECOOPERS POLSKA SPÓŁKA Z OGRANICZONĄ ODPOWIEDZIALNOŚCIĄ sp. z o.o.; w Warszawie
MSiG-Ogl.2004.86.4117 KRS  88405 2004.05.04
ogłoszenie wymagane przez k.s.h.
PRICEWATERHOUSECOOPERS POLSKA SPÓŁKA Z OGRANICZONĄ ODPOWIEDZIALNOŚCIĄ sp. z o.o.; w Warszawie
MSiG-Ogl.2003.246.12875 KRS  88405 2003.12.18
ogłoszenie wymagane przez k.s.h.
PRICEWATERHOUSECOOPERS POLSKA SPÓŁKA Z OGRANICZONĄ ODPOWIEDZIALNOŚCIĄ sp. z o.o.; w Warszawie
wszystkie ogłoszenia</t>
  </si>
  <si>
    <t>INFORMACJE O ZŁOŻONYCH SPRAWOZDANIACH
data złożenia 08.02.2019 okres OD 01.07.2017 DO 30.06.2018
data złożenia 20.12.2018 okres OD 01.07.2017 DO 30.06.2018
data złożenia 11.01.2018 okres OD 01.07.2016 DO 30.06.2017
data złożenia 22.12.2016 okres OD 01.07.2015 DO 30.06.2016
data złożenia 19.10.2015 okres OD 01.07.2014 DO 30.06.2015
data złożenia 09.01.2015 okres OD 01.07.2013 DO 30.06.2014
data złożenia 14.01.2014 okres 01.07.2012-30.06.2013
data złożenia 15.01.2013 okres 01.07.2011 - 30.06.2012
data złożenia 21.12.2011 okres 01.07.2010-30.06.2011
data złożenia 13.01.2011 okres 01.07.2009 - 30.06.2010
data złożenia 14.01.2010 okres 01.07.2008 - 30.06.2009
data złożenia 15.01.2009 okres 01.07.2007 - 30.06.2008 R.
data złożenia 08.01.2008 okres 01.07.2006-30.06.2007 R,
data złożenia 20.12.2006 okres 01.07.2005 - 30.06.2006 R.
okres za jaki złożono dokument 01.07.2004 - 30.06.2005 data złożenia 13.01.2006
okres za jaki złożono dokument 01.07.2003 - 30.06.2004 data złożenia 14.01.2005
okres za jaki złożono dokument 01.07.2002 - 30.06.2003 data złożenia 14.01.2004
okres za jaki złożono dokument 01.07.2001 - 30.06.2002 data złożenia 15.01.2003
okres za jaki złożono dokument 01.07.2000 - 30.06.2001 data złożenia 18.09.2001</t>
  </si>
  <si>
    <t>RAPORTY HANDLOWE INFOCREDIT
Dane zawarte w raporcie:
Aktualizuj raport
  Pobierz raport w formacie:
Profil finansowy (za lata 2013 2014 2015 2016 2017)
Wskaźniki finansowe (za lata 2017 2016 2015 2014 2013)
Zatrudnienie (za lata 2017 2014 2013 2010)
Bilans (za lata 2017 2016 2015 2014 2013)
Rachunek zysków i strat (za lata 2017 2016 2015 2014 2013)
  Wersja polska
Wersja angielska
Liczba punktów infocredit w subskrybcji: 1223</t>
  </si>
  <si>
    <t>SPRAWOZDANIA FINANSOWE
M.P."B".2012.973.5386 KRS  88405 2012.04.02
sprawozdanie finansowe   2010   2011
PRICEWATERHOUSECOOPERS POLSKA sp. z o.o.; w Warszawie ; PKD(EKD) 6920
M.P."B".2011.872.4897 KRS  88405 2011.05.04
sprawozdanie finansowe   2009   2010
PRICEWATERHOUSECOOPERS POLSKA sp. z o.o.; w Warszawie ; PKD(EKD) 6920
M.P."B".2010.849.4669 KRS  88405 2010.05.24
sprawozdanie finansowe   2008   2009
PRICEWATERHOUSECOOPERS POLSKA sp. z o.o.; w Warszawie ; PKD(EKD) 6920
wszystkie sprawozdania</t>
  </si>
  <si>
    <t>10 of 13</t>
  </si>
  <si>
    <t>https://lex.online.wolterskluwer.pl/WKPLOnline/index.rpc?fromHistory=false&amp;leftNodeId=lmtree-item-219813&amp;lmId=lm_baza#content.rpc?nro=604240432&amp;wersja=42</t>
  </si>
  <si>
    <t>MSiG-KRS.2018.231.1141594</t>
  </si>
  <si>
    <t>FUNDACJA MŁODZIEŻOWEJ PRZEDSIĘBIORCZOŚCI</t>
  </si>
  <si>
    <t>fundacja</t>
  </si>
  <si>
    <t>Ul. KIELECKA 1/1, 02-504 WARSZAWA</t>
  </si>
  <si>
    <t xml:space="preserve">Ul. KIELECKA 1/1, </t>
  </si>
  <si>
    <t>02-504</t>
  </si>
  <si>
    <t>REPREZENTACJA
SPOSÓB REPREZENTACJI: OŚWIADCZENIA WOLI W IMIENIU FUNDACJI MOGĄ SKŁADAĆ JEDNOOSOBOWO PREZES LUB WICEPREZES ZARZĄDU, A JEŚLI ZARZĄD LICZY WIĘCEJ NIŻ DWIE OSOBY - PREZES ZARZĄDU JEDNOOSOBOWO LUB DWÓCH SPOŚRÓD POZOSTAŁYCH CZŁONKÓW ZARZĄDU ŁĄCZNIE, OŚWIADCZENIA WOLI W IMIENIU FUNDACJI MOŻE SKŁADAĆ PEŁNOMOCNIK USTANOWIONY PRZEZ ZARZĄD
ZARZĄD:
MODRZEWSKI ZBIGNIEW PESEL: 53050205659 PREZES ZARZĄDU
SOBKOWICZ MAŁGORZATA BARBARA PESEL: 77021301302 WICEPREZES ZARZĄDU</t>
  </si>
  <si>
    <t>NADZÓR
RADA NADZORCZA: KOMISJA WYKONAWCZA
RADA FUNDACJI:
GRUDZIŃSKI WŁODZIMIERZ PESEL: 50011505333
KALINOWSKI ŁUKASZ SŁAWOMIR PESEL: 60092503290
GÓRA DUBIELA MAŁGORZATA EWA PESEL: 61041803560
PRĄDZYŃSKI JAN GRZEGORZ PESEL: 60030901551
KROC JAROSŁAW PESEL: 65060203132
KOBOSKO MICHAŁ ANDRZEJ PESEL: 68041501115
KACHNIEWSKI MIROSŁAW PESEL: 71071506953
PODYMA MILCZAREK ANETA PESEL: 73041010925
GRZELAK RYSZARD PESEL: 62120202696
ZIABICKI ANDRZEJ JÓZEF PESEL: 33090901995
KACZMAR KRZYSZTOF PESEL: 73051910035
SADURSKI KONRAD PESEL: 66090313057
FREYBERG PIOTR PESEL: 42031201335
GRUDZIŃSKI WŁODZIMIERZ PESEL: 50011505333
JANUSZ WITOLD PESEL: 54042602870
KRASOŃ ADAM ANDRZEJ PESEL: 67113000752
RADZIWON KRZYSZTOF PESEL: 75040500458
FATYGA KATARZYNA PESEL: 71071805724
POPIELEWSKA MAŁGORZATA KATARZYNA PESEL: 72021301826
KUCHARSKI DARIUSZ ADAM PESEL: 74121815535
MUSKAŁA ANETA MONIKA PESEL: 73072303041
WRÓBEL ŁUKASZ PESEL: 80111509955</t>
  </si>
  <si>
    <t>INFORMACJE O ZŁOŻONYCH SPRAWOZDANIACH
data złożenia 11.07.2018 okres OD 01.01.2017 DO 31.12.2017
data złożenia 12.07.2017 okres OD 01.01.2016 DO 31.12.2016
data złożenia 07.07.2016 okres OD 01.01.2015 DO 31.12.2015
data złożenia 22.06.2015 okres OD 01.01.2014 DO 31.12.2014
data złożenia 02.07.2014 okres OD 01.01.2013 DO 31.12.2013
data złożenia 26.06.2013 okres 01.01.2012 - 31.12.2012
data złożenia 29.06.2012 okres 2011
data złożenia 08.07.2011 okres 2010
data złożenia 05.07.2010 okres 01.01.2009 - 31.12.2009
data złożenia 06.07.2009 okres 01.01.2008 - 31.12.2008
data złożenia 20.06.2008 okres 01.01.2003-31.12.2003
data złożenia 10.06.2008 okres 01.01.2007-31.12.2007
data złożenia 05.07.2007 okres 01.01.2006-31.12.2006
data złożenia 13.07.2006 okres 01.01.2005 -31.12.2005
okres za jaki złożono dokument 01.01.2004 - 31.12.2004 data ztożenia 09.09.2005
okres za jaki ztożono dokument ZA ROK 2002 data ztożenia 16.07.2003
okres za jaki złożono dokument 01.01.2001 - 31.12.2001 data złożenia 05.11.2002
okres za jaki złożono dokument 30.07.1999 - 31.12.2000 R. data złożenia 20.09.2001</t>
  </si>
  <si>
    <t>11 of 13</t>
  </si>
  <si>
    <t>https://lex.online.wolterskluwer.pl/WKPLOnline/index.rpc?fromHistory=false&amp;leftNodeId=lmtree-item-219813&amp;lmId=lm_baza#content.rpc?nro=608664244&amp;wersja=19</t>
  </si>
  <si>
    <t>MSiG-KRS.2019.60.135386</t>
  </si>
  <si>
    <t>DOM MAKLERSKI INC SPÓŁKA AKCYJNA</t>
  </si>
  <si>
    <t>spółka akcyjna</t>
  </si>
  <si>
    <t>499000,00 ZŁ</t>
  </si>
  <si>
    <t>Ul. KRASIŃSKIEGO ZYGMUNTA 16, 60-830 POZNAŃ</t>
  </si>
  <si>
    <t>WIELKOPOLSKIE</t>
  </si>
  <si>
    <t>Poznań</t>
  </si>
  <si>
    <t>www.dminc.pl</t>
  </si>
  <si>
    <t>biuro@dminc.pl</t>
  </si>
  <si>
    <t xml:space="preserve">Ul. KRASIŃSKIEGO ZYGMUNTA 16, </t>
  </si>
  <si>
    <t>60-830</t>
  </si>
  <si>
    <t>REPREZENTACJA
SPOSÓB REPREZENTACJI: DO SKŁADANIA OŚWIADCZEŃ WOLI W IMIENIU SPÓŁKI UPOWAŻNIENI SĄ DWAJ CZŁONKOWIE ZARZĄDU DZIAŁAJĄCY ŁĄCZNIE LUB JEDEN CZŁONEK ZARZĄDU ŁĄCZNIE Z PROKURENTEM
ZARZĄD:
ŚLIWIŃSKI PAWEŁ PESEL: 69032004156 PREZES ZARZĄDU
HUCZEK SEBASTIAN ŁUKASZ PESEL: 79120415472 WICEPREZES ZARZĄDU
PROKURENCI:
ZYGMANOWSKI PIOTR PESEL: 89062508996 SAMOISTNA</t>
  </si>
  <si>
    <t>NADZÓR
RADA NADZORCZA:
GAŁGANEK ANDRZEJ PESEL: 55110105471
ŚLIWIŃSKI RAFAŁ PESEL: 74092208338
ŁUKOWSKI MICHAŁ PESEL: 86032102097
PUŚLECKI ŁUKASZ JAN PESEL: 81031809259</t>
  </si>
  <si>
    <t>JEDYNY AKCJONARIUSZ
wykreślono w poprzednich wpisach
zobacz w wersjach czasowych wątku</t>
  </si>
  <si>
    <t>INFORMACJE O ZŁOŻONYCH SPRAWOZDANIACH
data złożenia 22.06.2018 okres OD 01.01.2017 DO 31.12.2017
data złożenia 14.07.2017 okres OD 01.01.2016 DO 31.12.2016
data złożenia 27.05.2016 okres OD 01.01.2015 DO 31.12.2015
data złożenia 14.07.2015 okres OD 01.01.2014 DO 31.12.2014
data złożenia 04.07.2014 okres OD 01.01.2013 DO 31.12.2013
data złożenia 03.07.2013 okres 01.01.2012 - 31.12.2012
data złożenia 13.07.2012 okres 29.10.2010 - 31.12.2011</t>
  </si>
  <si>
    <t>RAPORTY HANDLOWE INFOCREDIT
Dane zawarte w raporcie:
Aktualizuj raport
  Pobierz raport w formacie:
Profil finansowy (za lata 2013 2014 2015 2016 2017)
Wskaźniki finansowe (za lata 2017 2016 2015 2014 2013)
Zatrudnienie (za lata 2017 2016)
Bilans (za lata 2017 2016 2015 2014 2013)
Rachunek zysków i strat (za lata 2017 2016 2015 2014 2013)
Audytor (za lata 2017)
  Wersja polska
Wersja angielska
Liczba punktów infocredit w subskrybcji: 1223</t>
  </si>
  <si>
    <t>SPRAWOZDANIA FINANSOWE
M.P."B".2012.2959.16277 KRS  371004 2012.11.16
sprawozdanie finansowe   2010   2011
PRICEWATERHOUSECOOPERS SECURITIES S.A.; w Warszawie ; PKD(EKD) 6612</t>
  </si>
  <si>
    <t>7 of 7</t>
  </si>
  <si>
    <t>12 of 13</t>
  </si>
  <si>
    <t>https://lex.online.wolterskluwer.pl/WKPLOnline/index.rpc?fromHistory=false&amp;leftNodeId=lmtree-item-219813&amp;lmId=lm_baza#content.rpc?nro=612045419&amp;wersja=56</t>
  </si>
  <si>
    <t>MSiG-KRS.2019.62.139710</t>
  </si>
  <si>
    <t>A.PIKULA I WSPÓLNICY SPÓŁKA KOMANDYTOWA</t>
  </si>
  <si>
    <t>REPREZENTACJA
SPOSÓB REPREZENTACJI: ARTUR PIKULA MA PRAWO REPREZENTOWAĆ SPÓŁKĘ. POZOSTALI WSPÓLNICY SĄ WYŁĄCZENI Z REPREZENTOWANIA SPÓŁKI.
WSPÓLNICY REPREZENTUJĄCY SPÓŁKĘ:
PIKULA ARTUR PESEL: 68040402158</t>
  </si>
  <si>
    <t>REPREZENTACJA
SPOSÓB REPREZENTACJI: ARTUR PIKULA MA PRAWO REPREZENTOWAĆ SPÓŁKĘ. POZOSTALI WSPÓLNICY SĄ WYŁĄCZENI Z REPREZENTOWANIA SPÓŁKI.
WSPÓLNICY REPREZENTUJĄCY SPÓŁKĘ:
PIKULA ARTUR PESEL: 68040402158WSPÓLNICY
KOMANDYTARIUSZE:
PIKULA ARTUR PESEL: 68040402158
MICHALCZYK PIOTR ZYGMUNT PESEL: 72080306439 suma komandytowa: 2.000,00 ZŁSPRAWOZDANIA FINANSOWE
Sprawozdanie z KRS.2013 KRS  203465 2013.12.31
sprawozdanie finansowe   2013
PWC POLSKA SP. Z O.O. I WSPÓLNICY SPÓŁKA KOMANDYTOWA sp.k.; w Warszawie
Sprawozdanie z KRS.2012 KRS  203465 2012.12.31
sprawozdanie finansowe   2012
PWC POLSKA SP. Z O.O. I WSPÓLNICY SPÓŁKA KOMANDYTOWA sp.k.; w Warszawie
Sprawozdanie z KRS.2011 KRS  203465 2011.12.31
sprawozdanie finansowe   2011
PWC POLSKA SP. Z O.O. I WSPÓLNICY SPÓŁKA KOMANDYTOWA sp.k.; w Warszawie
wszystkie sprawozdania</t>
  </si>
  <si>
    <t>INFORMACJE O ZŁOŻONYCH SPRAWOZDANIACH
data złożenia 06.06.2018 okres OD 01.01.2017 DO 31.12.2017
data złożenia 10.07.2017 okres OD 01.01.2016 DO 31.12.2016
data złożenia 28.04.2016 okres OD 01.01.2015 DO 31.12.2015
data złożenia 17.06.2015 okres OD 01.01.2014 DO 31.12.2014
data złożenia 07.05.2014 okres OD 01.01.2013 DO 31.12.2013
data złożenia 10.05.2013 okres 01.01.2012-31.12.2012
data złożenia 27.04.2012 okres 01.01.2011-31.12.2011
data złożenia 16.05.2011 okres 01.01.2010 - 31.12.2010
data złożenia 15.04.2010 okres 01.01.2009-31.12.2009
data złożenia 06.05.2009 okres 01.01.2008 - 31.12.2008
data złożenia 16.06.2008 okres 01.01.2007-31.12.2007
data złożenia 31.05.2007 okres 01.01.2006 - 31.12.2006
data ztożenia 13.07.2006 okres 01.01.2005 - 31.12.2005
okres za jaki złożono dokument 15.04.2004-31.12.2004 data złożenia 06.05.2005</t>
  </si>
  <si>
    <t>RAPORTY HANDLOWE INFOCREDIT
Dane zawarte w raporcie:
Aktualizuj raport
  Pobierz raport w formacie:
Profil finansowy (za lata 2013 2014 2015 2016 2017)
Wskaźniki finansowe (za lata 2017 2016 2015 2014 2013)
Zatrudnienie (za lata 2017)
Bilans (za lata 2017 2016 2015 2014 2013)
Rachunek zysków i strat (za lata 2017 2016 2015 2014 2013)
  Wersja polska
Wersja angielska
Liczba punktów infocredit w subskrybcji: 1223</t>
  </si>
  <si>
    <t>SPRAWOZDANIA FINANSOWE
Sprawozdanie z KRS.2013 KRS  203465 2013.12.31
sprawozdanie finansowe   2013
PWC POLSKA SP. Z O.O. I WSPÓLNICY SPÓŁKA KOMANDYTOWA sp.k.; w Warszawie
Sprawozdanie z KRS.2012 KRS  203465 2012.12.31
sprawozdanie finansowe   2012
PWC POLSKA SP. Z O.O. I WSPÓLNICY SPÓŁKA KOMANDYTOWA sp.k.; w Warszawie
Sprawozdanie z KRS.2011 KRS  203465 2011.12.31
sprawozdanie finansowe   2011
PWC POLSKA SP. Z O.O. I WSPÓLNICY SPÓŁKA KOMANDYTOWA sp.k.; w Warszawie
wszystkie sprawozdania</t>
  </si>
  <si>
    <t>UWAGI
Wpis 58 z dnia 2019.03.21; WYKREŚLENIE WSZYSTKICH WPISÓW Z KRAJOWEGO REJESTRU SĄDOWEGO. WPIS NIE JEST PRAWOMOCNY.</t>
  </si>
  <si>
    <t>13 of 13</t>
  </si>
  <si>
    <t>https://lex.online.wolterskluwer.pl/WKPLOnline/index.rpc?fromHistory=false&amp;leftNodeId=lmtree-item-219813&amp;lmId=lm_baza#content.rpc?nro=605200201&amp;wersja=2</t>
  </si>
  <si>
    <t>MSiG-KRS.2010.11.7842</t>
  </si>
  <si>
    <t>„EFFECTUS PAPILIONIS FOUNDATION"</t>
  </si>
  <si>
    <t>brak daty</t>
  </si>
  <si>
    <t>Ul. SARMACKA 7E/2, 02-972 WARSZAWA</t>
  </si>
  <si>
    <t xml:space="preserve">Ul. SARMACKA 7E/2, </t>
  </si>
  <si>
    <t>02-972</t>
  </si>
  <si>
    <t>REPREZENTACJA
SPOSÓB REPREZENTACJI: DO SKŁADANIA OŚWIADCZEŃ WOLI W IMIENIU FUNDACJI UPRAWNIONY JEST PREZES ZARZĄDU JEDNOOSOBOWO BĄDŹ DWÓCH CZŁONKÓW ZARZĄDU DZIAŁAJĄCYCH ŁĄCZNIE.
ZARZĄD:
DETHLOFF ANDRZEJ MICHAEL PESEL: 80070500271 CZŁONEK ZARZĄDU
PIETRASIK CEZARY WOJCIECH PESEL: 80012602517 PREZES ZARZĄDU
ROZENFELD KATARZYNA PESEL: 70032207869 CZŁONEK ZARZĄDU
ŻUCHOWSKI DANIEL TOMASZ PESEL: 80030615814 CZŁONEK ZARZĄDU
DARMETKO KRZYSZTOF PESEL: 79092304312 CZŁONEK ZARZĄDU
STASCH KRZYSZTOF ZBIGNIEW PESEL: 78040800290 CZŁONEK ZARZĄDU
HUEBNER EWA PESEL: 79011800545 CZŁONEK ZARZĄDU
CIURYSEK ROKSANA PESEL: 74060903980 CZŁONEK ZARZĄDU FUNDACJI</t>
  </si>
  <si>
    <t>NADZÓR
RADA HONOROWA:
LACHOWSKI SŁAWOMIR MIECZYSŁAW PESEL: 58010119032
WOY WOJCIECHOWSKI JERZY PESEL: 33080902391
KRASOŃ ADAM ANDRZEJ PESEL: 67113000752
GRONKIEWICZ WALTZ HANNA BEATA PESEL: 52110403264
DRISCOLL PETER JOHN ALAN
MATUSZEWSKI ZBIGNIEW PESEL: 46021005356
PELCZYNSKI ZBIGNIEW ANDRZEJ</t>
  </si>
  <si>
    <t>CEL DZIAŁANIA ORGANIZACJI</t>
  </si>
  <si>
    <t>INFORMACJE O ZŁOŻONYCH SPRAWOZDANIACH
data złożenia 21.12.2009 okres 01.01.2008 - 31.12.2008</t>
  </si>
  <si>
    <t>Bieda	Roman</t>
  </si>
  <si>
    <t>1 of 3</t>
  </si>
  <si>
    <t>https://lex.online.wolterskluwer.pl/WKPLOnline/index.rpc?fromHistory=false&amp;leftNodeId=lmtree-item-219813&amp;lmId=lm_baza#content.rpc?nro=604804890&amp;wersja=11</t>
  </si>
  <si>
    <t>MSiG-KRS.2019.26.55969</t>
  </si>
  <si>
    <t>KANCELARIA PRAWNA WOŹNIAK I WSPÓLNICY SPÓŁKA KOMANDYTOWA</t>
  </si>
  <si>
    <t>Ul. GARCZYŃSKIEGO STEFANA 17/2, 31-524 KRAKÓW</t>
  </si>
  <si>
    <t>MAŁOPOLSKIE</t>
  </si>
  <si>
    <t>Kraków</t>
  </si>
  <si>
    <t xml:space="preserve">Ul. GARCZYŃSKIEGO STEFANA 17/2, </t>
  </si>
  <si>
    <t>31-524</t>
  </si>
  <si>
    <t>REPREZENTACJA
SPOSÓB REPREZENTACJI: PRAWO REPREZENTACJI SPÓŁKI PRZYSŁUGUJE KOMPLEMENTARIUSZOWI.
WSPÓLNICY REPREZENTUJĄCY SPÓŁKĘ:
PELC ŁUKASZ PESEL: 80100802454</t>
  </si>
  <si>
    <t>REPREZENTACJA
SPOSÓB REPREZENTACJI: PRAWO REPREZENTACJI SPÓŁKI PRZYSŁUGUJE KOMPLEMENTARIUSZOWI.
WSPÓLNICY REPREZENTUJĄCY SPÓŁKĘ:
PELC ŁUKASZ PESEL: 80100802454WSPÓLNICY
KOMANDYTARIUSZE:
FOREX HEDGE COMPANY SPÓŁKA Z OGRANICZONĄ ODPOWIEDZIALNOŚCIĄ REGON: 012165217 KRS: 158177 suma komandytowa: 20.000,00 ZŁ
KOMPLEMENTARIUSZE:
WOŹNIAK PAWEŁ PRZEMYSŁAW PESEL: 74061900139
PELC ŁUKASZ PESEL: 80100802454</t>
  </si>
  <si>
    <t>INFORMACJE O ZŁOŻONYCH SPRAWOZDANIACH
data złożenia 03.08.2018 okres OD 01.01.2017 DO 31.12.2017
data złożenia 11.01.2017 okres OD 01.01.2015 DO 31.12.2015
data złożenia 07.07.2015 okres OD 01.01.2014 DO 31.12.2014
data złożenia 14.11.2014 okres OD 01.01.2013 DO 31.12.2013
data złożenia 31.01.2014 okres OD 01.01.2011 DO 31.12.2011
data złożenia 31.01.2014 okres OD 01.01.2012 DO 31.12.2012
data złożenia 16.12.2011 okres 01.01.2008-31.12.2008
data złożenia 16.12.2011 okres 01.01.2009-31.12.2009
data złożenia 16.12.2011 okres 01.01.2010-31.12.2010
data złożenia 29.08.2008 okres 01.07.2006 R. - 31.12.2006 R.
data złożenia 29.08.2008 okres 01.01.2007 R. - 31.12.2007 R.</t>
  </si>
  <si>
    <t>RAPORTY HANDLOWE INFOCREDIT
Dane zawarte w raporcie:
Aktualizuj raport
  Pobierz raport w formacie:
Profil finansowy (za lata 2010 2011 2012 2013 2017)
Wskaźniki finansowe (za lata 2017 2013 2012 2011 2010)
Bilans (za lata 2017 2013 2012 2011 2010)
Rachunek zysków i strat (za lata 2017 2013 2012 2011 2010)
  Wersja polska
Wersja angielska
Liczba punktów infocredit w subskrybcji: 1223</t>
  </si>
  <si>
    <t>2 of 3</t>
  </si>
  <si>
    <t>https://lex.online.wolterskluwer.pl/WKPLOnline/index.rpc?fromHistory=false&amp;leftNodeId=lmtree-item-219813&amp;lmId=lm_baza#content.rpc?nro=612231875&amp;wersja=1</t>
  </si>
  <si>
    <t>MSiG-KRS.2017.129.194852</t>
  </si>
  <si>
    <t>FUNDACJA NOWA PRZYSTAŃ</t>
  </si>
  <si>
    <t>Ul. KAJZERA WŁADYSŁAWA, KSIĘDZA 28, 30-698 KRAKÓW</t>
  </si>
  <si>
    <t xml:space="preserve">Ul. KAJZERA WŁADYSŁAWA, KSIĘDZA 28, </t>
  </si>
  <si>
    <t>30-698</t>
  </si>
  <si>
    <t>REPREZENTACJA
SPOSÓB REPREZENTACJI: 1. OŚWIADCZENIA WOLI W IMIENIU FUNDACJI WE WSZYSTKICH SPRAWACH Z WYJĄTKIEM MAJĄTKOWYCH SKŁADAĆ MOŻE KAŻDY CZŁONEK ZARZĄDU SAMODZIELNIE. 2.PREZES ZARZĄDU JEST UPRAWNIONY DO ZACIĄGANIA ZOBOWIĄZAŃ W NIEPRZEKRACZALNEJ WYSOKOŚCI DO 10.000 ZŁ. W PRZYPADKU ZOBOWIĄZAŃ PRZEWYŻSZAJĄCYCH TĘ KWOTĘ KONIECZNA JEST ZGODA DRUGIEGO CZŁONKA ZARZĄDU NA ZACIĄGNIĘCIE POWYŻSZEGO ZOBOWIĄZANIA I WINNO BYĆ TO POPRZEDZONE AKCEPTACJĄ RADY FUNDACJI, ODZWIERCIEDLONĄ W FORMIE STOSOWNEJ UCHWAŁY.
ZARZĄD FUNDACJI:
KORCZYŃSKI IRENEUSZ PESEL: 73051802853 WICEPREZES ZARZĄDU
KRAWCZYK STANISŁAWA GENOWEFA PESEL: 63081304960 SEKRETARZ ZARZĄDU
BIEDACHA BARTOSZ ROMAN PESEL: 88061713756 PREZES ZARZĄDU</t>
  </si>
  <si>
    <t>NADZÓR
RADA FUNDACJI:
ŚWIECHOWSKI PIOTR ANDRZEJ PESEL: 61012102290
BIEDACHA TOMASZ ROMAN PESEL: 63022507731
BIEDACHA MAŁGORZATA JÓZEFA PESEL: 68010611526</t>
  </si>
  <si>
    <t>3 of 3</t>
  </si>
  <si>
    <t>https://lex.online.wolterskluwer.pl/WKPLOnline/index.rpc?fromHistory=false&amp;leftNodeId=lmtree-item-219813&amp;lmId=lm_baza#content.rpc?nro=611243575&amp;wersja=6</t>
  </si>
  <si>
    <t>MSiG-KRS.2018.213.880629</t>
  </si>
  <si>
    <t>COMPETENTIS SPÓŁKA Z OGRANICZONĄ ODPOWIEDZIALNOŚCIĄ</t>
  </si>
  <si>
    <t>409, 32-060 CHOLERZYN</t>
  </si>
  <si>
    <t>Krakowski</t>
  </si>
  <si>
    <t>Liszki</t>
  </si>
  <si>
    <t>Cholerzyn</t>
  </si>
  <si>
    <t>www.competentis.pl</t>
  </si>
  <si>
    <t>biuro@competentis.pl</t>
  </si>
  <si>
    <t>32-060</t>
  </si>
  <si>
    <t>REPREZENTACJA
SPOSÓB REPREZENTACJI: DO SKŁADANIA OŚWIADCZEŃ W IMIENIU SPÓŁKI JEST UPOWAŻNIONY KAŻDY Z CZŁONKÓW ZARZĄDU SAMODZIELNIE
ZARZĄD:
BIEDA ROMAN TADEUSZ PESEL: 74072712697 PREZES ZARZĄDU</t>
  </si>
  <si>
    <t>WSPÓLNICY
BIEDA DAGMARA ELŻBIETA PESEL: 76061802046 udział: 25 UDZIAŁÓW O ŁĄCZNEJ WARTOŚCI 2500 ZŁ udział całościowy: NIE
BIEDA TOMASZ MIECZYSŁAW PESEL: 78020805378 udział: 25 UDZIAŁÓW O ŁĄCZNEJ WARTOŚCI 2.500,00 ZŁ udział całościowy: NIE</t>
  </si>
  <si>
    <t>INFORMACJE O ZŁOŻONYCH SPRAWOZDANIACH
data złożenia 25.07.2018 okres OD 01.01.2016 DO 31.12.2016
data złożenia 15.07.2016 okres OD 01.01.2015 DO 31.12.2015
data złożenia 11.04.2016 okres OD 22.09.2013 DO 31.12.2014</t>
  </si>
  <si>
    <t>https://lex.online.wolterskluwer.pl/WKPLOnline/index.rpc?fromHistory=false&amp;leftNodeId=lmtree-item-219813&amp;lmId=lm_baza#https://lex.online.wolterskluwer.pl/WKPLOnline/filtrMsigKRSPowiazania.rpc--ASK--powNazwa=&amp;powImie=&amp;wraperCzyCaleWyr=0&amp;wraperPeselKrsRegon=121073028&amp;wyborPeselKrsRegon=2&amp;powFormaUcz=-1&amp;nazwa=&amp;siedziba=&amp;ulica=&amp;kodPocztowy1=&amp;kodPocztowy2=&amp;region=POLSKA&amp;wraperNrRegGlob=&amp;owGid=219813&amp;submit=1&amp;full=1&amp;hId=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</si>
</sst>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 _z_ł_-;\-* #,##0.00\ _z_ł_-;_-* &quot;-&quot;??\ _z_ł_-;_-@_-"/>
    <numFmt numFmtId="164" formatCode="_-* #,##0.00_-;\-* #,##0.00_-;_-* &quot;-&quot;??_-;_-@_-"/>
    <numFmt numFmtId="165" formatCode="_-* #,##0.00\ &quot;€&quot;_-;\-* #,##0.00\ &quot;€&quot;_-;_-* &quot;-&quot;??\ &quot;€&quot;_-;_-@_-"/>
  </numFmts>
  <fonts count="158">
    <font>
      <sz val="11"/>
      <color theme="1"/>
      <name val="Arial"/>
      <family val="2"/>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b/>
      <sz val="11"/>
      <color theme="1"/>
      <name val="Arial"/>
      <family val="2"/>
      <charset val="238"/>
      <scheme val="minor"/>
    </font>
    <font>
      <sz val="11"/>
      <color rgb="FF000000"/>
      <name val="Arial"/>
      <family val="2"/>
      <charset val="238"/>
    </font>
    <font>
      <sz val="11"/>
      <color rgb="FF006100"/>
      <name val="Arial"/>
      <family val="2"/>
      <scheme val="minor"/>
    </font>
    <font>
      <sz val="11"/>
      <color rgb="FF9C6500"/>
      <name val="Arial"/>
      <family val="2"/>
      <scheme val="minor"/>
    </font>
    <font>
      <sz val="11"/>
      <color theme="1"/>
      <name val="Arial"/>
      <family val="2"/>
      <charset val="238"/>
      <scheme val="minor"/>
    </font>
    <font>
      <b/>
      <sz val="11"/>
      <color rgb="FF006100"/>
      <name val="Arial"/>
      <family val="2"/>
      <scheme val="minor"/>
    </font>
    <font>
      <b/>
      <sz val="11"/>
      <color rgb="FF9C6500"/>
      <name val="Arial"/>
      <family val="2"/>
      <scheme val="minor"/>
    </font>
    <font>
      <b/>
      <sz val="11"/>
      <color rgb="FFFF0000"/>
      <name val="Arial"/>
      <family val="2"/>
      <charset val="238"/>
      <scheme val="minor"/>
    </font>
    <font>
      <i/>
      <sz val="11"/>
      <color theme="1"/>
      <name val="Arial"/>
      <family val="2"/>
      <charset val="238"/>
      <scheme val="minor"/>
    </font>
    <font>
      <sz val="8"/>
      <color theme="1"/>
      <name val="Arial"/>
      <family val="2"/>
      <charset val="238"/>
      <scheme val="minor"/>
    </font>
    <font>
      <sz val="11"/>
      <color rgb="FF3F3F76"/>
      <name val="Arial"/>
      <family val="2"/>
      <charset val="238"/>
      <scheme val="minor"/>
    </font>
    <font>
      <sz val="11"/>
      <color theme="0"/>
      <name val="Arial"/>
      <family val="2"/>
    </font>
    <font>
      <sz val="11"/>
      <color theme="1"/>
      <name val="Arial"/>
      <family val="2"/>
      <scheme val="minor"/>
    </font>
    <font>
      <sz val="11"/>
      <color theme="1"/>
      <name val="Arial"/>
      <family val="2"/>
      <charset val="238"/>
    </font>
    <font>
      <sz val="9"/>
      <color indexed="81"/>
      <name val="Tahoma"/>
      <family val="2"/>
      <charset val="238"/>
    </font>
    <font>
      <b/>
      <sz val="9"/>
      <color indexed="81"/>
      <name val="Tahoma"/>
      <family val="2"/>
      <charset val="238"/>
    </font>
    <font>
      <sz val="11"/>
      <color rgb="FF006100"/>
      <name val="Arial"/>
      <family val="2"/>
      <charset val="238"/>
      <scheme val="minor"/>
    </font>
    <font>
      <sz val="10"/>
      <color indexed="62"/>
      <name val="Arial"/>
      <family val="2"/>
      <charset val="238"/>
    </font>
    <font>
      <sz val="10"/>
      <name val="Arial"/>
      <family val="2"/>
    </font>
    <font>
      <sz val="10"/>
      <color indexed="8"/>
      <name val="Arial"/>
      <family val="2"/>
      <charset val="238"/>
    </font>
    <font>
      <sz val="11"/>
      <color indexed="8"/>
      <name val="Calibri"/>
      <family val="2"/>
      <charset val="238"/>
    </font>
    <font>
      <sz val="10"/>
      <color indexed="9"/>
      <name val="Arial"/>
      <family val="2"/>
      <charset val="238"/>
    </font>
    <font>
      <sz val="11"/>
      <color indexed="9"/>
      <name val="Calibri"/>
      <family val="2"/>
      <charset val="238"/>
    </font>
    <font>
      <sz val="10"/>
      <color indexed="20"/>
      <name val="Arial"/>
      <family val="2"/>
      <charset val="238"/>
    </font>
    <font>
      <sz val="11"/>
      <color indexed="20"/>
      <name val="Calibri"/>
      <family val="2"/>
      <charset val="238"/>
    </font>
    <font>
      <b/>
      <sz val="10"/>
      <color indexed="52"/>
      <name val="Arial"/>
      <family val="2"/>
      <charset val="238"/>
    </font>
    <font>
      <b/>
      <sz val="11"/>
      <color indexed="52"/>
      <name val="Calibri"/>
      <family val="2"/>
      <charset val="238"/>
    </font>
    <font>
      <b/>
      <sz val="10"/>
      <color indexed="9"/>
      <name val="Arial"/>
      <family val="2"/>
      <charset val="238"/>
    </font>
    <font>
      <b/>
      <sz val="11"/>
      <color indexed="9"/>
      <name val="Calibri"/>
      <family val="2"/>
      <charset val="238"/>
    </font>
    <font>
      <sz val="10"/>
      <color theme="1"/>
      <name val="Arial"/>
      <family val="2"/>
    </font>
    <font>
      <sz val="11"/>
      <color theme="1"/>
      <name val="Arial"/>
      <family val="2"/>
    </font>
    <font>
      <sz val="11"/>
      <color indexed="54"/>
      <name val="Calibri"/>
      <family val="2"/>
      <charset val="238"/>
    </font>
    <font>
      <b/>
      <sz val="11"/>
      <color indexed="63"/>
      <name val="Calibri"/>
      <family val="2"/>
      <charset val="238"/>
    </font>
    <font>
      <sz val="11"/>
      <color indexed="17"/>
      <name val="Calibri"/>
      <family val="2"/>
      <charset val="238"/>
    </font>
    <font>
      <i/>
      <sz val="10"/>
      <color indexed="23"/>
      <name val="Arial"/>
      <family val="2"/>
      <charset val="238"/>
    </font>
    <font>
      <i/>
      <sz val="11"/>
      <color indexed="23"/>
      <name val="Calibri"/>
      <family val="2"/>
      <charset val="238"/>
    </font>
    <font>
      <b/>
      <sz val="15"/>
      <color indexed="56"/>
      <name val="Arial"/>
      <family val="2"/>
      <charset val="238"/>
    </font>
    <font>
      <b/>
      <sz val="15"/>
      <color indexed="56"/>
      <name val="Calibri"/>
      <family val="2"/>
      <charset val="238"/>
    </font>
    <font>
      <b/>
      <sz val="13"/>
      <color indexed="56"/>
      <name val="Arial"/>
      <family val="2"/>
      <charset val="238"/>
    </font>
    <font>
      <b/>
      <sz val="13"/>
      <color indexed="56"/>
      <name val="Calibri"/>
      <family val="2"/>
      <charset val="238"/>
    </font>
    <font>
      <b/>
      <sz val="11"/>
      <color indexed="56"/>
      <name val="Arial"/>
      <family val="2"/>
      <charset val="238"/>
    </font>
    <font>
      <b/>
      <sz val="11"/>
      <color indexed="56"/>
      <name val="Calibri"/>
      <family val="2"/>
      <charset val="238"/>
    </font>
    <font>
      <u/>
      <sz val="11"/>
      <color theme="10"/>
      <name val="Arial"/>
      <family val="2"/>
      <scheme val="minor"/>
    </font>
    <font>
      <sz val="11"/>
      <color indexed="62"/>
      <name val="Calibri"/>
      <family val="2"/>
      <charset val="238"/>
    </font>
    <font>
      <sz val="11"/>
      <color indexed="52"/>
      <name val="Calibri"/>
      <family val="2"/>
      <charset val="238"/>
    </font>
    <font>
      <sz val="10"/>
      <color indexed="52"/>
      <name val="Arial"/>
      <family val="2"/>
      <charset val="238"/>
    </font>
    <font>
      <b/>
      <sz val="15"/>
      <color indexed="62"/>
      <name val="Calibri"/>
      <family val="2"/>
      <charset val="238"/>
    </font>
    <font>
      <b/>
      <sz val="13"/>
      <color indexed="62"/>
      <name val="Calibri"/>
      <family val="2"/>
      <charset val="238"/>
    </font>
    <font>
      <b/>
      <sz val="11"/>
      <color indexed="62"/>
      <name val="Calibri"/>
      <family val="2"/>
      <charset val="238"/>
    </font>
    <font>
      <sz val="11"/>
      <color indexed="60"/>
      <name val="Calibri"/>
      <family val="2"/>
      <charset val="238"/>
    </font>
    <font>
      <sz val="11"/>
      <color theme="1"/>
      <name val="Czcionka tekstu podstawowego"/>
      <family val="2"/>
      <charset val="238"/>
    </font>
    <font>
      <sz val="9"/>
      <color theme="1"/>
      <name val="Calibri"/>
      <family val="2"/>
      <charset val="238"/>
    </font>
    <font>
      <sz val="10"/>
      <name val="Arial"/>
      <family val="2"/>
      <charset val="238"/>
    </font>
    <font>
      <sz val="10"/>
      <color theme="1"/>
      <name val="Arial Unicode MS"/>
      <family val="2"/>
    </font>
    <font>
      <sz val="10"/>
      <color theme="1"/>
      <name val="Arial"/>
      <family val="2"/>
      <scheme val="minor"/>
    </font>
    <font>
      <sz val="10"/>
      <color rgb="FF000000"/>
      <name val="Arial"/>
      <family val="2"/>
      <charset val="238"/>
    </font>
    <font>
      <b/>
      <sz val="10"/>
      <color indexed="63"/>
      <name val="Arial"/>
      <family val="2"/>
      <charset val="238"/>
    </font>
    <font>
      <b/>
      <sz val="11"/>
      <color indexed="8"/>
      <name val="Calibri"/>
      <family val="2"/>
      <charset val="238"/>
    </font>
    <font>
      <sz val="11"/>
      <color indexed="10"/>
      <name val="Calibri"/>
      <family val="2"/>
      <charset val="238"/>
    </font>
    <font>
      <b/>
      <sz val="18"/>
      <color indexed="56"/>
      <name val="Cambria"/>
      <family val="2"/>
      <charset val="238"/>
    </font>
    <font>
      <b/>
      <sz val="10"/>
      <color indexed="8"/>
      <name val="Arial"/>
      <family val="2"/>
      <charset val="238"/>
    </font>
    <font>
      <b/>
      <sz val="18"/>
      <color indexed="62"/>
      <name val="Cambria"/>
      <family val="2"/>
      <charset val="238"/>
    </font>
    <font>
      <sz val="10"/>
      <name val="Arial CE"/>
      <family val="2"/>
    </font>
    <font>
      <sz val="10"/>
      <color indexed="10"/>
      <name val="Arial"/>
      <family val="2"/>
      <charset val="238"/>
    </font>
    <font>
      <sz val="11"/>
      <color indexed="36"/>
      <name val="Calibri"/>
      <family val="2"/>
      <charset val="238"/>
    </font>
    <font>
      <b/>
      <sz val="18"/>
      <color theme="3"/>
      <name val="Georgia"/>
      <family val="2"/>
      <charset val="238"/>
      <scheme val="major"/>
    </font>
    <font>
      <b/>
      <sz val="15"/>
      <color theme="3"/>
      <name val="Arial"/>
      <family val="2"/>
      <charset val="238"/>
      <scheme val="minor"/>
    </font>
    <font>
      <b/>
      <sz val="13"/>
      <color theme="3"/>
      <name val="Arial"/>
      <family val="2"/>
      <charset val="238"/>
      <scheme val="minor"/>
    </font>
    <font>
      <b/>
      <sz val="11"/>
      <color theme="3"/>
      <name val="Arial"/>
      <family val="2"/>
      <charset val="238"/>
      <scheme val="minor"/>
    </font>
    <font>
      <sz val="11"/>
      <color rgb="FF9C0006"/>
      <name val="Arial"/>
      <family val="2"/>
      <charset val="238"/>
      <scheme val="minor"/>
    </font>
    <font>
      <b/>
      <sz val="11"/>
      <color rgb="FF3F3F3F"/>
      <name val="Arial"/>
      <family val="2"/>
      <charset val="238"/>
      <scheme val="minor"/>
    </font>
    <font>
      <b/>
      <sz val="11"/>
      <color rgb="FFFA7D00"/>
      <name val="Arial"/>
      <family val="2"/>
      <charset val="238"/>
      <scheme val="minor"/>
    </font>
    <font>
      <sz val="11"/>
      <color rgb="FFFA7D00"/>
      <name val="Arial"/>
      <family val="2"/>
      <charset val="238"/>
      <scheme val="minor"/>
    </font>
    <font>
      <b/>
      <sz val="11"/>
      <color theme="0"/>
      <name val="Arial"/>
      <family val="2"/>
      <charset val="238"/>
      <scheme val="minor"/>
    </font>
    <font>
      <sz val="11"/>
      <color rgb="FFFF0000"/>
      <name val="Arial"/>
      <family val="2"/>
      <charset val="238"/>
      <scheme val="minor"/>
    </font>
    <font>
      <i/>
      <sz val="11"/>
      <color rgb="FF7F7F7F"/>
      <name val="Arial"/>
      <family val="2"/>
      <charset val="238"/>
      <scheme val="minor"/>
    </font>
    <font>
      <sz val="11"/>
      <color theme="0"/>
      <name val="Arial"/>
      <family val="2"/>
      <charset val="238"/>
      <scheme val="minor"/>
    </font>
    <font>
      <sz val="11"/>
      <color rgb="FF9C6500"/>
      <name val="Arial"/>
      <family val="2"/>
      <charset val="238"/>
      <scheme val="minor"/>
    </font>
    <font>
      <sz val="10"/>
      <name val="Arial"/>
      <family val="2"/>
      <charset val="238"/>
    </font>
    <font>
      <u/>
      <sz val="11"/>
      <color theme="10"/>
      <name val="Arial"/>
      <family val="2"/>
      <charset val="238"/>
      <scheme val="minor"/>
    </font>
    <font>
      <sz val="11"/>
      <color rgb="FF9C6500"/>
      <name val="Arial"/>
      <family val="2"/>
      <charset val="238"/>
    </font>
    <font>
      <b/>
      <sz val="15"/>
      <color theme="3"/>
      <name val="Czcionka tekstu podstawowego"/>
      <family val="2"/>
      <charset val="238"/>
    </font>
    <font>
      <b/>
      <sz val="13"/>
      <color theme="3"/>
      <name val="Czcionka tekstu podstawowego"/>
      <family val="2"/>
      <charset val="238"/>
    </font>
    <font>
      <b/>
      <sz val="11"/>
      <color theme="3"/>
      <name val="Czcionka tekstu podstawowego"/>
      <family val="2"/>
      <charset val="238"/>
    </font>
    <font>
      <sz val="11"/>
      <color rgb="FF006100"/>
      <name val="Czcionka tekstu podstawowego"/>
      <family val="2"/>
      <charset val="238"/>
    </font>
    <font>
      <sz val="11"/>
      <color rgb="FF9C0006"/>
      <name val="Czcionka tekstu podstawowego"/>
      <family val="2"/>
      <charset val="238"/>
    </font>
    <font>
      <sz val="11"/>
      <color rgb="FF9C6500"/>
      <name val="Czcionka tekstu podstawowego"/>
      <family val="2"/>
      <charset val="238"/>
    </font>
    <font>
      <sz val="11"/>
      <color rgb="FF3F3F76"/>
      <name val="Czcionka tekstu podstawowego"/>
      <family val="2"/>
      <charset val="238"/>
    </font>
    <font>
      <b/>
      <sz val="11"/>
      <color rgb="FF3F3F3F"/>
      <name val="Czcionka tekstu podstawowego"/>
      <family val="2"/>
      <charset val="238"/>
    </font>
    <font>
      <b/>
      <sz val="11"/>
      <color rgb="FFFA7D00"/>
      <name val="Czcionka tekstu podstawowego"/>
      <family val="2"/>
      <charset val="238"/>
    </font>
    <font>
      <sz val="11"/>
      <color rgb="FFFA7D00"/>
      <name val="Czcionka tekstu podstawowego"/>
      <family val="2"/>
      <charset val="238"/>
    </font>
    <font>
      <b/>
      <sz val="11"/>
      <color theme="0"/>
      <name val="Czcionka tekstu podstawowego"/>
      <family val="2"/>
      <charset val="238"/>
    </font>
    <font>
      <sz val="11"/>
      <color rgb="FFFF0000"/>
      <name val="Czcionka tekstu podstawowego"/>
      <family val="2"/>
      <charset val="238"/>
    </font>
    <font>
      <i/>
      <sz val="11"/>
      <color rgb="FF7F7F7F"/>
      <name val="Czcionka tekstu podstawowego"/>
      <family val="2"/>
      <charset val="238"/>
    </font>
    <font>
      <b/>
      <sz val="11"/>
      <color theme="1"/>
      <name val="Czcionka tekstu podstawowego"/>
      <family val="2"/>
      <charset val="238"/>
    </font>
    <font>
      <sz val="11"/>
      <color theme="0"/>
      <name val="Czcionka tekstu podstawowego"/>
      <family val="2"/>
      <charset val="238"/>
    </font>
    <font>
      <sz val="18"/>
      <color theme="3"/>
      <name val="Georgia"/>
      <family val="2"/>
      <charset val="238"/>
      <scheme val="major"/>
    </font>
    <font>
      <sz val="11"/>
      <color rgb="FF000000"/>
      <name val="Calibri"/>
      <family val="2"/>
      <charset val="238"/>
    </font>
    <font>
      <sz val="11"/>
      <color indexed="8"/>
      <name val="Arial"/>
      <family val="2"/>
      <scheme val="minor"/>
    </font>
    <font>
      <sz val="8"/>
      <color theme="1"/>
      <name val="Arial"/>
      <family val="2"/>
      <charset val="238"/>
    </font>
    <font>
      <sz val="10"/>
      <color theme="1"/>
      <name val="Arial"/>
      <family val="2"/>
      <charset val="238"/>
      <scheme val="minor"/>
    </font>
    <font>
      <b/>
      <i/>
      <sz val="11"/>
      <color theme="1"/>
      <name val="Arial"/>
      <family val="2"/>
      <charset val="238"/>
    </font>
    <font>
      <sz val="10"/>
      <color rgb="FF4A4A4A"/>
      <name val="Calibri"/>
      <family val="2"/>
      <charset val="238"/>
    </font>
    <font>
      <sz val="8"/>
      <name val="Arial"/>
      <family val="2"/>
      <charset val="238"/>
    </font>
    <font>
      <sz val="8"/>
      <color theme="1"/>
      <name val="Arial"/>
      <family val="2"/>
      <scheme val="minor"/>
    </font>
  </fonts>
  <fills count="60">
    <fill>
      <patternFill patternType="none"/>
    </fill>
    <fill>
      <patternFill patternType="gray125"/>
    </fill>
    <fill>
      <patternFill patternType="solid">
        <fgColor rgb="FFC6EFCE"/>
      </patternFill>
    </fill>
    <fill>
      <patternFill patternType="solid">
        <fgColor rgb="FFFFEB9C"/>
      </patternFill>
    </fill>
    <fill>
      <patternFill patternType="solid">
        <fgColor theme="0" tint="-0.14999847407452621"/>
        <bgColor theme="0" tint="-0.14999847407452621"/>
      </patternFill>
    </fill>
    <fill>
      <patternFill patternType="solid">
        <fgColor theme="4" tint="0.79998168889431442"/>
        <bgColor theme="4" tint="0.79998168889431442"/>
      </patternFill>
    </fill>
    <fill>
      <patternFill patternType="solid">
        <fgColor rgb="FFFFCC99"/>
      </patternFill>
    </fill>
    <fill>
      <patternFill patternType="solid">
        <fgColor theme="4"/>
      </patternFill>
    </fill>
    <fill>
      <patternFill patternType="solid">
        <fgColor theme="8"/>
      </patternFill>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4"/>
      </patternFill>
    </fill>
    <fill>
      <patternFill patternType="solid">
        <fgColor indexed="55"/>
      </patternFill>
    </fill>
    <fill>
      <patternFill patternType="solid">
        <fgColor rgb="FFFFC7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theme="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bottom style="thick">
        <color indexed="49"/>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right/>
      <top style="thin">
        <color indexed="62"/>
      </top>
      <bottom style="double">
        <color indexed="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6"/>
      </top>
      <bottom/>
      <diagonal/>
    </border>
    <border>
      <left/>
      <right/>
      <top style="thin">
        <color theme="8"/>
      </top>
      <bottom/>
      <diagonal/>
    </border>
    <border>
      <left/>
      <right style="thin">
        <color theme="6"/>
      </right>
      <top style="thin">
        <color theme="6"/>
      </top>
      <bottom/>
      <diagonal/>
    </border>
    <border>
      <left style="thin">
        <color auto="1"/>
      </left>
      <right style="thin">
        <color auto="1"/>
      </right>
      <top style="thin">
        <color auto="1"/>
      </top>
      <bottom style="thin">
        <color auto="1"/>
      </bottom>
      <diagonal/>
    </border>
    <border>
      <left/>
      <right/>
      <top style="thin">
        <color rgb="FF000000"/>
      </top>
      <bottom/>
      <diagonal/>
    </border>
    <border>
      <left/>
      <right/>
      <top style="thin">
        <color theme="6"/>
      </top>
      <bottom style="thin">
        <color theme="6"/>
      </bottom>
      <diagonal/>
    </border>
    <border>
      <left/>
      <right/>
      <top style="thin">
        <color theme="1"/>
      </top>
      <bottom style="thin">
        <color theme="1"/>
      </bottom>
      <diagonal/>
    </border>
    <border>
      <left/>
      <right/>
      <top style="thin">
        <color theme="1"/>
      </top>
      <bottom/>
      <diagonal/>
    </border>
    <border>
      <left style="thin">
        <color auto="1"/>
      </left>
      <right style="thin">
        <color auto="1"/>
      </right>
      <top style="thin">
        <color auto="1"/>
      </top>
      <bottom/>
      <diagonal/>
    </border>
  </borders>
  <cellStyleXfs count="45501">
    <xf numFmtId="0" fontId="0" fillId="0" borderId="0"/>
    <xf numFmtId="0" fontId="55" fillId="2" borderId="0" applyNumberFormat="0" applyBorder="0" applyAlignment="0" applyProtection="0"/>
    <xf numFmtId="0" fontId="56" fillId="3" borderId="0" applyNumberFormat="0" applyBorder="0" applyAlignment="0" applyProtection="0"/>
    <xf numFmtId="0" fontId="57" fillId="0" borderId="0"/>
    <xf numFmtId="0" fontId="52" fillId="0" borderId="0"/>
    <xf numFmtId="0" fontId="51" fillId="0" borderId="0"/>
    <xf numFmtId="0" fontId="50" fillId="0" borderId="0"/>
    <xf numFmtId="0" fontId="50" fillId="0" borderId="0"/>
    <xf numFmtId="0" fontId="50" fillId="0" borderId="0"/>
    <xf numFmtId="0" fontId="50" fillId="0" borderId="0"/>
    <xf numFmtId="0" fontId="63" fillId="6" borderId="6" applyNumberFormat="0" applyAlignment="0" applyProtection="0"/>
    <xf numFmtId="0" fontId="49" fillId="0" borderId="0"/>
    <xf numFmtId="0" fontId="64" fillId="7" borderId="0" applyNumberFormat="0" applyBorder="0" applyAlignment="0" applyProtection="0"/>
    <xf numFmtId="0" fontId="64" fillId="8" borderId="0" applyNumberFormat="0" applyBorder="0" applyAlignment="0" applyProtection="0"/>
    <xf numFmtId="0" fontId="56" fillId="3" borderId="0" applyNumberFormat="0" applyBorder="0" applyAlignment="0" applyProtection="0"/>
    <xf numFmtId="0" fontId="48" fillId="0" borderId="0"/>
    <xf numFmtId="0" fontId="65" fillId="0" borderId="0"/>
    <xf numFmtId="0" fontId="55" fillId="2" borderId="0" applyNumberFormat="0" applyBorder="0" applyAlignment="0" applyProtection="0"/>
    <xf numFmtId="0" fontId="56" fillId="3" borderId="0" applyNumberFormat="0" applyBorder="0" applyAlignment="0" applyProtection="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66" fillId="0" borderId="0"/>
    <xf numFmtId="0" fontId="65"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69" fillId="2" borderId="0" applyNumberFormat="0" applyBorder="0" applyAlignment="0" applyProtection="0"/>
    <xf numFmtId="0" fontId="70" fillId="9" borderId="8" applyNumberFormat="0" applyAlignment="0" applyProtection="0"/>
    <xf numFmtId="0" fontId="71" fillId="0" borderId="0"/>
    <xf numFmtId="0" fontId="72" fillId="10" borderId="0" applyNumberFormat="0" applyBorder="0" applyAlignment="0" applyProtection="0"/>
    <xf numFmtId="0" fontId="73" fillId="10" borderId="0" applyNumberFormat="0" applyBorder="0" applyAlignment="0" applyProtection="0"/>
    <xf numFmtId="0" fontId="72" fillId="11" borderId="0" applyNumberFormat="0" applyBorder="0" applyAlignment="0" applyProtection="0"/>
    <xf numFmtId="0" fontId="73" fillId="11" borderId="0" applyNumberFormat="0" applyBorder="0" applyAlignment="0" applyProtection="0"/>
    <xf numFmtId="0" fontId="72" fillId="12" borderId="0" applyNumberFormat="0" applyBorder="0" applyAlignment="0" applyProtection="0"/>
    <xf numFmtId="0" fontId="73" fillId="12" borderId="0" applyNumberFormat="0" applyBorder="0" applyAlignment="0" applyProtection="0"/>
    <xf numFmtId="0" fontId="72" fillId="13" borderId="0" applyNumberFormat="0" applyBorder="0" applyAlignment="0" applyProtection="0"/>
    <xf numFmtId="0" fontId="73" fillId="13" borderId="0" applyNumberFormat="0" applyBorder="0" applyAlignment="0" applyProtection="0"/>
    <xf numFmtId="0" fontId="72" fillId="14" borderId="0" applyNumberFormat="0" applyBorder="0" applyAlignment="0" applyProtection="0"/>
    <xf numFmtId="0" fontId="73" fillId="14" borderId="0" applyNumberFormat="0" applyBorder="0" applyAlignment="0" applyProtection="0"/>
    <xf numFmtId="0" fontId="72" fillId="9" borderId="0" applyNumberFormat="0" applyBorder="0" applyAlignment="0" applyProtection="0"/>
    <xf numFmtId="0" fontId="73" fillId="9" borderId="0" applyNumberFormat="0" applyBorder="0" applyAlignment="0" applyProtection="0"/>
    <xf numFmtId="0" fontId="73" fillId="15" borderId="0" applyNumberFormat="0" applyBorder="0" applyAlignment="0" applyProtection="0"/>
    <xf numFmtId="0" fontId="73" fillId="9" borderId="0" applyNumberFormat="0" applyBorder="0" applyAlignment="0" applyProtection="0"/>
    <xf numFmtId="0" fontId="73" fillId="16" borderId="0" applyNumberFormat="0" applyBorder="0" applyAlignment="0" applyProtection="0"/>
    <xf numFmtId="0" fontId="73" fillId="15" borderId="0" applyNumberFormat="0" applyBorder="0" applyAlignment="0" applyProtection="0"/>
    <xf numFmtId="0" fontId="73" fillId="14" borderId="0" applyNumberFormat="0" applyBorder="0" applyAlignment="0" applyProtection="0"/>
    <xf numFmtId="0" fontId="73" fillId="9" borderId="0" applyNumberFormat="0" applyBorder="0" applyAlignment="0" applyProtection="0"/>
    <xf numFmtId="0" fontId="72" fillId="17" borderId="0" applyNumberFormat="0" applyBorder="0" applyAlignment="0" applyProtection="0"/>
    <xf numFmtId="0" fontId="73" fillId="17" borderId="0" applyNumberFormat="0" applyBorder="0" applyAlignment="0" applyProtection="0"/>
    <xf numFmtId="0" fontId="72" fillId="18" borderId="0" applyNumberFormat="0" applyBorder="0" applyAlignment="0" applyProtection="0"/>
    <xf numFmtId="0" fontId="73" fillId="18" borderId="0" applyNumberFormat="0" applyBorder="0" applyAlignment="0" applyProtection="0"/>
    <xf numFmtId="0" fontId="72" fillId="19" borderId="0" applyNumberFormat="0" applyBorder="0" applyAlignment="0" applyProtection="0"/>
    <xf numFmtId="0" fontId="73" fillId="19" borderId="0" applyNumberFormat="0" applyBorder="0" applyAlignment="0" applyProtection="0"/>
    <xf numFmtId="0" fontId="72" fillId="13" borderId="0" applyNumberFormat="0" applyBorder="0" applyAlignment="0" applyProtection="0"/>
    <xf numFmtId="0" fontId="73" fillId="13" borderId="0" applyNumberFormat="0" applyBorder="0" applyAlignment="0" applyProtection="0"/>
    <xf numFmtId="0" fontId="72" fillId="17" borderId="0" applyNumberFormat="0" applyBorder="0" applyAlignment="0" applyProtection="0"/>
    <xf numFmtId="0" fontId="73" fillId="17" borderId="0" applyNumberFormat="0" applyBorder="0" applyAlignment="0" applyProtection="0"/>
    <xf numFmtId="0" fontId="72" fillId="20" borderId="0" applyNumberFormat="0" applyBorder="0" applyAlignment="0" applyProtection="0"/>
    <xf numFmtId="0" fontId="73" fillId="20" borderId="0" applyNumberFormat="0" applyBorder="0" applyAlignment="0" applyProtection="0"/>
    <xf numFmtId="0" fontId="73" fillId="21" borderId="0" applyNumberFormat="0" applyBorder="0" applyAlignment="0" applyProtection="0"/>
    <xf numFmtId="0" fontId="73" fillId="18" borderId="0" applyNumberFormat="0" applyBorder="0" applyAlignment="0" applyProtection="0"/>
    <xf numFmtId="0" fontId="73" fillId="22" borderId="0" applyNumberFormat="0" applyBorder="0" applyAlignment="0" applyProtection="0"/>
    <xf numFmtId="0" fontId="73" fillId="21" borderId="0" applyNumberFormat="0" applyBorder="0" applyAlignment="0" applyProtection="0"/>
    <xf numFmtId="0" fontId="73" fillId="17" borderId="0" applyNumberFormat="0" applyBorder="0" applyAlignment="0" applyProtection="0"/>
    <xf numFmtId="0" fontId="73" fillId="9" borderId="0" applyNumberFormat="0" applyBorder="0" applyAlignment="0" applyProtection="0"/>
    <xf numFmtId="0" fontId="74" fillId="23" borderId="0" applyNumberFormat="0" applyBorder="0" applyAlignment="0" applyProtection="0"/>
    <xf numFmtId="0" fontId="75" fillId="23" borderId="0" applyNumberFormat="0" applyBorder="0" applyAlignment="0" applyProtection="0"/>
    <xf numFmtId="0" fontId="74" fillId="18" borderId="0" applyNumberFormat="0" applyBorder="0" applyAlignment="0" applyProtection="0"/>
    <xf numFmtId="0" fontId="75" fillId="18" borderId="0" applyNumberFormat="0" applyBorder="0" applyAlignment="0" applyProtection="0"/>
    <xf numFmtId="0" fontId="74" fillId="19" borderId="0" applyNumberFormat="0" applyBorder="0" applyAlignment="0" applyProtection="0"/>
    <xf numFmtId="0" fontId="75" fillId="19" borderId="0" applyNumberFormat="0" applyBorder="0" applyAlignment="0" applyProtection="0"/>
    <xf numFmtId="0" fontId="74" fillId="24" borderId="0" applyNumberFormat="0" applyBorder="0" applyAlignment="0" applyProtection="0"/>
    <xf numFmtId="0" fontId="75" fillId="24" borderId="0" applyNumberFormat="0" applyBorder="0" applyAlignment="0" applyProtection="0"/>
    <xf numFmtId="0" fontId="74" fillId="25" borderId="0" applyNumberFormat="0" applyBorder="0" applyAlignment="0" applyProtection="0"/>
    <xf numFmtId="0" fontId="75" fillId="25" borderId="0" applyNumberFormat="0" applyBorder="0" applyAlignment="0" applyProtection="0"/>
    <xf numFmtId="0" fontId="74" fillId="26" borderId="0" applyNumberFormat="0" applyBorder="0" applyAlignment="0" applyProtection="0"/>
    <xf numFmtId="0" fontId="75" fillId="26" borderId="0" applyNumberFormat="0" applyBorder="0" applyAlignment="0" applyProtection="0"/>
    <xf numFmtId="0" fontId="75" fillId="25" borderId="0" applyNumberFormat="0" applyBorder="0" applyAlignment="0" applyProtection="0"/>
    <xf numFmtId="0" fontId="75" fillId="18" borderId="0" applyNumberFormat="0" applyBorder="0" applyAlignment="0" applyProtection="0"/>
    <xf numFmtId="0" fontId="75" fillId="22" borderId="0" applyNumberFormat="0" applyBorder="0" applyAlignment="0" applyProtection="0"/>
    <xf numFmtId="0" fontId="75" fillId="21" borderId="0" applyNumberFormat="0" applyBorder="0" applyAlignment="0" applyProtection="0"/>
    <xf numFmtId="0" fontId="75" fillId="25" borderId="0" applyNumberFormat="0" applyBorder="0" applyAlignment="0" applyProtection="0"/>
    <xf numFmtId="0" fontId="75" fillId="9" borderId="0" applyNumberFormat="0" applyBorder="0" applyAlignment="0" applyProtection="0"/>
    <xf numFmtId="0" fontId="75" fillId="27" borderId="0" applyNumberFormat="0" applyBorder="0" applyAlignment="0" applyProtection="0"/>
    <xf numFmtId="0" fontId="74" fillId="28" borderId="0" applyNumberFormat="0" applyBorder="0" applyAlignment="0" applyProtection="0"/>
    <xf numFmtId="0" fontId="75" fillId="28" borderId="0" applyNumberFormat="0" applyBorder="0" applyAlignment="0" applyProtection="0"/>
    <xf numFmtId="0" fontId="74" fillId="29" borderId="0" applyNumberFormat="0" applyBorder="0" applyAlignment="0" applyProtection="0"/>
    <xf numFmtId="0" fontId="75" fillId="29" borderId="0" applyNumberFormat="0" applyBorder="0" applyAlignment="0" applyProtection="0"/>
    <xf numFmtId="0" fontId="74" fillId="24" borderId="0" applyNumberFormat="0" applyBorder="0" applyAlignment="0" applyProtection="0"/>
    <xf numFmtId="0" fontId="75" fillId="24" borderId="0" applyNumberFormat="0" applyBorder="0" applyAlignment="0" applyProtection="0"/>
    <xf numFmtId="0" fontId="75" fillId="25" borderId="0" applyNumberFormat="0" applyBorder="0" applyAlignment="0" applyProtection="0"/>
    <xf numFmtId="0" fontId="74" fillId="30" borderId="0" applyNumberFormat="0" applyBorder="0" applyAlignment="0" applyProtection="0"/>
    <xf numFmtId="0" fontId="75" fillId="30" borderId="0" applyNumberFormat="0" applyBorder="0" applyAlignment="0" applyProtection="0"/>
    <xf numFmtId="0" fontId="75" fillId="25" borderId="0" applyNumberFormat="0" applyBorder="0" applyAlignment="0" applyProtection="0"/>
    <xf numFmtId="0" fontId="75" fillId="28" borderId="0" applyNumberFormat="0" applyBorder="0" applyAlignment="0" applyProtection="0"/>
    <xf numFmtId="0" fontId="75" fillId="29" borderId="0" applyNumberFormat="0" applyBorder="0" applyAlignment="0" applyProtection="0"/>
    <xf numFmtId="0" fontId="75" fillId="31" borderId="0" applyNumberFormat="0" applyBorder="0" applyAlignment="0" applyProtection="0"/>
    <xf numFmtId="0" fontId="75" fillId="25" borderId="0" applyNumberFormat="0" applyBorder="0" applyAlignment="0" applyProtection="0"/>
    <xf numFmtId="0" fontId="75" fillId="30" borderId="0" applyNumberFormat="0" applyBorder="0" applyAlignment="0" applyProtection="0"/>
    <xf numFmtId="0" fontId="76" fillId="11" borderId="0" applyNumberFormat="0" applyBorder="0" applyAlignment="0" applyProtection="0"/>
    <xf numFmtId="0" fontId="77" fillId="11" borderId="0" applyNumberFormat="0" applyBorder="0" applyAlignment="0" applyProtection="0"/>
    <xf numFmtId="0" fontId="78" fillId="21" borderId="8" applyNumberFormat="0" applyAlignment="0" applyProtection="0"/>
    <xf numFmtId="0" fontId="79" fillId="21" borderId="8" applyNumberFormat="0" applyAlignment="0" applyProtection="0"/>
    <xf numFmtId="0" fontId="80" fillId="32" borderId="9" applyNumberFormat="0" applyAlignment="0" applyProtection="0"/>
    <xf numFmtId="0" fontId="81" fillId="32" borderId="9" applyNumberFormat="0" applyAlignment="0" applyProtection="0"/>
    <xf numFmtId="43" fontId="82" fillId="0" borderId="0" applyFont="0" applyFill="0" applyBorder="0" applyAlignment="0" applyProtection="0"/>
    <xf numFmtId="43" fontId="71" fillId="0" borderId="0" applyFont="0" applyFill="0" applyBorder="0" applyAlignment="0" applyProtection="0"/>
    <xf numFmtId="164" fontId="83" fillId="0" borderId="0" applyFont="0" applyFill="0" applyBorder="0" applyAlignment="0" applyProtection="0"/>
    <xf numFmtId="165" fontId="71" fillId="0" borderId="0" applyFont="0" applyFill="0" applyBorder="0" applyAlignment="0" applyProtection="0"/>
    <xf numFmtId="0" fontId="84" fillId="9" borderId="8" applyNumberFormat="0" applyAlignment="0" applyProtection="0"/>
    <xf numFmtId="0" fontId="85" fillId="15" borderId="10" applyNumberFormat="0" applyAlignment="0" applyProtection="0"/>
    <xf numFmtId="0" fontId="86" fillId="12" borderId="0" applyNumberFormat="0" applyBorder="0" applyAlignment="0" applyProtection="0"/>
    <xf numFmtId="0" fontId="87" fillId="0" borderId="0" applyNumberFormat="0" applyFill="0" applyBorder="0" applyAlignment="0" applyProtection="0"/>
    <xf numFmtId="0" fontId="88" fillId="0" borderId="0" applyNumberFormat="0" applyFill="0" applyBorder="0" applyAlignment="0" applyProtection="0"/>
    <xf numFmtId="0" fontId="89" fillId="0" borderId="11" applyNumberFormat="0" applyFill="0" applyAlignment="0" applyProtection="0"/>
    <xf numFmtId="0" fontId="90" fillId="0" borderId="11" applyNumberFormat="0" applyFill="0" applyAlignment="0" applyProtection="0"/>
    <xf numFmtId="0" fontId="91" fillId="0" borderId="12" applyNumberFormat="0" applyFill="0" applyAlignment="0" applyProtection="0"/>
    <xf numFmtId="0" fontId="92" fillId="0" borderId="12" applyNumberFormat="0" applyFill="0" applyAlignment="0" applyProtection="0"/>
    <xf numFmtId="0" fontId="93" fillId="0" borderId="13" applyNumberFormat="0" applyFill="0" applyAlignment="0" applyProtection="0"/>
    <xf numFmtId="0" fontId="94" fillId="0" borderId="13" applyNumberFormat="0" applyFill="0" applyAlignment="0" applyProtection="0"/>
    <xf numFmtId="0" fontId="93"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0" fontId="96" fillId="9" borderId="8" applyNumberFormat="0" applyAlignment="0" applyProtection="0"/>
    <xf numFmtId="0" fontId="97" fillId="0" borderId="14" applyNumberFormat="0" applyFill="0" applyAlignment="0" applyProtection="0"/>
    <xf numFmtId="0" fontId="81" fillId="32" borderId="9" applyNumberFormat="0" applyAlignment="0" applyProtection="0"/>
    <xf numFmtId="0" fontId="98" fillId="0" borderId="14" applyNumberFormat="0" applyFill="0" applyAlignment="0" applyProtection="0"/>
    <xf numFmtId="0" fontId="97" fillId="0" borderId="14" applyNumberFormat="0" applyFill="0" applyAlignment="0" applyProtection="0"/>
    <xf numFmtId="0" fontId="99" fillId="0" borderId="15" applyNumberFormat="0" applyFill="0" applyAlignment="0" applyProtection="0"/>
    <xf numFmtId="0" fontId="100" fillId="0" borderId="12" applyNumberFormat="0" applyFill="0" applyAlignment="0" applyProtection="0"/>
    <xf numFmtId="0" fontId="101" fillId="0" borderId="16" applyNumberFormat="0" applyFill="0" applyAlignment="0" applyProtection="0"/>
    <xf numFmtId="0" fontId="101" fillId="0" borderId="0" applyNumberFormat="0" applyFill="0" applyBorder="0" applyAlignment="0" applyProtection="0"/>
    <xf numFmtId="0" fontId="102" fillId="22" borderId="0" applyNumberFormat="0" applyBorder="0" applyAlignment="0" applyProtection="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82" fillId="0" borderId="0"/>
    <xf numFmtId="0" fontId="47" fillId="0" borderId="0"/>
    <xf numFmtId="0" fontId="103"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71"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104" fillId="0" borderId="0"/>
    <xf numFmtId="0" fontId="66" fillId="0" borderId="0"/>
    <xf numFmtId="0" fontId="47" fillId="0" borderId="0"/>
    <xf numFmtId="0" fontId="47" fillId="0" borderId="0"/>
    <xf numFmtId="0" fontId="47" fillId="0" borderId="0"/>
    <xf numFmtId="0" fontId="47" fillId="0" borderId="0"/>
    <xf numFmtId="0" fontId="47" fillId="0" borderId="0"/>
    <xf numFmtId="0" fontId="105"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82" fillId="0" borderId="0"/>
    <xf numFmtId="0" fontId="65" fillId="0" borderId="0"/>
    <xf numFmtId="0" fontId="106" fillId="0" borderId="0"/>
    <xf numFmtId="0" fontId="106" fillId="0" borderId="0"/>
    <xf numFmtId="0" fontId="10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10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65" fillId="0" borderId="0"/>
    <xf numFmtId="0" fontId="105"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108" fillId="0" borderId="0" applyNumberFormat="0" applyBorder="0" applyProtection="0"/>
    <xf numFmtId="0" fontId="105" fillId="16" borderId="17" applyNumberFormat="0" applyFont="0" applyAlignment="0" applyProtection="0"/>
    <xf numFmtId="0" fontId="79" fillId="15" borderId="8" applyNumberFormat="0" applyAlignment="0" applyProtection="0"/>
    <xf numFmtId="0" fontId="109" fillId="21" borderId="10" applyNumberFormat="0" applyAlignment="0" applyProtection="0"/>
    <xf numFmtId="0" fontId="85" fillId="21" borderId="10" applyNumberFormat="0" applyAlignment="0" applyProtection="0"/>
    <xf numFmtId="9" fontId="71" fillId="0" borderId="0" applyFont="0" applyFill="0" applyBorder="0" applyAlignment="0" applyProtection="0"/>
    <xf numFmtId="9" fontId="106" fillId="0" borderId="0" applyFont="0" applyFill="0" applyBorder="0" applyAlignment="0" applyProtection="0"/>
    <xf numFmtId="0" fontId="110" fillId="0" borderId="18" applyNumberFormat="0" applyFill="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112" fillId="0" borderId="0" applyNumberFormat="0" applyFill="0" applyBorder="0" applyAlignment="0" applyProtection="0"/>
    <xf numFmtId="0" fontId="113" fillId="0" borderId="19" applyNumberFormat="0" applyFill="0" applyAlignment="0" applyProtection="0"/>
    <xf numFmtId="0" fontId="110" fillId="0" borderId="19" applyNumberFormat="0" applyFill="0" applyAlignment="0" applyProtection="0"/>
    <xf numFmtId="0" fontId="114" fillId="0" borderId="0" applyNumberFormat="0" applyFill="0" applyBorder="0" applyAlignment="0" applyProtection="0"/>
    <xf numFmtId="0" fontId="115" fillId="16" borderId="17" applyNumberFormat="0" applyFont="0" applyAlignment="0" applyProtection="0"/>
    <xf numFmtId="0" fontId="116" fillId="0" borderId="0" applyNumberFormat="0" applyFill="0" applyBorder="0" applyAlignment="0" applyProtection="0"/>
    <xf numFmtId="0" fontId="111" fillId="0" borderId="0" applyNumberFormat="0" applyFill="0" applyBorder="0" applyAlignment="0" applyProtection="0"/>
    <xf numFmtId="0" fontId="117" fillId="11" borderId="0" applyNumberFormat="0" applyBorder="0" applyAlignment="0" applyProtection="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66" fillId="0" borderId="0"/>
    <xf numFmtId="43" fontId="82" fillId="0" borderId="0" applyFont="0" applyFill="0" applyBorder="0" applyAlignment="0" applyProtection="0"/>
    <xf numFmtId="43" fontId="71" fillId="0" borderId="0" applyFont="0" applyFill="0" applyBorder="0" applyAlignment="0" applyProtection="0"/>
    <xf numFmtId="0" fontId="66" fillId="0" borderId="0"/>
    <xf numFmtId="0" fontId="108" fillId="0" borderId="0"/>
    <xf numFmtId="0" fontId="118" fillId="0" borderId="0" applyNumberFormat="0" applyFill="0" applyBorder="0" applyAlignment="0" applyProtection="0"/>
    <xf numFmtId="0" fontId="119" fillId="0" borderId="20" applyNumberFormat="0" applyFill="0" applyAlignment="0" applyProtection="0"/>
    <xf numFmtId="0" fontId="120" fillId="0" borderId="21" applyNumberFormat="0" applyFill="0" applyAlignment="0" applyProtection="0"/>
    <xf numFmtId="0" fontId="121" fillId="0" borderId="22" applyNumberFormat="0" applyFill="0" applyAlignment="0" applyProtection="0"/>
    <xf numFmtId="0" fontId="121" fillId="0" borderId="0" applyNumberFormat="0" applyFill="0" applyBorder="0" applyAlignment="0" applyProtection="0"/>
    <xf numFmtId="0" fontId="122" fillId="33" borderId="0" applyNumberFormat="0" applyBorder="0" applyAlignment="0" applyProtection="0"/>
    <xf numFmtId="0" fontId="123" fillId="34" borderId="23" applyNumberFormat="0" applyAlignment="0" applyProtection="0"/>
    <xf numFmtId="0" fontId="124" fillId="34" borderId="6" applyNumberFormat="0" applyAlignment="0" applyProtection="0"/>
    <xf numFmtId="0" fontId="125" fillId="0" borderId="24" applyNumberFormat="0" applyFill="0" applyAlignment="0" applyProtection="0"/>
    <xf numFmtId="0" fontId="126" fillId="35" borderId="25" applyNumberFormat="0" applyAlignment="0" applyProtection="0"/>
    <xf numFmtId="0" fontId="127" fillId="0" borderId="0" applyNumberFormat="0" applyFill="0" applyBorder="0" applyAlignment="0" applyProtection="0"/>
    <xf numFmtId="0" fontId="128" fillId="0" borderId="0" applyNumberFormat="0" applyFill="0" applyBorder="0" applyAlignment="0" applyProtection="0"/>
    <xf numFmtId="0" fontId="53" fillId="0" borderId="27" applyNumberFormat="0" applyFill="0" applyAlignment="0" applyProtection="0"/>
    <xf numFmtId="0" fontId="129" fillId="7" borderId="0" applyNumberFormat="0" applyBorder="0" applyAlignment="0" applyProtection="0"/>
    <xf numFmtId="0" fontId="46" fillId="37" borderId="0" applyNumberFormat="0" applyBorder="0" applyAlignment="0" applyProtection="0"/>
    <xf numFmtId="0" fontId="46" fillId="38" borderId="0" applyNumberFormat="0" applyBorder="0" applyAlignment="0" applyProtection="0"/>
    <xf numFmtId="0" fontId="129" fillId="39" borderId="0" applyNumberFormat="0" applyBorder="0" applyAlignment="0" applyProtection="0"/>
    <xf numFmtId="0" fontId="129" fillId="40" borderId="0" applyNumberFormat="0" applyBorder="0" applyAlignment="0" applyProtection="0"/>
    <xf numFmtId="0" fontId="46" fillId="41" borderId="0" applyNumberFormat="0" applyBorder="0" applyAlignment="0" applyProtection="0"/>
    <xf numFmtId="0" fontId="46" fillId="42" borderId="0" applyNumberFormat="0" applyBorder="0" applyAlignment="0" applyProtection="0"/>
    <xf numFmtId="0" fontId="129" fillId="43" borderId="0" applyNumberFormat="0" applyBorder="0" applyAlignment="0" applyProtection="0"/>
    <xf numFmtId="0" fontId="129" fillId="44" borderId="0" applyNumberFormat="0" applyBorder="0" applyAlignment="0" applyProtection="0"/>
    <xf numFmtId="0" fontId="46" fillId="45" borderId="0" applyNumberFormat="0" applyBorder="0" applyAlignment="0" applyProtection="0"/>
    <xf numFmtId="0" fontId="46" fillId="46" borderId="0" applyNumberFormat="0" applyBorder="0" applyAlignment="0" applyProtection="0"/>
    <xf numFmtId="0" fontId="129" fillId="47" borderId="0" applyNumberFormat="0" applyBorder="0" applyAlignment="0" applyProtection="0"/>
    <xf numFmtId="0" fontId="129" fillId="48" borderId="0" applyNumberFormat="0" applyBorder="0" applyAlignment="0" applyProtection="0"/>
    <xf numFmtId="0" fontId="46" fillId="49" borderId="0" applyNumberFormat="0" applyBorder="0" applyAlignment="0" applyProtection="0"/>
    <xf numFmtId="0" fontId="46" fillId="50" borderId="0" applyNumberFormat="0" applyBorder="0" applyAlignment="0" applyProtection="0"/>
    <xf numFmtId="0" fontId="129" fillId="51" borderId="0" applyNumberFormat="0" applyBorder="0" applyAlignment="0" applyProtection="0"/>
    <xf numFmtId="0" fontId="129" fillId="8" borderId="0" applyNumberFormat="0" applyBorder="0" applyAlignment="0" applyProtection="0"/>
    <xf numFmtId="0" fontId="46" fillId="52" borderId="0" applyNumberFormat="0" applyBorder="0" applyAlignment="0" applyProtection="0"/>
    <xf numFmtId="0" fontId="46" fillId="53" borderId="0" applyNumberFormat="0" applyBorder="0" applyAlignment="0" applyProtection="0"/>
    <xf numFmtId="0" fontId="129" fillId="54" borderId="0" applyNumberFormat="0" applyBorder="0" applyAlignment="0" applyProtection="0"/>
    <xf numFmtId="0" fontId="129" fillId="55" borderId="0" applyNumberFormat="0" applyBorder="0" applyAlignment="0" applyProtection="0"/>
    <xf numFmtId="0" fontId="46" fillId="56" borderId="0" applyNumberFormat="0" applyBorder="0" applyAlignment="0" applyProtection="0"/>
    <xf numFmtId="0" fontId="46" fillId="57" borderId="0" applyNumberFormat="0" applyBorder="0" applyAlignment="0" applyProtection="0"/>
    <xf numFmtId="0" fontId="129" fillId="58" borderId="0" applyNumberFormat="0" applyBorder="0" applyAlignment="0" applyProtection="0"/>
    <xf numFmtId="0" fontId="130" fillId="3" borderId="0" applyNumberFormat="0" applyBorder="0" applyAlignment="0" applyProtection="0"/>
    <xf numFmtId="0" fontId="46" fillId="36" borderId="26" applyNumberFormat="0" applyFont="0" applyAlignment="0" applyProtection="0"/>
    <xf numFmtId="0" fontId="55" fillId="2" borderId="0" applyNumberFormat="0" applyBorder="0" applyAlignment="0" applyProtection="0"/>
    <xf numFmtId="0" fontId="56" fillId="3" borderId="0" applyNumberFormat="0" applyBorder="0" applyAlignment="0" applyProtection="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63" fillId="6" borderId="6" applyNumberFormat="0" applyAlignment="0" applyProtection="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8" fillId="0" borderId="0" applyNumberFormat="0" applyFill="0" applyBorder="0" applyAlignment="0" applyProtection="0"/>
    <xf numFmtId="0" fontId="119" fillId="0" borderId="20" applyNumberFormat="0" applyFill="0" applyAlignment="0" applyProtection="0"/>
    <xf numFmtId="0" fontId="120" fillId="0" borderId="21" applyNumberFormat="0" applyFill="0" applyAlignment="0" applyProtection="0"/>
    <xf numFmtId="0" fontId="121" fillId="0" borderId="22" applyNumberFormat="0" applyFill="0" applyAlignment="0" applyProtection="0"/>
    <xf numFmtId="0" fontId="121" fillId="0" borderId="0" applyNumberFormat="0" applyFill="0" applyBorder="0" applyAlignment="0" applyProtection="0"/>
    <xf numFmtId="0" fontId="122" fillId="33" borderId="0" applyNumberFormat="0" applyBorder="0" applyAlignment="0" applyProtection="0"/>
    <xf numFmtId="0" fontId="123" fillId="34" borderId="23" applyNumberFormat="0" applyAlignment="0" applyProtection="0"/>
    <xf numFmtId="0" fontId="124" fillId="34" borderId="6" applyNumberFormat="0" applyAlignment="0" applyProtection="0"/>
    <xf numFmtId="0" fontId="125" fillId="0" borderId="24" applyNumberFormat="0" applyFill="0" applyAlignment="0" applyProtection="0"/>
    <xf numFmtId="0" fontId="126" fillId="35" borderId="25" applyNumberFormat="0" applyAlignment="0" applyProtection="0"/>
    <xf numFmtId="0" fontId="127" fillId="0" borderId="0" applyNumberFormat="0" applyFill="0" applyBorder="0" applyAlignment="0" applyProtection="0"/>
    <xf numFmtId="0" fontId="128" fillId="0" borderId="0" applyNumberFormat="0" applyFill="0" applyBorder="0" applyAlignment="0" applyProtection="0"/>
    <xf numFmtId="0" fontId="53" fillId="0" borderId="27" applyNumberFormat="0" applyFill="0" applyAlignment="0" applyProtection="0"/>
    <xf numFmtId="0" fontId="129" fillId="7" borderId="0" applyNumberFormat="0" applyBorder="0" applyAlignment="0" applyProtection="0"/>
    <xf numFmtId="0" fontId="45" fillId="37" borderId="0" applyNumberFormat="0" applyBorder="0" applyAlignment="0" applyProtection="0"/>
    <xf numFmtId="0" fontId="45" fillId="38" borderId="0" applyNumberFormat="0" applyBorder="0" applyAlignment="0" applyProtection="0"/>
    <xf numFmtId="0" fontId="129" fillId="39" borderId="0" applyNumberFormat="0" applyBorder="0" applyAlignment="0" applyProtection="0"/>
    <xf numFmtId="0" fontId="129" fillId="40" borderId="0" applyNumberFormat="0" applyBorder="0" applyAlignment="0" applyProtection="0"/>
    <xf numFmtId="0" fontId="45" fillId="41" borderId="0" applyNumberFormat="0" applyBorder="0" applyAlignment="0" applyProtection="0"/>
    <xf numFmtId="0" fontId="45" fillId="42" borderId="0" applyNumberFormat="0" applyBorder="0" applyAlignment="0" applyProtection="0"/>
    <xf numFmtId="0" fontId="129" fillId="43" borderId="0" applyNumberFormat="0" applyBorder="0" applyAlignment="0" applyProtection="0"/>
    <xf numFmtId="0" fontId="129" fillId="44"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129" fillId="47" borderId="0" applyNumberFormat="0" applyBorder="0" applyAlignment="0" applyProtection="0"/>
    <xf numFmtId="0" fontId="129"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129" fillId="51" borderId="0" applyNumberFormat="0" applyBorder="0" applyAlignment="0" applyProtection="0"/>
    <xf numFmtId="0" fontId="129" fillId="8" borderId="0" applyNumberFormat="0" applyBorder="0" applyAlignment="0" applyProtection="0"/>
    <xf numFmtId="0" fontId="45" fillId="52" borderId="0" applyNumberFormat="0" applyBorder="0" applyAlignment="0" applyProtection="0"/>
    <xf numFmtId="0" fontId="45" fillId="53" borderId="0" applyNumberFormat="0" applyBorder="0" applyAlignment="0" applyProtection="0"/>
    <xf numFmtId="0" fontId="129" fillId="54" borderId="0" applyNumberFormat="0" applyBorder="0" applyAlignment="0" applyProtection="0"/>
    <xf numFmtId="0" fontId="129" fillId="55" borderId="0" applyNumberFormat="0" applyBorder="0" applyAlignment="0" applyProtection="0"/>
    <xf numFmtId="0" fontId="45" fillId="56" borderId="0" applyNumberFormat="0" applyBorder="0" applyAlignment="0" applyProtection="0"/>
    <xf numFmtId="0" fontId="45" fillId="57" borderId="0" applyNumberFormat="0" applyBorder="0" applyAlignment="0" applyProtection="0"/>
    <xf numFmtId="0" fontId="129" fillId="58" borderId="0" applyNumberFormat="0" applyBorder="0" applyAlignment="0" applyProtection="0"/>
    <xf numFmtId="0" fontId="45" fillId="36" borderId="26" applyNumberFormat="0" applyFont="0" applyAlignment="0" applyProtection="0"/>
    <xf numFmtId="0" fontId="108" fillId="0" borderId="0"/>
    <xf numFmtId="0" fontId="44" fillId="0" borderId="0"/>
    <xf numFmtId="0" fontId="131" fillId="0" borderId="0"/>
    <xf numFmtId="0" fontId="43" fillId="0" borderId="0"/>
    <xf numFmtId="0" fontId="42" fillId="0" borderId="0"/>
    <xf numFmtId="0" fontId="41" fillId="0" borderId="0"/>
    <xf numFmtId="0" fontId="41" fillId="0" borderId="0"/>
    <xf numFmtId="0" fontId="41" fillId="37" borderId="0" applyNumberFormat="0" applyBorder="0" applyAlignment="0" applyProtection="0"/>
    <xf numFmtId="0" fontId="41" fillId="38" borderId="0" applyNumberFormat="0" applyBorder="0" applyAlignment="0" applyProtection="0"/>
    <xf numFmtId="0" fontId="41" fillId="41" borderId="0" applyNumberFormat="0" applyBorder="0" applyAlignment="0" applyProtection="0"/>
    <xf numFmtId="0" fontId="41" fillId="42" borderId="0" applyNumberFormat="0" applyBorder="0" applyAlignment="0" applyProtection="0"/>
    <xf numFmtId="0" fontId="41" fillId="45" borderId="0" applyNumberFormat="0" applyBorder="0" applyAlignment="0" applyProtection="0"/>
    <xf numFmtId="0" fontId="41" fillId="46" borderId="0" applyNumberFormat="0" applyBorder="0" applyAlignment="0" applyProtection="0"/>
    <xf numFmtId="0" fontId="41" fillId="49" borderId="0" applyNumberFormat="0" applyBorder="0" applyAlignment="0" applyProtection="0"/>
    <xf numFmtId="0" fontId="41" fillId="50" borderId="0" applyNumberFormat="0" applyBorder="0" applyAlignment="0" applyProtection="0"/>
    <xf numFmtId="0" fontId="41" fillId="52" borderId="0" applyNumberFormat="0" applyBorder="0" applyAlignment="0" applyProtection="0"/>
    <xf numFmtId="0" fontId="41" fillId="53" borderId="0" applyNumberFormat="0" applyBorder="0" applyAlignment="0" applyProtection="0"/>
    <xf numFmtId="0" fontId="41" fillId="56" borderId="0" applyNumberFormat="0" applyBorder="0" applyAlignment="0" applyProtection="0"/>
    <xf numFmtId="0" fontId="41" fillId="57" borderId="0" applyNumberFormat="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36" borderId="26" applyNumberFormat="0" applyFont="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37" borderId="0" applyNumberFormat="0" applyBorder="0" applyAlignment="0" applyProtection="0"/>
    <xf numFmtId="0" fontId="41" fillId="38" borderId="0" applyNumberFormat="0" applyBorder="0" applyAlignment="0" applyProtection="0"/>
    <xf numFmtId="0" fontId="41" fillId="41" borderId="0" applyNumberFormat="0" applyBorder="0" applyAlignment="0" applyProtection="0"/>
    <xf numFmtId="0" fontId="41" fillId="42" borderId="0" applyNumberFormat="0" applyBorder="0" applyAlignment="0" applyProtection="0"/>
    <xf numFmtId="0" fontId="41" fillId="45" borderId="0" applyNumberFormat="0" applyBorder="0" applyAlignment="0" applyProtection="0"/>
    <xf numFmtId="0" fontId="41" fillId="46" borderId="0" applyNumberFormat="0" applyBorder="0" applyAlignment="0" applyProtection="0"/>
    <xf numFmtId="0" fontId="41" fillId="49" borderId="0" applyNumberFormat="0" applyBorder="0" applyAlignment="0" applyProtection="0"/>
    <xf numFmtId="0" fontId="41" fillId="50" borderId="0" applyNumberFormat="0" applyBorder="0" applyAlignment="0" applyProtection="0"/>
    <xf numFmtId="0" fontId="41" fillId="52" borderId="0" applyNumberFormat="0" applyBorder="0" applyAlignment="0" applyProtection="0"/>
    <xf numFmtId="0" fontId="41" fillId="53" borderId="0" applyNumberFormat="0" applyBorder="0" applyAlignment="0" applyProtection="0"/>
    <xf numFmtId="0" fontId="41" fillId="56" borderId="0" applyNumberFormat="0" applyBorder="0" applyAlignment="0" applyProtection="0"/>
    <xf numFmtId="0" fontId="41" fillId="57" borderId="0" applyNumberFormat="0" applyBorder="0" applyAlignment="0" applyProtection="0"/>
    <xf numFmtId="0" fontId="41" fillId="36" borderId="26" applyNumberFormat="0" applyFont="0" applyAlignment="0" applyProtection="0"/>
    <xf numFmtId="0" fontId="41" fillId="0" borderId="0"/>
    <xf numFmtId="0" fontId="105" fillId="0" borderId="0"/>
    <xf numFmtId="0" fontId="41" fillId="0" borderId="0"/>
    <xf numFmtId="0" fontId="41" fillId="0" borderId="0"/>
    <xf numFmtId="0" fontId="40" fillId="0" borderId="0"/>
    <xf numFmtId="0" fontId="39" fillId="0" borderId="0"/>
    <xf numFmtId="0" fontId="132" fillId="0" borderId="0" applyNumberFormat="0" applyFill="0" applyBorder="0" applyAlignment="0" applyProtection="0"/>
    <xf numFmtId="0" fontId="39" fillId="37" borderId="0" applyNumberFormat="0" applyBorder="0" applyAlignment="0" applyProtection="0"/>
    <xf numFmtId="0" fontId="39" fillId="38" borderId="0" applyNumberFormat="0" applyBorder="0" applyAlignment="0" applyProtection="0"/>
    <xf numFmtId="0" fontId="39" fillId="41" borderId="0" applyNumberFormat="0" applyBorder="0" applyAlignment="0" applyProtection="0"/>
    <xf numFmtId="0" fontId="39" fillId="42" borderId="0" applyNumberFormat="0" applyBorder="0" applyAlignment="0" applyProtection="0"/>
    <xf numFmtId="0" fontId="39" fillId="45" borderId="0" applyNumberFormat="0" applyBorder="0" applyAlignment="0" applyProtection="0"/>
    <xf numFmtId="0" fontId="39" fillId="46" borderId="0" applyNumberFormat="0" applyBorder="0" applyAlignment="0" applyProtection="0"/>
    <xf numFmtId="0" fontId="39" fillId="49" borderId="0" applyNumberFormat="0" applyBorder="0" applyAlignment="0" applyProtection="0"/>
    <xf numFmtId="0" fontId="39" fillId="50" borderId="0" applyNumberFormat="0" applyBorder="0" applyAlignment="0" applyProtection="0"/>
    <xf numFmtId="0" fontId="39" fillId="52" borderId="0" applyNumberFormat="0" applyBorder="0" applyAlignment="0" applyProtection="0"/>
    <xf numFmtId="0" fontId="39" fillId="53" borderId="0" applyNumberFormat="0" applyBorder="0" applyAlignment="0" applyProtection="0"/>
    <xf numFmtId="0" fontId="39" fillId="56" borderId="0" applyNumberFormat="0" applyBorder="0" applyAlignment="0" applyProtection="0"/>
    <xf numFmtId="0" fontId="39" fillId="57" borderId="0" applyNumberFormat="0" applyBorder="0" applyAlignment="0" applyProtection="0"/>
    <xf numFmtId="0" fontId="65" fillId="0" borderId="0"/>
    <xf numFmtId="0" fontId="55" fillId="2" borderId="0" applyNumberFormat="0" applyBorder="0" applyAlignment="0" applyProtection="0"/>
    <xf numFmtId="0" fontId="56" fillId="3" borderId="0" applyNumberFormat="0" applyBorder="0" applyAlignment="0" applyProtection="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118" fillId="0" borderId="0" applyNumberFormat="0" applyFill="0" applyBorder="0" applyAlignment="0" applyProtection="0"/>
    <xf numFmtId="0" fontId="39" fillId="36" borderId="26" applyNumberFormat="0" applyFont="0" applyAlignment="0" applyProtection="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37" borderId="0" applyNumberFormat="0" applyBorder="0" applyAlignment="0" applyProtection="0"/>
    <xf numFmtId="0" fontId="39" fillId="38" borderId="0" applyNumberFormat="0" applyBorder="0" applyAlignment="0" applyProtection="0"/>
    <xf numFmtId="0" fontId="39" fillId="41" borderId="0" applyNumberFormat="0" applyBorder="0" applyAlignment="0" applyProtection="0"/>
    <xf numFmtId="0" fontId="39" fillId="42" borderId="0" applyNumberFormat="0" applyBorder="0" applyAlignment="0" applyProtection="0"/>
    <xf numFmtId="0" fontId="39" fillId="45" borderId="0" applyNumberFormat="0" applyBorder="0" applyAlignment="0" applyProtection="0"/>
    <xf numFmtId="0" fontId="39" fillId="46" borderId="0" applyNumberFormat="0" applyBorder="0" applyAlignment="0" applyProtection="0"/>
    <xf numFmtId="0" fontId="39" fillId="49" borderId="0" applyNumberFormat="0" applyBorder="0" applyAlignment="0" applyProtection="0"/>
    <xf numFmtId="0" fontId="39" fillId="50" borderId="0" applyNumberFormat="0" applyBorder="0" applyAlignment="0" applyProtection="0"/>
    <xf numFmtId="0" fontId="39" fillId="52" borderId="0" applyNumberFormat="0" applyBorder="0" applyAlignment="0" applyProtection="0"/>
    <xf numFmtId="0" fontId="39" fillId="53" borderId="0" applyNumberFormat="0" applyBorder="0" applyAlignment="0" applyProtection="0"/>
    <xf numFmtId="0" fontId="39" fillId="56" borderId="0" applyNumberFormat="0" applyBorder="0" applyAlignment="0" applyProtection="0"/>
    <xf numFmtId="0" fontId="39" fillId="57" borderId="0" applyNumberFormat="0" applyBorder="0" applyAlignment="0" applyProtection="0"/>
    <xf numFmtId="0" fontId="39" fillId="36" borderId="26" applyNumberFormat="0" applyFont="0" applyAlignment="0" applyProtection="0"/>
    <xf numFmtId="0" fontId="39" fillId="0" borderId="0"/>
    <xf numFmtId="0" fontId="39" fillId="0" borderId="0"/>
    <xf numFmtId="0" fontId="39" fillId="0" borderId="0"/>
    <xf numFmtId="0" fontId="39" fillId="0" borderId="0"/>
    <xf numFmtId="0" fontId="39" fillId="0" borderId="0"/>
    <xf numFmtId="0" fontId="39" fillId="37" borderId="0" applyNumberFormat="0" applyBorder="0" applyAlignment="0" applyProtection="0"/>
    <xf numFmtId="0" fontId="39" fillId="38" borderId="0" applyNumberFormat="0" applyBorder="0" applyAlignment="0" applyProtection="0"/>
    <xf numFmtId="0" fontId="39" fillId="41" borderId="0" applyNumberFormat="0" applyBorder="0" applyAlignment="0" applyProtection="0"/>
    <xf numFmtId="0" fontId="39" fillId="42" borderId="0" applyNumberFormat="0" applyBorder="0" applyAlignment="0" applyProtection="0"/>
    <xf numFmtId="0" fontId="39" fillId="45" borderId="0" applyNumberFormat="0" applyBorder="0" applyAlignment="0" applyProtection="0"/>
    <xf numFmtId="0" fontId="39" fillId="46" borderId="0" applyNumberFormat="0" applyBorder="0" applyAlignment="0" applyProtection="0"/>
    <xf numFmtId="0" fontId="39" fillId="49" borderId="0" applyNumberFormat="0" applyBorder="0" applyAlignment="0" applyProtection="0"/>
    <xf numFmtId="0" fontId="39" fillId="50" borderId="0" applyNumberFormat="0" applyBorder="0" applyAlignment="0" applyProtection="0"/>
    <xf numFmtId="0" fontId="39" fillId="52" borderId="0" applyNumberFormat="0" applyBorder="0" applyAlignment="0" applyProtection="0"/>
    <xf numFmtId="0" fontId="39" fillId="53" borderId="0" applyNumberFormat="0" applyBorder="0" applyAlignment="0" applyProtection="0"/>
    <xf numFmtId="0" fontId="39" fillId="56" borderId="0" applyNumberFormat="0" applyBorder="0" applyAlignment="0" applyProtection="0"/>
    <xf numFmtId="0" fontId="39" fillId="57" borderId="0" applyNumberFormat="0" applyBorder="0" applyAlignment="0" applyProtection="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36" borderId="26" applyNumberFormat="0" applyFont="0" applyAlignment="0" applyProtection="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37" borderId="0" applyNumberFormat="0" applyBorder="0" applyAlignment="0" applyProtection="0"/>
    <xf numFmtId="0" fontId="39" fillId="38" borderId="0" applyNumberFormat="0" applyBorder="0" applyAlignment="0" applyProtection="0"/>
    <xf numFmtId="0" fontId="39" fillId="41" borderId="0" applyNumberFormat="0" applyBorder="0" applyAlignment="0" applyProtection="0"/>
    <xf numFmtId="0" fontId="39" fillId="42" borderId="0" applyNumberFormat="0" applyBorder="0" applyAlignment="0" applyProtection="0"/>
    <xf numFmtId="0" fontId="39" fillId="45" borderId="0" applyNumberFormat="0" applyBorder="0" applyAlignment="0" applyProtection="0"/>
    <xf numFmtId="0" fontId="39" fillId="46" borderId="0" applyNumberFormat="0" applyBorder="0" applyAlignment="0" applyProtection="0"/>
    <xf numFmtId="0" fontId="39" fillId="49" borderId="0" applyNumberFormat="0" applyBorder="0" applyAlignment="0" applyProtection="0"/>
    <xf numFmtId="0" fontId="39" fillId="50" borderId="0" applyNumberFormat="0" applyBorder="0" applyAlignment="0" applyProtection="0"/>
    <xf numFmtId="0" fontId="39" fillId="52" borderId="0" applyNumberFormat="0" applyBorder="0" applyAlignment="0" applyProtection="0"/>
    <xf numFmtId="0" fontId="39" fillId="53" borderId="0" applyNumberFormat="0" applyBorder="0" applyAlignment="0" applyProtection="0"/>
    <xf numFmtId="0" fontId="39" fillId="56" borderId="0" applyNumberFormat="0" applyBorder="0" applyAlignment="0" applyProtection="0"/>
    <xf numFmtId="0" fontId="39" fillId="57" borderId="0" applyNumberFormat="0" applyBorder="0" applyAlignment="0" applyProtection="0"/>
    <xf numFmtId="0" fontId="39" fillId="36" borderId="26" applyNumberFormat="0" applyFont="0" applyAlignment="0" applyProtection="0"/>
    <xf numFmtId="0" fontId="39" fillId="0" borderId="0"/>
    <xf numFmtId="0" fontId="39" fillId="0" borderId="0"/>
    <xf numFmtId="0" fontId="39" fillId="0" borderId="0"/>
    <xf numFmtId="0" fontId="39" fillId="0" borderId="0"/>
    <xf numFmtId="0" fontId="133" fillId="3" borderId="0" applyNumberFormat="0" applyBorder="0" applyAlignment="0" applyProtection="0"/>
    <xf numFmtId="0" fontId="38" fillId="0" borderId="0"/>
    <xf numFmtId="0" fontId="37" fillId="0" borderId="0"/>
    <xf numFmtId="0" fontId="134" fillId="0" borderId="20" applyNumberFormat="0" applyFill="0" applyAlignment="0" applyProtection="0"/>
    <xf numFmtId="0" fontId="135" fillId="0" borderId="21" applyNumberFormat="0" applyFill="0" applyAlignment="0" applyProtection="0"/>
    <xf numFmtId="0" fontId="136" fillId="0" borderId="22" applyNumberFormat="0" applyFill="0" applyAlignment="0" applyProtection="0"/>
    <xf numFmtId="0" fontId="136" fillId="0" borderId="0" applyNumberFormat="0" applyFill="0" applyBorder="0" applyAlignment="0" applyProtection="0"/>
    <xf numFmtId="0" fontId="137" fillId="2" borderId="0" applyNumberFormat="0" applyBorder="0" applyAlignment="0" applyProtection="0"/>
    <xf numFmtId="0" fontId="138" fillId="33" borderId="0" applyNumberFormat="0" applyBorder="0" applyAlignment="0" applyProtection="0"/>
    <xf numFmtId="0" fontId="139" fillId="3" borderId="0" applyNumberFormat="0" applyBorder="0" applyAlignment="0" applyProtection="0"/>
    <xf numFmtId="0" fontId="140" fillId="6" borderId="6" applyNumberFormat="0" applyAlignment="0" applyProtection="0"/>
    <xf numFmtId="0" fontId="141" fillId="34" borderId="23" applyNumberFormat="0" applyAlignment="0" applyProtection="0"/>
    <xf numFmtId="0" fontId="142" fillId="34" borderId="6" applyNumberFormat="0" applyAlignment="0" applyProtection="0"/>
    <xf numFmtId="0" fontId="143" fillId="0" borderId="24" applyNumberFormat="0" applyFill="0" applyAlignment="0" applyProtection="0"/>
    <xf numFmtId="0" fontId="144" fillId="35" borderId="25" applyNumberFormat="0" applyAlignment="0" applyProtection="0"/>
    <xf numFmtId="0" fontId="145" fillId="0" borderId="0" applyNumberFormat="0" applyFill="0" applyBorder="0" applyAlignment="0" applyProtection="0"/>
    <xf numFmtId="0" fontId="103" fillId="36" borderId="26" applyNumberFormat="0" applyFont="0" applyAlignment="0" applyProtection="0"/>
    <xf numFmtId="0" fontId="146" fillId="0" borderId="0" applyNumberFormat="0" applyFill="0" applyBorder="0" applyAlignment="0" applyProtection="0"/>
    <xf numFmtId="0" fontId="147" fillId="0" borderId="27" applyNumberFormat="0" applyFill="0" applyAlignment="0" applyProtection="0"/>
    <xf numFmtId="0" fontId="148" fillId="7" borderId="0" applyNumberFormat="0" applyBorder="0" applyAlignment="0" applyProtection="0"/>
    <xf numFmtId="0" fontId="103" fillId="37" borderId="0" applyNumberFormat="0" applyBorder="0" applyAlignment="0" applyProtection="0"/>
    <xf numFmtId="0" fontId="103" fillId="38" borderId="0" applyNumberFormat="0" applyBorder="0" applyAlignment="0" applyProtection="0"/>
    <xf numFmtId="0" fontId="148" fillId="39" borderId="0" applyNumberFormat="0" applyBorder="0" applyAlignment="0" applyProtection="0"/>
    <xf numFmtId="0" fontId="148" fillId="40" borderId="0" applyNumberFormat="0" applyBorder="0" applyAlignment="0" applyProtection="0"/>
    <xf numFmtId="0" fontId="103" fillId="41" borderId="0" applyNumberFormat="0" applyBorder="0" applyAlignment="0" applyProtection="0"/>
    <xf numFmtId="0" fontId="103" fillId="42" borderId="0" applyNumberFormat="0" applyBorder="0" applyAlignment="0" applyProtection="0"/>
    <xf numFmtId="0" fontId="148" fillId="43" borderId="0" applyNumberFormat="0" applyBorder="0" applyAlignment="0" applyProtection="0"/>
    <xf numFmtId="0" fontId="148" fillId="44" borderId="0" applyNumberFormat="0" applyBorder="0" applyAlignment="0" applyProtection="0"/>
    <xf numFmtId="0" fontId="103" fillId="45" borderId="0" applyNumberFormat="0" applyBorder="0" applyAlignment="0" applyProtection="0"/>
    <xf numFmtId="0" fontId="103" fillId="46" borderId="0" applyNumberFormat="0" applyBorder="0" applyAlignment="0" applyProtection="0"/>
    <xf numFmtId="0" fontId="148" fillId="47" borderId="0" applyNumberFormat="0" applyBorder="0" applyAlignment="0" applyProtection="0"/>
    <xf numFmtId="0" fontId="148" fillId="48" borderId="0" applyNumberFormat="0" applyBorder="0" applyAlignment="0" applyProtection="0"/>
    <xf numFmtId="0" fontId="103" fillId="49" borderId="0" applyNumberFormat="0" applyBorder="0" applyAlignment="0" applyProtection="0"/>
    <xf numFmtId="0" fontId="103" fillId="50" borderId="0" applyNumberFormat="0" applyBorder="0" applyAlignment="0" applyProtection="0"/>
    <xf numFmtId="0" fontId="148" fillId="51" borderId="0" applyNumberFormat="0" applyBorder="0" applyAlignment="0" applyProtection="0"/>
    <xf numFmtId="0" fontId="148" fillId="8" borderId="0" applyNumberFormat="0" applyBorder="0" applyAlignment="0" applyProtection="0"/>
    <xf numFmtId="0" fontId="103" fillId="52" borderId="0" applyNumberFormat="0" applyBorder="0" applyAlignment="0" applyProtection="0"/>
    <xf numFmtId="0" fontId="103" fillId="53" borderId="0" applyNumberFormat="0" applyBorder="0" applyAlignment="0" applyProtection="0"/>
    <xf numFmtId="0" fontId="148" fillId="54" borderId="0" applyNumberFormat="0" applyBorder="0" applyAlignment="0" applyProtection="0"/>
    <xf numFmtId="0" fontId="148" fillId="55" borderId="0" applyNumberFormat="0" applyBorder="0" applyAlignment="0" applyProtection="0"/>
    <xf numFmtId="0" fontId="103" fillId="56" borderId="0" applyNumberFormat="0" applyBorder="0" applyAlignment="0" applyProtection="0"/>
    <xf numFmtId="0" fontId="103" fillId="57" borderId="0" applyNumberFormat="0" applyBorder="0" applyAlignment="0" applyProtection="0"/>
    <xf numFmtId="0" fontId="148" fillId="58" borderId="0" applyNumberFormat="0" applyBorder="0" applyAlignment="0" applyProtection="0"/>
    <xf numFmtId="0" fontId="36" fillId="0" borderId="0"/>
    <xf numFmtId="0" fontId="149" fillId="0" borderId="0" applyNumberFormat="0" applyFill="0" applyBorder="0" applyAlignment="0" applyProtection="0"/>
    <xf numFmtId="0" fontId="36" fillId="36" borderId="26" applyNumberFormat="0" applyFont="0" applyAlignment="0" applyProtection="0"/>
    <xf numFmtId="0" fontId="36" fillId="37" borderId="0" applyNumberFormat="0" applyBorder="0" applyAlignment="0" applyProtection="0"/>
    <xf numFmtId="0" fontId="36" fillId="38" borderId="0" applyNumberFormat="0" applyBorder="0" applyAlignment="0" applyProtection="0"/>
    <xf numFmtId="0" fontId="36" fillId="41" borderId="0" applyNumberFormat="0" applyBorder="0" applyAlignment="0" applyProtection="0"/>
    <xf numFmtId="0" fontId="36" fillId="42" borderId="0" applyNumberFormat="0" applyBorder="0" applyAlignment="0" applyProtection="0"/>
    <xf numFmtId="0" fontId="36" fillId="45" borderId="0" applyNumberFormat="0" applyBorder="0" applyAlignment="0" applyProtection="0"/>
    <xf numFmtId="0" fontId="36" fillId="46" borderId="0" applyNumberFormat="0" applyBorder="0" applyAlignment="0" applyProtection="0"/>
    <xf numFmtId="0" fontId="36" fillId="49" borderId="0" applyNumberFormat="0" applyBorder="0" applyAlignment="0" applyProtection="0"/>
    <xf numFmtId="0" fontId="36" fillId="50" borderId="0" applyNumberFormat="0" applyBorder="0" applyAlignment="0" applyProtection="0"/>
    <xf numFmtId="0" fontId="36" fillId="52" borderId="0" applyNumberFormat="0" applyBorder="0" applyAlignment="0" applyProtection="0"/>
    <xf numFmtId="0" fontId="36" fillId="53" borderId="0" applyNumberFormat="0" applyBorder="0" applyAlignment="0" applyProtection="0"/>
    <xf numFmtId="0" fontId="36" fillId="56" borderId="0" applyNumberFormat="0" applyBorder="0" applyAlignment="0" applyProtection="0"/>
    <xf numFmtId="0" fontId="36" fillId="57" borderId="0" applyNumberFormat="0" applyBorder="0" applyAlignment="0" applyProtection="0"/>
    <xf numFmtId="0" fontId="150" fillId="0" borderId="0"/>
    <xf numFmtId="0" fontId="35" fillId="37" borderId="0" applyNumberFormat="0" applyBorder="0" applyAlignment="0" applyProtection="0"/>
    <xf numFmtId="0" fontId="35" fillId="38" borderId="0" applyNumberFormat="0" applyBorder="0" applyAlignment="0" applyProtection="0"/>
    <xf numFmtId="0" fontId="35" fillId="41" borderId="0" applyNumberFormat="0" applyBorder="0" applyAlignment="0" applyProtection="0"/>
    <xf numFmtId="0" fontId="35" fillId="42" borderId="0" applyNumberFormat="0" applyBorder="0" applyAlignment="0" applyProtection="0"/>
    <xf numFmtId="0" fontId="35" fillId="45" borderId="0" applyNumberFormat="0" applyBorder="0" applyAlignment="0" applyProtection="0"/>
    <xf numFmtId="0" fontId="35" fillId="46"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35" fillId="52" borderId="0" applyNumberFormat="0" applyBorder="0" applyAlignment="0" applyProtection="0"/>
    <xf numFmtId="0" fontId="35" fillId="53" borderId="0" applyNumberFormat="0" applyBorder="0" applyAlignment="0" applyProtection="0"/>
    <xf numFmtId="0" fontId="35" fillId="56" borderId="0" applyNumberFormat="0" applyBorder="0" applyAlignment="0" applyProtection="0"/>
    <xf numFmtId="0" fontId="35" fillId="57" borderId="0" applyNumberFormat="0" applyBorder="0" applyAlignment="0" applyProtection="0"/>
    <xf numFmtId="0" fontId="55" fillId="2" borderId="0" applyNumberFormat="0" applyBorder="0" applyAlignment="0" applyProtection="0"/>
    <xf numFmtId="0" fontId="56" fillId="3"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43" fontId="82" fillId="0" borderId="0" applyFont="0" applyFill="0" applyBorder="0" applyAlignment="0" applyProtection="0"/>
    <xf numFmtId="43" fontId="71" fillId="0" borderId="0" applyFont="0" applyFill="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43" fontId="82" fillId="0" borderId="0" applyFont="0" applyFill="0" applyBorder="0" applyAlignment="0" applyProtection="0"/>
    <xf numFmtId="43" fontId="71" fillId="0" borderId="0" applyFont="0" applyFill="0" applyBorder="0" applyAlignment="0" applyProtection="0"/>
    <xf numFmtId="0" fontId="118" fillId="0" borderId="0" applyNumberFormat="0" applyFill="0" applyBorder="0" applyAlignment="0" applyProtection="0"/>
    <xf numFmtId="0" fontId="35" fillId="36" borderId="26" applyNumberFormat="0" applyFont="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37" borderId="0" applyNumberFormat="0" applyBorder="0" applyAlignment="0" applyProtection="0"/>
    <xf numFmtId="0" fontId="35" fillId="38" borderId="0" applyNumberFormat="0" applyBorder="0" applyAlignment="0" applyProtection="0"/>
    <xf numFmtId="0" fontId="35" fillId="41" borderId="0" applyNumberFormat="0" applyBorder="0" applyAlignment="0" applyProtection="0"/>
    <xf numFmtId="0" fontId="35" fillId="42" borderId="0" applyNumberFormat="0" applyBorder="0" applyAlignment="0" applyProtection="0"/>
    <xf numFmtId="0" fontId="35" fillId="45" borderId="0" applyNumberFormat="0" applyBorder="0" applyAlignment="0" applyProtection="0"/>
    <xf numFmtId="0" fontId="35" fillId="46"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35" fillId="52" borderId="0" applyNumberFormat="0" applyBorder="0" applyAlignment="0" applyProtection="0"/>
    <xf numFmtId="0" fontId="35" fillId="53" borderId="0" applyNumberFormat="0" applyBorder="0" applyAlignment="0" applyProtection="0"/>
    <xf numFmtId="0" fontId="35" fillId="56" borderId="0" applyNumberFormat="0" applyBorder="0" applyAlignment="0" applyProtection="0"/>
    <xf numFmtId="0" fontId="35" fillId="57" borderId="0" applyNumberFormat="0" applyBorder="0" applyAlignment="0" applyProtection="0"/>
    <xf numFmtId="0" fontId="35" fillId="36" borderId="26" applyNumberFormat="0" applyFont="0" applyAlignment="0" applyProtection="0"/>
    <xf numFmtId="0" fontId="35" fillId="0" borderId="0"/>
    <xf numFmtId="0" fontId="35" fillId="0" borderId="0"/>
    <xf numFmtId="0" fontId="35" fillId="0" borderId="0"/>
    <xf numFmtId="0" fontId="35" fillId="0" borderId="0"/>
    <xf numFmtId="0" fontId="35" fillId="0" borderId="0"/>
    <xf numFmtId="0" fontId="35" fillId="37" borderId="0" applyNumberFormat="0" applyBorder="0" applyAlignment="0" applyProtection="0"/>
    <xf numFmtId="0" fontId="35" fillId="38" borderId="0" applyNumberFormat="0" applyBorder="0" applyAlignment="0" applyProtection="0"/>
    <xf numFmtId="0" fontId="35" fillId="41" borderId="0" applyNumberFormat="0" applyBorder="0" applyAlignment="0" applyProtection="0"/>
    <xf numFmtId="0" fontId="35" fillId="42" borderId="0" applyNumberFormat="0" applyBorder="0" applyAlignment="0" applyProtection="0"/>
    <xf numFmtId="0" fontId="35" fillId="45" borderId="0" applyNumberFormat="0" applyBorder="0" applyAlignment="0" applyProtection="0"/>
    <xf numFmtId="0" fontId="35" fillId="46"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35" fillId="52" borderId="0" applyNumberFormat="0" applyBorder="0" applyAlignment="0" applyProtection="0"/>
    <xf numFmtId="0" fontId="35" fillId="53" borderId="0" applyNumberFormat="0" applyBorder="0" applyAlignment="0" applyProtection="0"/>
    <xf numFmtId="0" fontId="35" fillId="56" borderId="0" applyNumberFormat="0" applyBorder="0" applyAlignment="0" applyProtection="0"/>
    <xf numFmtId="0" fontId="35" fillId="57"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36" borderId="26" applyNumberFormat="0" applyFont="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37" borderId="0" applyNumberFormat="0" applyBorder="0" applyAlignment="0" applyProtection="0"/>
    <xf numFmtId="0" fontId="35" fillId="38" borderId="0" applyNumberFormat="0" applyBorder="0" applyAlignment="0" applyProtection="0"/>
    <xf numFmtId="0" fontId="35" fillId="41" borderId="0" applyNumberFormat="0" applyBorder="0" applyAlignment="0" applyProtection="0"/>
    <xf numFmtId="0" fontId="35" fillId="42" borderId="0" applyNumberFormat="0" applyBorder="0" applyAlignment="0" applyProtection="0"/>
    <xf numFmtId="0" fontId="35" fillId="45" borderId="0" applyNumberFormat="0" applyBorder="0" applyAlignment="0" applyProtection="0"/>
    <xf numFmtId="0" fontId="35" fillId="46"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35" fillId="52" borderId="0" applyNumberFormat="0" applyBorder="0" applyAlignment="0" applyProtection="0"/>
    <xf numFmtId="0" fontId="35" fillId="53" borderId="0" applyNumberFormat="0" applyBorder="0" applyAlignment="0" applyProtection="0"/>
    <xf numFmtId="0" fontId="35" fillId="56" borderId="0" applyNumberFormat="0" applyBorder="0" applyAlignment="0" applyProtection="0"/>
    <xf numFmtId="0" fontId="35" fillId="57" borderId="0" applyNumberFormat="0" applyBorder="0" applyAlignment="0" applyProtection="0"/>
    <xf numFmtId="0" fontId="35" fillId="36" borderId="26" applyNumberFormat="0" applyFont="0" applyAlignment="0" applyProtection="0"/>
    <xf numFmtId="0" fontId="35" fillId="0" borderId="0"/>
    <xf numFmtId="0" fontId="35" fillId="0" borderId="0"/>
    <xf numFmtId="0" fontId="35" fillId="0" borderId="0"/>
    <xf numFmtId="0" fontId="35" fillId="0" borderId="0"/>
    <xf numFmtId="0" fontId="35" fillId="0" borderId="0"/>
    <xf numFmtId="0" fontId="35" fillId="37" borderId="0" applyNumberFormat="0" applyBorder="0" applyAlignment="0" applyProtection="0"/>
    <xf numFmtId="0" fontId="35" fillId="38" borderId="0" applyNumberFormat="0" applyBorder="0" applyAlignment="0" applyProtection="0"/>
    <xf numFmtId="0" fontId="35" fillId="41" borderId="0" applyNumberFormat="0" applyBorder="0" applyAlignment="0" applyProtection="0"/>
    <xf numFmtId="0" fontId="35" fillId="42" borderId="0" applyNumberFormat="0" applyBorder="0" applyAlignment="0" applyProtection="0"/>
    <xf numFmtId="0" fontId="35" fillId="45" borderId="0" applyNumberFormat="0" applyBorder="0" applyAlignment="0" applyProtection="0"/>
    <xf numFmtId="0" fontId="35" fillId="46"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35" fillId="52" borderId="0" applyNumberFormat="0" applyBorder="0" applyAlignment="0" applyProtection="0"/>
    <xf numFmtId="0" fontId="35" fillId="53" borderId="0" applyNumberFormat="0" applyBorder="0" applyAlignment="0" applyProtection="0"/>
    <xf numFmtId="0" fontId="35" fillId="56" borderId="0" applyNumberFormat="0" applyBorder="0" applyAlignment="0" applyProtection="0"/>
    <xf numFmtId="0" fontId="35" fillId="57"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36" borderId="26" applyNumberFormat="0" applyFont="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37" borderId="0" applyNumberFormat="0" applyBorder="0" applyAlignment="0" applyProtection="0"/>
    <xf numFmtId="0" fontId="35" fillId="38" borderId="0" applyNumberFormat="0" applyBorder="0" applyAlignment="0" applyProtection="0"/>
    <xf numFmtId="0" fontId="35" fillId="41" borderId="0" applyNumberFormat="0" applyBorder="0" applyAlignment="0" applyProtection="0"/>
    <xf numFmtId="0" fontId="35" fillId="42" borderId="0" applyNumberFormat="0" applyBorder="0" applyAlignment="0" applyProtection="0"/>
    <xf numFmtId="0" fontId="35" fillId="45" borderId="0" applyNumberFormat="0" applyBorder="0" applyAlignment="0" applyProtection="0"/>
    <xf numFmtId="0" fontId="35" fillId="46"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35" fillId="52" borderId="0" applyNumberFormat="0" applyBorder="0" applyAlignment="0" applyProtection="0"/>
    <xf numFmtId="0" fontId="35" fillId="53" borderId="0" applyNumberFormat="0" applyBorder="0" applyAlignment="0" applyProtection="0"/>
    <xf numFmtId="0" fontId="35" fillId="56" borderId="0" applyNumberFormat="0" applyBorder="0" applyAlignment="0" applyProtection="0"/>
    <xf numFmtId="0" fontId="35" fillId="57" borderId="0" applyNumberFormat="0" applyBorder="0" applyAlignment="0" applyProtection="0"/>
    <xf numFmtId="0" fontId="35" fillId="36" borderId="26" applyNumberFormat="0" applyFont="0" applyAlignment="0" applyProtection="0"/>
    <xf numFmtId="0" fontId="35" fillId="0" borderId="0"/>
    <xf numFmtId="0" fontId="35" fillId="0" borderId="0"/>
    <xf numFmtId="0" fontId="35" fillId="0" borderId="0"/>
    <xf numFmtId="0" fontId="35" fillId="0" borderId="0"/>
    <xf numFmtId="0" fontId="35" fillId="0" borderId="0"/>
    <xf numFmtId="0" fontId="35" fillId="37" borderId="0" applyNumberFormat="0" applyBorder="0" applyAlignment="0" applyProtection="0"/>
    <xf numFmtId="0" fontId="35" fillId="38" borderId="0" applyNumberFormat="0" applyBorder="0" applyAlignment="0" applyProtection="0"/>
    <xf numFmtId="0" fontId="35" fillId="41" borderId="0" applyNumberFormat="0" applyBorder="0" applyAlignment="0" applyProtection="0"/>
    <xf numFmtId="0" fontId="35" fillId="42" borderId="0" applyNumberFormat="0" applyBorder="0" applyAlignment="0" applyProtection="0"/>
    <xf numFmtId="0" fontId="35" fillId="45" borderId="0" applyNumberFormat="0" applyBorder="0" applyAlignment="0" applyProtection="0"/>
    <xf numFmtId="0" fontId="35" fillId="46"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35" fillId="52" borderId="0" applyNumberFormat="0" applyBorder="0" applyAlignment="0" applyProtection="0"/>
    <xf numFmtId="0" fontId="35" fillId="53" borderId="0" applyNumberFormat="0" applyBorder="0" applyAlignment="0" applyProtection="0"/>
    <xf numFmtId="0" fontId="35" fillId="56" borderId="0" applyNumberFormat="0" applyBorder="0" applyAlignment="0" applyProtection="0"/>
    <xf numFmtId="0" fontId="35" fillId="57"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36" borderId="26" applyNumberFormat="0" applyFont="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37" borderId="0" applyNumberFormat="0" applyBorder="0" applyAlignment="0" applyProtection="0"/>
    <xf numFmtId="0" fontId="35" fillId="38" borderId="0" applyNumberFormat="0" applyBorder="0" applyAlignment="0" applyProtection="0"/>
    <xf numFmtId="0" fontId="35" fillId="41" borderId="0" applyNumberFormat="0" applyBorder="0" applyAlignment="0" applyProtection="0"/>
    <xf numFmtId="0" fontId="35" fillId="42" borderId="0" applyNumberFormat="0" applyBorder="0" applyAlignment="0" applyProtection="0"/>
    <xf numFmtId="0" fontId="35" fillId="45" borderId="0" applyNumberFormat="0" applyBorder="0" applyAlignment="0" applyProtection="0"/>
    <xf numFmtId="0" fontId="35" fillId="46"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35" fillId="52" borderId="0" applyNumberFormat="0" applyBorder="0" applyAlignment="0" applyProtection="0"/>
    <xf numFmtId="0" fontId="35" fillId="53" borderId="0" applyNumberFormat="0" applyBorder="0" applyAlignment="0" applyProtection="0"/>
    <xf numFmtId="0" fontId="35" fillId="56" borderId="0" applyNumberFormat="0" applyBorder="0" applyAlignment="0" applyProtection="0"/>
    <xf numFmtId="0" fontId="35" fillId="57" borderId="0" applyNumberFormat="0" applyBorder="0" applyAlignment="0" applyProtection="0"/>
    <xf numFmtId="0" fontId="35" fillId="36" borderId="26" applyNumberFormat="0" applyFont="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36" borderId="26" applyNumberFormat="0" applyFont="0" applyAlignment="0" applyProtection="0"/>
    <xf numFmtId="0" fontId="35" fillId="37" borderId="0" applyNumberFormat="0" applyBorder="0" applyAlignment="0" applyProtection="0"/>
    <xf numFmtId="0" fontId="35" fillId="38" borderId="0" applyNumberFormat="0" applyBorder="0" applyAlignment="0" applyProtection="0"/>
    <xf numFmtId="0" fontId="35" fillId="41" borderId="0" applyNumberFormat="0" applyBorder="0" applyAlignment="0" applyProtection="0"/>
    <xf numFmtId="0" fontId="35" fillId="42" borderId="0" applyNumberFormat="0" applyBorder="0" applyAlignment="0" applyProtection="0"/>
    <xf numFmtId="0" fontId="35" fillId="45" borderId="0" applyNumberFormat="0" applyBorder="0" applyAlignment="0" applyProtection="0"/>
    <xf numFmtId="0" fontId="35" fillId="46"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35" fillId="52" borderId="0" applyNumberFormat="0" applyBorder="0" applyAlignment="0" applyProtection="0"/>
    <xf numFmtId="0" fontId="35" fillId="53" borderId="0" applyNumberFormat="0" applyBorder="0" applyAlignment="0" applyProtection="0"/>
    <xf numFmtId="0" fontId="35" fillId="56" borderId="0" applyNumberFormat="0" applyBorder="0" applyAlignment="0" applyProtection="0"/>
    <xf numFmtId="0" fontId="35" fillId="57" borderId="0" applyNumberFormat="0" applyBorder="0" applyAlignment="0" applyProtection="0"/>
    <xf numFmtId="0" fontId="34" fillId="0" borderId="0"/>
    <xf numFmtId="0" fontId="34" fillId="36" borderId="26" applyNumberFormat="0" applyFont="0" applyAlignment="0" applyProtection="0"/>
    <xf numFmtId="0" fontId="34" fillId="37"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34" fillId="49"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3" fillId="0" borderId="0"/>
    <xf numFmtId="0" fontId="32" fillId="0" borderId="0"/>
    <xf numFmtId="0" fontId="65" fillId="0" borderId="0"/>
    <xf numFmtId="0" fontId="32" fillId="0" borderId="0"/>
    <xf numFmtId="0" fontId="31" fillId="0" borderId="0"/>
    <xf numFmtId="0" fontId="30" fillId="0" borderId="0"/>
    <xf numFmtId="0" fontId="151" fillId="0" borderId="0"/>
    <xf numFmtId="0" fontId="29" fillId="0" borderId="0"/>
    <xf numFmtId="0" fontId="28" fillId="0" borderId="0"/>
    <xf numFmtId="0" fontId="27" fillId="0" borderId="0"/>
    <xf numFmtId="0" fontId="26"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43" fontId="82" fillId="0" borderId="0" applyFont="0" applyFill="0" applyBorder="0" applyAlignment="0" applyProtection="0"/>
    <xf numFmtId="43" fontId="71" fillId="0" borderId="0" applyFont="0" applyFill="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43" fontId="82" fillId="0" borderId="0" applyFont="0" applyFill="0" applyBorder="0" applyAlignment="0" applyProtection="0"/>
    <xf numFmtId="43" fontId="71" fillId="0" borderId="0" applyFont="0" applyFill="0" applyBorder="0" applyAlignment="0" applyProtection="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6" borderId="26" applyNumberFormat="0" applyFont="0" applyAlignment="0" applyProtection="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43" fontId="82" fillId="0" borderId="0" applyFont="0" applyFill="0" applyBorder="0" applyAlignment="0" applyProtection="0"/>
    <xf numFmtId="43" fontId="71" fillId="0" borderId="0" applyFont="0" applyFill="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43" fontId="82" fillId="0" borderId="0" applyFont="0" applyFill="0" applyBorder="0" applyAlignment="0" applyProtection="0"/>
    <xf numFmtId="43" fontId="71" fillId="0" borderId="0" applyFont="0" applyFill="0" applyBorder="0" applyAlignment="0" applyProtection="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36" borderId="26" applyNumberFormat="0" applyFont="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36" borderId="26" applyNumberFormat="0" applyFont="0" applyAlignment="0" applyProtection="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0" borderId="0"/>
    <xf numFmtId="0" fontId="25" fillId="36" borderId="26" applyNumberFormat="0" applyFont="0" applyAlignment="0" applyProtection="0"/>
    <xf numFmtId="0" fontId="25" fillId="37" borderId="0" applyNumberFormat="0" applyBorder="0" applyAlignment="0" applyProtection="0"/>
    <xf numFmtId="0" fontId="25" fillId="38" borderId="0" applyNumberFormat="0" applyBorder="0" applyAlignment="0" applyProtection="0"/>
    <xf numFmtId="0" fontId="25" fillId="41" borderId="0" applyNumberFormat="0" applyBorder="0" applyAlignment="0" applyProtection="0"/>
    <xf numFmtId="0" fontId="25" fillId="42"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9" borderId="0" applyNumberFormat="0" applyBorder="0" applyAlignment="0" applyProtection="0"/>
    <xf numFmtId="0" fontId="25" fillId="50" borderId="0" applyNumberFormat="0" applyBorder="0" applyAlignment="0" applyProtection="0"/>
    <xf numFmtId="0" fontId="25" fillId="52" borderId="0" applyNumberFormat="0" applyBorder="0" applyAlignment="0" applyProtection="0"/>
    <xf numFmtId="0" fontId="25" fillId="53" borderId="0" applyNumberFormat="0" applyBorder="0" applyAlignment="0" applyProtection="0"/>
    <xf numFmtId="0" fontId="25" fillId="56" borderId="0" applyNumberFormat="0" applyBorder="0" applyAlignment="0" applyProtection="0"/>
    <xf numFmtId="0" fontId="25" fillId="57" borderId="0" applyNumberFormat="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5" fillId="0" borderId="0"/>
    <xf numFmtId="0" fontId="24"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43" fontId="82" fillId="0" borderId="0" applyFont="0" applyFill="0" applyBorder="0" applyAlignment="0" applyProtection="0"/>
    <xf numFmtId="43" fontId="71" fillId="0" borderId="0" applyFont="0" applyFill="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43" fontId="82" fillId="0" borderId="0" applyFont="0" applyFill="0" applyBorder="0" applyAlignment="0" applyProtection="0"/>
    <xf numFmtId="43" fontId="71" fillId="0" borderId="0" applyFont="0" applyFill="0" applyBorder="0" applyAlignment="0" applyProtection="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43" fontId="82" fillId="0" borderId="0" applyFont="0" applyFill="0" applyBorder="0" applyAlignment="0" applyProtection="0"/>
    <xf numFmtId="43" fontId="71" fillId="0" borderId="0" applyFont="0" applyFill="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43" fontId="82" fillId="0" borderId="0" applyFont="0" applyFill="0" applyBorder="0" applyAlignment="0" applyProtection="0"/>
    <xf numFmtId="43" fontId="71" fillId="0" borderId="0" applyFont="0" applyFill="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36" borderId="26" applyNumberFormat="0" applyFont="0" applyAlignment="0" applyProtection="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43" fontId="82" fillId="0" borderId="0" applyFont="0" applyFill="0" applyBorder="0" applyAlignment="0" applyProtection="0"/>
    <xf numFmtId="43" fontId="71" fillId="0" borderId="0" applyFont="0" applyFill="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43" fontId="82" fillId="0" borderId="0" applyFont="0" applyFill="0" applyBorder="0" applyAlignment="0" applyProtection="0"/>
    <xf numFmtId="43" fontId="71" fillId="0" borderId="0" applyFont="0" applyFill="0" applyBorder="0" applyAlignment="0" applyProtection="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43" fontId="82" fillId="0" borderId="0" applyFont="0" applyFill="0" applyBorder="0" applyAlignment="0" applyProtection="0"/>
    <xf numFmtId="43" fontId="71" fillId="0" borderId="0" applyFont="0" applyFill="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43" fontId="82" fillId="0" borderId="0" applyFont="0" applyFill="0" applyBorder="0" applyAlignment="0" applyProtection="0"/>
    <xf numFmtId="43" fontId="71" fillId="0" borderId="0" applyFont="0" applyFill="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36" borderId="26" applyNumberFormat="0" applyFont="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36" borderId="26" applyNumberFormat="0" applyFont="0" applyAlignment="0" applyProtection="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36" borderId="26" applyNumberFormat="0" applyFont="0" applyAlignment="0" applyProtection="0"/>
    <xf numFmtId="0" fontId="23" fillId="37" borderId="0" applyNumberFormat="0" applyBorder="0" applyAlignment="0" applyProtection="0"/>
    <xf numFmtId="0" fontId="23" fillId="38"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53" borderId="0" applyNumberFormat="0" applyBorder="0" applyAlignment="0" applyProtection="0"/>
    <xf numFmtId="0" fontId="23" fillId="56" borderId="0" applyNumberFormat="0" applyBorder="0" applyAlignment="0" applyProtection="0"/>
    <xf numFmtId="0" fontId="23" fillId="57" borderId="0" applyNumberFormat="0" applyBorder="0" applyAlignment="0" applyProtection="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2" fillId="0" borderId="0" applyFont="0" applyFill="0" applyBorder="0" applyAlignment="0" applyProtection="0"/>
    <xf numFmtId="43" fontId="71"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2" fillId="0" borderId="0" applyFont="0" applyFill="0" applyBorder="0" applyAlignment="0" applyProtection="0"/>
    <xf numFmtId="43" fontId="71" fillId="0" borderId="0" applyFont="0" applyFill="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2" fillId="0" borderId="0" applyFont="0" applyFill="0" applyBorder="0" applyAlignment="0" applyProtection="0"/>
    <xf numFmtId="43" fontId="71"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2" fillId="0" borderId="0" applyFont="0" applyFill="0" applyBorder="0" applyAlignment="0" applyProtection="0"/>
    <xf numFmtId="43" fontId="71" fillId="0" borderId="0" applyFont="0" applyFill="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2" fillId="0" borderId="0" applyFont="0" applyFill="0" applyBorder="0" applyAlignment="0" applyProtection="0"/>
    <xf numFmtId="43" fontId="71"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2" fillId="0" borderId="0" applyFont="0" applyFill="0" applyBorder="0" applyAlignment="0" applyProtection="0"/>
    <xf numFmtId="43" fontId="71" fillId="0" borderId="0" applyFont="0" applyFill="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2" fillId="0" borderId="0" applyFont="0" applyFill="0" applyBorder="0" applyAlignment="0" applyProtection="0"/>
    <xf numFmtId="43" fontId="71"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2" fillId="0" borderId="0" applyFont="0" applyFill="0" applyBorder="0" applyAlignment="0" applyProtection="0"/>
    <xf numFmtId="43" fontId="71" fillId="0" borderId="0" applyFont="0" applyFill="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1" fillId="0" borderId="0"/>
    <xf numFmtId="0" fontId="20" fillId="0" borderId="0"/>
    <xf numFmtId="0" fontId="20" fillId="0" borderId="0"/>
    <xf numFmtId="0" fontId="20" fillId="0" borderId="0"/>
    <xf numFmtId="0" fontId="20" fillId="0" borderId="0"/>
    <xf numFmtId="0" fontId="55" fillId="2" borderId="0" applyNumberFormat="0" applyBorder="0" applyAlignment="0" applyProtection="0"/>
    <xf numFmtId="0" fontId="56" fillId="3" borderId="0" applyNumberFormat="0" applyBorder="0" applyAlignment="0" applyProtection="0"/>
    <xf numFmtId="0" fontId="20" fillId="0" borderId="0"/>
    <xf numFmtId="0" fontId="20" fillId="0" borderId="0"/>
    <xf numFmtId="0" fontId="20" fillId="0" borderId="0"/>
    <xf numFmtId="0" fontId="152" fillId="0" borderId="0"/>
    <xf numFmtId="0" fontId="105" fillId="0" borderId="0"/>
    <xf numFmtId="0" fontId="20" fillId="0" borderId="0"/>
    <xf numFmtId="0" fontId="20"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65"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1" fillId="0" borderId="0"/>
    <xf numFmtId="0" fontId="10" fillId="0" borderId="0"/>
    <xf numFmtId="0" fontId="9" fillId="0" borderId="0"/>
    <xf numFmtId="0" fontId="8" fillId="0" borderId="0"/>
    <xf numFmtId="0" fontId="65" fillId="0" borderId="0"/>
    <xf numFmtId="0" fontId="7" fillId="0" borderId="0"/>
    <xf numFmtId="0" fontId="7" fillId="0" borderId="0"/>
    <xf numFmtId="0" fontId="6" fillId="0" borderId="0"/>
    <xf numFmtId="0" fontId="6" fillId="0" borderId="0"/>
    <xf numFmtId="0" fontId="5" fillId="0" borderId="0"/>
    <xf numFmtId="0" fontId="5" fillId="0" borderId="0"/>
    <xf numFmtId="0" fontId="4" fillId="0" borderId="0"/>
    <xf numFmtId="0" fontId="4" fillId="0" borderId="0"/>
  </cellStyleXfs>
  <cellXfs count="74">
    <xf numFmtId="0" fontId="0" fillId="0" borderId="0" xfId="0"/>
    <xf numFmtId="0" fontId="0" fillId="0" borderId="0" xfId="0" quotePrefix="1"/>
    <xf numFmtId="0" fontId="53" fillId="0" borderId="0" xfId="0" applyFont="1"/>
    <xf numFmtId="0" fontId="56" fillId="3" borderId="0" xfId="2"/>
    <xf numFmtId="0" fontId="55" fillId="2" borderId="0" xfId="1"/>
    <xf numFmtId="0" fontId="0" fillId="0" borderId="0" xfId="0"/>
    <xf numFmtId="0" fontId="53" fillId="0" borderId="0" xfId="0" applyFont="1" applyProtection="1">
      <protection hidden="1"/>
    </xf>
    <xf numFmtId="0" fontId="0" fillId="0" borderId="0" xfId="0" applyProtection="1">
      <protection hidden="1"/>
    </xf>
    <xf numFmtId="0" fontId="0" fillId="0" borderId="0" xfId="0" applyNumberFormat="1"/>
    <xf numFmtId="0" fontId="0" fillId="0" borderId="0" xfId="0" applyAlignment="1">
      <alignment vertical="top"/>
    </xf>
    <xf numFmtId="0" fontId="0" fillId="0" borderId="0" xfId="0" applyAlignment="1">
      <alignment wrapText="1"/>
    </xf>
    <xf numFmtId="0" fontId="0" fillId="0" borderId="0" xfId="0"/>
    <xf numFmtId="0" fontId="0" fillId="0" borderId="0" xfId="0" applyAlignment="1">
      <alignment vertical="top"/>
    </xf>
    <xf numFmtId="0" fontId="0" fillId="0" borderId="0" xfId="0" applyAlignment="1"/>
    <xf numFmtId="0" fontId="0" fillId="0" borderId="0" xfId="0" applyAlignment="1">
      <alignment wrapText="1"/>
    </xf>
    <xf numFmtId="0" fontId="59" fillId="3" borderId="2" xfId="2" applyFont="1" applyFill="1" applyBorder="1" applyAlignment="1">
      <alignment vertical="top"/>
    </xf>
    <xf numFmtId="0" fontId="0" fillId="4" borderId="3" xfId="0" applyFont="1" applyFill="1" applyBorder="1" applyAlignment="1">
      <alignment vertical="top"/>
    </xf>
    <xf numFmtId="0" fontId="58" fillId="2" borderId="1" xfId="1" applyFont="1" applyFill="1" applyBorder="1" applyAlignment="1">
      <alignment vertical="top"/>
    </xf>
    <xf numFmtId="0" fontId="0" fillId="0" borderId="0" xfId="0" applyBorder="1" applyAlignment="1">
      <alignment wrapText="1"/>
    </xf>
    <xf numFmtId="0" fontId="0" fillId="0" borderId="0" xfId="0" quotePrefix="1" applyBorder="1" applyAlignment="1">
      <alignment wrapText="1"/>
    </xf>
    <xf numFmtId="0" fontId="0" fillId="4" borderId="4" xfId="0" applyNumberFormat="1" applyFont="1" applyFill="1" applyBorder="1" applyAlignment="1">
      <alignment vertical="top"/>
    </xf>
    <xf numFmtId="0" fontId="0" fillId="0" borderId="4" xfId="0" applyBorder="1" applyAlignment="1">
      <alignment vertical="top" wrapText="1"/>
    </xf>
    <xf numFmtId="0" fontId="0" fillId="4" borderId="3" xfId="0" applyNumberFormat="1" applyFont="1" applyFill="1" applyBorder="1" applyAlignment="1">
      <alignment vertical="top" wrapText="1"/>
    </xf>
    <xf numFmtId="0" fontId="57" fillId="0" borderId="0" xfId="0" applyFont="1" applyAlignment="1">
      <alignment vertical="top"/>
    </xf>
    <xf numFmtId="0" fontId="0" fillId="5" borderId="5" xfId="0" applyFont="1" applyFill="1" applyBorder="1"/>
    <xf numFmtId="0" fontId="0" fillId="0" borderId="0" xfId="0" applyAlignment="1">
      <alignment horizontal="right"/>
    </xf>
    <xf numFmtId="0" fontId="62" fillId="0" borderId="0" xfId="0" applyFont="1"/>
    <xf numFmtId="0" fontId="61" fillId="0" borderId="0" xfId="0" applyFont="1"/>
    <xf numFmtId="22" fontId="0" fillId="0" borderId="0" xfId="0" applyNumberFormat="1"/>
    <xf numFmtId="0" fontId="0" fillId="0" borderId="0" xfId="0"/>
    <xf numFmtId="0" fontId="0" fillId="0" borderId="0" xfId="0" applyProtection="1">
      <protection hidden="1"/>
    </xf>
    <xf numFmtId="20" fontId="0" fillId="0" borderId="0" xfId="0" applyNumberFormat="1" applyBorder="1"/>
    <xf numFmtId="20" fontId="0" fillId="0" borderId="7" xfId="0" applyNumberFormat="1" applyBorder="1"/>
    <xf numFmtId="22" fontId="53" fillId="0" borderId="0" xfId="0" applyNumberFormat="1" applyFont="1"/>
    <xf numFmtId="0" fontId="0" fillId="0" borderId="0" xfId="0" applyNumberFormat="1" applyAlignment="1">
      <alignment vertical="top"/>
    </xf>
    <xf numFmtId="0" fontId="53" fillId="0" borderId="7" xfId="0" applyFont="1" applyBorder="1"/>
    <xf numFmtId="0" fontId="53" fillId="0" borderId="0" xfId="0" applyFont="1" applyBorder="1"/>
    <xf numFmtId="0" fontId="0" fillId="0" borderId="0" xfId="0" applyAlignment="1"/>
    <xf numFmtId="0" fontId="0" fillId="0" borderId="0" xfId="0"/>
    <xf numFmtId="0" fontId="0" fillId="0" borderId="0" xfId="0" applyAlignment="1">
      <alignment vertical="top"/>
    </xf>
    <xf numFmtId="0" fontId="48" fillId="0" borderId="0" xfId="0" applyFont="1" applyFill="1" applyBorder="1"/>
    <xf numFmtId="0" fontId="0" fillId="0" borderId="0" xfId="0" quotePrefix="1" applyBorder="1" applyAlignment="1">
      <alignment vertical="top" wrapText="1"/>
    </xf>
    <xf numFmtId="0" fontId="0" fillId="0" borderId="0" xfId="0" applyAlignment="1">
      <alignment vertical="top" wrapText="1"/>
    </xf>
    <xf numFmtId="22" fontId="63" fillId="6" borderId="7" xfId="10" applyNumberFormat="1" applyBorder="1"/>
    <xf numFmtId="0" fontId="62" fillId="0" borderId="31" xfId="45497" applyFont="1" applyFill="1" applyBorder="1" applyAlignment="1"/>
    <xf numFmtId="0" fontId="73" fillId="0" borderId="0" xfId="0" applyNumberFormat="1" applyFont="1" applyFill="1" applyBorder="1" applyAlignment="1" applyProtection="1"/>
    <xf numFmtId="0" fontId="153" fillId="0" borderId="0" xfId="0" applyFont="1" applyFill="1" applyAlignment="1">
      <alignment vertical="top"/>
    </xf>
    <xf numFmtId="0" fontId="154" fillId="0" borderId="28" xfId="3" applyNumberFormat="1" applyFont="1" applyFill="1" applyBorder="1" applyAlignment="1"/>
    <xf numFmtId="14" fontId="0" fillId="0" borderId="0" xfId="0" applyNumberFormat="1" applyAlignment="1">
      <alignment vertical="top"/>
    </xf>
    <xf numFmtId="0" fontId="0" fillId="0" borderId="0" xfId="0" applyNumberFormat="1" applyAlignment="1">
      <alignment vertical="top" wrapText="1"/>
    </xf>
    <xf numFmtId="0" fontId="3" fillId="0" borderId="34" xfId="0" applyFont="1" applyBorder="1"/>
    <xf numFmtId="0" fontId="0" fillId="0" borderId="35" xfId="0" applyFont="1" applyBorder="1"/>
    <xf numFmtId="0" fontId="3" fillId="0" borderId="29" xfId="0" applyNumberFormat="1" applyFont="1" applyBorder="1" applyAlignment="1">
      <alignment vertical="top"/>
    </xf>
    <xf numFmtId="0" fontId="3" fillId="0" borderId="28" xfId="3" applyNumberFormat="1" applyFont="1" applyFill="1" applyBorder="1" applyAlignment="1">
      <alignment horizontal="left"/>
    </xf>
    <xf numFmtId="0" fontId="3" fillId="0" borderId="30" xfId="0" applyFont="1" applyFill="1" applyBorder="1" applyAlignment="1">
      <alignment horizontal="left"/>
    </xf>
    <xf numFmtId="0" fontId="155" fillId="0" borderId="32" xfId="0" applyNumberFormat="1" applyFont="1" applyFill="1" applyBorder="1" applyAlignment="1" applyProtection="1"/>
    <xf numFmtId="0" fontId="156" fillId="59" borderId="31" xfId="45492" applyNumberFormat="1" applyFont="1" applyFill="1" applyBorder="1" applyAlignment="1">
      <alignment vertical="top"/>
    </xf>
    <xf numFmtId="49" fontId="156" fillId="59" borderId="31" xfId="45492" applyNumberFormat="1" applyFont="1" applyFill="1" applyBorder="1" applyAlignment="1">
      <alignment vertical="top"/>
    </xf>
    <xf numFmtId="0" fontId="2" fillId="0" borderId="31" xfId="45492" applyNumberFormat="1" applyFont="1" applyFill="1" applyBorder="1" applyAlignment="1">
      <alignment horizontal="left"/>
    </xf>
    <xf numFmtId="0" fontId="1" fillId="0" borderId="33" xfId="0" applyFont="1" applyBorder="1"/>
    <xf numFmtId="49" fontId="1" fillId="0" borderId="28" xfId="0" applyNumberFormat="1" applyFont="1" applyBorder="1" applyAlignment="1" applyProtection="1">
      <alignment vertical="top"/>
      <protection hidden="1"/>
    </xf>
    <xf numFmtId="0" fontId="0" fillId="0" borderId="0" xfId="0" applyBorder="1"/>
    <xf numFmtId="0" fontId="1" fillId="0" borderId="28" xfId="0" applyFont="1" applyBorder="1"/>
    <xf numFmtId="0" fontId="0" fillId="0" borderId="0" xfId="0" applyBorder="1" applyProtection="1">
      <protection hidden="1"/>
    </xf>
    <xf numFmtId="0" fontId="156" fillId="59" borderId="36" xfId="45492" applyNumberFormat="1" applyFont="1" applyFill="1" applyBorder="1" applyAlignment="1">
      <alignment vertical="top"/>
    </xf>
    <xf numFmtId="0" fontId="1" fillId="0" borderId="36" xfId="45492" applyNumberFormat="1" applyFont="1" applyFill="1" applyBorder="1" applyAlignment="1">
      <alignment horizontal="left"/>
    </xf>
    <xf numFmtId="49" fontId="156" fillId="59" borderId="36" xfId="45492" applyNumberFormat="1" applyFont="1" applyFill="1" applyBorder="1" applyAlignment="1">
      <alignment vertical="top"/>
    </xf>
    <xf numFmtId="0" fontId="1" fillId="0" borderId="35" xfId="0" applyFont="1" applyBorder="1"/>
    <xf numFmtId="0" fontId="1" fillId="0" borderId="29" xfId="0" applyNumberFormat="1" applyFont="1" applyBorder="1" applyAlignment="1">
      <alignment vertical="top"/>
    </xf>
    <xf numFmtId="0" fontId="1" fillId="0" borderId="28" xfId="3" applyNumberFormat="1" applyFont="1" applyFill="1" applyBorder="1" applyAlignment="1">
      <alignment horizontal="left"/>
    </xf>
    <xf numFmtId="0" fontId="1" fillId="0" borderId="30" xfId="0" applyFont="1" applyFill="1" applyBorder="1" applyAlignment="1">
      <alignment horizontal="left"/>
    </xf>
    <xf numFmtId="0" fontId="157" fillId="0" borderId="36" xfId="0" applyFont="1" applyFill="1" applyBorder="1" applyAlignment="1"/>
    <xf numFmtId="0" fontId="0" fillId="0" borderId="0" xfId="0" applyBorder="1" applyAlignment="1">
      <alignment vertical="top"/>
    </xf>
    <xf numFmtId="0" fontId="153" fillId="0" borderId="0" xfId="0" applyFont="1" applyFill="1" applyBorder="1" applyAlignment="1">
      <alignment vertical="top"/>
    </xf>
  </cellXfs>
  <cellStyles count="45501">
    <cellStyle name=" Task]_x000d__x000a_TaskName=Scan At_x000d__x000a_TaskID=3_x000d__x000a_WorkstationName=SmarTone_x000d__x000a_LastExecuted=0_x000d__x000a_LastSt" xfId="48"/>
    <cellStyle name="20% - Accent1" xfId="621" builtinId="30" customBuiltin="1"/>
    <cellStyle name="20% - Accent1 10" xfId="7760"/>
    <cellStyle name="20% - Accent1 10 2" xfId="15283"/>
    <cellStyle name="20% - Accent1 10 2 2" xfId="30327"/>
    <cellStyle name="20% - Accent1 10 2 3" xfId="45370"/>
    <cellStyle name="20% - Accent1 10 3" xfId="22806"/>
    <cellStyle name="20% - Accent1 10 4" xfId="37849"/>
    <cellStyle name="20% - Accent1 11" xfId="8238"/>
    <cellStyle name="20% - Accent1 11 2" xfId="23282"/>
    <cellStyle name="20% - Accent1 11 3" xfId="38325"/>
    <cellStyle name="20% - Accent1 12" xfId="15761"/>
    <cellStyle name="20% - Accent1 13" xfId="30804"/>
    <cellStyle name="20% - Accent1 2" xfId="49"/>
    <cellStyle name="20% - Accent1 3" xfId="50"/>
    <cellStyle name="20% - Accent1 4" xfId="1114"/>
    <cellStyle name="20% - Accent1 4 2" xfId="2059"/>
    <cellStyle name="20% - Accent1 4 2 2" xfId="3930"/>
    <cellStyle name="20% - Accent1 4 2 2 2" xfId="7725"/>
    <cellStyle name="20% - Accent1 4 2 2 2 2" xfId="15248"/>
    <cellStyle name="20% - Accent1 4 2 2 2 2 2" xfId="30292"/>
    <cellStyle name="20% - Accent1 4 2 2 2 2 3" xfId="45335"/>
    <cellStyle name="20% - Accent1 4 2 2 2 3" xfId="22771"/>
    <cellStyle name="20% - Accent1 4 2 2 2 4" xfId="37814"/>
    <cellStyle name="20% - Accent1 4 2 2 3" xfId="11499"/>
    <cellStyle name="20% - Accent1 4 2 2 3 2" xfId="26543"/>
    <cellStyle name="20% - Accent1 4 2 2 3 3" xfId="41586"/>
    <cellStyle name="20% - Accent1 4 2 2 4" xfId="19022"/>
    <cellStyle name="20% - Accent1 4 2 2 5" xfId="34065"/>
    <cellStyle name="20% - Accent1 4 2 3" xfId="5860"/>
    <cellStyle name="20% - Accent1 4 2 3 2" xfId="13383"/>
    <cellStyle name="20% - Accent1 4 2 3 2 2" xfId="28427"/>
    <cellStyle name="20% - Accent1 4 2 3 2 3" xfId="43470"/>
    <cellStyle name="20% - Accent1 4 2 3 3" xfId="20906"/>
    <cellStyle name="20% - Accent1 4 2 3 4" xfId="35949"/>
    <cellStyle name="20% - Accent1 4 2 4" xfId="9634"/>
    <cellStyle name="20% - Accent1 4 2 4 2" xfId="24678"/>
    <cellStyle name="20% - Accent1 4 2 4 3" xfId="39721"/>
    <cellStyle name="20% - Accent1 4 2 5" xfId="17157"/>
    <cellStyle name="20% - Accent1 4 2 6" xfId="32200"/>
    <cellStyle name="20% - Accent1 4 3" xfId="2998"/>
    <cellStyle name="20% - Accent1 4 3 2" xfId="6793"/>
    <cellStyle name="20% - Accent1 4 3 2 2" xfId="14316"/>
    <cellStyle name="20% - Accent1 4 3 2 2 2" xfId="29360"/>
    <cellStyle name="20% - Accent1 4 3 2 2 3" xfId="44403"/>
    <cellStyle name="20% - Accent1 4 3 2 3" xfId="21839"/>
    <cellStyle name="20% - Accent1 4 3 2 4" xfId="36882"/>
    <cellStyle name="20% - Accent1 4 3 3" xfId="10567"/>
    <cellStyle name="20% - Accent1 4 3 3 2" xfId="25611"/>
    <cellStyle name="20% - Accent1 4 3 3 3" xfId="40654"/>
    <cellStyle name="20% - Accent1 4 3 4" xfId="18090"/>
    <cellStyle name="20% - Accent1 4 3 5" xfId="33133"/>
    <cellStyle name="20% - Accent1 4 4" xfId="4928"/>
    <cellStyle name="20% - Accent1 4 4 2" xfId="12451"/>
    <cellStyle name="20% - Accent1 4 4 2 2" xfId="27495"/>
    <cellStyle name="20% - Accent1 4 4 2 3" xfId="42538"/>
    <cellStyle name="20% - Accent1 4 4 3" xfId="19974"/>
    <cellStyle name="20% - Accent1 4 4 4" xfId="35017"/>
    <cellStyle name="20% - Accent1 4 5" xfId="8702"/>
    <cellStyle name="20% - Accent1 4 5 2" xfId="23746"/>
    <cellStyle name="20% - Accent1 4 5 3" xfId="38789"/>
    <cellStyle name="20% - Accent1 4 6" xfId="16225"/>
    <cellStyle name="20% - Accent1 4 7" xfId="31268"/>
    <cellStyle name="20% - Accent1 5" xfId="1145"/>
    <cellStyle name="20% - Accent1 5 2" xfId="3016"/>
    <cellStyle name="20% - Accent1 5 2 2" xfId="6811"/>
    <cellStyle name="20% - Accent1 5 2 2 2" xfId="14334"/>
    <cellStyle name="20% - Accent1 5 2 2 2 2" xfId="29378"/>
    <cellStyle name="20% - Accent1 5 2 2 2 3" xfId="44421"/>
    <cellStyle name="20% - Accent1 5 2 2 3" xfId="21857"/>
    <cellStyle name="20% - Accent1 5 2 2 4" xfId="36900"/>
    <cellStyle name="20% - Accent1 5 2 3" xfId="10585"/>
    <cellStyle name="20% - Accent1 5 2 3 2" xfId="25629"/>
    <cellStyle name="20% - Accent1 5 2 3 3" xfId="40672"/>
    <cellStyle name="20% - Accent1 5 2 4" xfId="18108"/>
    <cellStyle name="20% - Accent1 5 2 5" xfId="33151"/>
    <cellStyle name="20% - Accent1 5 3" xfId="4946"/>
    <cellStyle name="20% - Accent1 5 3 2" xfId="12469"/>
    <cellStyle name="20% - Accent1 5 3 2 2" xfId="27513"/>
    <cellStyle name="20% - Accent1 5 3 2 3" xfId="42556"/>
    <cellStyle name="20% - Accent1 5 3 3" xfId="19992"/>
    <cellStyle name="20% - Accent1 5 3 4" xfId="35035"/>
    <cellStyle name="20% - Accent1 5 4" xfId="8720"/>
    <cellStyle name="20% - Accent1 5 4 2" xfId="23764"/>
    <cellStyle name="20% - Accent1 5 4 3" xfId="38807"/>
    <cellStyle name="20% - Accent1 5 5" xfId="16243"/>
    <cellStyle name="20% - Accent1 5 6" xfId="31286"/>
    <cellStyle name="20% - Accent1 6" xfId="2079"/>
    <cellStyle name="20% - Accent1 6 2" xfId="5878"/>
    <cellStyle name="20% - Accent1 6 2 2" xfId="13401"/>
    <cellStyle name="20% - Accent1 6 2 2 2" xfId="28445"/>
    <cellStyle name="20% - Accent1 6 2 2 3" xfId="43488"/>
    <cellStyle name="20% - Accent1 6 2 3" xfId="20924"/>
    <cellStyle name="20% - Accent1 6 2 4" xfId="35967"/>
    <cellStyle name="20% - Accent1 6 3" xfId="9652"/>
    <cellStyle name="20% - Accent1 6 3 2" xfId="24696"/>
    <cellStyle name="20% - Accent1 6 3 3" xfId="39739"/>
    <cellStyle name="20% - Accent1 6 4" xfId="17175"/>
    <cellStyle name="20% - Accent1 6 5" xfId="32218"/>
    <cellStyle name="20% - Accent1 7" xfId="3967"/>
    <cellStyle name="20% - Accent1 8" xfId="3993"/>
    <cellStyle name="20% - Accent1 8 2" xfId="7746"/>
    <cellStyle name="20% - Accent1 8 2 2" xfId="15269"/>
    <cellStyle name="20% - Accent1 8 2 2 2" xfId="30313"/>
    <cellStyle name="20% - Accent1 8 2 2 3" xfId="45356"/>
    <cellStyle name="20% - Accent1 8 2 3" xfId="22792"/>
    <cellStyle name="20% - Accent1 8 2 4" xfId="37835"/>
    <cellStyle name="20% - Accent1 8 3" xfId="11520"/>
    <cellStyle name="20% - Accent1 8 3 2" xfId="26564"/>
    <cellStyle name="20% - Accent1 8 3 3" xfId="41607"/>
    <cellStyle name="20% - Accent1 8 4" xfId="19043"/>
    <cellStyle name="20% - Accent1 8 5" xfId="34086"/>
    <cellStyle name="20% - Accent1 9" xfId="4006"/>
    <cellStyle name="20% - Accent1 9 2" xfId="11532"/>
    <cellStyle name="20% - Accent1 9 2 2" xfId="26576"/>
    <cellStyle name="20% - Accent1 9 2 3" xfId="41619"/>
    <cellStyle name="20% - Accent1 9 3" xfId="19055"/>
    <cellStyle name="20% - Accent1 9 4" xfId="34098"/>
    <cellStyle name="20% - Accent2" xfId="625" builtinId="34" customBuiltin="1"/>
    <cellStyle name="20% - Accent2 10" xfId="7762"/>
    <cellStyle name="20% - Accent2 10 2" xfId="15285"/>
    <cellStyle name="20% - Accent2 10 2 2" xfId="30329"/>
    <cellStyle name="20% - Accent2 10 2 3" xfId="45372"/>
    <cellStyle name="20% - Accent2 10 3" xfId="22808"/>
    <cellStyle name="20% - Accent2 10 4" xfId="37851"/>
    <cellStyle name="20% - Accent2 11" xfId="8240"/>
    <cellStyle name="20% - Accent2 11 2" xfId="23284"/>
    <cellStyle name="20% - Accent2 11 3" xfId="38327"/>
    <cellStyle name="20% - Accent2 12" xfId="15763"/>
    <cellStyle name="20% - Accent2 13" xfId="30806"/>
    <cellStyle name="20% - Accent2 2" xfId="51"/>
    <cellStyle name="20% - Accent2 3" xfId="52"/>
    <cellStyle name="20% - Accent2 4" xfId="1118"/>
    <cellStyle name="20% - Accent2 4 2" xfId="2061"/>
    <cellStyle name="20% - Accent2 4 2 2" xfId="3932"/>
    <cellStyle name="20% - Accent2 4 2 2 2" xfId="7727"/>
    <cellStyle name="20% - Accent2 4 2 2 2 2" xfId="15250"/>
    <cellStyle name="20% - Accent2 4 2 2 2 2 2" xfId="30294"/>
    <cellStyle name="20% - Accent2 4 2 2 2 2 3" xfId="45337"/>
    <cellStyle name="20% - Accent2 4 2 2 2 3" xfId="22773"/>
    <cellStyle name="20% - Accent2 4 2 2 2 4" xfId="37816"/>
    <cellStyle name="20% - Accent2 4 2 2 3" xfId="11501"/>
    <cellStyle name="20% - Accent2 4 2 2 3 2" xfId="26545"/>
    <cellStyle name="20% - Accent2 4 2 2 3 3" xfId="41588"/>
    <cellStyle name="20% - Accent2 4 2 2 4" xfId="19024"/>
    <cellStyle name="20% - Accent2 4 2 2 5" xfId="34067"/>
    <cellStyle name="20% - Accent2 4 2 3" xfId="5862"/>
    <cellStyle name="20% - Accent2 4 2 3 2" xfId="13385"/>
    <cellStyle name="20% - Accent2 4 2 3 2 2" xfId="28429"/>
    <cellStyle name="20% - Accent2 4 2 3 2 3" xfId="43472"/>
    <cellStyle name="20% - Accent2 4 2 3 3" xfId="20908"/>
    <cellStyle name="20% - Accent2 4 2 3 4" xfId="35951"/>
    <cellStyle name="20% - Accent2 4 2 4" xfId="9636"/>
    <cellStyle name="20% - Accent2 4 2 4 2" xfId="24680"/>
    <cellStyle name="20% - Accent2 4 2 4 3" xfId="39723"/>
    <cellStyle name="20% - Accent2 4 2 5" xfId="17159"/>
    <cellStyle name="20% - Accent2 4 2 6" xfId="32202"/>
    <cellStyle name="20% - Accent2 4 3" xfId="3000"/>
    <cellStyle name="20% - Accent2 4 3 2" xfId="6795"/>
    <cellStyle name="20% - Accent2 4 3 2 2" xfId="14318"/>
    <cellStyle name="20% - Accent2 4 3 2 2 2" xfId="29362"/>
    <cellStyle name="20% - Accent2 4 3 2 2 3" xfId="44405"/>
    <cellStyle name="20% - Accent2 4 3 2 3" xfId="21841"/>
    <cellStyle name="20% - Accent2 4 3 2 4" xfId="36884"/>
    <cellStyle name="20% - Accent2 4 3 3" xfId="10569"/>
    <cellStyle name="20% - Accent2 4 3 3 2" xfId="25613"/>
    <cellStyle name="20% - Accent2 4 3 3 3" xfId="40656"/>
    <cellStyle name="20% - Accent2 4 3 4" xfId="18092"/>
    <cellStyle name="20% - Accent2 4 3 5" xfId="33135"/>
    <cellStyle name="20% - Accent2 4 4" xfId="4930"/>
    <cellStyle name="20% - Accent2 4 4 2" xfId="12453"/>
    <cellStyle name="20% - Accent2 4 4 2 2" xfId="27497"/>
    <cellStyle name="20% - Accent2 4 4 2 3" xfId="42540"/>
    <cellStyle name="20% - Accent2 4 4 3" xfId="19976"/>
    <cellStyle name="20% - Accent2 4 4 4" xfId="35019"/>
    <cellStyle name="20% - Accent2 4 5" xfId="8704"/>
    <cellStyle name="20% - Accent2 4 5 2" xfId="23748"/>
    <cellStyle name="20% - Accent2 4 5 3" xfId="38791"/>
    <cellStyle name="20% - Accent2 4 6" xfId="16227"/>
    <cellStyle name="20% - Accent2 4 7" xfId="31270"/>
    <cellStyle name="20% - Accent2 5" xfId="1147"/>
    <cellStyle name="20% - Accent2 5 2" xfId="3018"/>
    <cellStyle name="20% - Accent2 5 2 2" xfId="6813"/>
    <cellStyle name="20% - Accent2 5 2 2 2" xfId="14336"/>
    <cellStyle name="20% - Accent2 5 2 2 2 2" xfId="29380"/>
    <cellStyle name="20% - Accent2 5 2 2 2 3" xfId="44423"/>
    <cellStyle name="20% - Accent2 5 2 2 3" xfId="21859"/>
    <cellStyle name="20% - Accent2 5 2 2 4" xfId="36902"/>
    <cellStyle name="20% - Accent2 5 2 3" xfId="10587"/>
    <cellStyle name="20% - Accent2 5 2 3 2" xfId="25631"/>
    <cellStyle name="20% - Accent2 5 2 3 3" xfId="40674"/>
    <cellStyle name="20% - Accent2 5 2 4" xfId="18110"/>
    <cellStyle name="20% - Accent2 5 2 5" xfId="33153"/>
    <cellStyle name="20% - Accent2 5 3" xfId="4948"/>
    <cellStyle name="20% - Accent2 5 3 2" xfId="12471"/>
    <cellStyle name="20% - Accent2 5 3 2 2" xfId="27515"/>
    <cellStyle name="20% - Accent2 5 3 2 3" xfId="42558"/>
    <cellStyle name="20% - Accent2 5 3 3" xfId="19994"/>
    <cellStyle name="20% - Accent2 5 3 4" xfId="35037"/>
    <cellStyle name="20% - Accent2 5 4" xfId="8722"/>
    <cellStyle name="20% - Accent2 5 4 2" xfId="23766"/>
    <cellStyle name="20% - Accent2 5 4 3" xfId="38809"/>
    <cellStyle name="20% - Accent2 5 5" xfId="16245"/>
    <cellStyle name="20% - Accent2 5 6" xfId="31288"/>
    <cellStyle name="20% - Accent2 6" xfId="2081"/>
    <cellStyle name="20% - Accent2 6 2" xfId="5880"/>
    <cellStyle name="20% - Accent2 6 2 2" xfId="13403"/>
    <cellStyle name="20% - Accent2 6 2 2 2" xfId="28447"/>
    <cellStyle name="20% - Accent2 6 2 2 3" xfId="43490"/>
    <cellStyle name="20% - Accent2 6 2 3" xfId="20926"/>
    <cellStyle name="20% - Accent2 6 2 4" xfId="35969"/>
    <cellStyle name="20% - Accent2 6 3" xfId="9654"/>
    <cellStyle name="20% - Accent2 6 3 2" xfId="24698"/>
    <cellStyle name="20% - Accent2 6 3 3" xfId="39741"/>
    <cellStyle name="20% - Accent2 6 4" xfId="17177"/>
    <cellStyle name="20% - Accent2 6 5" xfId="32220"/>
    <cellStyle name="20% - Accent2 7" xfId="3971"/>
    <cellStyle name="20% - Accent2 8" xfId="3995"/>
    <cellStyle name="20% - Accent2 8 2" xfId="7748"/>
    <cellStyle name="20% - Accent2 8 2 2" xfId="15271"/>
    <cellStyle name="20% - Accent2 8 2 2 2" xfId="30315"/>
    <cellStyle name="20% - Accent2 8 2 2 3" xfId="45358"/>
    <cellStyle name="20% - Accent2 8 2 3" xfId="22794"/>
    <cellStyle name="20% - Accent2 8 2 4" xfId="37837"/>
    <cellStyle name="20% - Accent2 8 3" xfId="11522"/>
    <cellStyle name="20% - Accent2 8 3 2" xfId="26566"/>
    <cellStyle name="20% - Accent2 8 3 3" xfId="41609"/>
    <cellStyle name="20% - Accent2 8 4" xfId="19045"/>
    <cellStyle name="20% - Accent2 8 5" xfId="34088"/>
    <cellStyle name="20% - Accent2 9" xfId="4008"/>
    <cellStyle name="20% - Accent2 9 2" xfId="11534"/>
    <cellStyle name="20% - Accent2 9 2 2" xfId="26578"/>
    <cellStyle name="20% - Accent2 9 2 3" xfId="41621"/>
    <cellStyle name="20% - Accent2 9 3" xfId="19057"/>
    <cellStyle name="20% - Accent2 9 4" xfId="34100"/>
    <cellStyle name="20% - Accent3" xfId="629" builtinId="38" customBuiltin="1"/>
    <cellStyle name="20% - Accent3 10" xfId="7764"/>
    <cellStyle name="20% - Accent3 10 2" xfId="15287"/>
    <cellStyle name="20% - Accent3 10 2 2" xfId="30331"/>
    <cellStyle name="20% - Accent3 10 2 3" xfId="45374"/>
    <cellStyle name="20% - Accent3 10 3" xfId="22810"/>
    <cellStyle name="20% - Accent3 10 4" xfId="37853"/>
    <cellStyle name="20% - Accent3 11" xfId="8242"/>
    <cellStyle name="20% - Accent3 11 2" xfId="23286"/>
    <cellStyle name="20% - Accent3 11 3" xfId="38329"/>
    <cellStyle name="20% - Accent3 12" xfId="15765"/>
    <cellStyle name="20% - Accent3 13" xfId="30808"/>
    <cellStyle name="20% - Accent3 2" xfId="53"/>
    <cellStyle name="20% - Accent3 3" xfId="54"/>
    <cellStyle name="20% - Accent3 4" xfId="1122"/>
    <cellStyle name="20% - Accent3 4 2" xfId="2063"/>
    <cellStyle name="20% - Accent3 4 2 2" xfId="3934"/>
    <cellStyle name="20% - Accent3 4 2 2 2" xfId="7729"/>
    <cellStyle name="20% - Accent3 4 2 2 2 2" xfId="15252"/>
    <cellStyle name="20% - Accent3 4 2 2 2 2 2" xfId="30296"/>
    <cellStyle name="20% - Accent3 4 2 2 2 2 3" xfId="45339"/>
    <cellStyle name="20% - Accent3 4 2 2 2 3" xfId="22775"/>
    <cellStyle name="20% - Accent3 4 2 2 2 4" xfId="37818"/>
    <cellStyle name="20% - Accent3 4 2 2 3" xfId="11503"/>
    <cellStyle name="20% - Accent3 4 2 2 3 2" xfId="26547"/>
    <cellStyle name="20% - Accent3 4 2 2 3 3" xfId="41590"/>
    <cellStyle name="20% - Accent3 4 2 2 4" xfId="19026"/>
    <cellStyle name="20% - Accent3 4 2 2 5" xfId="34069"/>
    <cellStyle name="20% - Accent3 4 2 3" xfId="5864"/>
    <cellStyle name="20% - Accent3 4 2 3 2" xfId="13387"/>
    <cellStyle name="20% - Accent3 4 2 3 2 2" xfId="28431"/>
    <cellStyle name="20% - Accent3 4 2 3 2 3" xfId="43474"/>
    <cellStyle name="20% - Accent3 4 2 3 3" xfId="20910"/>
    <cellStyle name="20% - Accent3 4 2 3 4" xfId="35953"/>
    <cellStyle name="20% - Accent3 4 2 4" xfId="9638"/>
    <cellStyle name="20% - Accent3 4 2 4 2" xfId="24682"/>
    <cellStyle name="20% - Accent3 4 2 4 3" xfId="39725"/>
    <cellStyle name="20% - Accent3 4 2 5" xfId="17161"/>
    <cellStyle name="20% - Accent3 4 2 6" xfId="32204"/>
    <cellStyle name="20% - Accent3 4 3" xfId="3002"/>
    <cellStyle name="20% - Accent3 4 3 2" xfId="6797"/>
    <cellStyle name="20% - Accent3 4 3 2 2" xfId="14320"/>
    <cellStyle name="20% - Accent3 4 3 2 2 2" xfId="29364"/>
    <cellStyle name="20% - Accent3 4 3 2 2 3" xfId="44407"/>
    <cellStyle name="20% - Accent3 4 3 2 3" xfId="21843"/>
    <cellStyle name="20% - Accent3 4 3 2 4" xfId="36886"/>
    <cellStyle name="20% - Accent3 4 3 3" xfId="10571"/>
    <cellStyle name="20% - Accent3 4 3 3 2" xfId="25615"/>
    <cellStyle name="20% - Accent3 4 3 3 3" xfId="40658"/>
    <cellStyle name="20% - Accent3 4 3 4" xfId="18094"/>
    <cellStyle name="20% - Accent3 4 3 5" xfId="33137"/>
    <cellStyle name="20% - Accent3 4 4" xfId="4932"/>
    <cellStyle name="20% - Accent3 4 4 2" xfId="12455"/>
    <cellStyle name="20% - Accent3 4 4 2 2" xfId="27499"/>
    <cellStyle name="20% - Accent3 4 4 2 3" xfId="42542"/>
    <cellStyle name="20% - Accent3 4 4 3" xfId="19978"/>
    <cellStyle name="20% - Accent3 4 4 4" xfId="35021"/>
    <cellStyle name="20% - Accent3 4 5" xfId="8706"/>
    <cellStyle name="20% - Accent3 4 5 2" xfId="23750"/>
    <cellStyle name="20% - Accent3 4 5 3" xfId="38793"/>
    <cellStyle name="20% - Accent3 4 6" xfId="16229"/>
    <cellStyle name="20% - Accent3 4 7" xfId="31272"/>
    <cellStyle name="20% - Accent3 5" xfId="1149"/>
    <cellStyle name="20% - Accent3 5 2" xfId="3020"/>
    <cellStyle name="20% - Accent3 5 2 2" xfId="6815"/>
    <cellStyle name="20% - Accent3 5 2 2 2" xfId="14338"/>
    <cellStyle name="20% - Accent3 5 2 2 2 2" xfId="29382"/>
    <cellStyle name="20% - Accent3 5 2 2 2 3" xfId="44425"/>
    <cellStyle name="20% - Accent3 5 2 2 3" xfId="21861"/>
    <cellStyle name="20% - Accent3 5 2 2 4" xfId="36904"/>
    <cellStyle name="20% - Accent3 5 2 3" xfId="10589"/>
    <cellStyle name="20% - Accent3 5 2 3 2" xfId="25633"/>
    <cellStyle name="20% - Accent3 5 2 3 3" xfId="40676"/>
    <cellStyle name="20% - Accent3 5 2 4" xfId="18112"/>
    <cellStyle name="20% - Accent3 5 2 5" xfId="33155"/>
    <cellStyle name="20% - Accent3 5 3" xfId="4950"/>
    <cellStyle name="20% - Accent3 5 3 2" xfId="12473"/>
    <cellStyle name="20% - Accent3 5 3 2 2" xfId="27517"/>
    <cellStyle name="20% - Accent3 5 3 2 3" xfId="42560"/>
    <cellStyle name="20% - Accent3 5 3 3" xfId="19996"/>
    <cellStyle name="20% - Accent3 5 3 4" xfId="35039"/>
    <cellStyle name="20% - Accent3 5 4" xfId="8724"/>
    <cellStyle name="20% - Accent3 5 4 2" xfId="23768"/>
    <cellStyle name="20% - Accent3 5 4 3" xfId="38811"/>
    <cellStyle name="20% - Accent3 5 5" xfId="16247"/>
    <cellStyle name="20% - Accent3 5 6" xfId="31290"/>
    <cellStyle name="20% - Accent3 6" xfId="2083"/>
    <cellStyle name="20% - Accent3 6 2" xfId="5882"/>
    <cellStyle name="20% - Accent3 6 2 2" xfId="13405"/>
    <cellStyle name="20% - Accent3 6 2 2 2" xfId="28449"/>
    <cellStyle name="20% - Accent3 6 2 2 3" xfId="43492"/>
    <cellStyle name="20% - Accent3 6 2 3" xfId="20928"/>
    <cellStyle name="20% - Accent3 6 2 4" xfId="35971"/>
    <cellStyle name="20% - Accent3 6 3" xfId="9656"/>
    <cellStyle name="20% - Accent3 6 3 2" xfId="24700"/>
    <cellStyle name="20% - Accent3 6 3 3" xfId="39743"/>
    <cellStyle name="20% - Accent3 6 4" xfId="17179"/>
    <cellStyle name="20% - Accent3 6 5" xfId="32222"/>
    <cellStyle name="20% - Accent3 7" xfId="3975"/>
    <cellStyle name="20% - Accent3 8" xfId="3997"/>
    <cellStyle name="20% - Accent3 8 2" xfId="7750"/>
    <cellStyle name="20% - Accent3 8 2 2" xfId="15273"/>
    <cellStyle name="20% - Accent3 8 2 2 2" xfId="30317"/>
    <cellStyle name="20% - Accent3 8 2 2 3" xfId="45360"/>
    <cellStyle name="20% - Accent3 8 2 3" xfId="22796"/>
    <cellStyle name="20% - Accent3 8 2 4" xfId="37839"/>
    <cellStyle name="20% - Accent3 8 3" xfId="11524"/>
    <cellStyle name="20% - Accent3 8 3 2" xfId="26568"/>
    <cellStyle name="20% - Accent3 8 3 3" xfId="41611"/>
    <cellStyle name="20% - Accent3 8 4" xfId="19047"/>
    <cellStyle name="20% - Accent3 8 5" xfId="34090"/>
    <cellStyle name="20% - Accent3 9" xfId="4010"/>
    <cellStyle name="20% - Accent3 9 2" xfId="11536"/>
    <cellStyle name="20% - Accent3 9 2 2" xfId="26580"/>
    <cellStyle name="20% - Accent3 9 2 3" xfId="41623"/>
    <cellStyle name="20% - Accent3 9 3" xfId="19059"/>
    <cellStyle name="20% - Accent3 9 4" xfId="34102"/>
    <cellStyle name="20% - Accent4" xfId="633" builtinId="42" customBuiltin="1"/>
    <cellStyle name="20% - Accent4 10" xfId="7766"/>
    <cellStyle name="20% - Accent4 10 2" xfId="15289"/>
    <cellStyle name="20% - Accent4 10 2 2" xfId="30333"/>
    <cellStyle name="20% - Accent4 10 2 3" xfId="45376"/>
    <cellStyle name="20% - Accent4 10 3" xfId="22812"/>
    <cellStyle name="20% - Accent4 10 4" xfId="37855"/>
    <cellStyle name="20% - Accent4 11" xfId="8244"/>
    <cellStyle name="20% - Accent4 11 2" xfId="23288"/>
    <cellStyle name="20% - Accent4 11 3" xfId="38331"/>
    <cellStyle name="20% - Accent4 12" xfId="15767"/>
    <cellStyle name="20% - Accent4 13" xfId="30810"/>
    <cellStyle name="20% - Accent4 2" xfId="55"/>
    <cellStyle name="20% - Accent4 3" xfId="56"/>
    <cellStyle name="20% - Accent4 4" xfId="1126"/>
    <cellStyle name="20% - Accent4 4 2" xfId="2065"/>
    <cellStyle name="20% - Accent4 4 2 2" xfId="3936"/>
    <cellStyle name="20% - Accent4 4 2 2 2" xfId="7731"/>
    <cellStyle name="20% - Accent4 4 2 2 2 2" xfId="15254"/>
    <cellStyle name="20% - Accent4 4 2 2 2 2 2" xfId="30298"/>
    <cellStyle name="20% - Accent4 4 2 2 2 2 3" xfId="45341"/>
    <cellStyle name="20% - Accent4 4 2 2 2 3" xfId="22777"/>
    <cellStyle name="20% - Accent4 4 2 2 2 4" xfId="37820"/>
    <cellStyle name="20% - Accent4 4 2 2 3" xfId="11505"/>
    <cellStyle name="20% - Accent4 4 2 2 3 2" xfId="26549"/>
    <cellStyle name="20% - Accent4 4 2 2 3 3" xfId="41592"/>
    <cellStyle name="20% - Accent4 4 2 2 4" xfId="19028"/>
    <cellStyle name="20% - Accent4 4 2 2 5" xfId="34071"/>
    <cellStyle name="20% - Accent4 4 2 3" xfId="5866"/>
    <cellStyle name="20% - Accent4 4 2 3 2" xfId="13389"/>
    <cellStyle name="20% - Accent4 4 2 3 2 2" xfId="28433"/>
    <cellStyle name="20% - Accent4 4 2 3 2 3" xfId="43476"/>
    <cellStyle name="20% - Accent4 4 2 3 3" xfId="20912"/>
    <cellStyle name="20% - Accent4 4 2 3 4" xfId="35955"/>
    <cellStyle name="20% - Accent4 4 2 4" xfId="9640"/>
    <cellStyle name="20% - Accent4 4 2 4 2" xfId="24684"/>
    <cellStyle name="20% - Accent4 4 2 4 3" xfId="39727"/>
    <cellStyle name="20% - Accent4 4 2 5" xfId="17163"/>
    <cellStyle name="20% - Accent4 4 2 6" xfId="32206"/>
    <cellStyle name="20% - Accent4 4 3" xfId="3004"/>
    <cellStyle name="20% - Accent4 4 3 2" xfId="6799"/>
    <cellStyle name="20% - Accent4 4 3 2 2" xfId="14322"/>
    <cellStyle name="20% - Accent4 4 3 2 2 2" xfId="29366"/>
    <cellStyle name="20% - Accent4 4 3 2 2 3" xfId="44409"/>
    <cellStyle name="20% - Accent4 4 3 2 3" xfId="21845"/>
    <cellStyle name="20% - Accent4 4 3 2 4" xfId="36888"/>
    <cellStyle name="20% - Accent4 4 3 3" xfId="10573"/>
    <cellStyle name="20% - Accent4 4 3 3 2" xfId="25617"/>
    <cellStyle name="20% - Accent4 4 3 3 3" xfId="40660"/>
    <cellStyle name="20% - Accent4 4 3 4" xfId="18096"/>
    <cellStyle name="20% - Accent4 4 3 5" xfId="33139"/>
    <cellStyle name="20% - Accent4 4 4" xfId="4934"/>
    <cellStyle name="20% - Accent4 4 4 2" xfId="12457"/>
    <cellStyle name="20% - Accent4 4 4 2 2" xfId="27501"/>
    <cellStyle name="20% - Accent4 4 4 2 3" xfId="42544"/>
    <cellStyle name="20% - Accent4 4 4 3" xfId="19980"/>
    <cellStyle name="20% - Accent4 4 4 4" xfId="35023"/>
    <cellStyle name="20% - Accent4 4 5" xfId="8708"/>
    <cellStyle name="20% - Accent4 4 5 2" xfId="23752"/>
    <cellStyle name="20% - Accent4 4 5 3" xfId="38795"/>
    <cellStyle name="20% - Accent4 4 6" xfId="16231"/>
    <cellStyle name="20% - Accent4 4 7" xfId="31274"/>
    <cellStyle name="20% - Accent4 5" xfId="1151"/>
    <cellStyle name="20% - Accent4 5 2" xfId="3022"/>
    <cellStyle name="20% - Accent4 5 2 2" xfId="6817"/>
    <cellStyle name="20% - Accent4 5 2 2 2" xfId="14340"/>
    <cellStyle name="20% - Accent4 5 2 2 2 2" xfId="29384"/>
    <cellStyle name="20% - Accent4 5 2 2 2 3" xfId="44427"/>
    <cellStyle name="20% - Accent4 5 2 2 3" xfId="21863"/>
    <cellStyle name="20% - Accent4 5 2 2 4" xfId="36906"/>
    <cellStyle name="20% - Accent4 5 2 3" xfId="10591"/>
    <cellStyle name="20% - Accent4 5 2 3 2" xfId="25635"/>
    <cellStyle name="20% - Accent4 5 2 3 3" xfId="40678"/>
    <cellStyle name="20% - Accent4 5 2 4" xfId="18114"/>
    <cellStyle name="20% - Accent4 5 2 5" xfId="33157"/>
    <cellStyle name="20% - Accent4 5 3" xfId="4952"/>
    <cellStyle name="20% - Accent4 5 3 2" xfId="12475"/>
    <cellStyle name="20% - Accent4 5 3 2 2" xfId="27519"/>
    <cellStyle name="20% - Accent4 5 3 2 3" xfId="42562"/>
    <cellStyle name="20% - Accent4 5 3 3" xfId="19998"/>
    <cellStyle name="20% - Accent4 5 3 4" xfId="35041"/>
    <cellStyle name="20% - Accent4 5 4" xfId="8726"/>
    <cellStyle name="20% - Accent4 5 4 2" xfId="23770"/>
    <cellStyle name="20% - Accent4 5 4 3" xfId="38813"/>
    <cellStyle name="20% - Accent4 5 5" xfId="16249"/>
    <cellStyle name="20% - Accent4 5 6" xfId="31292"/>
    <cellStyle name="20% - Accent4 6" xfId="2085"/>
    <cellStyle name="20% - Accent4 6 2" xfId="5884"/>
    <cellStyle name="20% - Accent4 6 2 2" xfId="13407"/>
    <cellStyle name="20% - Accent4 6 2 2 2" xfId="28451"/>
    <cellStyle name="20% - Accent4 6 2 2 3" xfId="43494"/>
    <cellStyle name="20% - Accent4 6 2 3" xfId="20930"/>
    <cellStyle name="20% - Accent4 6 2 4" xfId="35973"/>
    <cellStyle name="20% - Accent4 6 3" xfId="9658"/>
    <cellStyle name="20% - Accent4 6 3 2" xfId="24702"/>
    <cellStyle name="20% - Accent4 6 3 3" xfId="39745"/>
    <cellStyle name="20% - Accent4 6 4" xfId="17181"/>
    <cellStyle name="20% - Accent4 6 5" xfId="32224"/>
    <cellStyle name="20% - Accent4 7" xfId="3979"/>
    <cellStyle name="20% - Accent4 8" xfId="3999"/>
    <cellStyle name="20% - Accent4 8 2" xfId="7752"/>
    <cellStyle name="20% - Accent4 8 2 2" xfId="15275"/>
    <cellStyle name="20% - Accent4 8 2 2 2" xfId="30319"/>
    <cellStyle name="20% - Accent4 8 2 2 3" xfId="45362"/>
    <cellStyle name="20% - Accent4 8 2 3" xfId="22798"/>
    <cellStyle name="20% - Accent4 8 2 4" xfId="37841"/>
    <cellStyle name="20% - Accent4 8 3" xfId="11526"/>
    <cellStyle name="20% - Accent4 8 3 2" xfId="26570"/>
    <cellStyle name="20% - Accent4 8 3 3" xfId="41613"/>
    <cellStyle name="20% - Accent4 8 4" xfId="19049"/>
    <cellStyle name="20% - Accent4 8 5" xfId="34092"/>
    <cellStyle name="20% - Accent4 9" xfId="4012"/>
    <cellStyle name="20% - Accent4 9 2" xfId="11538"/>
    <cellStyle name="20% - Accent4 9 2 2" xfId="26582"/>
    <cellStyle name="20% - Accent4 9 2 3" xfId="41625"/>
    <cellStyle name="20% - Accent4 9 3" xfId="19061"/>
    <cellStyle name="20% - Accent4 9 4" xfId="34104"/>
    <cellStyle name="20% - Accent5" xfId="637" builtinId="46" customBuiltin="1"/>
    <cellStyle name="20% - Accent5 10" xfId="7768"/>
    <cellStyle name="20% - Accent5 10 2" xfId="15291"/>
    <cellStyle name="20% - Accent5 10 2 2" xfId="30335"/>
    <cellStyle name="20% - Accent5 10 2 3" xfId="45378"/>
    <cellStyle name="20% - Accent5 10 3" xfId="22814"/>
    <cellStyle name="20% - Accent5 10 4" xfId="37857"/>
    <cellStyle name="20% - Accent5 11" xfId="8246"/>
    <cellStyle name="20% - Accent5 11 2" xfId="23290"/>
    <cellStyle name="20% - Accent5 11 3" xfId="38333"/>
    <cellStyle name="20% - Accent5 12" xfId="15769"/>
    <cellStyle name="20% - Accent5 13" xfId="30812"/>
    <cellStyle name="20% - Accent5 2" xfId="57"/>
    <cellStyle name="20% - Accent5 3" xfId="58"/>
    <cellStyle name="20% - Accent5 4" xfId="1130"/>
    <cellStyle name="20% - Accent5 4 2" xfId="2067"/>
    <cellStyle name="20% - Accent5 4 2 2" xfId="3938"/>
    <cellStyle name="20% - Accent5 4 2 2 2" xfId="7733"/>
    <cellStyle name="20% - Accent5 4 2 2 2 2" xfId="15256"/>
    <cellStyle name="20% - Accent5 4 2 2 2 2 2" xfId="30300"/>
    <cellStyle name="20% - Accent5 4 2 2 2 2 3" xfId="45343"/>
    <cellStyle name="20% - Accent5 4 2 2 2 3" xfId="22779"/>
    <cellStyle name="20% - Accent5 4 2 2 2 4" xfId="37822"/>
    <cellStyle name="20% - Accent5 4 2 2 3" xfId="11507"/>
    <cellStyle name="20% - Accent5 4 2 2 3 2" xfId="26551"/>
    <cellStyle name="20% - Accent5 4 2 2 3 3" xfId="41594"/>
    <cellStyle name="20% - Accent5 4 2 2 4" xfId="19030"/>
    <cellStyle name="20% - Accent5 4 2 2 5" xfId="34073"/>
    <cellStyle name="20% - Accent5 4 2 3" xfId="5868"/>
    <cellStyle name="20% - Accent5 4 2 3 2" xfId="13391"/>
    <cellStyle name="20% - Accent5 4 2 3 2 2" xfId="28435"/>
    <cellStyle name="20% - Accent5 4 2 3 2 3" xfId="43478"/>
    <cellStyle name="20% - Accent5 4 2 3 3" xfId="20914"/>
    <cellStyle name="20% - Accent5 4 2 3 4" xfId="35957"/>
    <cellStyle name="20% - Accent5 4 2 4" xfId="9642"/>
    <cellStyle name="20% - Accent5 4 2 4 2" xfId="24686"/>
    <cellStyle name="20% - Accent5 4 2 4 3" xfId="39729"/>
    <cellStyle name="20% - Accent5 4 2 5" xfId="17165"/>
    <cellStyle name="20% - Accent5 4 2 6" xfId="32208"/>
    <cellStyle name="20% - Accent5 4 3" xfId="3006"/>
    <cellStyle name="20% - Accent5 4 3 2" xfId="6801"/>
    <cellStyle name="20% - Accent5 4 3 2 2" xfId="14324"/>
    <cellStyle name="20% - Accent5 4 3 2 2 2" xfId="29368"/>
    <cellStyle name="20% - Accent5 4 3 2 2 3" xfId="44411"/>
    <cellStyle name="20% - Accent5 4 3 2 3" xfId="21847"/>
    <cellStyle name="20% - Accent5 4 3 2 4" xfId="36890"/>
    <cellStyle name="20% - Accent5 4 3 3" xfId="10575"/>
    <cellStyle name="20% - Accent5 4 3 3 2" xfId="25619"/>
    <cellStyle name="20% - Accent5 4 3 3 3" xfId="40662"/>
    <cellStyle name="20% - Accent5 4 3 4" xfId="18098"/>
    <cellStyle name="20% - Accent5 4 3 5" xfId="33141"/>
    <cellStyle name="20% - Accent5 4 4" xfId="4936"/>
    <cellStyle name="20% - Accent5 4 4 2" xfId="12459"/>
    <cellStyle name="20% - Accent5 4 4 2 2" xfId="27503"/>
    <cellStyle name="20% - Accent5 4 4 2 3" xfId="42546"/>
    <cellStyle name="20% - Accent5 4 4 3" xfId="19982"/>
    <cellStyle name="20% - Accent5 4 4 4" xfId="35025"/>
    <cellStyle name="20% - Accent5 4 5" xfId="8710"/>
    <cellStyle name="20% - Accent5 4 5 2" xfId="23754"/>
    <cellStyle name="20% - Accent5 4 5 3" xfId="38797"/>
    <cellStyle name="20% - Accent5 4 6" xfId="16233"/>
    <cellStyle name="20% - Accent5 4 7" xfId="31276"/>
    <cellStyle name="20% - Accent5 5" xfId="1153"/>
    <cellStyle name="20% - Accent5 5 2" xfId="3024"/>
    <cellStyle name="20% - Accent5 5 2 2" xfId="6819"/>
    <cellStyle name="20% - Accent5 5 2 2 2" xfId="14342"/>
    <cellStyle name="20% - Accent5 5 2 2 2 2" xfId="29386"/>
    <cellStyle name="20% - Accent5 5 2 2 2 3" xfId="44429"/>
    <cellStyle name="20% - Accent5 5 2 2 3" xfId="21865"/>
    <cellStyle name="20% - Accent5 5 2 2 4" xfId="36908"/>
    <cellStyle name="20% - Accent5 5 2 3" xfId="10593"/>
    <cellStyle name="20% - Accent5 5 2 3 2" xfId="25637"/>
    <cellStyle name="20% - Accent5 5 2 3 3" xfId="40680"/>
    <cellStyle name="20% - Accent5 5 2 4" xfId="18116"/>
    <cellStyle name="20% - Accent5 5 2 5" xfId="33159"/>
    <cellStyle name="20% - Accent5 5 3" xfId="4954"/>
    <cellStyle name="20% - Accent5 5 3 2" xfId="12477"/>
    <cellStyle name="20% - Accent5 5 3 2 2" xfId="27521"/>
    <cellStyle name="20% - Accent5 5 3 2 3" xfId="42564"/>
    <cellStyle name="20% - Accent5 5 3 3" xfId="20000"/>
    <cellStyle name="20% - Accent5 5 3 4" xfId="35043"/>
    <cellStyle name="20% - Accent5 5 4" xfId="8728"/>
    <cellStyle name="20% - Accent5 5 4 2" xfId="23772"/>
    <cellStyle name="20% - Accent5 5 4 3" xfId="38815"/>
    <cellStyle name="20% - Accent5 5 5" xfId="16251"/>
    <cellStyle name="20% - Accent5 5 6" xfId="31294"/>
    <cellStyle name="20% - Accent5 6" xfId="2087"/>
    <cellStyle name="20% - Accent5 6 2" xfId="5886"/>
    <cellStyle name="20% - Accent5 6 2 2" xfId="13409"/>
    <cellStyle name="20% - Accent5 6 2 2 2" xfId="28453"/>
    <cellStyle name="20% - Accent5 6 2 2 3" xfId="43496"/>
    <cellStyle name="20% - Accent5 6 2 3" xfId="20932"/>
    <cellStyle name="20% - Accent5 6 2 4" xfId="35975"/>
    <cellStyle name="20% - Accent5 6 3" xfId="9660"/>
    <cellStyle name="20% - Accent5 6 3 2" xfId="24704"/>
    <cellStyle name="20% - Accent5 6 3 3" xfId="39747"/>
    <cellStyle name="20% - Accent5 6 4" xfId="17183"/>
    <cellStyle name="20% - Accent5 6 5" xfId="32226"/>
    <cellStyle name="20% - Accent5 7" xfId="3983"/>
    <cellStyle name="20% - Accent5 8" xfId="4001"/>
    <cellStyle name="20% - Accent5 8 2" xfId="7754"/>
    <cellStyle name="20% - Accent5 8 2 2" xfId="15277"/>
    <cellStyle name="20% - Accent5 8 2 2 2" xfId="30321"/>
    <cellStyle name="20% - Accent5 8 2 2 3" xfId="45364"/>
    <cellStyle name="20% - Accent5 8 2 3" xfId="22800"/>
    <cellStyle name="20% - Accent5 8 2 4" xfId="37843"/>
    <cellStyle name="20% - Accent5 8 3" xfId="11528"/>
    <cellStyle name="20% - Accent5 8 3 2" xfId="26572"/>
    <cellStyle name="20% - Accent5 8 3 3" xfId="41615"/>
    <cellStyle name="20% - Accent5 8 4" xfId="19051"/>
    <cellStyle name="20% - Accent5 8 5" xfId="34094"/>
    <cellStyle name="20% - Accent5 9" xfId="4014"/>
    <cellStyle name="20% - Accent5 9 2" xfId="11540"/>
    <cellStyle name="20% - Accent5 9 2 2" xfId="26584"/>
    <cellStyle name="20% - Accent5 9 2 3" xfId="41627"/>
    <cellStyle name="20% - Accent5 9 3" xfId="19063"/>
    <cellStyle name="20% - Accent5 9 4" xfId="34106"/>
    <cellStyle name="20% - Accent6" xfId="641" builtinId="50" customBuiltin="1"/>
    <cellStyle name="20% - Accent6 10" xfId="7770"/>
    <cellStyle name="20% - Accent6 10 2" xfId="15293"/>
    <cellStyle name="20% - Accent6 10 2 2" xfId="30337"/>
    <cellStyle name="20% - Accent6 10 2 3" xfId="45380"/>
    <cellStyle name="20% - Accent6 10 3" xfId="22816"/>
    <cellStyle name="20% - Accent6 10 4" xfId="37859"/>
    <cellStyle name="20% - Accent6 11" xfId="8248"/>
    <cellStyle name="20% - Accent6 11 2" xfId="23292"/>
    <cellStyle name="20% - Accent6 11 3" xfId="38335"/>
    <cellStyle name="20% - Accent6 12" xfId="15771"/>
    <cellStyle name="20% - Accent6 13" xfId="30814"/>
    <cellStyle name="20% - Accent6 2" xfId="59"/>
    <cellStyle name="20% - Accent6 3" xfId="60"/>
    <cellStyle name="20% - Accent6 4" xfId="1134"/>
    <cellStyle name="20% - Accent6 4 2" xfId="2069"/>
    <cellStyle name="20% - Accent6 4 2 2" xfId="3940"/>
    <cellStyle name="20% - Accent6 4 2 2 2" xfId="7735"/>
    <cellStyle name="20% - Accent6 4 2 2 2 2" xfId="15258"/>
    <cellStyle name="20% - Accent6 4 2 2 2 2 2" xfId="30302"/>
    <cellStyle name="20% - Accent6 4 2 2 2 2 3" xfId="45345"/>
    <cellStyle name="20% - Accent6 4 2 2 2 3" xfId="22781"/>
    <cellStyle name="20% - Accent6 4 2 2 2 4" xfId="37824"/>
    <cellStyle name="20% - Accent6 4 2 2 3" xfId="11509"/>
    <cellStyle name="20% - Accent6 4 2 2 3 2" xfId="26553"/>
    <cellStyle name="20% - Accent6 4 2 2 3 3" xfId="41596"/>
    <cellStyle name="20% - Accent6 4 2 2 4" xfId="19032"/>
    <cellStyle name="20% - Accent6 4 2 2 5" xfId="34075"/>
    <cellStyle name="20% - Accent6 4 2 3" xfId="5870"/>
    <cellStyle name="20% - Accent6 4 2 3 2" xfId="13393"/>
    <cellStyle name="20% - Accent6 4 2 3 2 2" xfId="28437"/>
    <cellStyle name="20% - Accent6 4 2 3 2 3" xfId="43480"/>
    <cellStyle name="20% - Accent6 4 2 3 3" xfId="20916"/>
    <cellStyle name="20% - Accent6 4 2 3 4" xfId="35959"/>
    <cellStyle name="20% - Accent6 4 2 4" xfId="9644"/>
    <cellStyle name="20% - Accent6 4 2 4 2" xfId="24688"/>
    <cellStyle name="20% - Accent6 4 2 4 3" xfId="39731"/>
    <cellStyle name="20% - Accent6 4 2 5" xfId="17167"/>
    <cellStyle name="20% - Accent6 4 2 6" xfId="32210"/>
    <cellStyle name="20% - Accent6 4 3" xfId="3008"/>
    <cellStyle name="20% - Accent6 4 3 2" xfId="6803"/>
    <cellStyle name="20% - Accent6 4 3 2 2" xfId="14326"/>
    <cellStyle name="20% - Accent6 4 3 2 2 2" xfId="29370"/>
    <cellStyle name="20% - Accent6 4 3 2 2 3" xfId="44413"/>
    <cellStyle name="20% - Accent6 4 3 2 3" xfId="21849"/>
    <cellStyle name="20% - Accent6 4 3 2 4" xfId="36892"/>
    <cellStyle name="20% - Accent6 4 3 3" xfId="10577"/>
    <cellStyle name="20% - Accent6 4 3 3 2" xfId="25621"/>
    <cellStyle name="20% - Accent6 4 3 3 3" xfId="40664"/>
    <cellStyle name="20% - Accent6 4 3 4" xfId="18100"/>
    <cellStyle name="20% - Accent6 4 3 5" xfId="33143"/>
    <cellStyle name="20% - Accent6 4 4" xfId="4938"/>
    <cellStyle name="20% - Accent6 4 4 2" xfId="12461"/>
    <cellStyle name="20% - Accent6 4 4 2 2" xfId="27505"/>
    <cellStyle name="20% - Accent6 4 4 2 3" xfId="42548"/>
    <cellStyle name="20% - Accent6 4 4 3" xfId="19984"/>
    <cellStyle name="20% - Accent6 4 4 4" xfId="35027"/>
    <cellStyle name="20% - Accent6 4 5" xfId="8712"/>
    <cellStyle name="20% - Accent6 4 5 2" xfId="23756"/>
    <cellStyle name="20% - Accent6 4 5 3" xfId="38799"/>
    <cellStyle name="20% - Accent6 4 6" xfId="16235"/>
    <cellStyle name="20% - Accent6 4 7" xfId="31278"/>
    <cellStyle name="20% - Accent6 5" xfId="1155"/>
    <cellStyle name="20% - Accent6 5 2" xfId="3026"/>
    <cellStyle name="20% - Accent6 5 2 2" xfId="6821"/>
    <cellStyle name="20% - Accent6 5 2 2 2" xfId="14344"/>
    <cellStyle name="20% - Accent6 5 2 2 2 2" xfId="29388"/>
    <cellStyle name="20% - Accent6 5 2 2 2 3" xfId="44431"/>
    <cellStyle name="20% - Accent6 5 2 2 3" xfId="21867"/>
    <cellStyle name="20% - Accent6 5 2 2 4" xfId="36910"/>
    <cellStyle name="20% - Accent6 5 2 3" xfId="10595"/>
    <cellStyle name="20% - Accent6 5 2 3 2" xfId="25639"/>
    <cellStyle name="20% - Accent6 5 2 3 3" xfId="40682"/>
    <cellStyle name="20% - Accent6 5 2 4" xfId="18118"/>
    <cellStyle name="20% - Accent6 5 2 5" xfId="33161"/>
    <cellStyle name="20% - Accent6 5 3" xfId="4956"/>
    <cellStyle name="20% - Accent6 5 3 2" xfId="12479"/>
    <cellStyle name="20% - Accent6 5 3 2 2" xfId="27523"/>
    <cellStyle name="20% - Accent6 5 3 2 3" xfId="42566"/>
    <cellStyle name="20% - Accent6 5 3 3" xfId="20002"/>
    <cellStyle name="20% - Accent6 5 3 4" xfId="35045"/>
    <cellStyle name="20% - Accent6 5 4" xfId="8730"/>
    <cellStyle name="20% - Accent6 5 4 2" xfId="23774"/>
    <cellStyle name="20% - Accent6 5 4 3" xfId="38817"/>
    <cellStyle name="20% - Accent6 5 5" xfId="16253"/>
    <cellStyle name="20% - Accent6 5 6" xfId="31296"/>
    <cellStyle name="20% - Accent6 6" xfId="2089"/>
    <cellStyle name="20% - Accent6 6 2" xfId="5888"/>
    <cellStyle name="20% - Accent6 6 2 2" xfId="13411"/>
    <cellStyle name="20% - Accent6 6 2 2 2" xfId="28455"/>
    <cellStyle name="20% - Accent6 6 2 2 3" xfId="43498"/>
    <cellStyle name="20% - Accent6 6 2 3" xfId="20934"/>
    <cellStyle name="20% - Accent6 6 2 4" xfId="35977"/>
    <cellStyle name="20% - Accent6 6 3" xfId="9662"/>
    <cellStyle name="20% - Accent6 6 3 2" xfId="24706"/>
    <cellStyle name="20% - Accent6 6 3 3" xfId="39749"/>
    <cellStyle name="20% - Accent6 6 4" xfId="17185"/>
    <cellStyle name="20% - Accent6 6 5" xfId="32228"/>
    <cellStyle name="20% - Accent6 7" xfId="3987"/>
    <cellStyle name="20% - Accent6 8" xfId="4003"/>
    <cellStyle name="20% - Accent6 8 2" xfId="7756"/>
    <cellStyle name="20% - Accent6 8 2 2" xfId="15279"/>
    <cellStyle name="20% - Accent6 8 2 2 2" xfId="30323"/>
    <cellStyle name="20% - Accent6 8 2 2 3" xfId="45366"/>
    <cellStyle name="20% - Accent6 8 2 3" xfId="22802"/>
    <cellStyle name="20% - Accent6 8 2 4" xfId="37845"/>
    <cellStyle name="20% - Accent6 8 3" xfId="11530"/>
    <cellStyle name="20% - Accent6 8 3 2" xfId="26574"/>
    <cellStyle name="20% - Accent6 8 3 3" xfId="41617"/>
    <cellStyle name="20% - Accent6 8 4" xfId="19053"/>
    <cellStyle name="20% - Accent6 8 5" xfId="34096"/>
    <cellStyle name="20% - Accent6 9" xfId="4016"/>
    <cellStyle name="20% - Accent6 9 2" xfId="11542"/>
    <cellStyle name="20% - Accent6 9 2 2" xfId="26586"/>
    <cellStyle name="20% - Accent6 9 2 3" xfId="41629"/>
    <cellStyle name="20% - Accent6 9 3" xfId="19065"/>
    <cellStyle name="20% - Accent6 9 4" xfId="34108"/>
    <cellStyle name="20% - akcent 1" xfId="61"/>
    <cellStyle name="20% - akcent 2" xfId="62"/>
    <cellStyle name="20% - akcent 3" xfId="63"/>
    <cellStyle name="20% - akcent 4" xfId="64"/>
    <cellStyle name="20% - akcent 5" xfId="65"/>
    <cellStyle name="20% - akcent 6" xfId="66"/>
    <cellStyle name="40% - Accent1" xfId="622" builtinId="31" customBuiltin="1"/>
    <cellStyle name="40% - Accent1 10" xfId="7761"/>
    <cellStyle name="40% - Accent1 10 2" xfId="15284"/>
    <cellStyle name="40% - Accent1 10 2 2" xfId="30328"/>
    <cellStyle name="40% - Accent1 10 2 3" xfId="45371"/>
    <cellStyle name="40% - Accent1 10 3" xfId="22807"/>
    <cellStyle name="40% - Accent1 10 4" xfId="37850"/>
    <cellStyle name="40% - Accent1 11" xfId="8239"/>
    <cellStyle name="40% - Accent1 11 2" xfId="23283"/>
    <cellStyle name="40% - Accent1 11 3" xfId="38326"/>
    <cellStyle name="40% - Accent1 12" xfId="15762"/>
    <cellStyle name="40% - Accent1 13" xfId="30805"/>
    <cellStyle name="40% - Accent1 2" xfId="67"/>
    <cellStyle name="40% - Accent1 3" xfId="68"/>
    <cellStyle name="40% - Accent1 4" xfId="1115"/>
    <cellStyle name="40% - Accent1 4 2" xfId="2060"/>
    <cellStyle name="40% - Accent1 4 2 2" xfId="3931"/>
    <cellStyle name="40% - Accent1 4 2 2 2" xfId="7726"/>
    <cellStyle name="40% - Accent1 4 2 2 2 2" xfId="15249"/>
    <cellStyle name="40% - Accent1 4 2 2 2 2 2" xfId="30293"/>
    <cellStyle name="40% - Accent1 4 2 2 2 2 3" xfId="45336"/>
    <cellStyle name="40% - Accent1 4 2 2 2 3" xfId="22772"/>
    <cellStyle name="40% - Accent1 4 2 2 2 4" xfId="37815"/>
    <cellStyle name="40% - Accent1 4 2 2 3" xfId="11500"/>
    <cellStyle name="40% - Accent1 4 2 2 3 2" xfId="26544"/>
    <cellStyle name="40% - Accent1 4 2 2 3 3" xfId="41587"/>
    <cellStyle name="40% - Accent1 4 2 2 4" xfId="19023"/>
    <cellStyle name="40% - Accent1 4 2 2 5" xfId="34066"/>
    <cellStyle name="40% - Accent1 4 2 3" xfId="5861"/>
    <cellStyle name="40% - Accent1 4 2 3 2" xfId="13384"/>
    <cellStyle name="40% - Accent1 4 2 3 2 2" xfId="28428"/>
    <cellStyle name="40% - Accent1 4 2 3 2 3" xfId="43471"/>
    <cellStyle name="40% - Accent1 4 2 3 3" xfId="20907"/>
    <cellStyle name="40% - Accent1 4 2 3 4" xfId="35950"/>
    <cellStyle name="40% - Accent1 4 2 4" xfId="9635"/>
    <cellStyle name="40% - Accent1 4 2 4 2" xfId="24679"/>
    <cellStyle name="40% - Accent1 4 2 4 3" xfId="39722"/>
    <cellStyle name="40% - Accent1 4 2 5" xfId="17158"/>
    <cellStyle name="40% - Accent1 4 2 6" xfId="32201"/>
    <cellStyle name="40% - Accent1 4 3" xfId="2999"/>
    <cellStyle name="40% - Accent1 4 3 2" xfId="6794"/>
    <cellStyle name="40% - Accent1 4 3 2 2" xfId="14317"/>
    <cellStyle name="40% - Accent1 4 3 2 2 2" xfId="29361"/>
    <cellStyle name="40% - Accent1 4 3 2 2 3" xfId="44404"/>
    <cellStyle name="40% - Accent1 4 3 2 3" xfId="21840"/>
    <cellStyle name="40% - Accent1 4 3 2 4" xfId="36883"/>
    <cellStyle name="40% - Accent1 4 3 3" xfId="10568"/>
    <cellStyle name="40% - Accent1 4 3 3 2" xfId="25612"/>
    <cellStyle name="40% - Accent1 4 3 3 3" xfId="40655"/>
    <cellStyle name="40% - Accent1 4 3 4" xfId="18091"/>
    <cellStyle name="40% - Accent1 4 3 5" xfId="33134"/>
    <cellStyle name="40% - Accent1 4 4" xfId="4929"/>
    <cellStyle name="40% - Accent1 4 4 2" xfId="12452"/>
    <cellStyle name="40% - Accent1 4 4 2 2" xfId="27496"/>
    <cellStyle name="40% - Accent1 4 4 2 3" xfId="42539"/>
    <cellStyle name="40% - Accent1 4 4 3" xfId="19975"/>
    <cellStyle name="40% - Accent1 4 4 4" xfId="35018"/>
    <cellStyle name="40% - Accent1 4 5" xfId="8703"/>
    <cellStyle name="40% - Accent1 4 5 2" xfId="23747"/>
    <cellStyle name="40% - Accent1 4 5 3" xfId="38790"/>
    <cellStyle name="40% - Accent1 4 6" xfId="16226"/>
    <cellStyle name="40% - Accent1 4 7" xfId="31269"/>
    <cellStyle name="40% - Accent1 5" xfId="1146"/>
    <cellStyle name="40% - Accent1 5 2" xfId="3017"/>
    <cellStyle name="40% - Accent1 5 2 2" xfId="6812"/>
    <cellStyle name="40% - Accent1 5 2 2 2" xfId="14335"/>
    <cellStyle name="40% - Accent1 5 2 2 2 2" xfId="29379"/>
    <cellStyle name="40% - Accent1 5 2 2 2 3" xfId="44422"/>
    <cellStyle name="40% - Accent1 5 2 2 3" xfId="21858"/>
    <cellStyle name="40% - Accent1 5 2 2 4" xfId="36901"/>
    <cellStyle name="40% - Accent1 5 2 3" xfId="10586"/>
    <cellStyle name="40% - Accent1 5 2 3 2" xfId="25630"/>
    <cellStyle name="40% - Accent1 5 2 3 3" xfId="40673"/>
    <cellStyle name="40% - Accent1 5 2 4" xfId="18109"/>
    <cellStyle name="40% - Accent1 5 2 5" xfId="33152"/>
    <cellStyle name="40% - Accent1 5 3" xfId="4947"/>
    <cellStyle name="40% - Accent1 5 3 2" xfId="12470"/>
    <cellStyle name="40% - Accent1 5 3 2 2" xfId="27514"/>
    <cellStyle name="40% - Accent1 5 3 2 3" xfId="42557"/>
    <cellStyle name="40% - Accent1 5 3 3" xfId="19993"/>
    <cellStyle name="40% - Accent1 5 3 4" xfId="35036"/>
    <cellStyle name="40% - Accent1 5 4" xfId="8721"/>
    <cellStyle name="40% - Accent1 5 4 2" xfId="23765"/>
    <cellStyle name="40% - Accent1 5 4 3" xfId="38808"/>
    <cellStyle name="40% - Accent1 5 5" xfId="16244"/>
    <cellStyle name="40% - Accent1 5 6" xfId="31287"/>
    <cellStyle name="40% - Accent1 6" xfId="2080"/>
    <cellStyle name="40% - Accent1 6 2" xfId="5879"/>
    <cellStyle name="40% - Accent1 6 2 2" xfId="13402"/>
    <cellStyle name="40% - Accent1 6 2 2 2" xfId="28446"/>
    <cellStyle name="40% - Accent1 6 2 2 3" xfId="43489"/>
    <cellStyle name="40% - Accent1 6 2 3" xfId="20925"/>
    <cellStyle name="40% - Accent1 6 2 4" xfId="35968"/>
    <cellStyle name="40% - Accent1 6 3" xfId="9653"/>
    <cellStyle name="40% - Accent1 6 3 2" xfId="24697"/>
    <cellStyle name="40% - Accent1 6 3 3" xfId="39740"/>
    <cellStyle name="40% - Accent1 6 4" xfId="17176"/>
    <cellStyle name="40% - Accent1 6 5" xfId="32219"/>
    <cellStyle name="40% - Accent1 7" xfId="3968"/>
    <cellStyle name="40% - Accent1 8" xfId="3994"/>
    <cellStyle name="40% - Accent1 8 2" xfId="7747"/>
    <cellStyle name="40% - Accent1 8 2 2" xfId="15270"/>
    <cellStyle name="40% - Accent1 8 2 2 2" xfId="30314"/>
    <cellStyle name="40% - Accent1 8 2 2 3" xfId="45357"/>
    <cellStyle name="40% - Accent1 8 2 3" xfId="22793"/>
    <cellStyle name="40% - Accent1 8 2 4" xfId="37836"/>
    <cellStyle name="40% - Accent1 8 3" xfId="11521"/>
    <cellStyle name="40% - Accent1 8 3 2" xfId="26565"/>
    <cellStyle name="40% - Accent1 8 3 3" xfId="41608"/>
    <cellStyle name="40% - Accent1 8 4" xfId="19044"/>
    <cellStyle name="40% - Accent1 8 5" xfId="34087"/>
    <cellStyle name="40% - Accent1 9" xfId="4007"/>
    <cellStyle name="40% - Accent1 9 2" xfId="11533"/>
    <cellStyle name="40% - Accent1 9 2 2" xfId="26577"/>
    <cellStyle name="40% - Accent1 9 2 3" xfId="41620"/>
    <cellStyle name="40% - Accent1 9 3" xfId="19056"/>
    <cellStyle name="40% - Accent1 9 4" xfId="34099"/>
    <cellStyle name="40% - Accent2" xfId="626" builtinId="35" customBuiltin="1"/>
    <cellStyle name="40% - Accent2 10" xfId="7763"/>
    <cellStyle name="40% - Accent2 10 2" xfId="15286"/>
    <cellStyle name="40% - Accent2 10 2 2" xfId="30330"/>
    <cellStyle name="40% - Accent2 10 2 3" xfId="45373"/>
    <cellStyle name="40% - Accent2 10 3" xfId="22809"/>
    <cellStyle name="40% - Accent2 10 4" xfId="37852"/>
    <cellStyle name="40% - Accent2 11" xfId="8241"/>
    <cellStyle name="40% - Accent2 11 2" xfId="23285"/>
    <cellStyle name="40% - Accent2 11 3" xfId="38328"/>
    <cellStyle name="40% - Accent2 12" xfId="15764"/>
    <cellStyle name="40% - Accent2 13" xfId="30807"/>
    <cellStyle name="40% - Accent2 2" xfId="69"/>
    <cellStyle name="40% - Accent2 3" xfId="70"/>
    <cellStyle name="40% - Accent2 4" xfId="1119"/>
    <cellStyle name="40% - Accent2 4 2" xfId="2062"/>
    <cellStyle name="40% - Accent2 4 2 2" xfId="3933"/>
    <cellStyle name="40% - Accent2 4 2 2 2" xfId="7728"/>
    <cellStyle name="40% - Accent2 4 2 2 2 2" xfId="15251"/>
    <cellStyle name="40% - Accent2 4 2 2 2 2 2" xfId="30295"/>
    <cellStyle name="40% - Accent2 4 2 2 2 2 3" xfId="45338"/>
    <cellStyle name="40% - Accent2 4 2 2 2 3" xfId="22774"/>
    <cellStyle name="40% - Accent2 4 2 2 2 4" xfId="37817"/>
    <cellStyle name="40% - Accent2 4 2 2 3" xfId="11502"/>
    <cellStyle name="40% - Accent2 4 2 2 3 2" xfId="26546"/>
    <cellStyle name="40% - Accent2 4 2 2 3 3" xfId="41589"/>
    <cellStyle name="40% - Accent2 4 2 2 4" xfId="19025"/>
    <cellStyle name="40% - Accent2 4 2 2 5" xfId="34068"/>
    <cellStyle name="40% - Accent2 4 2 3" xfId="5863"/>
    <cellStyle name="40% - Accent2 4 2 3 2" xfId="13386"/>
    <cellStyle name="40% - Accent2 4 2 3 2 2" xfId="28430"/>
    <cellStyle name="40% - Accent2 4 2 3 2 3" xfId="43473"/>
    <cellStyle name="40% - Accent2 4 2 3 3" xfId="20909"/>
    <cellStyle name="40% - Accent2 4 2 3 4" xfId="35952"/>
    <cellStyle name="40% - Accent2 4 2 4" xfId="9637"/>
    <cellStyle name="40% - Accent2 4 2 4 2" xfId="24681"/>
    <cellStyle name="40% - Accent2 4 2 4 3" xfId="39724"/>
    <cellStyle name="40% - Accent2 4 2 5" xfId="17160"/>
    <cellStyle name="40% - Accent2 4 2 6" xfId="32203"/>
    <cellStyle name="40% - Accent2 4 3" xfId="3001"/>
    <cellStyle name="40% - Accent2 4 3 2" xfId="6796"/>
    <cellStyle name="40% - Accent2 4 3 2 2" xfId="14319"/>
    <cellStyle name="40% - Accent2 4 3 2 2 2" xfId="29363"/>
    <cellStyle name="40% - Accent2 4 3 2 2 3" xfId="44406"/>
    <cellStyle name="40% - Accent2 4 3 2 3" xfId="21842"/>
    <cellStyle name="40% - Accent2 4 3 2 4" xfId="36885"/>
    <cellStyle name="40% - Accent2 4 3 3" xfId="10570"/>
    <cellStyle name="40% - Accent2 4 3 3 2" xfId="25614"/>
    <cellStyle name="40% - Accent2 4 3 3 3" xfId="40657"/>
    <cellStyle name="40% - Accent2 4 3 4" xfId="18093"/>
    <cellStyle name="40% - Accent2 4 3 5" xfId="33136"/>
    <cellStyle name="40% - Accent2 4 4" xfId="4931"/>
    <cellStyle name="40% - Accent2 4 4 2" xfId="12454"/>
    <cellStyle name="40% - Accent2 4 4 2 2" xfId="27498"/>
    <cellStyle name="40% - Accent2 4 4 2 3" xfId="42541"/>
    <cellStyle name="40% - Accent2 4 4 3" xfId="19977"/>
    <cellStyle name="40% - Accent2 4 4 4" xfId="35020"/>
    <cellStyle name="40% - Accent2 4 5" xfId="8705"/>
    <cellStyle name="40% - Accent2 4 5 2" xfId="23749"/>
    <cellStyle name="40% - Accent2 4 5 3" xfId="38792"/>
    <cellStyle name="40% - Accent2 4 6" xfId="16228"/>
    <cellStyle name="40% - Accent2 4 7" xfId="31271"/>
    <cellStyle name="40% - Accent2 5" xfId="1148"/>
    <cellStyle name="40% - Accent2 5 2" xfId="3019"/>
    <cellStyle name="40% - Accent2 5 2 2" xfId="6814"/>
    <cellStyle name="40% - Accent2 5 2 2 2" xfId="14337"/>
    <cellStyle name="40% - Accent2 5 2 2 2 2" xfId="29381"/>
    <cellStyle name="40% - Accent2 5 2 2 2 3" xfId="44424"/>
    <cellStyle name="40% - Accent2 5 2 2 3" xfId="21860"/>
    <cellStyle name="40% - Accent2 5 2 2 4" xfId="36903"/>
    <cellStyle name="40% - Accent2 5 2 3" xfId="10588"/>
    <cellStyle name="40% - Accent2 5 2 3 2" xfId="25632"/>
    <cellStyle name="40% - Accent2 5 2 3 3" xfId="40675"/>
    <cellStyle name="40% - Accent2 5 2 4" xfId="18111"/>
    <cellStyle name="40% - Accent2 5 2 5" xfId="33154"/>
    <cellStyle name="40% - Accent2 5 3" xfId="4949"/>
    <cellStyle name="40% - Accent2 5 3 2" xfId="12472"/>
    <cellStyle name="40% - Accent2 5 3 2 2" xfId="27516"/>
    <cellStyle name="40% - Accent2 5 3 2 3" xfId="42559"/>
    <cellStyle name="40% - Accent2 5 3 3" xfId="19995"/>
    <cellStyle name="40% - Accent2 5 3 4" xfId="35038"/>
    <cellStyle name="40% - Accent2 5 4" xfId="8723"/>
    <cellStyle name="40% - Accent2 5 4 2" xfId="23767"/>
    <cellStyle name="40% - Accent2 5 4 3" xfId="38810"/>
    <cellStyle name="40% - Accent2 5 5" xfId="16246"/>
    <cellStyle name="40% - Accent2 5 6" xfId="31289"/>
    <cellStyle name="40% - Accent2 6" xfId="2082"/>
    <cellStyle name="40% - Accent2 6 2" xfId="5881"/>
    <cellStyle name="40% - Accent2 6 2 2" xfId="13404"/>
    <cellStyle name="40% - Accent2 6 2 2 2" xfId="28448"/>
    <cellStyle name="40% - Accent2 6 2 2 3" xfId="43491"/>
    <cellStyle name="40% - Accent2 6 2 3" xfId="20927"/>
    <cellStyle name="40% - Accent2 6 2 4" xfId="35970"/>
    <cellStyle name="40% - Accent2 6 3" xfId="9655"/>
    <cellStyle name="40% - Accent2 6 3 2" xfId="24699"/>
    <cellStyle name="40% - Accent2 6 3 3" xfId="39742"/>
    <cellStyle name="40% - Accent2 6 4" xfId="17178"/>
    <cellStyle name="40% - Accent2 6 5" xfId="32221"/>
    <cellStyle name="40% - Accent2 7" xfId="3972"/>
    <cellStyle name="40% - Accent2 8" xfId="3996"/>
    <cellStyle name="40% - Accent2 8 2" xfId="7749"/>
    <cellStyle name="40% - Accent2 8 2 2" xfId="15272"/>
    <cellStyle name="40% - Accent2 8 2 2 2" xfId="30316"/>
    <cellStyle name="40% - Accent2 8 2 2 3" xfId="45359"/>
    <cellStyle name="40% - Accent2 8 2 3" xfId="22795"/>
    <cellStyle name="40% - Accent2 8 2 4" xfId="37838"/>
    <cellStyle name="40% - Accent2 8 3" xfId="11523"/>
    <cellStyle name="40% - Accent2 8 3 2" xfId="26567"/>
    <cellStyle name="40% - Accent2 8 3 3" xfId="41610"/>
    <cellStyle name="40% - Accent2 8 4" xfId="19046"/>
    <cellStyle name="40% - Accent2 8 5" xfId="34089"/>
    <cellStyle name="40% - Accent2 9" xfId="4009"/>
    <cellStyle name="40% - Accent2 9 2" xfId="11535"/>
    <cellStyle name="40% - Accent2 9 2 2" xfId="26579"/>
    <cellStyle name="40% - Accent2 9 2 3" xfId="41622"/>
    <cellStyle name="40% - Accent2 9 3" xfId="19058"/>
    <cellStyle name="40% - Accent2 9 4" xfId="34101"/>
    <cellStyle name="40% - Accent3" xfId="630" builtinId="39" customBuiltin="1"/>
    <cellStyle name="40% - Accent3 10" xfId="7765"/>
    <cellStyle name="40% - Accent3 10 2" xfId="15288"/>
    <cellStyle name="40% - Accent3 10 2 2" xfId="30332"/>
    <cellStyle name="40% - Accent3 10 2 3" xfId="45375"/>
    <cellStyle name="40% - Accent3 10 3" xfId="22811"/>
    <cellStyle name="40% - Accent3 10 4" xfId="37854"/>
    <cellStyle name="40% - Accent3 11" xfId="8243"/>
    <cellStyle name="40% - Accent3 11 2" xfId="23287"/>
    <cellStyle name="40% - Accent3 11 3" xfId="38330"/>
    <cellStyle name="40% - Accent3 12" xfId="15766"/>
    <cellStyle name="40% - Accent3 13" xfId="30809"/>
    <cellStyle name="40% - Accent3 2" xfId="71"/>
    <cellStyle name="40% - Accent3 3" xfId="72"/>
    <cellStyle name="40% - Accent3 4" xfId="1123"/>
    <cellStyle name="40% - Accent3 4 2" xfId="2064"/>
    <cellStyle name="40% - Accent3 4 2 2" xfId="3935"/>
    <cellStyle name="40% - Accent3 4 2 2 2" xfId="7730"/>
    <cellStyle name="40% - Accent3 4 2 2 2 2" xfId="15253"/>
    <cellStyle name="40% - Accent3 4 2 2 2 2 2" xfId="30297"/>
    <cellStyle name="40% - Accent3 4 2 2 2 2 3" xfId="45340"/>
    <cellStyle name="40% - Accent3 4 2 2 2 3" xfId="22776"/>
    <cellStyle name="40% - Accent3 4 2 2 2 4" xfId="37819"/>
    <cellStyle name="40% - Accent3 4 2 2 3" xfId="11504"/>
    <cellStyle name="40% - Accent3 4 2 2 3 2" xfId="26548"/>
    <cellStyle name="40% - Accent3 4 2 2 3 3" xfId="41591"/>
    <cellStyle name="40% - Accent3 4 2 2 4" xfId="19027"/>
    <cellStyle name="40% - Accent3 4 2 2 5" xfId="34070"/>
    <cellStyle name="40% - Accent3 4 2 3" xfId="5865"/>
    <cellStyle name="40% - Accent3 4 2 3 2" xfId="13388"/>
    <cellStyle name="40% - Accent3 4 2 3 2 2" xfId="28432"/>
    <cellStyle name="40% - Accent3 4 2 3 2 3" xfId="43475"/>
    <cellStyle name="40% - Accent3 4 2 3 3" xfId="20911"/>
    <cellStyle name="40% - Accent3 4 2 3 4" xfId="35954"/>
    <cellStyle name="40% - Accent3 4 2 4" xfId="9639"/>
    <cellStyle name="40% - Accent3 4 2 4 2" xfId="24683"/>
    <cellStyle name="40% - Accent3 4 2 4 3" xfId="39726"/>
    <cellStyle name="40% - Accent3 4 2 5" xfId="17162"/>
    <cellStyle name="40% - Accent3 4 2 6" xfId="32205"/>
    <cellStyle name="40% - Accent3 4 3" xfId="3003"/>
    <cellStyle name="40% - Accent3 4 3 2" xfId="6798"/>
    <cellStyle name="40% - Accent3 4 3 2 2" xfId="14321"/>
    <cellStyle name="40% - Accent3 4 3 2 2 2" xfId="29365"/>
    <cellStyle name="40% - Accent3 4 3 2 2 3" xfId="44408"/>
    <cellStyle name="40% - Accent3 4 3 2 3" xfId="21844"/>
    <cellStyle name="40% - Accent3 4 3 2 4" xfId="36887"/>
    <cellStyle name="40% - Accent3 4 3 3" xfId="10572"/>
    <cellStyle name="40% - Accent3 4 3 3 2" xfId="25616"/>
    <cellStyle name="40% - Accent3 4 3 3 3" xfId="40659"/>
    <cellStyle name="40% - Accent3 4 3 4" xfId="18095"/>
    <cellStyle name="40% - Accent3 4 3 5" xfId="33138"/>
    <cellStyle name="40% - Accent3 4 4" xfId="4933"/>
    <cellStyle name="40% - Accent3 4 4 2" xfId="12456"/>
    <cellStyle name="40% - Accent3 4 4 2 2" xfId="27500"/>
    <cellStyle name="40% - Accent3 4 4 2 3" xfId="42543"/>
    <cellStyle name="40% - Accent3 4 4 3" xfId="19979"/>
    <cellStyle name="40% - Accent3 4 4 4" xfId="35022"/>
    <cellStyle name="40% - Accent3 4 5" xfId="8707"/>
    <cellStyle name="40% - Accent3 4 5 2" xfId="23751"/>
    <cellStyle name="40% - Accent3 4 5 3" xfId="38794"/>
    <cellStyle name="40% - Accent3 4 6" xfId="16230"/>
    <cellStyle name="40% - Accent3 4 7" xfId="31273"/>
    <cellStyle name="40% - Accent3 5" xfId="1150"/>
    <cellStyle name="40% - Accent3 5 2" xfId="3021"/>
    <cellStyle name="40% - Accent3 5 2 2" xfId="6816"/>
    <cellStyle name="40% - Accent3 5 2 2 2" xfId="14339"/>
    <cellStyle name="40% - Accent3 5 2 2 2 2" xfId="29383"/>
    <cellStyle name="40% - Accent3 5 2 2 2 3" xfId="44426"/>
    <cellStyle name="40% - Accent3 5 2 2 3" xfId="21862"/>
    <cellStyle name="40% - Accent3 5 2 2 4" xfId="36905"/>
    <cellStyle name="40% - Accent3 5 2 3" xfId="10590"/>
    <cellStyle name="40% - Accent3 5 2 3 2" xfId="25634"/>
    <cellStyle name="40% - Accent3 5 2 3 3" xfId="40677"/>
    <cellStyle name="40% - Accent3 5 2 4" xfId="18113"/>
    <cellStyle name="40% - Accent3 5 2 5" xfId="33156"/>
    <cellStyle name="40% - Accent3 5 3" xfId="4951"/>
    <cellStyle name="40% - Accent3 5 3 2" xfId="12474"/>
    <cellStyle name="40% - Accent3 5 3 2 2" xfId="27518"/>
    <cellStyle name="40% - Accent3 5 3 2 3" xfId="42561"/>
    <cellStyle name="40% - Accent3 5 3 3" xfId="19997"/>
    <cellStyle name="40% - Accent3 5 3 4" xfId="35040"/>
    <cellStyle name="40% - Accent3 5 4" xfId="8725"/>
    <cellStyle name="40% - Accent3 5 4 2" xfId="23769"/>
    <cellStyle name="40% - Accent3 5 4 3" xfId="38812"/>
    <cellStyle name="40% - Accent3 5 5" xfId="16248"/>
    <cellStyle name="40% - Accent3 5 6" xfId="31291"/>
    <cellStyle name="40% - Accent3 6" xfId="2084"/>
    <cellStyle name="40% - Accent3 6 2" xfId="5883"/>
    <cellStyle name="40% - Accent3 6 2 2" xfId="13406"/>
    <cellStyle name="40% - Accent3 6 2 2 2" xfId="28450"/>
    <cellStyle name="40% - Accent3 6 2 2 3" xfId="43493"/>
    <cellStyle name="40% - Accent3 6 2 3" xfId="20929"/>
    <cellStyle name="40% - Accent3 6 2 4" xfId="35972"/>
    <cellStyle name="40% - Accent3 6 3" xfId="9657"/>
    <cellStyle name="40% - Accent3 6 3 2" xfId="24701"/>
    <cellStyle name="40% - Accent3 6 3 3" xfId="39744"/>
    <cellStyle name="40% - Accent3 6 4" xfId="17180"/>
    <cellStyle name="40% - Accent3 6 5" xfId="32223"/>
    <cellStyle name="40% - Accent3 7" xfId="3976"/>
    <cellStyle name="40% - Accent3 8" xfId="3998"/>
    <cellStyle name="40% - Accent3 8 2" xfId="7751"/>
    <cellStyle name="40% - Accent3 8 2 2" xfId="15274"/>
    <cellStyle name="40% - Accent3 8 2 2 2" xfId="30318"/>
    <cellStyle name="40% - Accent3 8 2 2 3" xfId="45361"/>
    <cellStyle name="40% - Accent3 8 2 3" xfId="22797"/>
    <cellStyle name="40% - Accent3 8 2 4" xfId="37840"/>
    <cellStyle name="40% - Accent3 8 3" xfId="11525"/>
    <cellStyle name="40% - Accent3 8 3 2" xfId="26569"/>
    <cellStyle name="40% - Accent3 8 3 3" xfId="41612"/>
    <cellStyle name="40% - Accent3 8 4" xfId="19048"/>
    <cellStyle name="40% - Accent3 8 5" xfId="34091"/>
    <cellStyle name="40% - Accent3 9" xfId="4011"/>
    <cellStyle name="40% - Accent3 9 2" xfId="11537"/>
    <cellStyle name="40% - Accent3 9 2 2" xfId="26581"/>
    <cellStyle name="40% - Accent3 9 2 3" xfId="41624"/>
    <cellStyle name="40% - Accent3 9 3" xfId="19060"/>
    <cellStyle name="40% - Accent3 9 4" xfId="34103"/>
    <cellStyle name="40% - Accent4" xfId="634" builtinId="43" customBuiltin="1"/>
    <cellStyle name="40% - Accent4 10" xfId="7767"/>
    <cellStyle name="40% - Accent4 10 2" xfId="15290"/>
    <cellStyle name="40% - Accent4 10 2 2" xfId="30334"/>
    <cellStyle name="40% - Accent4 10 2 3" xfId="45377"/>
    <cellStyle name="40% - Accent4 10 3" xfId="22813"/>
    <cellStyle name="40% - Accent4 10 4" xfId="37856"/>
    <cellStyle name="40% - Accent4 11" xfId="8245"/>
    <cellStyle name="40% - Accent4 11 2" xfId="23289"/>
    <cellStyle name="40% - Accent4 11 3" xfId="38332"/>
    <cellStyle name="40% - Accent4 12" xfId="15768"/>
    <cellStyle name="40% - Accent4 13" xfId="30811"/>
    <cellStyle name="40% - Accent4 2" xfId="73"/>
    <cellStyle name="40% - Accent4 3" xfId="74"/>
    <cellStyle name="40% - Accent4 4" xfId="1127"/>
    <cellStyle name="40% - Accent4 4 2" xfId="2066"/>
    <cellStyle name="40% - Accent4 4 2 2" xfId="3937"/>
    <cellStyle name="40% - Accent4 4 2 2 2" xfId="7732"/>
    <cellStyle name="40% - Accent4 4 2 2 2 2" xfId="15255"/>
    <cellStyle name="40% - Accent4 4 2 2 2 2 2" xfId="30299"/>
    <cellStyle name="40% - Accent4 4 2 2 2 2 3" xfId="45342"/>
    <cellStyle name="40% - Accent4 4 2 2 2 3" xfId="22778"/>
    <cellStyle name="40% - Accent4 4 2 2 2 4" xfId="37821"/>
    <cellStyle name="40% - Accent4 4 2 2 3" xfId="11506"/>
    <cellStyle name="40% - Accent4 4 2 2 3 2" xfId="26550"/>
    <cellStyle name="40% - Accent4 4 2 2 3 3" xfId="41593"/>
    <cellStyle name="40% - Accent4 4 2 2 4" xfId="19029"/>
    <cellStyle name="40% - Accent4 4 2 2 5" xfId="34072"/>
    <cellStyle name="40% - Accent4 4 2 3" xfId="5867"/>
    <cellStyle name="40% - Accent4 4 2 3 2" xfId="13390"/>
    <cellStyle name="40% - Accent4 4 2 3 2 2" xfId="28434"/>
    <cellStyle name="40% - Accent4 4 2 3 2 3" xfId="43477"/>
    <cellStyle name="40% - Accent4 4 2 3 3" xfId="20913"/>
    <cellStyle name="40% - Accent4 4 2 3 4" xfId="35956"/>
    <cellStyle name="40% - Accent4 4 2 4" xfId="9641"/>
    <cellStyle name="40% - Accent4 4 2 4 2" xfId="24685"/>
    <cellStyle name="40% - Accent4 4 2 4 3" xfId="39728"/>
    <cellStyle name="40% - Accent4 4 2 5" xfId="17164"/>
    <cellStyle name="40% - Accent4 4 2 6" xfId="32207"/>
    <cellStyle name="40% - Accent4 4 3" xfId="3005"/>
    <cellStyle name="40% - Accent4 4 3 2" xfId="6800"/>
    <cellStyle name="40% - Accent4 4 3 2 2" xfId="14323"/>
    <cellStyle name="40% - Accent4 4 3 2 2 2" xfId="29367"/>
    <cellStyle name="40% - Accent4 4 3 2 2 3" xfId="44410"/>
    <cellStyle name="40% - Accent4 4 3 2 3" xfId="21846"/>
    <cellStyle name="40% - Accent4 4 3 2 4" xfId="36889"/>
    <cellStyle name="40% - Accent4 4 3 3" xfId="10574"/>
    <cellStyle name="40% - Accent4 4 3 3 2" xfId="25618"/>
    <cellStyle name="40% - Accent4 4 3 3 3" xfId="40661"/>
    <cellStyle name="40% - Accent4 4 3 4" xfId="18097"/>
    <cellStyle name="40% - Accent4 4 3 5" xfId="33140"/>
    <cellStyle name="40% - Accent4 4 4" xfId="4935"/>
    <cellStyle name="40% - Accent4 4 4 2" xfId="12458"/>
    <cellStyle name="40% - Accent4 4 4 2 2" xfId="27502"/>
    <cellStyle name="40% - Accent4 4 4 2 3" xfId="42545"/>
    <cellStyle name="40% - Accent4 4 4 3" xfId="19981"/>
    <cellStyle name="40% - Accent4 4 4 4" xfId="35024"/>
    <cellStyle name="40% - Accent4 4 5" xfId="8709"/>
    <cellStyle name="40% - Accent4 4 5 2" xfId="23753"/>
    <cellStyle name="40% - Accent4 4 5 3" xfId="38796"/>
    <cellStyle name="40% - Accent4 4 6" xfId="16232"/>
    <cellStyle name="40% - Accent4 4 7" xfId="31275"/>
    <cellStyle name="40% - Accent4 5" xfId="1152"/>
    <cellStyle name="40% - Accent4 5 2" xfId="3023"/>
    <cellStyle name="40% - Accent4 5 2 2" xfId="6818"/>
    <cellStyle name="40% - Accent4 5 2 2 2" xfId="14341"/>
    <cellStyle name="40% - Accent4 5 2 2 2 2" xfId="29385"/>
    <cellStyle name="40% - Accent4 5 2 2 2 3" xfId="44428"/>
    <cellStyle name="40% - Accent4 5 2 2 3" xfId="21864"/>
    <cellStyle name="40% - Accent4 5 2 2 4" xfId="36907"/>
    <cellStyle name="40% - Accent4 5 2 3" xfId="10592"/>
    <cellStyle name="40% - Accent4 5 2 3 2" xfId="25636"/>
    <cellStyle name="40% - Accent4 5 2 3 3" xfId="40679"/>
    <cellStyle name="40% - Accent4 5 2 4" xfId="18115"/>
    <cellStyle name="40% - Accent4 5 2 5" xfId="33158"/>
    <cellStyle name="40% - Accent4 5 3" xfId="4953"/>
    <cellStyle name="40% - Accent4 5 3 2" xfId="12476"/>
    <cellStyle name="40% - Accent4 5 3 2 2" xfId="27520"/>
    <cellStyle name="40% - Accent4 5 3 2 3" xfId="42563"/>
    <cellStyle name="40% - Accent4 5 3 3" xfId="19999"/>
    <cellStyle name="40% - Accent4 5 3 4" xfId="35042"/>
    <cellStyle name="40% - Accent4 5 4" xfId="8727"/>
    <cellStyle name="40% - Accent4 5 4 2" xfId="23771"/>
    <cellStyle name="40% - Accent4 5 4 3" xfId="38814"/>
    <cellStyle name="40% - Accent4 5 5" xfId="16250"/>
    <cellStyle name="40% - Accent4 5 6" xfId="31293"/>
    <cellStyle name="40% - Accent4 6" xfId="2086"/>
    <cellStyle name="40% - Accent4 6 2" xfId="5885"/>
    <cellStyle name="40% - Accent4 6 2 2" xfId="13408"/>
    <cellStyle name="40% - Accent4 6 2 2 2" xfId="28452"/>
    <cellStyle name="40% - Accent4 6 2 2 3" xfId="43495"/>
    <cellStyle name="40% - Accent4 6 2 3" xfId="20931"/>
    <cellStyle name="40% - Accent4 6 2 4" xfId="35974"/>
    <cellStyle name="40% - Accent4 6 3" xfId="9659"/>
    <cellStyle name="40% - Accent4 6 3 2" xfId="24703"/>
    <cellStyle name="40% - Accent4 6 3 3" xfId="39746"/>
    <cellStyle name="40% - Accent4 6 4" xfId="17182"/>
    <cellStyle name="40% - Accent4 6 5" xfId="32225"/>
    <cellStyle name="40% - Accent4 7" xfId="3980"/>
    <cellStyle name="40% - Accent4 8" xfId="4000"/>
    <cellStyle name="40% - Accent4 8 2" xfId="7753"/>
    <cellStyle name="40% - Accent4 8 2 2" xfId="15276"/>
    <cellStyle name="40% - Accent4 8 2 2 2" xfId="30320"/>
    <cellStyle name="40% - Accent4 8 2 2 3" xfId="45363"/>
    <cellStyle name="40% - Accent4 8 2 3" xfId="22799"/>
    <cellStyle name="40% - Accent4 8 2 4" xfId="37842"/>
    <cellStyle name="40% - Accent4 8 3" xfId="11527"/>
    <cellStyle name="40% - Accent4 8 3 2" xfId="26571"/>
    <cellStyle name="40% - Accent4 8 3 3" xfId="41614"/>
    <cellStyle name="40% - Accent4 8 4" xfId="19050"/>
    <cellStyle name="40% - Accent4 8 5" xfId="34093"/>
    <cellStyle name="40% - Accent4 9" xfId="4013"/>
    <cellStyle name="40% - Accent4 9 2" xfId="11539"/>
    <cellStyle name="40% - Accent4 9 2 2" xfId="26583"/>
    <cellStyle name="40% - Accent4 9 2 3" xfId="41626"/>
    <cellStyle name="40% - Accent4 9 3" xfId="19062"/>
    <cellStyle name="40% - Accent4 9 4" xfId="34105"/>
    <cellStyle name="40% - Accent5" xfId="638" builtinId="47" customBuiltin="1"/>
    <cellStyle name="40% - Accent5 10" xfId="7769"/>
    <cellStyle name="40% - Accent5 10 2" xfId="15292"/>
    <cellStyle name="40% - Accent5 10 2 2" xfId="30336"/>
    <cellStyle name="40% - Accent5 10 2 3" xfId="45379"/>
    <cellStyle name="40% - Accent5 10 3" xfId="22815"/>
    <cellStyle name="40% - Accent5 10 4" xfId="37858"/>
    <cellStyle name="40% - Accent5 11" xfId="8247"/>
    <cellStyle name="40% - Accent5 11 2" xfId="23291"/>
    <cellStyle name="40% - Accent5 11 3" xfId="38334"/>
    <cellStyle name="40% - Accent5 12" xfId="15770"/>
    <cellStyle name="40% - Accent5 13" xfId="30813"/>
    <cellStyle name="40% - Accent5 2" xfId="75"/>
    <cellStyle name="40% - Accent5 3" xfId="76"/>
    <cellStyle name="40% - Accent5 4" xfId="1131"/>
    <cellStyle name="40% - Accent5 4 2" xfId="2068"/>
    <cellStyle name="40% - Accent5 4 2 2" xfId="3939"/>
    <cellStyle name="40% - Accent5 4 2 2 2" xfId="7734"/>
    <cellStyle name="40% - Accent5 4 2 2 2 2" xfId="15257"/>
    <cellStyle name="40% - Accent5 4 2 2 2 2 2" xfId="30301"/>
    <cellStyle name="40% - Accent5 4 2 2 2 2 3" xfId="45344"/>
    <cellStyle name="40% - Accent5 4 2 2 2 3" xfId="22780"/>
    <cellStyle name="40% - Accent5 4 2 2 2 4" xfId="37823"/>
    <cellStyle name="40% - Accent5 4 2 2 3" xfId="11508"/>
    <cellStyle name="40% - Accent5 4 2 2 3 2" xfId="26552"/>
    <cellStyle name="40% - Accent5 4 2 2 3 3" xfId="41595"/>
    <cellStyle name="40% - Accent5 4 2 2 4" xfId="19031"/>
    <cellStyle name="40% - Accent5 4 2 2 5" xfId="34074"/>
    <cellStyle name="40% - Accent5 4 2 3" xfId="5869"/>
    <cellStyle name="40% - Accent5 4 2 3 2" xfId="13392"/>
    <cellStyle name="40% - Accent5 4 2 3 2 2" xfId="28436"/>
    <cellStyle name="40% - Accent5 4 2 3 2 3" xfId="43479"/>
    <cellStyle name="40% - Accent5 4 2 3 3" xfId="20915"/>
    <cellStyle name="40% - Accent5 4 2 3 4" xfId="35958"/>
    <cellStyle name="40% - Accent5 4 2 4" xfId="9643"/>
    <cellStyle name="40% - Accent5 4 2 4 2" xfId="24687"/>
    <cellStyle name="40% - Accent5 4 2 4 3" xfId="39730"/>
    <cellStyle name="40% - Accent5 4 2 5" xfId="17166"/>
    <cellStyle name="40% - Accent5 4 2 6" xfId="32209"/>
    <cellStyle name="40% - Accent5 4 3" xfId="3007"/>
    <cellStyle name="40% - Accent5 4 3 2" xfId="6802"/>
    <cellStyle name="40% - Accent5 4 3 2 2" xfId="14325"/>
    <cellStyle name="40% - Accent5 4 3 2 2 2" xfId="29369"/>
    <cellStyle name="40% - Accent5 4 3 2 2 3" xfId="44412"/>
    <cellStyle name="40% - Accent5 4 3 2 3" xfId="21848"/>
    <cellStyle name="40% - Accent5 4 3 2 4" xfId="36891"/>
    <cellStyle name="40% - Accent5 4 3 3" xfId="10576"/>
    <cellStyle name="40% - Accent5 4 3 3 2" xfId="25620"/>
    <cellStyle name="40% - Accent5 4 3 3 3" xfId="40663"/>
    <cellStyle name="40% - Accent5 4 3 4" xfId="18099"/>
    <cellStyle name="40% - Accent5 4 3 5" xfId="33142"/>
    <cellStyle name="40% - Accent5 4 4" xfId="4937"/>
    <cellStyle name="40% - Accent5 4 4 2" xfId="12460"/>
    <cellStyle name="40% - Accent5 4 4 2 2" xfId="27504"/>
    <cellStyle name="40% - Accent5 4 4 2 3" xfId="42547"/>
    <cellStyle name="40% - Accent5 4 4 3" xfId="19983"/>
    <cellStyle name="40% - Accent5 4 4 4" xfId="35026"/>
    <cellStyle name="40% - Accent5 4 5" xfId="8711"/>
    <cellStyle name="40% - Accent5 4 5 2" xfId="23755"/>
    <cellStyle name="40% - Accent5 4 5 3" xfId="38798"/>
    <cellStyle name="40% - Accent5 4 6" xfId="16234"/>
    <cellStyle name="40% - Accent5 4 7" xfId="31277"/>
    <cellStyle name="40% - Accent5 5" xfId="1154"/>
    <cellStyle name="40% - Accent5 5 2" xfId="3025"/>
    <cellStyle name="40% - Accent5 5 2 2" xfId="6820"/>
    <cellStyle name="40% - Accent5 5 2 2 2" xfId="14343"/>
    <cellStyle name="40% - Accent5 5 2 2 2 2" xfId="29387"/>
    <cellStyle name="40% - Accent5 5 2 2 2 3" xfId="44430"/>
    <cellStyle name="40% - Accent5 5 2 2 3" xfId="21866"/>
    <cellStyle name="40% - Accent5 5 2 2 4" xfId="36909"/>
    <cellStyle name="40% - Accent5 5 2 3" xfId="10594"/>
    <cellStyle name="40% - Accent5 5 2 3 2" xfId="25638"/>
    <cellStyle name="40% - Accent5 5 2 3 3" xfId="40681"/>
    <cellStyle name="40% - Accent5 5 2 4" xfId="18117"/>
    <cellStyle name="40% - Accent5 5 2 5" xfId="33160"/>
    <cellStyle name="40% - Accent5 5 3" xfId="4955"/>
    <cellStyle name="40% - Accent5 5 3 2" xfId="12478"/>
    <cellStyle name="40% - Accent5 5 3 2 2" xfId="27522"/>
    <cellStyle name="40% - Accent5 5 3 2 3" xfId="42565"/>
    <cellStyle name="40% - Accent5 5 3 3" xfId="20001"/>
    <cellStyle name="40% - Accent5 5 3 4" xfId="35044"/>
    <cellStyle name="40% - Accent5 5 4" xfId="8729"/>
    <cellStyle name="40% - Accent5 5 4 2" xfId="23773"/>
    <cellStyle name="40% - Accent5 5 4 3" xfId="38816"/>
    <cellStyle name="40% - Accent5 5 5" xfId="16252"/>
    <cellStyle name="40% - Accent5 5 6" xfId="31295"/>
    <cellStyle name="40% - Accent5 6" xfId="2088"/>
    <cellStyle name="40% - Accent5 6 2" xfId="5887"/>
    <cellStyle name="40% - Accent5 6 2 2" xfId="13410"/>
    <cellStyle name="40% - Accent5 6 2 2 2" xfId="28454"/>
    <cellStyle name="40% - Accent5 6 2 2 3" xfId="43497"/>
    <cellStyle name="40% - Accent5 6 2 3" xfId="20933"/>
    <cellStyle name="40% - Accent5 6 2 4" xfId="35976"/>
    <cellStyle name="40% - Accent5 6 3" xfId="9661"/>
    <cellStyle name="40% - Accent5 6 3 2" xfId="24705"/>
    <cellStyle name="40% - Accent5 6 3 3" xfId="39748"/>
    <cellStyle name="40% - Accent5 6 4" xfId="17184"/>
    <cellStyle name="40% - Accent5 6 5" xfId="32227"/>
    <cellStyle name="40% - Accent5 7" xfId="3984"/>
    <cellStyle name="40% - Accent5 8" xfId="4002"/>
    <cellStyle name="40% - Accent5 8 2" xfId="7755"/>
    <cellStyle name="40% - Accent5 8 2 2" xfId="15278"/>
    <cellStyle name="40% - Accent5 8 2 2 2" xfId="30322"/>
    <cellStyle name="40% - Accent5 8 2 2 3" xfId="45365"/>
    <cellStyle name="40% - Accent5 8 2 3" xfId="22801"/>
    <cellStyle name="40% - Accent5 8 2 4" xfId="37844"/>
    <cellStyle name="40% - Accent5 8 3" xfId="11529"/>
    <cellStyle name="40% - Accent5 8 3 2" xfId="26573"/>
    <cellStyle name="40% - Accent5 8 3 3" xfId="41616"/>
    <cellStyle name="40% - Accent5 8 4" xfId="19052"/>
    <cellStyle name="40% - Accent5 8 5" xfId="34095"/>
    <cellStyle name="40% - Accent5 9" xfId="4015"/>
    <cellStyle name="40% - Accent5 9 2" xfId="11541"/>
    <cellStyle name="40% - Accent5 9 2 2" xfId="26585"/>
    <cellStyle name="40% - Accent5 9 2 3" xfId="41628"/>
    <cellStyle name="40% - Accent5 9 3" xfId="19064"/>
    <cellStyle name="40% - Accent5 9 4" xfId="34107"/>
    <cellStyle name="40% - Accent6" xfId="642" builtinId="51" customBuiltin="1"/>
    <cellStyle name="40% - Accent6 10" xfId="7771"/>
    <cellStyle name="40% - Accent6 10 2" xfId="15294"/>
    <cellStyle name="40% - Accent6 10 2 2" xfId="30338"/>
    <cellStyle name="40% - Accent6 10 2 3" xfId="45381"/>
    <cellStyle name="40% - Accent6 10 3" xfId="22817"/>
    <cellStyle name="40% - Accent6 10 4" xfId="37860"/>
    <cellStyle name="40% - Accent6 11" xfId="8249"/>
    <cellStyle name="40% - Accent6 11 2" xfId="23293"/>
    <cellStyle name="40% - Accent6 11 3" xfId="38336"/>
    <cellStyle name="40% - Accent6 12" xfId="15772"/>
    <cellStyle name="40% - Accent6 13" xfId="30815"/>
    <cellStyle name="40% - Accent6 2" xfId="77"/>
    <cellStyle name="40% - Accent6 3" xfId="78"/>
    <cellStyle name="40% - Accent6 4" xfId="1135"/>
    <cellStyle name="40% - Accent6 4 2" xfId="2070"/>
    <cellStyle name="40% - Accent6 4 2 2" xfId="3941"/>
    <cellStyle name="40% - Accent6 4 2 2 2" xfId="7736"/>
    <cellStyle name="40% - Accent6 4 2 2 2 2" xfId="15259"/>
    <cellStyle name="40% - Accent6 4 2 2 2 2 2" xfId="30303"/>
    <cellStyle name="40% - Accent6 4 2 2 2 2 3" xfId="45346"/>
    <cellStyle name="40% - Accent6 4 2 2 2 3" xfId="22782"/>
    <cellStyle name="40% - Accent6 4 2 2 2 4" xfId="37825"/>
    <cellStyle name="40% - Accent6 4 2 2 3" xfId="11510"/>
    <cellStyle name="40% - Accent6 4 2 2 3 2" xfId="26554"/>
    <cellStyle name="40% - Accent6 4 2 2 3 3" xfId="41597"/>
    <cellStyle name="40% - Accent6 4 2 2 4" xfId="19033"/>
    <cellStyle name="40% - Accent6 4 2 2 5" xfId="34076"/>
    <cellStyle name="40% - Accent6 4 2 3" xfId="5871"/>
    <cellStyle name="40% - Accent6 4 2 3 2" xfId="13394"/>
    <cellStyle name="40% - Accent6 4 2 3 2 2" xfId="28438"/>
    <cellStyle name="40% - Accent6 4 2 3 2 3" xfId="43481"/>
    <cellStyle name="40% - Accent6 4 2 3 3" xfId="20917"/>
    <cellStyle name="40% - Accent6 4 2 3 4" xfId="35960"/>
    <cellStyle name="40% - Accent6 4 2 4" xfId="9645"/>
    <cellStyle name="40% - Accent6 4 2 4 2" xfId="24689"/>
    <cellStyle name="40% - Accent6 4 2 4 3" xfId="39732"/>
    <cellStyle name="40% - Accent6 4 2 5" xfId="17168"/>
    <cellStyle name="40% - Accent6 4 2 6" xfId="32211"/>
    <cellStyle name="40% - Accent6 4 3" xfId="3009"/>
    <cellStyle name="40% - Accent6 4 3 2" xfId="6804"/>
    <cellStyle name="40% - Accent6 4 3 2 2" xfId="14327"/>
    <cellStyle name="40% - Accent6 4 3 2 2 2" xfId="29371"/>
    <cellStyle name="40% - Accent6 4 3 2 2 3" xfId="44414"/>
    <cellStyle name="40% - Accent6 4 3 2 3" xfId="21850"/>
    <cellStyle name="40% - Accent6 4 3 2 4" xfId="36893"/>
    <cellStyle name="40% - Accent6 4 3 3" xfId="10578"/>
    <cellStyle name="40% - Accent6 4 3 3 2" xfId="25622"/>
    <cellStyle name="40% - Accent6 4 3 3 3" xfId="40665"/>
    <cellStyle name="40% - Accent6 4 3 4" xfId="18101"/>
    <cellStyle name="40% - Accent6 4 3 5" xfId="33144"/>
    <cellStyle name="40% - Accent6 4 4" xfId="4939"/>
    <cellStyle name="40% - Accent6 4 4 2" xfId="12462"/>
    <cellStyle name="40% - Accent6 4 4 2 2" xfId="27506"/>
    <cellStyle name="40% - Accent6 4 4 2 3" xfId="42549"/>
    <cellStyle name="40% - Accent6 4 4 3" xfId="19985"/>
    <cellStyle name="40% - Accent6 4 4 4" xfId="35028"/>
    <cellStyle name="40% - Accent6 4 5" xfId="8713"/>
    <cellStyle name="40% - Accent6 4 5 2" xfId="23757"/>
    <cellStyle name="40% - Accent6 4 5 3" xfId="38800"/>
    <cellStyle name="40% - Accent6 4 6" xfId="16236"/>
    <cellStyle name="40% - Accent6 4 7" xfId="31279"/>
    <cellStyle name="40% - Accent6 5" xfId="1156"/>
    <cellStyle name="40% - Accent6 5 2" xfId="3027"/>
    <cellStyle name="40% - Accent6 5 2 2" xfId="6822"/>
    <cellStyle name="40% - Accent6 5 2 2 2" xfId="14345"/>
    <cellStyle name="40% - Accent6 5 2 2 2 2" xfId="29389"/>
    <cellStyle name="40% - Accent6 5 2 2 2 3" xfId="44432"/>
    <cellStyle name="40% - Accent6 5 2 2 3" xfId="21868"/>
    <cellStyle name="40% - Accent6 5 2 2 4" xfId="36911"/>
    <cellStyle name="40% - Accent6 5 2 3" xfId="10596"/>
    <cellStyle name="40% - Accent6 5 2 3 2" xfId="25640"/>
    <cellStyle name="40% - Accent6 5 2 3 3" xfId="40683"/>
    <cellStyle name="40% - Accent6 5 2 4" xfId="18119"/>
    <cellStyle name="40% - Accent6 5 2 5" xfId="33162"/>
    <cellStyle name="40% - Accent6 5 3" xfId="4957"/>
    <cellStyle name="40% - Accent6 5 3 2" xfId="12480"/>
    <cellStyle name="40% - Accent6 5 3 2 2" xfId="27524"/>
    <cellStyle name="40% - Accent6 5 3 2 3" xfId="42567"/>
    <cellStyle name="40% - Accent6 5 3 3" xfId="20003"/>
    <cellStyle name="40% - Accent6 5 3 4" xfId="35046"/>
    <cellStyle name="40% - Accent6 5 4" xfId="8731"/>
    <cellStyle name="40% - Accent6 5 4 2" xfId="23775"/>
    <cellStyle name="40% - Accent6 5 4 3" xfId="38818"/>
    <cellStyle name="40% - Accent6 5 5" xfId="16254"/>
    <cellStyle name="40% - Accent6 5 6" xfId="31297"/>
    <cellStyle name="40% - Accent6 6" xfId="2090"/>
    <cellStyle name="40% - Accent6 6 2" xfId="5889"/>
    <cellStyle name="40% - Accent6 6 2 2" xfId="13412"/>
    <cellStyle name="40% - Accent6 6 2 2 2" xfId="28456"/>
    <cellStyle name="40% - Accent6 6 2 2 3" xfId="43499"/>
    <cellStyle name="40% - Accent6 6 2 3" xfId="20935"/>
    <cellStyle name="40% - Accent6 6 2 4" xfId="35978"/>
    <cellStyle name="40% - Accent6 6 3" xfId="9663"/>
    <cellStyle name="40% - Accent6 6 3 2" xfId="24707"/>
    <cellStyle name="40% - Accent6 6 3 3" xfId="39750"/>
    <cellStyle name="40% - Accent6 6 4" xfId="17186"/>
    <cellStyle name="40% - Accent6 6 5" xfId="32229"/>
    <cellStyle name="40% - Accent6 7" xfId="3988"/>
    <cellStyle name="40% - Accent6 8" xfId="4004"/>
    <cellStyle name="40% - Accent6 8 2" xfId="7757"/>
    <cellStyle name="40% - Accent6 8 2 2" xfId="15280"/>
    <cellStyle name="40% - Accent6 8 2 2 2" xfId="30324"/>
    <cellStyle name="40% - Accent6 8 2 2 3" xfId="45367"/>
    <cellStyle name="40% - Accent6 8 2 3" xfId="22803"/>
    <cellStyle name="40% - Accent6 8 2 4" xfId="37846"/>
    <cellStyle name="40% - Accent6 8 3" xfId="11531"/>
    <cellStyle name="40% - Accent6 8 3 2" xfId="26575"/>
    <cellStyle name="40% - Accent6 8 3 3" xfId="41618"/>
    <cellStyle name="40% - Accent6 8 4" xfId="19054"/>
    <cellStyle name="40% - Accent6 8 5" xfId="34097"/>
    <cellStyle name="40% - Accent6 9" xfId="4017"/>
    <cellStyle name="40% - Accent6 9 2" xfId="11543"/>
    <cellStyle name="40% - Accent6 9 2 2" xfId="26587"/>
    <cellStyle name="40% - Accent6 9 2 3" xfId="41630"/>
    <cellStyle name="40% - Accent6 9 3" xfId="19066"/>
    <cellStyle name="40% - Accent6 9 4" xfId="34109"/>
    <cellStyle name="40% - akcent 1" xfId="79"/>
    <cellStyle name="40% - akcent 2" xfId="80"/>
    <cellStyle name="40% - akcent 3" xfId="81"/>
    <cellStyle name="40% - akcent 4" xfId="82"/>
    <cellStyle name="40% - akcent 5" xfId="83"/>
    <cellStyle name="40% - akcent 6" xfId="84"/>
    <cellStyle name="60% - Accent1" xfId="623" builtinId="32" customBuiltin="1"/>
    <cellStyle name="60% - Accent1 2" xfId="85"/>
    <cellStyle name="60% - Accent1 3" xfId="86"/>
    <cellStyle name="60% - Accent1 4" xfId="1116"/>
    <cellStyle name="60% - Accent1 5" xfId="3969"/>
    <cellStyle name="60% - Accent2" xfId="627" builtinId="36" customBuiltin="1"/>
    <cellStyle name="60% - Accent2 2" xfId="87"/>
    <cellStyle name="60% - Accent2 3" xfId="88"/>
    <cellStyle name="60% - Accent2 4" xfId="1120"/>
    <cellStyle name="60% - Accent2 5" xfId="3973"/>
    <cellStyle name="60% - Accent3" xfId="631" builtinId="40" customBuiltin="1"/>
    <cellStyle name="60% - Accent3 2" xfId="89"/>
    <cellStyle name="60% - Accent3 3" xfId="90"/>
    <cellStyle name="60% - Accent3 4" xfId="1124"/>
    <cellStyle name="60% - Accent3 5" xfId="3977"/>
    <cellStyle name="60% - Accent4" xfId="635" builtinId="44" customBuiltin="1"/>
    <cellStyle name="60% - Accent4 2" xfId="91"/>
    <cellStyle name="60% - Accent4 3" xfId="92"/>
    <cellStyle name="60% - Accent4 4" xfId="1128"/>
    <cellStyle name="60% - Accent4 5" xfId="3981"/>
    <cellStyle name="60% - Accent5" xfId="639" builtinId="48" customBuiltin="1"/>
    <cellStyle name="60% - Accent5 2" xfId="93"/>
    <cellStyle name="60% - Accent5 3" xfId="94"/>
    <cellStyle name="60% - Accent5 4" xfId="1132"/>
    <cellStyle name="60% - Accent5 5" xfId="3985"/>
    <cellStyle name="60% - Accent6" xfId="643" builtinId="52" customBuiltin="1"/>
    <cellStyle name="60% - Accent6 2" xfId="95"/>
    <cellStyle name="60% - Accent6 3" xfId="96"/>
    <cellStyle name="60% - Accent6 4" xfId="1136"/>
    <cellStyle name="60% - Accent6 5" xfId="3989"/>
    <cellStyle name="60% - akcent 1" xfId="97"/>
    <cellStyle name="60% - akcent 2" xfId="98"/>
    <cellStyle name="60% - akcent 3" xfId="99"/>
    <cellStyle name="60% - akcent 4" xfId="100"/>
    <cellStyle name="60% - akcent 5" xfId="101"/>
    <cellStyle name="60% - akcent 6" xfId="102"/>
    <cellStyle name="Accent1" xfId="620" builtinId="29" customBuiltin="1"/>
    <cellStyle name="Accent1 2" xfId="12"/>
    <cellStyle name="Accent1 3" xfId="103"/>
    <cellStyle name="Accent1 4" xfId="1113"/>
    <cellStyle name="Accent1 5" xfId="3966"/>
    <cellStyle name="Accent2" xfId="624" builtinId="33" customBuiltin="1"/>
    <cellStyle name="Accent2 2" xfId="104"/>
    <cellStyle name="Accent2 3" xfId="105"/>
    <cellStyle name="Accent2 4" xfId="1117"/>
    <cellStyle name="Accent2 5" xfId="3970"/>
    <cellStyle name="Accent3" xfId="628" builtinId="37" customBuiltin="1"/>
    <cellStyle name="Accent3 2" xfId="106"/>
    <cellStyle name="Accent3 3" xfId="107"/>
    <cellStyle name="Accent3 4" xfId="1121"/>
    <cellStyle name="Accent3 5" xfId="3974"/>
    <cellStyle name="Accent4" xfId="632" builtinId="41" customBuiltin="1"/>
    <cellStyle name="Accent4 2" xfId="108"/>
    <cellStyle name="Accent4 3" xfId="109"/>
    <cellStyle name="Accent4 4" xfId="1125"/>
    <cellStyle name="Accent4 5" xfId="3978"/>
    <cellStyle name="Accent5" xfId="636" builtinId="45" customBuiltin="1"/>
    <cellStyle name="Accent5 2" xfId="13"/>
    <cellStyle name="Accent5 3" xfId="110"/>
    <cellStyle name="Accent5 4" xfId="1129"/>
    <cellStyle name="Accent5 5" xfId="3982"/>
    <cellStyle name="Accent6" xfId="640" builtinId="49" customBuiltin="1"/>
    <cellStyle name="Accent6 2" xfId="111"/>
    <cellStyle name="Accent6 3" xfId="112"/>
    <cellStyle name="Accent6 4" xfId="1133"/>
    <cellStyle name="Accent6 5" xfId="3986"/>
    <cellStyle name="Akcent 1" xfId="113"/>
    <cellStyle name="Akcent 2" xfId="114"/>
    <cellStyle name="Akcent 3" xfId="115"/>
    <cellStyle name="Akcent 4" xfId="116"/>
    <cellStyle name="Akcent 5" xfId="117"/>
    <cellStyle name="Akcent 6" xfId="118"/>
    <cellStyle name="Bad" xfId="612" builtinId="27" customBuiltin="1"/>
    <cellStyle name="Bad 2" xfId="119"/>
    <cellStyle name="Bad 3" xfId="120"/>
    <cellStyle name="Bad 4" xfId="1105"/>
    <cellStyle name="Bad 5" xfId="3955"/>
    <cellStyle name="Calculation" xfId="614" builtinId="22" customBuiltin="1"/>
    <cellStyle name="Calculation 2" xfId="121"/>
    <cellStyle name="Calculation 3" xfId="122"/>
    <cellStyle name="Calculation 4" xfId="1107"/>
    <cellStyle name="Calculation 5" xfId="3959"/>
    <cellStyle name="Check Cell" xfId="616" builtinId="23" customBuiltin="1"/>
    <cellStyle name="Check Cell 2" xfId="123"/>
    <cellStyle name="Check Cell 3" xfId="124"/>
    <cellStyle name="Check Cell 4" xfId="1109"/>
    <cellStyle name="Check Cell 5" xfId="3961"/>
    <cellStyle name="Comma 2" xfId="125"/>
    <cellStyle name="Comma 2 2" xfId="603"/>
    <cellStyle name="Comma 2 2 2" xfId="4473"/>
    <cellStyle name="Comma 2 2 2 2" xfId="11997"/>
    <cellStyle name="Comma 2 2 2 2 2" xfId="27041"/>
    <cellStyle name="Comma 2 2 2 2 3" xfId="42084"/>
    <cellStyle name="Comma 2 2 2 3" xfId="19520"/>
    <cellStyle name="Comma 2 2 2 4" xfId="34563"/>
    <cellStyle name="Comma 2 2 3" xfId="8236"/>
    <cellStyle name="Comma 2 2 3 2" xfId="23280"/>
    <cellStyle name="Comma 2 2 3 3" xfId="38323"/>
    <cellStyle name="Comma 2 2 4" xfId="15759"/>
    <cellStyle name="Comma 2 2 5" xfId="30802"/>
    <cellStyle name="Comma 2 3" xfId="4054"/>
    <cellStyle name="Comma 2 3 2" xfId="11578"/>
    <cellStyle name="Comma 2 3 2 2" xfId="26622"/>
    <cellStyle name="Comma 2 3 2 3" xfId="41665"/>
    <cellStyle name="Comma 2 3 3" xfId="19101"/>
    <cellStyle name="Comma 2 3 4" xfId="34144"/>
    <cellStyle name="Comma 2 4" xfId="7817"/>
    <cellStyle name="Comma 2 4 2" xfId="22861"/>
    <cellStyle name="Comma 2 4 3" xfId="37904"/>
    <cellStyle name="Comma 2 5" xfId="15340"/>
    <cellStyle name="Comma 2 6" xfId="30383"/>
    <cellStyle name="Comma 3" xfId="126"/>
    <cellStyle name="Comma 3 2" xfId="604"/>
    <cellStyle name="Comma 3 2 2" xfId="4474"/>
    <cellStyle name="Comma 3 2 2 2" xfId="11998"/>
    <cellStyle name="Comma 3 2 2 2 2" xfId="27042"/>
    <cellStyle name="Comma 3 2 2 2 3" xfId="42085"/>
    <cellStyle name="Comma 3 2 2 3" xfId="19521"/>
    <cellStyle name="Comma 3 2 2 4" xfId="34564"/>
    <cellStyle name="Comma 3 2 3" xfId="8237"/>
    <cellStyle name="Comma 3 2 3 2" xfId="23281"/>
    <cellStyle name="Comma 3 2 3 3" xfId="38324"/>
    <cellStyle name="Comma 3 2 4" xfId="15760"/>
    <cellStyle name="Comma 3 2 5" xfId="30803"/>
    <cellStyle name="Comma 3 3" xfId="4055"/>
    <cellStyle name="Comma 3 3 2" xfId="11579"/>
    <cellStyle name="Comma 3 3 2 2" xfId="26623"/>
    <cellStyle name="Comma 3 3 2 3" xfId="41666"/>
    <cellStyle name="Comma 3 3 3" xfId="19102"/>
    <cellStyle name="Comma 3 3 4" xfId="34145"/>
    <cellStyle name="Comma 3 4" xfId="7818"/>
    <cellStyle name="Comma 3 4 2" xfId="22862"/>
    <cellStyle name="Comma 3 4 3" xfId="37905"/>
    <cellStyle name="Comma 3 5" xfId="15341"/>
    <cellStyle name="Comma 3 6" xfId="30384"/>
    <cellStyle name="Comma 4" xfId="127"/>
    <cellStyle name="Currency 2" xfId="128"/>
    <cellStyle name="Dane wejściowe" xfId="129"/>
    <cellStyle name="Dane wyjściowe" xfId="130"/>
    <cellStyle name="Dobre" xfId="131"/>
    <cellStyle name="Explanatory Text" xfId="618" builtinId="53" customBuiltin="1"/>
    <cellStyle name="Explanatory Text 2" xfId="132"/>
    <cellStyle name="Explanatory Text 3" xfId="133"/>
    <cellStyle name="Explanatory Text 4" xfId="1111"/>
    <cellStyle name="Explanatory Text 5" xfId="3964"/>
    <cellStyle name="Good" xfId="1" builtinId="26"/>
    <cellStyle name="Good 2" xfId="17"/>
    <cellStyle name="Good 3" xfId="46"/>
    <cellStyle name="Good 4" xfId="646"/>
    <cellStyle name="Good 5" xfId="2092"/>
    <cellStyle name="Good 6" xfId="3954"/>
    <cellStyle name="Good 6 2" xfId="45397"/>
    <cellStyle name="Good 7" xfId="4018"/>
    <cellStyle name="Heading 1" xfId="608" builtinId="16" customBuiltin="1"/>
    <cellStyle name="Heading 1 2" xfId="134"/>
    <cellStyle name="Heading 1 3" xfId="135"/>
    <cellStyle name="Heading 1 4" xfId="1101"/>
    <cellStyle name="Heading 1 5" xfId="3950"/>
    <cellStyle name="Heading 2" xfId="609" builtinId="17" customBuiltin="1"/>
    <cellStyle name="Heading 2 2" xfId="136"/>
    <cellStyle name="Heading 2 3" xfId="137"/>
    <cellStyle name="Heading 2 4" xfId="1102"/>
    <cellStyle name="Heading 2 5" xfId="3951"/>
    <cellStyle name="Heading 3" xfId="610" builtinId="18" customBuiltin="1"/>
    <cellStyle name="Heading 3 2" xfId="138"/>
    <cellStyle name="Heading 3 3" xfId="139"/>
    <cellStyle name="Heading 3 4" xfId="1103"/>
    <cellStyle name="Heading 3 5" xfId="3952"/>
    <cellStyle name="Heading 4" xfId="611" builtinId="19" customBuiltin="1"/>
    <cellStyle name="Heading 4 2" xfId="140"/>
    <cellStyle name="Heading 4 3" xfId="141"/>
    <cellStyle name="Heading 4 4" xfId="1104"/>
    <cellStyle name="Heading 4 5" xfId="3953"/>
    <cellStyle name="Hyperlink 2" xfId="142"/>
    <cellStyle name="Hyperlink 3" xfId="2078"/>
    <cellStyle name="Input" xfId="10" builtinId="20" customBuiltin="1"/>
    <cellStyle name="Input 2" xfId="47"/>
    <cellStyle name="Input 3" xfId="143"/>
    <cellStyle name="Input 4" xfId="655"/>
    <cellStyle name="Input 5" xfId="3957"/>
    <cellStyle name="Komórka połączona" xfId="144"/>
    <cellStyle name="Komórka zaznaczona" xfId="145"/>
    <cellStyle name="Linked Cell" xfId="615" builtinId="24" customBuiltin="1"/>
    <cellStyle name="Linked Cell 2" xfId="146"/>
    <cellStyle name="Linked Cell 3" xfId="147"/>
    <cellStyle name="Linked Cell 4" xfId="1108"/>
    <cellStyle name="Linked Cell 5" xfId="3960"/>
    <cellStyle name="Nagłówek 1" xfId="148"/>
    <cellStyle name="Nagłówek 2" xfId="149"/>
    <cellStyle name="Nagłówek 3" xfId="150"/>
    <cellStyle name="Nagłówek 4" xfId="151"/>
    <cellStyle name="Neutral" xfId="2" builtinId="28"/>
    <cellStyle name="Neutral 2" xfId="14"/>
    <cellStyle name="Neutral 3" xfId="18"/>
    <cellStyle name="Neutral 4" xfId="644"/>
    <cellStyle name="Neutral 4 2" xfId="45398"/>
    <cellStyle name="Neutral 5" xfId="647"/>
    <cellStyle name="Neutral 6" xfId="2093"/>
    <cellStyle name="Neutral 7" xfId="3947"/>
    <cellStyle name="Neutral 8" xfId="3956"/>
    <cellStyle name="Neutral 9" xfId="4019"/>
    <cellStyle name="Neutralne" xfId="152"/>
    <cellStyle name="Normal" xfId="0" builtinId="0"/>
    <cellStyle name="Normal 10" xfId="153"/>
    <cellStyle name="Normal 10 10" xfId="7819"/>
    <cellStyle name="Normal 10 10 2" xfId="22863"/>
    <cellStyle name="Normal 10 10 3" xfId="37906"/>
    <cellStyle name="Normal 10 11" xfId="15342"/>
    <cellStyle name="Normal 10 12" xfId="30385"/>
    <cellStyle name="Normal 10 14" xfId="45405"/>
    <cellStyle name="Normal 10 14 2" xfId="45414"/>
    <cellStyle name="Normal 10 14 3" xfId="45425"/>
    <cellStyle name="Normal 10 14 4" xfId="45435"/>
    <cellStyle name="Normal 10 14 5" xfId="45445"/>
    <cellStyle name="Normal 10 14 5 2" xfId="45457"/>
    <cellStyle name="Normal 10 14 5 3" xfId="45469"/>
    <cellStyle name="Normal 10 14 5 3 2" xfId="45486"/>
    <cellStyle name="Normal 10 14 5 4" xfId="45483"/>
    <cellStyle name="Normal 10 14 6" xfId="45455"/>
    <cellStyle name="Normal 10 14 7" xfId="45467"/>
    <cellStyle name="Normal 10 14 8" xfId="45481"/>
    <cellStyle name="Normal 10 2" xfId="154"/>
    <cellStyle name="Normal 10 2 10" xfId="15343"/>
    <cellStyle name="Normal 10 2 11" xfId="30386"/>
    <cellStyle name="Normal 10 2 2" xfId="155"/>
    <cellStyle name="Normal 10 2 2 2" xfId="156"/>
    <cellStyle name="Normal 10 2 2 2 2" xfId="686"/>
    <cellStyle name="Normal 10 2 2 2 2 2" xfId="1645"/>
    <cellStyle name="Normal 10 2 2 2 2 2 2" xfId="3516"/>
    <cellStyle name="Normal 10 2 2 2 2 2 2 2" xfId="7311"/>
    <cellStyle name="Normal 10 2 2 2 2 2 2 2 2" xfId="14834"/>
    <cellStyle name="Normal 10 2 2 2 2 2 2 2 2 2" xfId="29878"/>
    <cellStyle name="Normal 10 2 2 2 2 2 2 2 2 3" xfId="44921"/>
    <cellStyle name="Normal 10 2 2 2 2 2 2 2 3" xfId="22357"/>
    <cellStyle name="Normal 10 2 2 2 2 2 2 2 4" xfId="37400"/>
    <cellStyle name="Normal 10 2 2 2 2 2 2 3" xfId="11085"/>
    <cellStyle name="Normal 10 2 2 2 2 2 2 3 2" xfId="26129"/>
    <cellStyle name="Normal 10 2 2 2 2 2 2 3 3" xfId="41172"/>
    <cellStyle name="Normal 10 2 2 2 2 2 2 4" xfId="18608"/>
    <cellStyle name="Normal 10 2 2 2 2 2 2 5" xfId="33651"/>
    <cellStyle name="Normal 10 2 2 2 2 2 3" xfId="5446"/>
    <cellStyle name="Normal 10 2 2 2 2 2 3 2" xfId="12969"/>
    <cellStyle name="Normal 10 2 2 2 2 2 3 2 2" xfId="28013"/>
    <cellStyle name="Normal 10 2 2 2 2 2 3 2 3" xfId="43056"/>
    <cellStyle name="Normal 10 2 2 2 2 2 3 3" xfId="20492"/>
    <cellStyle name="Normal 10 2 2 2 2 2 3 4" xfId="35535"/>
    <cellStyle name="Normal 10 2 2 2 2 2 4" xfId="9220"/>
    <cellStyle name="Normal 10 2 2 2 2 2 4 2" xfId="24264"/>
    <cellStyle name="Normal 10 2 2 2 2 2 4 3" xfId="39307"/>
    <cellStyle name="Normal 10 2 2 2 2 2 5" xfId="16743"/>
    <cellStyle name="Normal 10 2 2 2 2 2 6" xfId="31786"/>
    <cellStyle name="Normal 10 2 2 2 2 3" xfId="2584"/>
    <cellStyle name="Normal 10 2 2 2 2 3 2" xfId="6379"/>
    <cellStyle name="Normal 10 2 2 2 2 3 2 2" xfId="13902"/>
    <cellStyle name="Normal 10 2 2 2 2 3 2 2 2" xfId="28946"/>
    <cellStyle name="Normal 10 2 2 2 2 3 2 2 3" xfId="43989"/>
    <cellStyle name="Normal 10 2 2 2 2 3 2 3" xfId="21425"/>
    <cellStyle name="Normal 10 2 2 2 2 3 2 4" xfId="36468"/>
    <cellStyle name="Normal 10 2 2 2 2 3 3" xfId="10153"/>
    <cellStyle name="Normal 10 2 2 2 2 3 3 2" xfId="25197"/>
    <cellStyle name="Normal 10 2 2 2 2 3 3 3" xfId="40240"/>
    <cellStyle name="Normal 10 2 2 2 2 3 4" xfId="17676"/>
    <cellStyle name="Normal 10 2 2 2 2 3 5" xfId="32719"/>
    <cellStyle name="Normal 10 2 2 2 2 4" xfId="4514"/>
    <cellStyle name="Normal 10 2 2 2 2 4 2" xfId="12037"/>
    <cellStyle name="Normal 10 2 2 2 2 4 2 2" xfId="27081"/>
    <cellStyle name="Normal 10 2 2 2 2 4 2 3" xfId="42124"/>
    <cellStyle name="Normal 10 2 2 2 2 4 3" xfId="19560"/>
    <cellStyle name="Normal 10 2 2 2 2 4 4" xfId="34603"/>
    <cellStyle name="Normal 10 2 2 2 2 5" xfId="8288"/>
    <cellStyle name="Normal 10 2 2 2 2 5 2" xfId="23332"/>
    <cellStyle name="Normal 10 2 2 2 2 5 3" xfId="38375"/>
    <cellStyle name="Normal 10 2 2 2 2 6" xfId="15811"/>
    <cellStyle name="Normal 10 2 2 2 2 7" xfId="30854"/>
    <cellStyle name="Normal 10 2 2 2 3" xfId="1193"/>
    <cellStyle name="Normal 10 2 2 2 3 2" xfId="3064"/>
    <cellStyle name="Normal 10 2 2 2 3 2 2" xfId="6859"/>
    <cellStyle name="Normal 10 2 2 2 3 2 2 2" xfId="14382"/>
    <cellStyle name="Normal 10 2 2 2 3 2 2 2 2" xfId="29426"/>
    <cellStyle name="Normal 10 2 2 2 3 2 2 2 3" xfId="44469"/>
    <cellStyle name="Normal 10 2 2 2 3 2 2 3" xfId="21905"/>
    <cellStyle name="Normal 10 2 2 2 3 2 2 4" xfId="36948"/>
    <cellStyle name="Normal 10 2 2 2 3 2 3" xfId="10633"/>
    <cellStyle name="Normal 10 2 2 2 3 2 3 2" xfId="25677"/>
    <cellStyle name="Normal 10 2 2 2 3 2 3 3" xfId="40720"/>
    <cellStyle name="Normal 10 2 2 2 3 2 4" xfId="18156"/>
    <cellStyle name="Normal 10 2 2 2 3 2 5" xfId="33199"/>
    <cellStyle name="Normal 10 2 2 2 3 3" xfId="4994"/>
    <cellStyle name="Normal 10 2 2 2 3 3 2" xfId="12517"/>
    <cellStyle name="Normal 10 2 2 2 3 3 2 2" xfId="27561"/>
    <cellStyle name="Normal 10 2 2 2 3 3 2 3" xfId="42604"/>
    <cellStyle name="Normal 10 2 2 2 3 3 3" xfId="20040"/>
    <cellStyle name="Normal 10 2 2 2 3 3 4" xfId="35083"/>
    <cellStyle name="Normal 10 2 2 2 3 4" xfId="8768"/>
    <cellStyle name="Normal 10 2 2 2 3 4 2" xfId="23812"/>
    <cellStyle name="Normal 10 2 2 2 3 4 3" xfId="38855"/>
    <cellStyle name="Normal 10 2 2 2 3 5" xfId="16291"/>
    <cellStyle name="Normal 10 2 2 2 3 6" xfId="31334"/>
    <cellStyle name="Normal 10 2 2 2 4" xfId="2131"/>
    <cellStyle name="Normal 10 2 2 2 4 2" xfId="5927"/>
    <cellStyle name="Normal 10 2 2 2 4 2 2" xfId="13450"/>
    <cellStyle name="Normal 10 2 2 2 4 2 2 2" xfId="28494"/>
    <cellStyle name="Normal 10 2 2 2 4 2 2 3" xfId="43537"/>
    <cellStyle name="Normal 10 2 2 2 4 2 3" xfId="20973"/>
    <cellStyle name="Normal 10 2 2 2 4 2 4" xfId="36016"/>
    <cellStyle name="Normal 10 2 2 2 4 3" xfId="9701"/>
    <cellStyle name="Normal 10 2 2 2 4 3 2" xfId="24745"/>
    <cellStyle name="Normal 10 2 2 2 4 3 3" xfId="39788"/>
    <cellStyle name="Normal 10 2 2 2 4 4" xfId="17224"/>
    <cellStyle name="Normal 10 2 2 2 4 5" xfId="32267"/>
    <cellStyle name="Normal 10 2 2 2 5" xfId="4059"/>
    <cellStyle name="Normal 10 2 2 2 5 2" xfId="11583"/>
    <cellStyle name="Normal 10 2 2 2 5 2 2" xfId="26627"/>
    <cellStyle name="Normal 10 2 2 2 5 2 3" xfId="41670"/>
    <cellStyle name="Normal 10 2 2 2 5 3" xfId="19106"/>
    <cellStyle name="Normal 10 2 2 2 5 4" xfId="34149"/>
    <cellStyle name="Normal 10 2 2 2 6" xfId="7822"/>
    <cellStyle name="Normal 10 2 2 2 6 2" xfId="22866"/>
    <cellStyle name="Normal 10 2 2 2 6 3" xfId="37909"/>
    <cellStyle name="Normal 10 2 2 2 7" xfId="15345"/>
    <cellStyle name="Normal 10 2 2 2 8" xfId="30388"/>
    <cellStyle name="Normal 10 2 2 3" xfId="685"/>
    <cellStyle name="Normal 10 2 2 3 2" xfId="1644"/>
    <cellStyle name="Normal 10 2 2 3 2 2" xfId="3515"/>
    <cellStyle name="Normal 10 2 2 3 2 2 2" xfId="7310"/>
    <cellStyle name="Normal 10 2 2 3 2 2 2 2" xfId="14833"/>
    <cellStyle name="Normal 10 2 2 3 2 2 2 2 2" xfId="29877"/>
    <cellStyle name="Normal 10 2 2 3 2 2 2 2 3" xfId="44920"/>
    <cellStyle name="Normal 10 2 2 3 2 2 2 3" xfId="22356"/>
    <cellStyle name="Normal 10 2 2 3 2 2 2 4" xfId="37399"/>
    <cellStyle name="Normal 10 2 2 3 2 2 3" xfId="11084"/>
    <cellStyle name="Normal 10 2 2 3 2 2 3 2" xfId="26128"/>
    <cellStyle name="Normal 10 2 2 3 2 2 3 3" xfId="41171"/>
    <cellStyle name="Normal 10 2 2 3 2 2 4" xfId="18607"/>
    <cellStyle name="Normal 10 2 2 3 2 2 5" xfId="33650"/>
    <cellStyle name="Normal 10 2 2 3 2 3" xfId="5445"/>
    <cellStyle name="Normal 10 2 2 3 2 3 2" xfId="12968"/>
    <cellStyle name="Normal 10 2 2 3 2 3 2 2" xfId="28012"/>
    <cellStyle name="Normal 10 2 2 3 2 3 2 3" xfId="43055"/>
    <cellStyle name="Normal 10 2 2 3 2 3 3" xfId="20491"/>
    <cellStyle name="Normal 10 2 2 3 2 3 4" xfId="35534"/>
    <cellStyle name="Normal 10 2 2 3 2 4" xfId="9219"/>
    <cellStyle name="Normal 10 2 2 3 2 4 2" xfId="24263"/>
    <cellStyle name="Normal 10 2 2 3 2 4 3" xfId="39306"/>
    <cellStyle name="Normal 10 2 2 3 2 5" xfId="16742"/>
    <cellStyle name="Normal 10 2 2 3 2 6" xfId="31785"/>
    <cellStyle name="Normal 10 2 2 3 3" xfId="2583"/>
    <cellStyle name="Normal 10 2 2 3 3 2" xfId="6378"/>
    <cellStyle name="Normal 10 2 2 3 3 2 2" xfId="13901"/>
    <cellStyle name="Normal 10 2 2 3 3 2 2 2" xfId="28945"/>
    <cellStyle name="Normal 10 2 2 3 3 2 2 3" xfId="43988"/>
    <cellStyle name="Normal 10 2 2 3 3 2 3" xfId="21424"/>
    <cellStyle name="Normal 10 2 2 3 3 2 4" xfId="36467"/>
    <cellStyle name="Normal 10 2 2 3 3 3" xfId="10152"/>
    <cellStyle name="Normal 10 2 2 3 3 3 2" xfId="25196"/>
    <cellStyle name="Normal 10 2 2 3 3 3 3" xfId="40239"/>
    <cellStyle name="Normal 10 2 2 3 3 4" xfId="17675"/>
    <cellStyle name="Normal 10 2 2 3 3 5" xfId="32718"/>
    <cellStyle name="Normal 10 2 2 3 4" xfId="4513"/>
    <cellStyle name="Normal 10 2 2 3 4 2" xfId="12036"/>
    <cellStyle name="Normal 10 2 2 3 4 2 2" xfId="27080"/>
    <cellStyle name="Normal 10 2 2 3 4 2 3" xfId="42123"/>
    <cellStyle name="Normal 10 2 2 3 4 3" xfId="19559"/>
    <cellStyle name="Normal 10 2 2 3 4 4" xfId="34602"/>
    <cellStyle name="Normal 10 2 2 3 5" xfId="8287"/>
    <cellStyle name="Normal 10 2 2 3 5 2" xfId="23331"/>
    <cellStyle name="Normal 10 2 2 3 5 3" xfId="38374"/>
    <cellStyle name="Normal 10 2 2 3 6" xfId="15810"/>
    <cellStyle name="Normal 10 2 2 3 7" xfId="30853"/>
    <cellStyle name="Normal 10 2 2 4" xfId="1192"/>
    <cellStyle name="Normal 10 2 2 4 2" xfId="3063"/>
    <cellStyle name="Normal 10 2 2 4 2 2" xfId="6858"/>
    <cellStyle name="Normal 10 2 2 4 2 2 2" xfId="14381"/>
    <cellStyle name="Normal 10 2 2 4 2 2 2 2" xfId="29425"/>
    <cellStyle name="Normal 10 2 2 4 2 2 2 3" xfId="44468"/>
    <cellStyle name="Normal 10 2 2 4 2 2 3" xfId="21904"/>
    <cellStyle name="Normal 10 2 2 4 2 2 4" xfId="36947"/>
    <cellStyle name="Normal 10 2 2 4 2 3" xfId="10632"/>
    <cellStyle name="Normal 10 2 2 4 2 3 2" xfId="25676"/>
    <cellStyle name="Normal 10 2 2 4 2 3 3" xfId="40719"/>
    <cellStyle name="Normal 10 2 2 4 2 4" xfId="18155"/>
    <cellStyle name="Normal 10 2 2 4 2 5" xfId="33198"/>
    <cellStyle name="Normal 10 2 2 4 3" xfId="4993"/>
    <cellStyle name="Normal 10 2 2 4 3 2" xfId="12516"/>
    <cellStyle name="Normal 10 2 2 4 3 2 2" xfId="27560"/>
    <cellStyle name="Normal 10 2 2 4 3 2 3" xfId="42603"/>
    <cellStyle name="Normal 10 2 2 4 3 3" xfId="20039"/>
    <cellStyle name="Normal 10 2 2 4 3 4" xfId="35082"/>
    <cellStyle name="Normal 10 2 2 4 4" xfId="8767"/>
    <cellStyle name="Normal 10 2 2 4 4 2" xfId="23811"/>
    <cellStyle name="Normal 10 2 2 4 4 3" xfId="38854"/>
    <cellStyle name="Normal 10 2 2 4 5" xfId="16290"/>
    <cellStyle name="Normal 10 2 2 4 6" xfId="31333"/>
    <cellStyle name="Normal 10 2 2 5" xfId="2130"/>
    <cellStyle name="Normal 10 2 2 5 2" xfId="5926"/>
    <cellStyle name="Normal 10 2 2 5 2 2" xfId="13449"/>
    <cellStyle name="Normal 10 2 2 5 2 2 2" xfId="28493"/>
    <cellStyle name="Normal 10 2 2 5 2 2 3" xfId="43536"/>
    <cellStyle name="Normal 10 2 2 5 2 3" xfId="20972"/>
    <cellStyle name="Normal 10 2 2 5 2 4" xfId="36015"/>
    <cellStyle name="Normal 10 2 2 5 3" xfId="9700"/>
    <cellStyle name="Normal 10 2 2 5 3 2" xfId="24744"/>
    <cellStyle name="Normal 10 2 2 5 3 3" xfId="39787"/>
    <cellStyle name="Normal 10 2 2 5 4" xfId="17223"/>
    <cellStyle name="Normal 10 2 2 5 5" xfId="32266"/>
    <cellStyle name="Normal 10 2 2 6" xfId="4058"/>
    <cellStyle name="Normal 10 2 2 6 2" xfId="11582"/>
    <cellStyle name="Normal 10 2 2 6 2 2" xfId="26626"/>
    <cellStyle name="Normal 10 2 2 6 2 3" xfId="41669"/>
    <cellStyle name="Normal 10 2 2 6 3" xfId="19105"/>
    <cellStyle name="Normal 10 2 2 6 4" xfId="34148"/>
    <cellStyle name="Normal 10 2 2 7" xfId="7821"/>
    <cellStyle name="Normal 10 2 2 7 2" xfId="22865"/>
    <cellStyle name="Normal 10 2 2 7 3" xfId="37908"/>
    <cellStyle name="Normal 10 2 2 8" xfId="15344"/>
    <cellStyle name="Normal 10 2 2 9" xfId="30387"/>
    <cellStyle name="Normal 10 2 3" xfId="157"/>
    <cellStyle name="Normal 10 2 3 2" xfId="158"/>
    <cellStyle name="Normal 10 2 3 2 2" xfId="688"/>
    <cellStyle name="Normal 10 2 3 2 2 2" xfId="1647"/>
    <cellStyle name="Normal 10 2 3 2 2 2 2" xfId="3518"/>
    <cellStyle name="Normal 10 2 3 2 2 2 2 2" xfId="7313"/>
    <cellStyle name="Normal 10 2 3 2 2 2 2 2 2" xfId="14836"/>
    <cellStyle name="Normal 10 2 3 2 2 2 2 2 2 2" xfId="29880"/>
    <cellStyle name="Normal 10 2 3 2 2 2 2 2 2 3" xfId="44923"/>
    <cellStyle name="Normal 10 2 3 2 2 2 2 2 3" xfId="22359"/>
    <cellStyle name="Normal 10 2 3 2 2 2 2 2 4" xfId="37402"/>
    <cellStyle name="Normal 10 2 3 2 2 2 2 3" xfId="11087"/>
    <cellStyle name="Normal 10 2 3 2 2 2 2 3 2" xfId="26131"/>
    <cellStyle name="Normal 10 2 3 2 2 2 2 3 3" xfId="41174"/>
    <cellStyle name="Normal 10 2 3 2 2 2 2 4" xfId="18610"/>
    <cellStyle name="Normal 10 2 3 2 2 2 2 5" xfId="33653"/>
    <cellStyle name="Normal 10 2 3 2 2 2 3" xfId="5448"/>
    <cellStyle name="Normal 10 2 3 2 2 2 3 2" xfId="12971"/>
    <cellStyle name="Normal 10 2 3 2 2 2 3 2 2" xfId="28015"/>
    <cellStyle name="Normal 10 2 3 2 2 2 3 2 3" xfId="43058"/>
    <cellStyle name="Normal 10 2 3 2 2 2 3 3" xfId="20494"/>
    <cellStyle name="Normal 10 2 3 2 2 2 3 4" xfId="35537"/>
    <cellStyle name="Normal 10 2 3 2 2 2 4" xfId="9222"/>
    <cellStyle name="Normal 10 2 3 2 2 2 4 2" xfId="24266"/>
    <cellStyle name="Normal 10 2 3 2 2 2 4 3" xfId="39309"/>
    <cellStyle name="Normal 10 2 3 2 2 2 5" xfId="16745"/>
    <cellStyle name="Normal 10 2 3 2 2 2 6" xfId="31788"/>
    <cellStyle name="Normal 10 2 3 2 2 3" xfId="2586"/>
    <cellStyle name="Normal 10 2 3 2 2 3 2" xfId="6381"/>
    <cellStyle name="Normal 10 2 3 2 2 3 2 2" xfId="13904"/>
    <cellStyle name="Normal 10 2 3 2 2 3 2 2 2" xfId="28948"/>
    <cellStyle name="Normal 10 2 3 2 2 3 2 2 3" xfId="43991"/>
    <cellStyle name="Normal 10 2 3 2 2 3 2 3" xfId="21427"/>
    <cellStyle name="Normal 10 2 3 2 2 3 2 4" xfId="36470"/>
    <cellStyle name="Normal 10 2 3 2 2 3 3" xfId="10155"/>
    <cellStyle name="Normal 10 2 3 2 2 3 3 2" xfId="25199"/>
    <cellStyle name="Normal 10 2 3 2 2 3 3 3" xfId="40242"/>
    <cellStyle name="Normal 10 2 3 2 2 3 4" xfId="17678"/>
    <cellStyle name="Normal 10 2 3 2 2 3 5" xfId="32721"/>
    <cellStyle name="Normal 10 2 3 2 2 4" xfId="4516"/>
    <cellStyle name="Normal 10 2 3 2 2 4 2" xfId="12039"/>
    <cellStyle name="Normal 10 2 3 2 2 4 2 2" xfId="27083"/>
    <cellStyle name="Normal 10 2 3 2 2 4 2 3" xfId="42126"/>
    <cellStyle name="Normal 10 2 3 2 2 4 3" xfId="19562"/>
    <cellStyle name="Normal 10 2 3 2 2 4 4" xfId="34605"/>
    <cellStyle name="Normal 10 2 3 2 2 5" xfId="8290"/>
    <cellStyle name="Normal 10 2 3 2 2 5 2" xfId="23334"/>
    <cellStyle name="Normal 10 2 3 2 2 5 3" xfId="38377"/>
    <cellStyle name="Normal 10 2 3 2 2 6" xfId="15813"/>
    <cellStyle name="Normal 10 2 3 2 2 7" xfId="30856"/>
    <cellStyle name="Normal 10 2 3 2 3" xfId="1195"/>
    <cellStyle name="Normal 10 2 3 2 3 2" xfId="3066"/>
    <cellStyle name="Normal 10 2 3 2 3 2 2" xfId="6861"/>
    <cellStyle name="Normal 10 2 3 2 3 2 2 2" xfId="14384"/>
    <cellStyle name="Normal 10 2 3 2 3 2 2 2 2" xfId="29428"/>
    <cellStyle name="Normal 10 2 3 2 3 2 2 2 3" xfId="44471"/>
    <cellStyle name="Normal 10 2 3 2 3 2 2 3" xfId="21907"/>
    <cellStyle name="Normal 10 2 3 2 3 2 2 4" xfId="36950"/>
    <cellStyle name="Normal 10 2 3 2 3 2 3" xfId="10635"/>
    <cellStyle name="Normal 10 2 3 2 3 2 3 2" xfId="25679"/>
    <cellStyle name="Normal 10 2 3 2 3 2 3 3" xfId="40722"/>
    <cellStyle name="Normal 10 2 3 2 3 2 4" xfId="18158"/>
    <cellStyle name="Normal 10 2 3 2 3 2 5" xfId="33201"/>
    <cellStyle name="Normal 10 2 3 2 3 3" xfId="4996"/>
    <cellStyle name="Normal 10 2 3 2 3 3 2" xfId="12519"/>
    <cellStyle name="Normal 10 2 3 2 3 3 2 2" xfId="27563"/>
    <cellStyle name="Normal 10 2 3 2 3 3 2 3" xfId="42606"/>
    <cellStyle name="Normal 10 2 3 2 3 3 3" xfId="20042"/>
    <cellStyle name="Normal 10 2 3 2 3 3 4" xfId="35085"/>
    <cellStyle name="Normal 10 2 3 2 3 4" xfId="8770"/>
    <cellStyle name="Normal 10 2 3 2 3 4 2" xfId="23814"/>
    <cellStyle name="Normal 10 2 3 2 3 4 3" xfId="38857"/>
    <cellStyle name="Normal 10 2 3 2 3 5" xfId="16293"/>
    <cellStyle name="Normal 10 2 3 2 3 6" xfId="31336"/>
    <cellStyle name="Normal 10 2 3 2 4" xfId="2133"/>
    <cellStyle name="Normal 10 2 3 2 4 2" xfId="5929"/>
    <cellStyle name="Normal 10 2 3 2 4 2 2" xfId="13452"/>
    <cellStyle name="Normal 10 2 3 2 4 2 2 2" xfId="28496"/>
    <cellStyle name="Normal 10 2 3 2 4 2 2 3" xfId="43539"/>
    <cellStyle name="Normal 10 2 3 2 4 2 3" xfId="20975"/>
    <cellStyle name="Normal 10 2 3 2 4 2 4" xfId="36018"/>
    <cellStyle name="Normal 10 2 3 2 4 3" xfId="9703"/>
    <cellStyle name="Normal 10 2 3 2 4 3 2" xfId="24747"/>
    <cellStyle name="Normal 10 2 3 2 4 3 3" xfId="39790"/>
    <cellStyle name="Normal 10 2 3 2 4 4" xfId="17226"/>
    <cellStyle name="Normal 10 2 3 2 4 5" xfId="32269"/>
    <cellStyle name="Normal 10 2 3 2 5" xfId="4061"/>
    <cellStyle name="Normal 10 2 3 2 5 2" xfId="11585"/>
    <cellStyle name="Normal 10 2 3 2 5 2 2" xfId="26629"/>
    <cellStyle name="Normal 10 2 3 2 5 2 3" xfId="41672"/>
    <cellStyle name="Normal 10 2 3 2 5 3" xfId="19108"/>
    <cellStyle name="Normal 10 2 3 2 5 4" xfId="34151"/>
    <cellStyle name="Normal 10 2 3 2 6" xfId="7824"/>
    <cellStyle name="Normal 10 2 3 2 6 2" xfId="22868"/>
    <cellStyle name="Normal 10 2 3 2 6 3" xfId="37911"/>
    <cellStyle name="Normal 10 2 3 2 7" xfId="15347"/>
    <cellStyle name="Normal 10 2 3 2 8" xfId="30390"/>
    <cellStyle name="Normal 10 2 3 3" xfId="687"/>
    <cellStyle name="Normal 10 2 3 3 2" xfId="1646"/>
    <cellStyle name="Normal 10 2 3 3 2 2" xfId="3517"/>
    <cellStyle name="Normal 10 2 3 3 2 2 2" xfId="7312"/>
    <cellStyle name="Normal 10 2 3 3 2 2 2 2" xfId="14835"/>
    <cellStyle name="Normal 10 2 3 3 2 2 2 2 2" xfId="29879"/>
    <cellStyle name="Normal 10 2 3 3 2 2 2 2 3" xfId="44922"/>
    <cellStyle name="Normal 10 2 3 3 2 2 2 3" xfId="22358"/>
    <cellStyle name="Normal 10 2 3 3 2 2 2 4" xfId="37401"/>
    <cellStyle name="Normal 10 2 3 3 2 2 3" xfId="11086"/>
    <cellStyle name="Normal 10 2 3 3 2 2 3 2" xfId="26130"/>
    <cellStyle name="Normal 10 2 3 3 2 2 3 3" xfId="41173"/>
    <cellStyle name="Normal 10 2 3 3 2 2 4" xfId="18609"/>
    <cellStyle name="Normal 10 2 3 3 2 2 5" xfId="33652"/>
    <cellStyle name="Normal 10 2 3 3 2 3" xfId="5447"/>
    <cellStyle name="Normal 10 2 3 3 2 3 2" xfId="12970"/>
    <cellStyle name="Normal 10 2 3 3 2 3 2 2" xfId="28014"/>
    <cellStyle name="Normal 10 2 3 3 2 3 2 3" xfId="43057"/>
    <cellStyle name="Normal 10 2 3 3 2 3 3" xfId="20493"/>
    <cellStyle name="Normal 10 2 3 3 2 3 4" xfId="35536"/>
    <cellStyle name="Normal 10 2 3 3 2 4" xfId="9221"/>
    <cellStyle name="Normal 10 2 3 3 2 4 2" xfId="24265"/>
    <cellStyle name="Normal 10 2 3 3 2 4 3" xfId="39308"/>
    <cellStyle name="Normal 10 2 3 3 2 5" xfId="16744"/>
    <cellStyle name="Normal 10 2 3 3 2 6" xfId="31787"/>
    <cellStyle name="Normal 10 2 3 3 3" xfId="2585"/>
    <cellStyle name="Normal 10 2 3 3 3 2" xfId="6380"/>
    <cellStyle name="Normal 10 2 3 3 3 2 2" xfId="13903"/>
    <cellStyle name="Normal 10 2 3 3 3 2 2 2" xfId="28947"/>
    <cellStyle name="Normal 10 2 3 3 3 2 2 3" xfId="43990"/>
    <cellStyle name="Normal 10 2 3 3 3 2 3" xfId="21426"/>
    <cellStyle name="Normal 10 2 3 3 3 2 4" xfId="36469"/>
    <cellStyle name="Normal 10 2 3 3 3 3" xfId="10154"/>
    <cellStyle name="Normal 10 2 3 3 3 3 2" xfId="25198"/>
    <cellStyle name="Normal 10 2 3 3 3 3 3" xfId="40241"/>
    <cellStyle name="Normal 10 2 3 3 3 4" xfId="17677"/>
    <cellStyle name="Normal 10 2 3 3 3 5" xfId="32720"/>
    <cellStyle name="Normal 10 2 3 3 4" xfId="4515"/>
    <cellStyle name="Normal 10 2 3 3 4 2" xfId="12038"/>
    <cellStyle name="Normal 10 2 3 3 4 2 2" xfId="27082"/>
    <cellStyle name="Normal 10 2 3 3 4 2 3" xfId="42125"/>
    <cellStyle name="Normal 10 2 3 3 4 3" xfId="19561"/>
    <cellStyle name="Normal 10 2 3 3 4 4" xfId="34604"/>
    <cellStyle name="Normal 10 2 3 3 5" xfId="8289"/>
    <cellStyle name="Normal 10 2 3 3 5 2" xfId="23333"/>
    <cellStyle name="Normal 10 2 3 3 5 3" xfId="38376"/>
    <cellStyle name="Normal 10 2 3 3 6" xfId="15812"/>
    <cellStyle name="Normal 10 2 3 3 7" xfId="30855"/>
    <cellStyle name="Normal 10 2 3 4" xfId="1194"/>
    <cellStyle name="Normal 10 2 3 4 2" xfId="3065"/>
    <cellStyle name="Normal 10 2 3 4 2 2" xfId="6860"/>
    <cellStyle name="Normal 10 2 3 4 2 2 2" xfId="14383"/>
    <cellStyle name="Normal 10 2 3 4 2 2 2 2" xfId="29427"/>
    <cellStyle name="Normal 10 2 3 4 2 2 2 3" xfId="44470"/>
    <cellStyle name="Normal 10 2 3 4 2 2 3" xfId="21906"/>
    <cellStyle name="Normal 10 2 3 4 2 2 4" xfId="36949"/>
    <cellStyle name="Normal 10 2 3 4 2 3" xfId="10634"/>
    <cellStyle name="Normal 10 2 3 4 2 3 2" xfId="25678"/>
    <cellStyle name="Normal 10 2 3 4 2 3 3" xfId="40721"/>
    <cellStyle name="Normal 10 2 3 4 2 4" xfId="18157"/>
    <cellStyle name="Normal 10 2 3 4 2 5" xfId="33200"/>
    <cellStyle name="Normal 10 2 3 4 3" xfId="4995"/>
    <cellStyle name="Normal 10 2 3 4 3 2" xfId="12518"/>
    <cellStyle name="Normal 10 2 3 4 3 2 2" xfId="27562"/>
    <cellStyle name="Normal 10 2 3 4 3 2 3" xfId="42605"/>
    <cellStyle name="Normal 10 2 3 4 3 3" xfId="20041"/>
    <cellStyle name="Normal 10 2 3 4 3 4" xfId="35084"/>
    <cellStyle name="Normal 10 2 3 4 4" xfId="8769"/>
    <cellStyle name="Normal 10 2 3 4 4 2" xfId="23813"/>
    <cellStyle name="Normal 10 2 3 4 4 3" xfId="38856"/>
    <cellStyle name="Normal 10 2 3 4 5" xfId="16292"/>
    <cellStyle name="Normal 10 2 3 4 6" xfId="31335"/>
    <cellStyle name="Normal 10 2 3 5" xfId="2132"/>
    <cellStyle name="Normal 10 2 3 5 2" xfId="5928"/>
    <cellStyle name="Normal 10 2 3 5 2 2" xfId="13451"/>
    <cellStyle name="Normal 10 2 3 5 2 2 2" xfId="28495"/>
    <cellStyle name="Normal 10 2 3 5 2 2 3" xfId="43538"/>
    <cellStyle name="Normal 10 2 3 5 2 3" xfId="20974"/>
    <cellStyle name="Normal 10 2 3 5 2 4" xfId="36017"/>
    <cellStyle name="Normal 10 2 3 5 3" xfId="9702"/>
    <cellStyle name="Normal 10 2 3 5 3 2" xfId="24746"/>
    <cellStyle name="Normal 10 2 3 5 3 3" xfId="39789"/>
    <cellStyle name="Normal 10 2 3 5 4" xfId="17225"/>
    <cellStyle name="Normal 10 2 3 5 5" xfId="32268"/>
    <cellStyle name="Normal 10 2 3 6" xfId="4060"/>
    <cellStyle name="Normal 10 2 3 6 2" xfId="11584"/>
    <cellStyle name="Normal 10 2 3 6 2 2" xfId="26628"/>
    <cellStyle name="Normal 10 2 3 6 2 3" xfId="41671"/>
    <cellStyle name="Normal 10 2 3 6 3" xfId="19107"/>
    <cellStyle name="Normal 10 2 3 6 4" xfId="34150"/>
    <cellStyle name="Normal 10 2 3 7" xfId="7823"/>
    <cellStyle name="Normal 10 2 3 7 2" xfId="22867"/>
    <cellStyle name="Normal 10 2 3 7 3" xfId="37910"/>
    <cellStyle name="Normal 10 2 3 8" xfId="15346"/>
    <cellStyle name="Normal 10 2 3 9" xfId="30389"/>
    <cellStyle name="Normal 10 2 4" xfId="159"/>
    <cellStyle name="Normal 10 2 4 2" xfId="689"/>
    <cellStyle name="Normal 10 2 4 2 2" xfId="1648"/>
    <cellStyle name="Normal 10 2 4 2 2 2" xfId="3519"/>
    <cellStyle name="Normal 10 2 4 2 2 2 2" xfId="7314"/>
    <cellStyle name="Normal 10 2 4 2 2 2 2 2" xfId="14837"/>
    <cellStyle name="Normal 10 2 4 2 2 2 2 2 2" xfId="29881"/>
    <cellStyle name="Normal 10 2 4 2 2 2 2 2 3" xfId="44924"/>
    <cellStyle name="Normal 10 2 4 2 2 2 2 3" xfId="22360"/>
    <cellStyle name="Normal 10 2 4 2 2 2 2 4" xfId="37403"/>
    <cellStyle name="Normal 10 2 4 2 2 2 3" xfId="11088"/>
    <cellStyle name="Normal 10 2 4 2 2 2 3 2" xfId="26132"/>
    <cellStyle name="Normal 10 2 4 2 2 2 3 3" xfId="41175"/>
    <cellStyle name="Normal 10 2 4 2 2 2 4" xfId="18611"/>
    <cellStyle name="Normal 10 2 4 2 2 2 5" xfId="33654"/>
    <cellStyle name="Normal 10 2 4 2 2 3" xfId="5449"/>
    <cellStyle name="Normal 10 2 4 2 2 3 2" xfId="12972"/>
    <cellStyle name="Normal 10 2 4 2 2 3 2 2" xfId="28016"/>
    <cellStyle name="Normal 10 2 4 2 2 3 2 3" xfId="43059"/>
    <cellStyle name="Normal 10 2 4 2 2 3 3" xfId="20495"/>
    <cellStyle name="Normal 10 2 4 2 2 3 4" xfId="35538"/>
    <cellStyle name="Normal 10 2 4 2 2 4" xfId="9223"/>
    <cellStyle name="Normal 10 2 4 2 2 4 2" xfId="24267"/>
    <cellStyle name="Normal 10 2 4 2 2 4 3" xfId="39310"/>
    <cellStyle name="Normal 10 2 4 2 2 5" xfId="16746"/>
    <cellStyle name="Normal 10 2 4 2 2 6" xfId="31789"/>
    <cellStyle name="Normal 10 2 4 2 3" xfId="2587"/>
    <cellStyle name="Normal 10 2 4 2 3 2" xfId="6382"/>
    <cellStyle name="Normal 10 2 4 2 3 2 2" xfId="13905"/>
    <cellStyle name="Normal 10 2 4 2 3 2 2 2" xfId="28949"/>
    <cellStyle name="Normal 10 2 4 2 3 2 2 3" xfId="43992"/>
    <cellStyle name="Normal 10 2 4 2 3 2 3" xfId="21428"/>
    <cellStyle name="Normal 10 2 4 2 3 2 4" xfId="36471"/>
    <cellStyle name="Normal 10 2 4 2 3 3" xfId="10156"/>
    <cellStyle name="Normal 10 2 4 2 3 3 2" xfId="25200"/>
    <cellStyle name="Normal 10 2 4 2 3 3 3" xfId="40243"/>
    <cellStyle name="Normal 10 2 4 2 3 4" xfId="17679"/>
    <cellStyle name="Normal 10 2 4 2 3 5" xfId="32722"/>
    <cellStyle name="Normal 10 2 4 2 4" xfId="4517"/>
    <cellStyle name="Normal 10 2 4 2 4 2" xfId="12040"/>
    <cellStyle name="Normal 10 2 4 2 4 2 2" xfId="27084"/>
    <cellStyle name="Normal 10 2 4 2 4 2 3" xfId="42127"/>
    <cellStyle name="Normal 10 2 4 2 4 3" xfId="19563"/>
    <cellStyle name="Normal 10 2 4 2 4 4" xfId="34606"/>
    <cellStyle name="Normal 10 2 4 2 5" xfId="8291"/>
    <cellStyle name="Normal 10 2 4 2 5 2" xfId="23335"/>
    <cellStyle name="Normal 10 2 4 2 5 3" xfId="38378"/>
    <cellStyle name="Normal 10 2 4 2 6" xfId="15814"/>
    <cellStyle name="Normal 10 2 4 2 7" xfId="30857"/>
    <cellStyle name="Normal 10 2 4 3" xfId="1196"/>
    <cellStyle name="Normal 10 2 4 3 2" xfId="3067"/>
    <cellStyle name="Normal 10 2 4 3 2 2" xfId="6862"/>
    <cellStyle name="Normal 10 2 4 3 2 2 2" xfId="14385"/>
    <cellStyle name="Normal 10 2 4 3 2 2 2 2" xfId="29429"/>
    <cellStyle name="Normal 10 2 4 3 2 2 2 3" xfId="44472"/>
    <cellStyle name="Normal 10 2 4 3 2 2 3" xfId="21908"/>
    <cellStyle name="Normal 10 2 4 3 2 2 4" xfId="36951"/>
    <cellStyle name="Normal 10 2 4 3 2 3" xfId="10636"/>
    <cellStyle name="Normal 10 2 4 3 2 3 2" xfId="25680"/>
    <cellStyle name="Normal 10 2 4 3 2 3 3" xfId="40723"/>
    <cellStyle name="Normal 10 2 4 3 2 4" xfId="18159"/>
    <cellStyle name="Normal 10 2 4 3 2 5" xfId="33202"/>
    <cellStyle name="Normal 10 2 4 3 3" xfId="4997"/>
    <cellStyle name="Normal 10 2 4 3 3 2" xfId="12520"/>
    <cellStyle name="Normal 10 2 4 3 3 2 2" xfId="27564"/>
    <cellStyle name="Normal 10 2 4 3 3 2 3" xfId="42607"/>
    <cellStyle name="Normal 10 2 4 3 3 3" xfId="20043"/>
    <cellStyle name="Normal 10 2 4 3 3 4" xfId="35086"/>
    <cellStyle name="Normal 10 2 4 3 4" xfId="8771"/>
    <cellStyle name="Normal 10 2 4 3 4 2" xfId="23815"/>
    <cellStyle name="Normal 10 2 4 3 4 3" xfId="38858"/>
    <cellStyle name="Normal 10 2 4 3 5" xfId="16294"/>
    <cellStyle name="Normal 10 2 4 3 6" xfId="31337"/>
    <cellStyle name="Normal 10 2 4 4" xfId="2134"/>
    <cellStyle name="Normal 10 2 4 4 2" xfId="5930"/>
    <cellStyle name="Normal 10 2 4 4 2 2" xfId="13453"/>
    <cellStyle name="Normal 10 2 4 4 2 2 2" xfId="28497"/>
    <cellStyle name="Normal 10 2 4 4 2 2 3" xfId="43540"/>
    <cellStyle name="Normal 10 2 4 4 2 3" xfId="20976"/>
    <cellStyle name="Normal 10 2 4 4 2 4" xfId="36019"/>
    <cellStyle name="Normal 10 2 4 4 3" xfId="9704"/>
    <cellStyle name="Normal 10 2 4 4 3 2" xfId="24748"/>
    <cellStyle name="Normal 10 2 4 4 3 3" xfId="39791"/>
    <cellStyle name="Normal 10 2 4 4 4" xfId="17227"/>
    <cellStyle name="Normal 10 2 4 4 5" xfId="32270"/>
    <cellStyle name="Normal 10 2 4 5" xfId="4062"/>
    <cellStyle name="Normal 10 2 4 5 2" xfId="11586"/>
    <cellStyle name="Normal 10 2 4 5 2 2" xfId="26630"/>
    <cellStyle name="Normal 10 2 4 5 2 3" xfId="41673"/>
    <cellStyle name="Normal 10 2 4 5 3" xfId="19109"/>
    <cellStyle name="Normal 10 2 4 5 4" xfId="34152"/>
    <cellStyle name="Normal 10 2 4 6" xfId="7825"/>
    <cellStyle name="Normal 10 2 4 6 2" xfId="22869"/>
    <cellStyle name="Normal 10 2 4 6 3" xfId="37912"/>
    <cellStyle name="Normal 10 2 4 7" xfId="15348"/>
    <cellStyle name="Normal 10 2 4 8" xfId="30391"/>
    <cellStyle name="Normal 10 2 5" xfId="684"/>
    <cellStyle name="Normal 10 2 5 2" xfId="1643"/>
    <cellStyle name="Normal 10 2 5 2 2" xfId="3514"/>
    <cellStyle name="Normal 10 2 5 2 2 2" xfId="7309"/>
    <cellStyle name="Normal 10 2 5 2 2 2 2" xfId="14832"/>
    <cellStyle name="Normal 10 2 5 2 2 2 2 2" xfId="29876"/>
    <cellStyle name="Normal 10 2 5 2 2 2 2 3" xfId="44919"/>
    <cellStyle name="Normal 10 2 5 2 2 2 3" xfId="22355"/>
    <cellStyle name="Normal 10 2 5 2 2 2 4" xfId="37398"/>
    <cellStyle name="Normal 10 2 5 2 2 3" xfId="11083"/>
    <cellStyle name="Normal 10 2 5 2 2 3 2" xfId="26127"/>
    <cellStyle name="Normal 10 2 5 2 2 3 3" xfId="41170"/>
    <cellStyle name="Normal 10 2 5 2 2 4" xfId="18606"/>
    <cellStyle name="Normal 10 2 5 2 2 5" xfId="33649"/>
    <cellStyle name="Normal 10 2 5 2 3" xfId="5444"/>
    <cellStyle name="Normal 10 2 5 2 3 2" xfId="12967"/>
    <cellStyle name="Normal 10 2 5 2 3 2 2" xfId="28011"/>
    <cellStyle name="Normal 10 2 5 2 3 2 3" xfId="43054"/>
    <cellStyle name="Normal 10 2 5 2 3 3" xfId="20490"/>
    <cellStyle name="Normal 10 2 5 2 3 4" xfId="35533"/>
    <cellStyle name="Normal 10 2 5 2 4" xfId="9218"/>
    <cellStyle name="Normal 10 2 5 2 4 2" xfId="24262"/>
    <cellStyle name="Normal 10 2 5 2 4 3" xfId="39305"/>
    <cellStyle name="Normal 10 2 5 2 5" xfId="16741"/>
    <cellStyle name="Normal 10 2 5 2 6" xfId="31784"/>
    <cellStyle name="Normal 10 2 5 3" xfId="2582"/>
    <cellStyle name="Normal 10 2 5 3 2" xfId="6377"/>
    <cellStyle name="Normal 10 2 5 3 2 2" xfId="13900"/>
    <cellStyle name="Normal 10 2 5 3 2 2 2" xfId="28944"/>
    <cellStyle name="Normal 10 2 5 3 2 2 3" xfId="43987"/>
    <cellStyle name="Normal 10 2 5 3 2 3" xfId="21423"/>
    <cellStyle name="Normal 10 2 5 3 2 4" xfId="36466"/>
    <cellStyle name="Normal 10 2 5 3 3" xfId="10151"/>
    <cellStyle name="Normal 10 2 5 3 3 2" xfId="25195"/>
    <cellStyle name="Normal 10 2 5 3 3 3" xfId="40238"/>
    <cellStyle name="Normal 10 2 5 3 4" xfId="17674"/>
    <cellStyle name="Normal 10 2 5 3 5" xfId="32717"/>
    <cellStyle name="Normal 10 2 5 4" xfId="4512"/>
    <cellStyle name="Normal 10 2 5 4 2" xfId="12035"/>
    <cellStyle name="Normal 10 2 5 4 2 2" xfId="27079"/>
    <cellStyle name="Normal 10 2 5 4 2 3" xfId="42122"/>
    <cellStyle name="Normal 10 2 5 4 3" xfId="19558"/>
    <cellStyle name="Normal 10 2 5 4 4" xfId="34601"/>
    <cellStyle name="Normal 10 2 5 5" xfId="8286"/>
    <cellStyle name="Normal 10 2 5 5 2" xfId="23330"/>
    <cellStyle name="Normal 10 2 5 5 3" xfId="38373"/>
    <cellStyle name="Normal 10 2 5 6" xfId="15809"/>
    <cellStyle name="Normal 10 2 5 7" xfId="30852"/>
    <cellStyle name="Normal 10 2 6" xfId="1191"/>
    <cellStyle name="Normal 10 2 6 2" xfId="3062"/>
    <cellStyle name="Normal 10 2 6 2 2" xfId="6857"/>
    <cellStyle name="Normal 10 2 6 2 2 2" xfId="14380"/>
    <cellStyle name="Normal 10 2 6 2 2 2 2" xfId="29424"/>
    <cellStyle name="Normal 10 2 6 2 2 2 3" xfId="44467"/>
    <cellStyle name="Normal 10 2 6 2 2 3" xfId="21903"/>
    <cellStyle name="Normal 10 2 6 2 2 4" xfId="36946"/>
    <cellStyle name="Normal 10 2 6 2 3" xfId="10631"/>
    <cellStyle name="Normal 10 2 6 2 3 2" xfId="25675"/>
    <cellStyle name="Normal 10 2 6 2 3 3" xfId="40718"/>
    <cellStyle name="Normal 10 2 6 2 4" xfId="18154"/>
    <cellStyle name="Normal 10 2 6 2 5" xfId="33197"/>
    <cellStyle name="Normal 10 2 6 3" xfId="4992"/>
    <cellStyle name="Normal 10 2 6 3 2" xfId="12515"/>
    <cellStyle name="Normal 10 2 6 3 2 2" xfId="27559"/>
    <cellStyle name="Normal 10 2 6 3 2 3" xfId="42602"/>
    <cellStyle name="Normal 10 2 6 3 3" xfId="20038"/>
    <cellStyle name="Normal 10 2 6 3 4" xfId="35081"/>
    <cellStyle name="Normal 10 2 6 4" xfId="8766"/>
    <cellStyle name="Normal 10 2 6 4 2" xfId="23810"/>
    <cellStyle name="Normal 10 2 6 4 3" xfId="38853"/>
    <cellStyle name="Normal 10 2 6 5" xfId="16289"/>
    <cellStyle name="Normal 10 2 6 6" xfId="31332"/>
    <cellStyle name="Normal 10 2 7" xfId="2129"/>
    <cellStyle name="Normal 10 2 7 2" xfId="5925"/>
    <cellStyle name="Normal 10 2 7 2 2" xfId="13448"/>
    <cellStyle name="Normal 10 2 7 2 2 2" xfId="28492"/>
    <cellStyle name="Normal 10 2 7 2 2 3" xfId="43535"/>
    <cellStyle name="Normal 10 2 7 2 3" xfId="20971"/>
    <cellStyle name="Normal 10 2 7 2 4" xfId="36014"/>
    <cellStyle name="Normal 10 2 7 3" xfId="9699"/>
    <cellStyle name="Normal 10 2 7 3 2" xfId="24743"/>
    <cellStyle name="Normal 10 2 7 3 3" xfId="39786"/>
    <cellStyle name="Normal 10 2 7 4" xfId="17222"/>
    <cellStyle name="Normal 10 2 7 5" xfId="32265"/>
    <cellStyle name="Normal 10 2 8" xfId="4057"/>
    <cellStyle name="Normal 10 2 8 2" xfId="11581"/>
    <cellStyle name="Normal 10 2 8 2 2" xfId="26625"/>
    <cellStyle name="Normal 10 2 8 2 3" xfId="41668"/>
    <cellStyle name="Normal 10 2 8 3" xfId="19104"/>
    <cellStyle name="Normal 10 2 8 4" xfId="34147"/>
    <cellStyle name="Normal 10 2 9" xfId="7820"/>
    <cellStyle name="Normal 10 2 9 2" xfId="22864"/>
    <cellStyle name="Normal 10 2 9 3" xfId="37907"/>
    <cellStyle name="Normal 10 3" xfId="160"/>
    <cellStyle name="Normal 10 3 2" xfId="161"/>
    <cellStyle name="Normal 10 3 2 2" xfId="691"/>
    <cellStyle name="Normal 10 3 2 2 2" xfId="1650"/>
    <cellStyle name="Normal 10 3 2 2 2 2" xfId="3521"/>
    <cellStyle name="Normal 10 3 2 2 2 2 2" xfId="7316"/>
    <cellStyle name="Normal 10 3 2 2 2 2 2 2" xfId="14839"/>
    <cellStyle name="Normal 10 3 2 2 2 2 2 2 2" xfId="29883"/>
    <cellStyle name="Normal 10 3 2 2 2 2 2 2 3" xfId="44926"/>
    <cellStyle name="Normal 10 3 2 2 2 2 2 3" xfId="22362"/>
    <cellStyle name="Normal 10 3 2 2 2 2 2 4" xfId="37405"/>
    <cellStyle name="Normal 10 3 2 2 2 2 3" xfId="11090"/>
    <cellStyle name="Normal 10 3 2 2 2 2 3 2" xfId="26134"/>
    <cellStyle name="Normal 10 3 2 2 2 2 3 3" xfId="41177"/>
    <cellStyle name="Normal 10 3 2 2 2 2 4" xfId="18613"/>
    <cellStyle name="Normal 10 3 2 2 2 2 5" xfId="33656"/>
    <cellStyle name="Normal 10 3 2 2 2 3" xfId="5451"/>
    <cellStyle name="Normal 10 3 2 2 2 3 2" xfId="12974"/>
    <cellStyle name="Normal 10 3 2 2 2 3 2 2" xfId="28018"/>
    <cellStyle name="Normal 10 3 2 2 2 3 2 3" xfId="43061"/>
    <cellStyle name="Normal 10 3 2 2 2 3 3" xfId="20497"/>
    <cellStyle name="Normal 10 3 2 2 2 3 4" xfId="35540"/>
    <cellStyle name="Normal 10 3 2 2 2 4" xfId="9225"/>
    <cellStyle name="Normal 10 3 2 2 2 4 2" xfId="24269"/>
    <cellStyle name="Normal 10 3 2 2 2 4 3" xfId="39312"/>
    <cellStyle name="Normal 10 3 2 2 2 5" xfId="16748"/>
    <cellStyle name="Normal 10 3 2 2 2 6" xfId="31791"/>
    <cellStyle name="Normal 10 3 2 2 3" xfId="2589"/>
    <cellStyle name="Normal 10 3 2 2 3 2" xfId="6384"/>
    <cellStyle name="Normal 10 3 2 2 3 2 2" xfId="13907"/>
    <cellStyle name="Normal 10 3 2 2 3 2 2 2" xfId="28951"/>
    <cellStyle name="Normal 10 3 2 2 3 2 2 3" xfId="43994"/>
    <cellStyle name="Normal 10 3 2 2 3 2 3" xfId="21430"/>
    <cellStyle name="Normal 10 3 2 2 3 2 4" xfId="36473"/>
    <cellStyle name="Normal 10 3 2 2 3 3" xfId="10158"/>
    <cellStyle name="Normal 10 3 2 2 3 3 2" xfId="25202"/>
    <cellStyle name="Normal 10 3 2 2 3 3 3" xfId="40245"/>
    <cellStyle name="Normal 10 3 2 2 3 4" xfId="17681"/>
    <cellStyle name="Normal 10 3 2 2 3 5" xfId="32724"/>
    <cellStyle name="Normal 10 3 2 2 4" xfId="4519"/>
    <cellStyle name="Normal 10 3 2 2 4 2" xfId="12042"/>
    <cellStyle name="Normal 10 3 2 2 4 2 2" xfId="27086"/>
    <cellStyle name="Normal 10 3 2 2 4 2 3" xfId="42129"/>
    <cellStyle name="Normal 10 3 2 2 4 3" xfId="19565"/>
    <cellStyle name="Normal 10 3 2 2 4 4" xfId="34608"/>
    <cellStyle name="Normal 10 3 2 2 5" xfId="8293"/>
    <cellStyle name="Normal 10 3 2 2 5 2" xfId="23337"/>
    <cellStyle name="Normal 10 3 2 2 5 3" xfId="38380"/>
    <cellStyle name="Normal 10 3 2 2 6" xfId="15816"/>
    <cellStyle name="Normal 10 3 2 2 7" xfId="30859"/>
    <cellStyle name="Normal 10 3 2 3" xfId="1198"/>
    <cellStyle name="Normal 10 3 2 3 2" xfId="3069"/>
    <cellStyle name="Normal 10 3 2 3 2 2" xfId="6864"/>
    <cellStyle name="Normal 10 3 2 3 2 2 2" xfId="14387"/>
    <cellStyle name="Normal 10 3 2 3 2 2 2 2" xfId="29431"/>
    <cellStyle name="Normal 10 3 2 3 2 2 2 3" xfId="44474"/>
    <cellStyle name="Normal 10 3 2 3 2 2 3" xfId="21910"/>
    <cellStyle name="Normal 10 3 2 3 2 2 4" xfId="36953"/>
    <cellStyle name="Normal 10 3 2 3 2 3" xfId="10638"/>
    <cellStyle name="Normal 10 3 2 3 2 3 2" xfId="25682"/>
    <cellStyle name="Normal 10 3 2 3 2 3 3" xfId="40725"/>
    <cellStyle name="Normal 10 3 2 3 2 4" xfId="18161"/>
    <cellStyle name="Normal 10 3 2 3 2 5" xfId="33204"/>
    <cellStyle name="Normal 10 3 2 3 3" xfId="4999"/>
    <cellStyle name="Normal 10 3 2 3 3 2" xfId="12522"/>
    <cellStyle name="Normal 10 3 2 3 3 2 2" xfId="27566"/>
    <cellStyle name="Normal 10 3 2 3 3 2 3" xfId="42609"/>
    <cellStyle name="Normal 10 3 2 3 3 3" xfId="20045"/>
    <cellStyle name="Normal 10 3 2 3 3 4" xfId="35088"/>
    <cellStyle name="Normal 10 3 2 3 4" xfId="8773"/>
    <cellStyle name="Normal 10 3 2 3 4 2" xfId="23817"/>
    <cellStyle name="Normal 10 3 2 3 4 3" xfId="38860"/>
    <cellStyle name="Normal 10 3 2 3 5" xfId="16296"/>
    <cellStyle name="Normal 10 3 2 3 6" xfId="31339"/>
    <cellStyle name="Normal 10 3 2 4" xfId="2136"/>
    <cellStyle name="Normal 10 3 2 4 2" xfId="5932"/>
    <cellStyle name="Normal 10 3 2 4 2 2" xfId="13455"/>
    <cellStyle name="Normal 10 3 2 4 2 2 2" xfId="28499"/>
    <cellStyle name="Normal 10 3 2 4 2 2 3" xfId="43542"/>
    <cellStyle name="Normal 10 3 2 4 2 3" xfId="20978"/>
    <cellStyle name="Normal 10 3 2 4 2 4" xfId="36021"/>
    <cellStyle name="Normal 10 3 2 4 3" xfId="9706"/>
    <cellStyle name="Normal 10 3 2 4 3 2" xfId="24750"/>
    <cellStyle name="Normal 10 3 2 4 3 3" xfId="39793"/>
    <cellStyle name="Normal 10 3 2 4 4" xfId="17229"/>
    <cellStyle name="Normal 10 3 2 4 5" xfId="32272"/>
    <cellStyle name="Normal 10 3 2 5" xfId="4064"/>
    <cellStyle name="Normal 10 3 2 5 2" xfId="11588"/>
    <cellStyle name="Normal 10 3 2 5 2 2" xfId="26632"/>
    <cellStyle name="Normal 10 3 2 5 2 3" xfId="41675"/>
    <cellStyle name="Normal 10 3 2 5 3" xfId="19111"/>
    <cellStyle name="Normal 10 3 2 5 4" xfId="34154"/>
    <cellStyle name="Normal 10 3 2 6" xfId="7827"/>
    <cellStyle name="Normal 10 3 2 6 2" xfId="22871"/>
    <cellStyle name="Normal 10 3 2 6 3" xfId="37914"/>
    <cellStyle name="Normal 10 3 2 7" xfId="15350"/>
    <cellStyle name="Normal 10 3 2 8" xfId="30393"/>
    <cellStyle name="Normal 10 3 3" xfId="690"/>
    <cellStyle name="Normal 10 3 3 2" xfId="1649"/>
    <cellStyle name="Normal 10 3 3 2 2" xfId="3520"/>
    <cellStyle name="Normal 10 3 3 2 2 2" xfId="7315"/>
    <cellStyle name="Normal 10 3 3 2 2 2 2" xfId="14838"/>
    <cellStyle name="Normal 10 3 3 2 2 2 2 2" xfId="29882"/>
    <cellStyle name="Normal 10 3 3 2 2 2 2 3" xfId="44925"/>
    <cellStyle name="Normal 10 3 3 2 2 2 3" xfId="22361"/>
    <cellStyle name="Normal 10 3 3 2 2 2 4" xfId="37404"/>
    <cellStyle name="Normal 10 3 3 2 2 3" xfId="11089"/>
    <cellStyle name="Normal 10 3 3 2 2 3 2" xfId="26133"/>
    <cellStyle name="Normal 10 3 3 2 2 3 3" xfId="41176"/>
    <cellStyle name="Normal 10 3 3 2 2 4" xfId="18612"/>
    <cellStyle name="Normal 10 3 3 2 2 5" xfId="33655"/>
    <cellStyle name="Normal 10 3 3 2 3" xfId="5450"/>
    <cellStyle name="Normal 10 3 3 2 3 2" xfId="12973"/>
    <cellStyle name="Normal 10 3 3 2 3 2 2" xfId="28017"/>
    <cellStyle name="Normal 10 3 3 2 3 2 3" xfId="43060"/>
    <cellStyle name="Normal 10 3 3 2 3 3" xfId="20496"/>
    <cellStyle name="Normal 10 3 3 2 3 4" xfId="35539"/>
    <cellStyle name="Normal 10 3 3 2 4" xfId="9224"/>
    <cellStyle name="Normal 10 3 3 2 4 2" xfId="24268"/>
    <cellStyle name="Normal 10 3 3 2 4 3" xfId="39311"/>
    <cellStyle name="Normal 10 3 3 2 5" xfId="16747"/>
    <cellStyle name="Normal 10 3 3 2 6" xfId="31790"/>
    <cellStyle name="Normal 10 3 3 3" xfId="2588"/>
    <cellStyle name="Normal 10 3 3 3 2" xfId="6383"/>
    <cellStyle name="Normal 10 3 3 3 2 2" xfId="13906"/>
    <cellStyle name="Normal 10 3 3 3 2 2 2" xfId="28950"/>
    <cellStyle name="Normal 10 3 3 3 2 2 3" xfId="43993"/>
    <cellStyle name="Normal 10 3 3 3 2 3" xfId="21429"/>
    <cellStyle name="Normal 10 3 3 3 2 4" xfId="36472"/>
    <cellStyle name="Normal 10 3 3 3 3" xfId="10157"/>
    <cellStyle name="Normal 10 3 3 3 3 2" xfId="25201"/>
    <cellStyle name="Normal 10 3 3 3 3 3" xfId="40244"/>
    <cellStyle name="Normal 10 3 3 3 4" xfId="17680"/>
    <cellStyle name="Normal 10 3 3 3 5" xfId="32723"/>
    <cellStyle name="Normal 10 3 3 4" xfId="4518"/>
    <cellStyle name="Normal 10 3 3 4 2" xfId="12041"/>
    <cellStyle name="Normal 10 3 3 4 2 2" xfId="27085"/>
    <cellStyle name="Normal 10 3 3 4 2 3" xfId="42128"/>
    <cellStyle name="Normal 10 3 3 4 3" xfId="19564"/>
    <cellStyle name="Normal 10 3 3 4 4" xfId="34607"/>
    <cellStyle name="Normal 10 3 3 5" xfId="8292"/>
    <cellStyle name="Normal 10 3 3 5 2" xfId="23336"/>
    <cellStyle name="Normal 10 3 3 5 3" xfId="38379"/>
    <cellStyle name="Normal 10 3 3 6" xfId="15815"/>
    <cellStyle name="Normal 10 3 3 7" xfId="30858"/>
    <cellStyle name="Normal 10 3 4" xfId="1197"/>
    <cellStyle name="Normal 10 3 4 2" xfId="3068"/>
    <cellStyle name="Normal 10 3 4 2 2" xfId="6863"/>
    <cellStyle name="Normal 10 3 4 2 2 2" xfId="14386"/>
    <cellStyle name="Normal 10 3 4 2 2 2 2" xfId="29430"/>
    <cellStyle name="Normal 10 3 4 2 2 2 3" xfId="44473"/>
    <cellStyle name="Normal 10 3 4 2 2 3" xfId="21909"/>
    <cellStyle name="Normal 10 3 4 2 2 4" xfId="36952"/>
    <cellStyle name="Normal 10 3 4 2 3" xfId="10637"/>
    <cellStyle name="Normal 10 3 4 2 3 2" xfId="25681"/>
    <cellStyle name="Normal 10 3 4 2 3 3" xfId="40724"/>
    <cellStyle name="Normal 10 3 4 2 4" xfId="18160"/>
    <cellStyle name="Normal 10 3 4 2 5" xfId="33203"/>
    <cellStyle name="Normal 10 3 4 3" xfId="4998"/>
    <cellStyle name="Normal 10 3 4 3 2" xfId="12521"/>
    <cellStyle name="Normal 10 3 4 3 2 2" xfId="27565"/>
    <cellStyle name="Normal 10 3 4 3 2 3" xfId="42608"/>
    <cellStyle name="Normal 10 3 4 3 3" xfId="20044"/>
    <cellStyle name="Normal 10 3 4 3 4" xfId="35087"/>
    <cellStyle name="Normal 10 3 4 4" xfId="8772"/>
    <cellStyle name="Normal 10 3 4 4 2" xfId="23816"/>
    <cellStyle name="Normal 10 3 4 4 3" xfId="38859"/>
    <cellStyle name="Normal 10 3 4 5" xfId="16295"/>
    <cellStyle name="Normal 10 3 4 6" xfId="31338"/>
    <cellStyle name="Normal 10 3 5" xfId="2135"/>
    <cellStyle name="Normal 10 3 5 2" xfId="5931"/>
    <cellStyle name="Normal 10 3 5 2 2" xfId="13454"/>
    <cellStyle name="Normal 10 3 5 2 2 2" xfId="28498"/>
    <cellStyle name="Normal 10 3 5 2 2 3" xfId="43541"/>
    <cellStyle name="Normal 10 3 5 2 3" xfId="20977"/>
    <cellStyle name="Normal 10 3 5 2 4" xfId="36020"/>
    <cellStyle name="Normal 10 3 5 3" xfId="9705"/>
    <cellStyle name="Normal 10 3 5 3 2" xfId="24749"/>
    <cellStyle name="Normal 10 3 5 3 3" xfId="39792"/>
    <cellStyle name="Normal 10 3 5 4" xfId="17228"/>
    <cellStyle name="Normal 10 3 5 5" xfId="32271"/>
    <cellStyle name="Normal 10 3 6" xfId="4063"/>
    <cellStyle name="Normal 10 3 6 2" xfId="11587"/>
    <cellStyle name="Normal 10 3 6 2 2" xfId="26631"/>
    <cellStyle name="Normal 10 3 6 2 3" xfId="41674"/>
    <cellStyle name="Normal 10 3 6 3" xfId="19110"/>
    <cellStyle name="Normal 10 3 6 4" xfId="34153"/>
    <cellStyle name="Normal 10 3 7" xfId="7826"/>
    <cellStyle name="Normal 10 3 7 2" xfId="22870"/>
    <cellStyle name="Normal 10 3 7 3" xfId="37913"/>
    <cellStyle name="Normal 10 3 8" xfId="15349"/>
    <cellStyle name="Normal 10 3 9" xfId="30392"/>
    <cellStyle name="Normal 10 4" xfId="162"/>
    <cellStyle name="Normal 10 4 2" xfId="163"/>
    <cellStyle name="Normal 10 4 2 2" xfId="693"/>
    <cellStyle name="Normal 10 4 2 2 2" xfId="1652"/>
    <cellStyle name="Normal 10 4 2 2 2 2" xfId="3523"/>
    <cellStyle name="Normal 10 4 2 2 2 2 2" xfId="7318"/>
    <cellStyle name="Normal 10 4 2 2 2 2 2 2" xfId="14841"/>
    <cellStyle name="Normal 10 4 2 2 2 2 2 2 2" xfId="29885"/>
    <cellStyle name="Normal 10 4 2 2 2 2 2 2 3" xfId="44928"/>
    <cellStyle name="Normal 10 4 2 2 2 2 2 3" xfId="22364"/>
    <cellStyle name="Normal 10 4 2 2 2 2 2 4" xfId="37407"/>
    <cellStyle name="Normal 10 4 2 2 2 2 3" xfId="11092"/>
    <cellStyle name="Normal 10 4 2 2 2 2 3 2" xfId="26136"/>
    <cellStyle name="Normal 10 4 2 2 2 2 3 3" xfId="41179"/>
    <cellStyle name="Normal 10 4 2 2 2 2 4" xfId="18615"/>
    <cellStyle name="Normal 10 4 2 2 2 2 5" xfId="33658"/>
    <cellStyle name="Normal 10 4 2 2 2 3" xfId="5453"/>
    <cellStyle name="Normal 10 4 2 2 2 3 2" xfId="12976"/>
    <cellStyle name="Normal 10 4 2 2 2 3 2 2" xfId="28020"/>
    <cellStyle name="Normal 10 4 2 2 2 3 2 3" xfId="43063"/>
    <cellStyle name="Normal 10 4 2 2 2 3 3" xfId="20499"/>
    <cellStyle name="Normal 10 4 2 2 2 3 4" xfId="35542"/>
    <cellStyle name="Normal 10 4 2 2 2 4" xfId="9227"/>
    <cellStyle name="Normal 10 4 2 2 2 4 2" xfId="24271"/>
    <cellStyle name="Normal 10 4 2 2 2 4 3" xfId="39314"/>
    <cellStyle name="Normal 10 4 2 2 2 5" xfId="16750"/>
    <cellStyle name="Normal 10 4 2 2 2 6" xfId="31793"/>
    <cellStyle name="Normal 10 4 2 2 3" xfId="2591"/>
    <cellStyle name="Normal 10 4 2 2 3 2" xfId="6386"/>
    <cellStyle name="Normal 10 4 2 2 3 2 2" xfId="13909"/>
    <cellStyle name="Normal 10 4 2 2 3 2 2 2" xfId="28953"/>
    <cellStyle name="Normal 10 4 2 2 3 2 2 3" xfId="43996"/>
    <cellStyle name="Normal 10 4 2 2 3 2 3" xfId="21432"/>
    <cellStyle name="Normal 10 4 2 2 3 2 4" xfId="36475"/>
    <cellStyle name="Normal 10 4 2 2 3 3" xfId="10160"/>
    <cellStyle name="Normal 10 4 2 2 3 3 2" xfId="25204"/>
    <cellStyle name="Normal 10 4 2 2 3 3 3" xfId="40247"/>
    <cellStyle name="Normal 10 4 2 2 3 4" xfId="17683"/>
    <cellStyle name="Normal 10 4 2 2 3 5" xfId="32726"/>
    <cellStyle name="Normal 10 4 2 2 4" xfId="4521"/>
    <cellStyle name="Normal 10 4 2 2 4 2" xfId="12044"/>
    <cellStyle name="Normal 10 4 2 2 4 2 2" xfId="27088"/>
    <cellStyle name="Normal 10 4 2 2 4 2 3" xfId="42131"/>
    <cellStyle name="Normal 10 4 2 2 4 3" xfId="19567"/>
    <cellStyle name="Normal 10 4 2 2 4 4" xfId="34610"/>
    <cellStyle name="Normal 10 4 2 2 5" xfId="8295"/>
    <cellStyle name="Normal 10 4 2 2 5 2" xfId="23339"/>
    <cellStyle name="Normal 10 4 2 2 5 3" xfId="38382"/>
    <cellStyle name="Normal 10 4 2 2 6" xfId="15818"/>
    <cellStyle name="Normal 10 4 2 2 7" xfId="30861"/>
    <cellStyle name="Normal 10 4 2 3" xfId="1200"/>
    <cellStyle name="Normal 10 4 2 3 2" xfId="3071"/>
    <cellStyle name="Normal 10 4 2 3 2 2" xfId="6866"/>
    <cellStyle name="Normal 10 4 2 3 2 2 2" xfId="14389"/>
    <cellStyle name="Normal 10 4 2 3 2 2 2 2" xfId="29433"/>
    <cellStyle name="Normal 10 4 2 3 2 2 2 3" xfId="44476"/>
    <cellStyle name="Normal 10 4 2 3 2 2 3" xfId="21912"/>
    <cellStyle name="Normal 10 4 2 3 2 2 4" xfId="36955"/>
    <cellStyle name="Normal 10 4 2 3 2 3" xfId="10640"/>
    <cellStyle name="Normal 10 4 2 3 2 3 2" xfId="25684"/>
    <cellStyle name="Normal 10 4 2 3 2 3 3" xfId="40727"/>
    <cellStyle name="Normal 10 4 2 3 2 4" xfId="18163"/>
    <cellStyle name="Normal 10 4 2 3 2 5" xfId="33206"/>
    <cellStyle name="Normal 10 4 2 3 3" xfId="5001"/>
    <cellStyle name="Normal 10 4 2 3 3 2" xfId="12524"/>
    <cellStyle name="Normal 10 4 2 3 3 2 2" xfId="27568"/>
    <cellStyle name="Normal 10 4 2 3 3 2 3" xfId="42611"/>
    <cellStyle name="Normal 10 4 2 3 3 3" xfId="20047"/>
    <cellStyle name="Normal 10 4 2 3 3 4" xfId="35090"/>
    <cellStyle name="Normal 10 4 2 3 4" xfId="8775"/>
    <cellStyle name="Normal 10 4 2 3 4 2" xfId="23819"/>
    <cellStyle name="Normal 10 4 2 3 4 3" xfId="38862"/>
    <cellStyle name="Normal 10 4 2 3 5" xfId="16298"/>
    <cellStyle name="Normal 10 4 2 3 6" xfId="31341"/>
    <cellStyle name="Normal 10 4 2 4" xfId="2138"/>
    <cellStyle name="Normal 10 4 2 4 2" xfId="5934"/>
    <cellStyle name="Normal 10 4 2 4 2 2" xfId="13457"/>
    <cellStyle name="Normal 10 4 2 4 2 2 2" xfId="28501"/>
    <cellStyle name="Normal 10 4 2 4 2 2 3" xfId="43544"/>
    <cellStyle name="Normal 10 4 2 4 2 3" xfId="20980"/>
    <cellStyle name="Normal 10 4 2 4 2 4" xfId="36023"/>
    <cellStyle name="Normal 10 4 2 4 3" xfId="9708"/>
    <cellStyle name="Normal 10 4 2 4 3 2" xfId="24752"/>
    <cellStyle name="Normal 10 4 2 4 3 3" xfId="39795"/>
    <cellStyle name="Normal 10 4 2 4 4" xfId="17231"/>
    <cellStyle name="Normal 10 4 2 4 5" xfId="32274"/>
    <cellStyle name="Normal 10 4 2 5" xfId="4066"/>
    <cellStyle name="Normal 10 4 2 5 2" xfId="11590"/>
    <cellStyle name="Normal 10 4 2 5 2 2" xfId="26634"/>
    <cellStyle name="Normal 10 4 2 5 2 3" xfId="41677"/>
    <cellStyle name="Normal 10 4 2 5 3" xfId="19113"/>
    <cellStyle name="Normal 10 4 2 5 4" xfId="34156"/>
    <cellStyle name="Normal 10 4 2 6" xfId="7829"/>
    <cellStyle name="Normal 10 4 2 6 2" xfId="22873"/>
    <cellStyle name="Normal 10 4 2 6 3" xfId="37916"/>
    <cellStyle name="Normal 10 4 2 7" xfId="15352"/>
    <cellStyle name="Normal 10 4 2 8" xfId="30395"/>
    <cellStyle name="Normal 10 4 3" xfId="692"/>
    <cellStyle name="Normal 10 4 3 2" xfId="1651"/>
    <cellStyle name="Normal 10 4 3 2 2" xfId="3522"/>
    <cellStyle name="Normal 10 4 3 2 2 2" xfId="7317"/>
    <cellStyle name="Normal 10 4 3 2 2 2 2" xfId="14840"/>
    <cellStyle name="Normal 10 4 3 2 2 2 2 2" xfId="29884"/>
    <cellStyle name="Normal 10 4 3 2 2 2 2 3" xfId="44927"/>
    <cellStyle name="Normal 10 4 3 2 2 2 3" xfId="22363"/>
    <cellStyle name="Normal 10 4 3 2 2 2 4" xfId="37406"/>
    <cellStyle name="Normal 10 4 3 2 2 3" xfId="11091"/>
    <cellStyle name="Normal 10 4 3 2 2 3 2" xfId="26135"/>
    <cellStyle name="Normal 10 4 3 2 2 3 3" xfId="41178"/>
    <cellStyle name="Normal 10 4 3 2 2 4" xfId="18614"/>
    <cellStyle name="Normal 10 4 3 2 2 5" xfId="33657"/>
    <cellStyle name="Normal 10 4 3 2 3" xfId="5452"/>
    <cellStyle name="Normal 10 4 3 2 3 2" xfId="12975"/>
    <cellStyle name="Normal 10 4 3 2 3 2 2" xfId="28019"/>
    <cellStyle name="Normal 10 4 3 2 3 2 3" xfId="43062"/>
    <cellStyle name="Normal 10 4 3 2 3 3" xfId="20498"/>
    <cellStyle name="Normal 10 4 3 2 3 4" xfId="35541"/>
    <cellStyle name="Normal 10 4 3 2 4" xfId="9226"/>
    <cellStyle name="Normal 10 4 3 2 4 2" xfId="24270"/>
    <cellStyle name="Normal 10 4 3 2 4 3" xfId="39313"/>
    <cellStyle name="Normal 10 4 3 2 5" xfId="16749"/>
    <cellStyle name="Normal 10 4 3 2 6" xfId="31792"/>
    <cellStyle name="Normal 10 4 3 3" xfId="2590"/>
    <cellStyle name="Normal 10 4 3 3 2" xfId="6385"/>
    <cellStyle name="Normal 10 4 3 3 2 2" xfId="13908"/>
    <cellStyle name="Normal 10 4 3 3 2 2 2" xfId="28952"/>
    <cellStyle name="Normal 10 4 3 3 2 2 3" xfId="43995"/>
    <cellStyle name="Normal 10 4 3 3 2 3" xfId="21431"/>
    <cellStyle name="Normal 10 4 3 3 2 4" xfId="36474"/>
    <cellStyle name="Normal 10 4 3 3 3" xfId="10159"/>
    <cellStyle name="Normal 10 4 3 3 3 2" xfId="25203"/>
    <cellStyle name="Normal 10 4 3 3 3 3" xfId="40246"/>
    <cellStyle name="Normal 10 4 3 3 4" xfId="17682"/>
    <cellStyle name="Normal 10 4 3 3 5" xfId="32725"/>
    <cellStyle name="Normal 10 4 3 4" xfId="4520"/>
    <cellStyle name="Normal 10 4 3 4 2" xfId="12043"/>
    <cellStyle name="Normal 10 4 3 4 2 2" xfId="27087"/>
    <cellStyle name="Normal 10 4 3 4 2 3" xfId="42130"/>
    <cellStyle name="Normal 10 4 3 4 3" xfId="19566"/>
    <cellStyle name="Normal 10 4 3 4 4" xfId="34609"/>
    <cellStyle name="Normal 10 4 3 5" xfId="8294"/>
    <cellStyle name="Normal 10 4 3 5 2" xfId="23338"/>
    <cellStyle name="Normal 10 4 3 5 3" xfId="38381"/>
    <cellStyle name="Normal 10 4 3 6" xfId="15817"/>
    <cellStyle name="Normal 10 4 3 7" xfId="30860"/>
    <cellStyle name="Normal 10 4 4" xfId="1199"/>
    <cellStyle name="Normal 10 4 4 2" xfId="3070"/>
    <cellStyle name="Normal 10 4 4 2 2" xfId="6865"/>
    <cellStyle name="Normal 10 4 4 2 2 2" xfId="14388"/>
    <cellStyle name="Normal 10 4 4 2 2 2 2" xfId="29432"/>
    <cellStyle name="Normal 10 4 4 2 2 2 3" xfId="44475"/>
    <cellStyle name="Normal 10 4 4 2 2 3" xfId="21911"/>
    <cellStyle name="Normal 10 4 4 2 2 4" xfId="36954"/>
    <cellStyle name="Normal 10 4 4 2 3" xfId="10639"/>
    <cellStyle name="Normal 10 4 4 2 3 2" xfId="25683"/>
    <cellStyle name="Normal 10 4 4 2 3 3" xfId="40726"/>
    <cellStyle name="Normal 10 4 4 2 4" xfId="18162"/>
    <cellStyle name="Normal 10 4 4 2 5" xfId="33205"/>
    <cellStyle name="Normal 10 4 4 3" xfId="5000"/>
    <cellStyle name="Normal 10 4 4 3 2" xfId="12523"/>
    <cellStyle name="Normal 10 4 4 3 2 2" xfId="27567"/>
    <cellStyle name="Normal 10 4 4 3 2 3" xfId="42610"/>
    <cellStyle name="Normal 10 4 4 3 3" xfId="20046"/>
    <cellStyle name="Normal 10 4 4 3 4" xfId="35089"/>
    <cellStyle name="Normal 10 4 4 4" xfId="8774"/>
    <cellStyle name="Normal 10 4 4 4 2" xfId="23818"/>
    <cellStyle name="Normal 10 4 4 4 3" xfId="38861"/>
    <cellStyle name="Normal 10 4 4 5" xfId="16297"/>
    <cellStyle name="Normal 10 4 4 6" xfId="31340"/>
    <cellStyle name="Normal 10 4 5" xfId="2137"/>
    <cellStyle name="Normal 10 4 5 2" xfId="5933"/>
    <cellStyle name="Normal 10 4 5 2 2" xfId="13456"/>
    <cellStyle name="Normal 10 4 5 2 2 2" xfId="28500"/>
    <cellStyle name="Normal 10 4 5 2 2 3" xfId="43543"/>
    <cellStyle name="Normal 10 4 5 2 3" xfId="20979"/>
    <cellStyle name="Normal 10 4 5 2 4" xfId="36022"/>
    <cellStyle name="Normal 10 4 5 3" xfId="9707"/>
    <cellStyle name="Normal 10 4 5 3 2" xfId="24751"/>
    <cellStyle name="Normal 10 4 5 3 3" xfId="39794"/>
    <cellStyle name="Normal 10 4 5 4" xfId="17230"/>
    <cellStyle name="Normal 10 4 5 5" xfId="32273"/>
    <cellStyle name="Normal 10 4 6" xfId="4065"/>
    <cellStyle name="Normal 10 4 6 2" xfId="11589"/>
    <cellStyle name="Normal 10 4 6 2 2" xfId="26633"/>
    <cellStyle name="Normal 10 4 6 2 3" xfId="41676"/>
    <cellStyle name="Normal 10 4 6 3" xfId="19112"/>
    <cellStyle name="Normal 10 4 6 4" xfId="34155"/>
    <cellStyle name="Normal 10 4 7" xfId="7828"/>
    <cellStyle name="Normal 10 4 7 2" xfId="22872"/>
    <cellStyle name="Normal 10 4 7 3" xfId="37915"/>
    <cellStyle name="Normal 10 4 8" xfId="15351"/>
    <cellStyle name="Normal 10 4 9" xfId="30394"/>
    <cellStyle name="Normal 10 5" xfId="164"/>
    <cellStyle name="Normal 10 5 2" xfId="694"/>
    <cellStyle name="Normal 10 5 2 2" xfId="1653"/>
    <cellStyle name="Normal 10 5 2 2 2" xfId="3524"/>
    <cellStyle name="Normal 10 5 2 2 2 2" xfId="7319"/>
    <cellStyle name="Normal 10 5 2 2 2 2 2" xfId="14842"/>
    <cellStyle name="Normal 10 5 2 2 2 2 2 2" xfId="29886"/>
    <cellStyle name="Normal 10 5 2 2 2 2 2 3" xfId="44929"/>
    <cellStyle name="Normal 10 5 2 2 2 2 3" xfId="22365"/>
    <cellStyle name="Normal 10 5 2 2 2 2 4" xfId="37408"/>
    <cellStyle name="Normal 10 5 2 2 2 3" xfId="11093"/>
    <cellStyle name="Normal 10 5 2 2 2 3 2" xfId="26137"/>
    <cellStyle name="Normal 10 5 2 2 2 3 3" xfId="41180"/>
    <cellStyle name="Normal 10 5 2 2 2 4" xfId="18616"/>
    <cellStyle name="Normal 10 5 2 2 2 5" xfId="33659"/>
    <cellStyle name="Normal 10 5 2 2 3" xfId="5454"/>
    <cellStyle name="Normal 10 5 2 2 3 2" xfId="12977"/>
    <cellStyle name="Normal 10 5 2 2 3 2 2" xfId="28021"/>
    <cellStyle name="Normal 10 5 2 2 3 2 3" xfId="43064"/>
    <cellStyle name="Normal 10 5 2 2 3 3" xfId="20500"/>
    <cellStyle name="Normal 10 5 2 2 3 4" xfId="35543"/>
    <cellStyle name="Normal 10 5 2 2 4" xfId="9228"/>
    <cellStyle name="Normal 10 5 2 2 4 2" xfId="24272"/>
    <cellStyle name="Normal 10 5 2 2 4 3" xfId="39315"/>
    <cellStyle name="Normal 10 5 2 2 5" xfId="16751"/>
    <cellStyle name="Normal 10 5 2 2 6" xfId="31794"/>
    <cellStyle name="Normal 10 5 2 3" xfId="2592"/>
    <cellStyle name="Normal 10 5 2 3 2" xfId="6387"/>
    <cellStyle name="Normal 10 5 2 3 2 2" xfId="13910"/>
    <cellStyle name="Normal 10 5 2 3 2 2 2" xfId="28954"/>
    <cellStyle name="Normal 10 5 2 3 2 2 3" xfId="43997"/>
    <cellStyle name="Normal 10 5 2 3 2 3" xfId="21433"/>
    <cellStyle name="Normal 10 5 2 3 2 4" xfId="36476"/>
    <cellStyle name="Normal 10 5 2 3 3" xfId="10161"/>
    <cellStyle name="Normal 10 5 2 3 3 2" xfId="25205"/>
    <cellStyle name="Normal 10 5 2 3 3 3" xfId="40248"/>
    <cellStyle name="Normal 10 5 2 3 4" xfId="17684"/>
    <cellStyle name="Normal 10 5 2 3 5" xfId="32727"/>
    <cellStyle name="Normal 10 5 2 4" xfId="4522"/>
    <cellStyle name="Normal 10 5 2 4 2" xfId="12045"/>
    <cellStyle name="Normal 10 5 2 4 2 2" xfId="27089"/>
    <cellStyle name="Normal 10 5 2 4 2 3" xfId="42132"/>
    <cellStyle name="Normal 10 5 2 4 3" xfId="19568"/>
    <cellStyle name="Normal 10 5 2 4 4" xfId="34611"/>
    <cellStyle name="Normal 10 5 2 5" xfId="8296"/>
    <cellStyle name="Normal 10 5 2 5 2" xfId="23340"/>
    <cellStyle name="Normal 10 5 2 5 3" xfId="38383"/>
    <cellStyle name="Normal 10 5 2 6" xfId="15819"/>
    <cellStyle name="Normal 10 5 2 7" xfId="30862"/>
    <cellStyle name="Normal 10 5 3" xfId="1201"/>
    <cellStyle name="Normal 10 5 3 2" xfId="3072"/>
    <cellStyle name="Normal 10 5 3 2 2" xfId="6867"/>
    <cellStyle name="Normal 10 5 3 2 2 2" xfId="14390"/>
    <cellStyle name="Normal 10 5 3 2 2 2 2" xfId="29434"/>
    <cellStyle name="Normal 10 5 3 2 2 2 3" xfId="44477"/>
    <cellStyle name="Normal 10 5 3 2 2 3" xfId="21913"/>
    <cellStyle name="Normal 10 5 3 2 2 4" xfId="36956"/>
    <cellStyle name="Normal 10 5 3 2 3" xfId="10641"/>
    <cellStyle name="Normal 10 5 3 2 3 2" xfId="25685"/>
    <cellStyle name="Normal 10 5 3 2 3 3" xfId="40728"/>
    <cellStyle name="Normal 10 5 3 2 4" xfId="18164"/>
    <cellStyle name="Normal 10 5 3 2 5" xfId="33207"/>
    <cellStyle name="Normal 10 5 3 3" xfId="5002"/>
    <cellStyle name="Normal 10 5 3 3 2" xfId="12525"/>
    <cellStyle name="Normal 10 5 3 3 2 2" xfId="27569"/>
    <cellStyle name="Normal 10 5 3 3 2 3" xfId="42612"/>
    <cellStyle name="Normal 10 5 3 3 3" xfId="20048"/>
    <cellStyle name="Normal 10 5 3 3 4" xfId="35091"/>
    <cellStyle name="Normal 10 5 3 4" xfId="8776"/>
    <cellStyle name="Normal 10 5 3 4 2" xfId="23820"/>
    <cellStyle name="Normal 10 5 3 4 3" xfId="38863"/>
    <cellStyle name="Normal 10 5 3 5" xfId="16299"/>
    <cellStyle name="Normal 10 5 3 6" xfId="31342"/>
    <cellStyle name="Normal 10 5 4" xfId="2139"/>
    <cellStyle name="Normal 10 5 4 2" xfId="5935"/>
    <cellStyle name="Normal 10 5 4 2 2" xfId="13458"/>
    <cellStyle name="Normal 10 5 4 2 2 2" xfId="28502"/>
    <cellStyle name="Normal 10 5 4 2 2 3" xfId="43545"/>
    <cellStyle name="Normal 10 5 4 2 3" xfId="20981"/>
    <cellStyle name="Normal 10 5 4 2 4" xfId="36024"/>
    <cellStyle name="Normal 10 5 4 3" xfId="9709"/>
    <cellStyle name="Normal 10 5 4 3 2" xfId="24753"/>
    <cellStyle name="Normal 10 5 4 3 3" xfId="39796"/>
    <cellStyle name="Normal 10 5 4 4" xfId="17232"/>
    <cellStyle name="Normal 10 5 4 5" xfId="32275"/>
    <cellStyle name="Normal 10 5 5" xfId="4067"/>
    <cellStyle name="Normal 10 5 5 2" xfId="11591"/>
    <cellStyle name="Normal 10 5 5 2 2" xfId="26635"/>
    <cellStyle name="Normal 10 5 5 2 3" xfId="41678"/>
    <cellStyle name="Normal 10 5 5 3" xfId="19114"/>
    <cellStyle name="Normal 10 5 5 4" xfId="34157"/>
    <cellStyle name="Normal 10 5 6" xfId="7830"/>
    <cellStyle name="Normal 10 5 6 2" xfId="22874"/>
    <cellStyle name="Normal 10 5 6 3" xfId="37917"/>
    <cellStyle name="Normal 10 5 7" xfId="15353"/>
    <cellStyle name="Normal 10 5 8" xfId="30396"/>
    <cellStyle name="Normal 10 6" xfId="683"/>
    <cellStyle name="Normal 10 6 2" xfId="1642"/>
    <cellStyle name="Normal 10 6 2 2" xfId="3513"/>
    <cellStyle name="Normal 10 6 2 2 2" xfId="7308"/>
    <cellStyle name="Normal 10 6 2 2 2 2" xfId="14831"/>
    <cellStyle name="Normal 10 6 2 2 2 2 2" xfId="29875"/>
    <cellStyle name="Normal 10 6 2 2 2 2 3" xfId="44918"/>
    <cellStyle name="Normal 10 6 2 2 2 3" xfId="22354"/>
    <cellStyle name="Normal 10 6 2 2 2 4" xfId="37397"/>
    <cellStyle name="Normal 10 6 2 2 3" xfId="11082"/>
    <cellStyle name="Normal 10 6 2 2 3 2" xfId="26126"/>
    <cellStyle name="Normal 10 6 2 2 3 3" xfId="41169"/>
    <cellStyle name="Normal 10 6 2 2 4" xfId="18605"/>
    <cellStyle name="Normal 10 6 2 2 5" xfId="33648"/>
    <cellStyle name="Normal 10 6 2 3" xfId="5443"/>
    <cellStyle name="Normal 10 6 2 3 2" xfId="12966"/>
    <cellStyle name="Normal 10 6 2 3 2 2" xfId="28010"/>
    <cellStyle name="Normal 10 6 2 3 2 3" xfId="43053"/>
    <cellStyle name="Normal 10 6 2 3 3" xfId="20489"/>
    <cellStyle name="Normal 10 6 2 3 4" xfId="35532"/>
    <cellStyle name="Normal 10 6 2 4" xfId="9217"/>
    <cellStyle name="Normal 10 6 2 4 2" xfId="24261"/>
    <cellStyle name="Normal 10 6 2 4 3" xfId="39304"/>
    <cellStyle name="Normal 10 6 2 5" xfId="16740"/>
    <cellStyle name="Normal 10 6 2 6" xfId="31783"/>
    <cellStyle name="Normal 10 6 3" xfId="2581"/>
    <cellStyle name="Normal 10 6 3 2" xfId="6376"/>
    <cellStyle name="Normal 10 6 3 2 2" xfId="13899"/>
    <cellStyle name="Normal 10 6 3 2 2 2" xfId="28943"/>
    <cellStyle name="Normal 10 6 3 2 2 3" xfId="43986"/>
    <cellStyle name="Normal 10 6 3 2 3" xfId="21422"/>
    <cellStyle name="Normal 10 6 3 2 4" xfId="36465"/>
    <cellStyle name="Normal 10 6 3 3" xfId="10150"/>
    <cellStyle name="Normal 10 6 3 3 2" xfId="25194"/>
    <cellStyle name="Normal 10 6 3 3 3" xfId="40237"/>
    <cellStyle name="Normal 10 6 3 4" xfId="17673"/>
    <cellStyle name="Normal 10 6 3 5" xfId="32716"/>
    <cellStyle name="Normal 10 6 4" xfId="4511"/>
    <cellStyle name="Normal 10 6 4 2" xfId="12034"/>
    <cellStyle name="Normal 10 6 4 2 2" xfId="27078"/>
    <cellStyle name="Normal 10 6 4 2 3" xfId="42121"/>
    <cellStyle name="Normal 10 6 4 3" xfId="19557"/>
    <cellStyle name="Normal 10 6 4 4" xfId="34600"/>
    <cellStyle name="Normal 10 6 5" xfId="8285"/>
    <cellStyle name="Normal 10 6 5 2" xfId="23329"/>
    <cellStyle name="Normal 10 6 5 3" xfId="38372"/>
    <cellStyle name="Normal 10 6 6" xfId="15808"/>
    <cellStyle name="Normal 10 6 7" xfId="30851"/>
    <cellStyle name="Normal 10 7" xfId="1190"/>
    <cellStyle name="Normal 10 7 2" xfId="3061"/>
    <cellStyle name="Normal 10 7 2 2" xfId="6856"/>
    <cellStyle name="Normal 10 7 2 2 2" xfId="14379"/>
    <cellStyle name="Normal 10 7 2 2 2 2" xfId="29423"/>
    <cellStyle name="Normal 10 7 2 2 2 3" xfId="44466"/>
    <cellStyle name="Normal 10 7 2 2 3" xfId="21902"/>
    <cellStyle name="Normal 10 7 2 2 4" xfId="36945"/>
    <cellStyle name="Normal 10 7 2 3" xfId="10630"/>
    <cellStyle name="Normal 10 7 2 3 2" xfId="25674"/>
    <cellStyle name="Normal 10 7 2 3 3" xfId="40717"/>
    <cellStyle name="Normal 10 7 2 4" xfId="18153"/>
    <cellStyle name="Normal 10 7 2 5" xfId="33196"/>
    <cellStyle name="Normal 10 7 3" xfId="4991"/>
    <cellStyle name="Normal 10 7 3 2" xfId="12514"/>
    <cellStyle name="Normal 10 7 3 2 2" xfId="27558"/>
    <cellStyle name="Normal 10 7 3 2 3" xfId="42601"/>
    <cellStyle name="Normal 10 7 3 3" xfId="20037"/>
    <cellStyle name="Normal 10 7 3 4" xfId="35080"/>
    <cellStyle name="Normal 10 7 4" xfId="8765"/>
    <cellStyle name="Normal 10 7 4 2" xfId="23809"/>
    <cellStyle name="Normal 10 7 4 3" xfId="38852"/>
    <cellStyle name="Normal 10 7 5" xfId="16288"/>
    <cellStyle name="Normal 10 7 6" xfId="31331"/>
    <cellStyle name="Normal 10 8" xfId="2128"/>
    <cellStyle name="Normal 10 8 2" xfId="5924"/>
    <cellStyle name="Normal 10 8 2 2" xfId="13447"/>
    <cellStyle name="Normal 10 8 2 2 2" xfId="28491"/>
    <cellStyle name="Normal 10 8 2 2 3" xfId="43534"/>
    <cellStyle name="Normal 10 8 2 3" xfId="20970"/>
    <cellStyle name="Normal 10 8 2 4" xfId="36013"/>
    <cellStyle name="Normal 10 8 3" xfId="9698"/>
    <cellStyle name="Normal 10 8 3 2" xfId="24742"/>
    <cellStyle name="Normal 10 8 3 3" xfId="39785"/>
    <cellStyle name="Normal 10 8 4" xfId="17221"/>
    <cellStyle name="Normal 10 8 5" xfId="32264"/>
    <cellStyle name="Normal 10 9" xfId="4056"/>
    <cellStyle name="Normal 10 9 2" xfId="11580"/>
    <cellStyle name="Normal 10 9 2 2" xfId="26624"/>
    <cellStyle name="Normal 10 9 2 3" xfId="41667"/>
    <cellStyle name="Normal 10 9 3" xfId="19103"/>
    <cellStyle name="Normal 10 9 4" xfId="34146"/>
    <cellStyle name="Normal 11" xfId="165"/>
    <cellStyle name="Normal 11 10" xfId="30397"/>
    <cellStyle name="Normal 11 2" xfId="166"/>
    <cellStyle name="Normal 11 3" xfId="167"/>
    <cellStyle name="Normal 11 3 2" xfId="696"/>
    <cellStyle name="Normal 11 3 2 2" xfId="1655"/>
    <cellStyle name="Normal 11 3 2 2 2" xfId="3526"/>
    <cellStyle name="Normal 11 3 2 2 2 2" xfId="7321"/>
    <cellStyle name="Normal 11 3 2 2 2 2 2" xfId="14844"/>
    <cellStyle name="Normal 11 3 2 2 2 2 2 2" xfId="29888"/>
    <cellStyle name="Normal 11 3 2 2 2 2 2 3" xfId="44931"/>
    <cellStyle name="Normal 11 3 2 2 2 2 3" xfId="22367"/>
    <cellStyle name="Normal 11 3 2 2 2 2 4" xfId="37410"/>
    <cellStyle name="Normal 11 3 2 2 2 3" xfId="11095"/>
    <cellStyle name="Normal 11 3 2 2 2 3 2" xfId="26139"/>
    <cellStyle name="Normal 11 3 2 2 2 3 3" xfId="41182"/>
    <cellStyle name="Normal 11 3 2 2 2 4" xfId="18618"/>
    <cellStyle name="Normal 11 3 2 2 2 5" xfId="33661"/>
    <cellStyle name="Normal 11 3 2 2 3" xfId="5456"/>
    <cellStyle name="Normal 11 3 2 2 3 2" xfId="12979"/>
    <cellStyle name="Normal 11 3 2 2 3 2 2" xfId="28023"/>
    <cellStyle name="Normal 11 3 2 2 3 2 3" xfId="43066"/>
    <cellStyle name="Normal 11 3 2 2 3 3" xfId="20502"/>
    <cellStyle name="Normal 11 3 2 2 3 4" xfId="35545"/>
    <cellStyle name="Normal 11 3 2 2 4" xfId="9230"/>
    <cellStyle name="Normal 11 3 2 2 4 2" xfId="24274"/>
    <cellStyle name="Normal 11 3 2 2 4 3" xfId="39317"/>
    <cellStyle name="Normal 11 3 2 2 5" xfId="16753"/>
    <cellStyle name="Normal 11 3 2 2 6" xfId="31796"/>
    <cellStyle name="Normal 11 3 2 3" xfId="2594"/>
    <cellStyle name="Normal 11 3 2 3 2" xfId="6389"/>
    <cellStyle name="Normal 11 3 2 3 2 2" xfId="13912"/>
    <cellStyle name="Normal 11 3 2 3 2 2 2" xfId="28956"/>
    <cellStyle name="Normal 11 3 2 3 2 2 3" xfId="43999"/>
    <cellStyle name="Normal 11 3 2 3 2 3" xfId="21435"/>
    <cellStyle name="Normal 11 3 2 3 2 4" xfId="36478"/>
    <cellStyle name="Normal 11 3 2 3 3" xfId="10163"/>
    <cellStyle name="Normal 11 3 2 3 3 2" xfId="25207"/>
    <cellStyle name="Normal 11 3 2 3 3 3" xfId="40250"/>
    <cellStyle name="Normal 11 3 2 3 4" xfId="17686"/>
    <cellStyle name="Normal 11 3 2 3 5" xfId="32729"/>
    <cellStyle name="Normal 11 3 2 4" xfId="4524"/>
    <cellStyle name="Normal 11 3 2 4 2" xfId="12047"/>
    <cellStyle name="Normal 11 3 2 4 2 2" xfId="27091"/>
    <cellStyle name="Normal 11 3 2 4 2 3" xfId="42134"/>
    <cellStyle name="Normal 11 3 2 4 3" xfId="19570"/>
    <cellStyle name="Normal 11 3 2 4 4" xfId="34613"/>
    <cellStyle name="Normal 11 3 2 5" xfId="8298"/>
    <cellStyle name="Normal 11 3 2 5 2" xfId="23342"/>
    <cellStyle name="Normal 11 3 2 5 3" xfId="38385"/>
    <cellStyle name="Normal 11 3 2 6" xfId="15821"/>
    <cellStyle name="Normal 11 3 2 7" xfId="30864"/>
    <cellStyle name="Normal 11 3 3" xfId="1203"/>
    <cellStyle name="Normal 11 3 3 2" xfId="3074"/>
    <cellStyle name="Normal 11 3 3 2 2" xfId="6869"/>
    <cellStyle name="Normal 11 3 3 2 2 2" xfId="14392"/>
    <cellStyle name="Normal 11 3 3 2 2 2 2" xfId="29436"/>
    <cellStyle name="Normal 11 3 3 2 2 2 3" xfId="44479"/>
    <cellStyle name="Normal 11 3 3 2 2 3" xfId="21915"/>
    <cellStyle name="Normal 11 3 3 2 2 4" xfId="36958"/>
    <cellStyle name="Normal 11 3 3 2 3" xfId="10643"/>
    <cellStyle name="Normal 11 3 3 2 3 2" xfId="25687"/>
    <cellStyle name="Normal 11 3 3 2 3 3" xfId="40730"/>
    <cellStyle name="Normal 11 3 3 2 4" xfId="18166"/>
    <cellStyle name="Normal 11 3 3 2 5" xfId="33209"/>
    <cellStyle name="Normal 11 3 3 3" xfId="5004"/>
    <cellStyle name="Normal 11 3 3 3 2" xfId="12527"/>
    <cellStyle name="Normal 11 3 3 3 2 2" xfId="27571"/>
    <cellStyle name="Normal 11 3 3 3 2 3" xfId="42614"/>
    <cellStyle name="Normal 11 3 3 3 3" xfId="20050"/>
    <cellStyle name="Normal 11 3 3 3 4" xfId="35093"/>
    <cellStyle name="Normal 11 3 3 4" xfId="8778"/>
    <cellStyle name="Normal 11 3 3 4 2" xfId="23822"/>
    <cellStyle name="Normal 11 3 3 4 3" xfId="38865"/>
    <cellStyle name="Normal 11 3 3 5" xfId="16301"/>
    <cellStyle name="Normal 11 3 3 6" xfId="31344"/>
    <cellStyle name="Normal 11 3 4" xfId="2141"/>
    <cellStyle name="Normal 11 3 4 2" xfId="5937"/>
    <cellStyle name="Normal 11 3 4 2 2" xfId="13460"/>
    <cellStyle name="Normal 11 3 4 2 2 2" xfId="28504"/>
    <cellStyle name="Normal 11 3 4 2 2 3" xfId="43547"/>
    <cellStyle name="Normal 11 3 4 2 3" xfId="20983"/>
    <cellStyle name="Normal 11 3 4 2 4" xfId="36026"/>
    <cellStyle name="Normal 11 3 4 3" xfId="9711"/>
    <cellStyle name="Normal 11 3 4 3 2" xfId="24755"/>
    <cellStyle name="Normal 11 3 4 3 3" xfId="39798"/>
    <cellStyle name="Normal 11 3 4 4" xfId="17234"/>
    <cellStyle name="Normal 11 3 4 5" xfId="32277"/>
    <cellStyle name="Normal 11 3 5" xfId="4069"/>
    <cellStyle name="Normal 11 3 5 2" xfId="11593"/>
    <cellStyle name="Normal 11 3 5 2 2" xfId="26637"/>
    <cellStyle name="Normal 11 3 5 2 3" xfId="41680"/>
    <cellStyle name="Normal 11 3 5 3" xfId="19116"/>
    <cellStyle name="Normal 11 3 5 4" xfId="34159"/>
    <cellStyle name="Normal 11 3 6" xfId="7832"/>
    <cellStyle name="Normal 11 3 6 2" xfId="22876"/>
    <cellStyle name="Normal 11 3 6 3" xfId="37919"/>
    <cellStyle name="Normal 11 3 7" xfId="15355"/>
    <cellStyle name="Normal 11 3 8" xfId="30398"/>
    <cellStyle name="Normal 11 4" xfId="695"/>
    <cellStyle name="Normal 11 4 2" xfId="1654"/>
    <cellStyle name="Normal 11 4 2 2" xfId="3525"/>
    <cellStyle name="Normal 11 4 2 2 2" xfId="7320"/>
    <cellStyle name="Normal 11 4 2 2 2 2" xfId="14843"/>
    <cellStyle name="Normal 11 4 2 2 2 2 2" xfId="29887"/>
    <cellStyle name="Normal 11 4 2 2 2 2 3" xfId="44930"/>
    <cellStyle name="Normal 11 4 2 2 2 3" xfId="22366"/>
    <cellStyle name="Normal 11 4 2 2 2 4" xfId="37409"/>
    <cellStyle name="Normal 11 4 2 2 3" xfId="11094"/>
    <cellStyle name="Normal 11 4 2 2 3 2" xfId="26138"/>
    <cellStyle name="Normal 11 4 2 2 3 3" xfId="41181"/>
    <cellStyle name="Normal 11 4 2 2 4" xfId="18617"/>
    <cellStyle name="Normal 11 4 2 2 5" xfId="33660"/>
    <cellStyle name="Normal 11 4 2 3" xfId="5455"/>
    <cellStyle name="Normal 11 4 2 3 2" xfId="12978"/>
    <cellStyle name="Normal 11 4 2 3 2 2" xfId="28022"/>
    <cellStyle name="Normal 11 4 2 3 2 3" xfId="43065"/>
    <cellStyle name="Normal 11 4 2 3 3" xfId="20501"/>
    <cellStyle name="Normal 11 4 2 3 4" xfId="35544"/>
    <cellStyle name="Normal 11 4 2 4" xfId="9229"/>
    <cellStyle name="Normal 11 4 2 4 2" xfId="24273"/>
    <cellStyle name="Normal 11 4 2 4 3" xfId="39316"/>
    <cellStyle name="Normal 11 4 2 5" xfId="16752"/>
    <cellStyle name="Normal 11 4 2 6" xfId="31795"/>
    <cellStyle name="Normal 11 4 3" xfId="2593"/>
    <cellStyle name="Normal 11 4 3 2" xfId="6388"/>
    <cellStyle name="Normal 11 4 3 2 2" xfId="13911"/>
    <cellStyle name="Normal 11 4 3 2 2 2" xfId="28955"/>
    <cellStyle name="Normal 11 4 3 2 2 3" xfId="43998"/>
    <cellStyle name="Normal 11 4 3 2 3" xfId="21434"/>
    <cellStyle name="Normal 11 4 3 2 4" xfId="36477"/>
    <cellStyle name="Normal 11 4 3 3" xfId="10162"/>
    <cellStyle name="Normal 11 4 3 3 2" xfId="25206"/>
    <cellStyle name="Normal 11 4 3 3 3" xfId="40249"/>
    <cellStyle name="Normal 11 4 3 4" xfId="17685"/>
    <cellStyle name="Normal 11 4 3 5" xfId="32728"/>
    <cellStyle name="Normal 11 4 4" xfId="4523"/>
    <cellStyle name="Normal 11 4 4 2" xfId="12046"/>
    <cellStyle name="Normal 11 4 4 2 2" xfId="27090"/>
    <cellStyle name="Normal 11 4 4 2 3" xfId="42133"/>
    <cellStyle name="Normal 11 4 4 3" xfId="19569"/>
    <cellStyle name="Normal 11 4 4 4" xfId="34612"/>
    <cellStyle name="Normal 11 4 5" xfId="8297"/>
    <cellStyle name="Normal 11 4 5 2" xfId="23341"/>
    <cellStyle name="Normal 11 4 5 3" xfId="38384"/>
    <cellStyle name="Normal 11 4 6" xfId="15820"/>
    <cellStyle name="Normal 11 4 7" xfId="30863"/>
    <cellStyle name="Normal 11 5" xfId="1202"/>
    <cellStyle name="Normal 11 5 2" xfId="3073"/>
    <cellStyle name="Normal 11 5 2 2" xfId="6868"/>
    <cellStyle name="Normal 11 5 2 2 2" xfId="14391"/>
    <cellStyle name="Normal 11 5 2 2 2 2" xfId="29435"/>
    <cellStyle name="Normal 11 5 2 2 2 3" xfId="44478"/>
    <cellStyle name="Normal 11 5 2 2 3" xfId="21914"/>
    <cellStyle name="Normal 11 5 2 2 4" xfId="36957"/>
    <cellStyle name="Normal 11 5 2 3" xfId="10642"/>
    <cellStyle name="Normal 11 5 2 3 2" xfId="25686"/>
    <cellStyle name="Normal 11 5 2 3 3" xfId="40729"/>
    <cellStyle name="Normal 11 5 2 4" xfId="18165"/>
    <cellStyle name="Normal 11 5 2 5" xfId="33208"/>
    <cellStyle name="Normal 11 5 3" xfId="5003"/>
    <cellStyle name="Normal 11 5 3 2" xfId="12526"/>
    <cellStyle name="Normal 11 5 3 2 2" xfId="27570"/>
    <cellStyle name="Normal 11 5 3 2 3" xfId="42613"/>
    <cellStyle name="Normal 11 5 3 3" xfId="20049"/>
    <cellStyle name="Normal 11 5 3 4" xfId="35092"/>
    <cellStyle name="Normal 11 5 4" xfId="8777"/>
    <cellStyle name="Normal 11 5 4 2" xfId="23821"/>
    <cellStyle name="Normal 11 5 4 3" xfId="38864"/>
    <cellStyle name="Normal 11 5 5" xfId="16300"/>
    <cellStyle name="Normal 11 5 6" xfId="31343"/>
    <cellStyle name="Normal 11 6" xfId="2140"/>
    <cellStyle name="Normal 11 6 2" xfId="5936"/>
    <cellStyle name="Normal 11 6 2 2" xfId="13459"/>
    <cellStyle name="Normal 11 6 2 2 2" xfId="28503"/>
    <cellStyle name="Normal 11 6 2 2 3" xfId="43546"/>
    <cellStyle name="Normal 11 6 2 3" xfId="20982"/>
    <cellStyle name="Normal 11 6 2 4" xfId="36025"/>
    <cellStyle name="Normal 11 6 3" xfId="9710"/>
    <cellStyle name="Normal 11 6 3 2" xfId="24754"/>
    <cellStyle name="Normal 11 6 3 3" xfId="39797"/>
    <cellStyle name="Normal 11 6 4" xfId="17233"/>
    <cellStyle name="Normal 11 6 5" xfId="32276"/>
    <cellStyle name="Normal 11 7" xfId="4068"/>
    <cellStyle name="Normal 11 7 2" xfId="11592"/>
    <cellStyle name="Normal 11 7 2 2" xfId="26636"/>
    <cellStyle name="Normal 11 7 2 3" xfId="41679"/>
    <cellStyle name="Normal 11 7 3" xfId="19115"/>
    <cellStyle name="Normal 11 7 4" xfId="34158"/>
    <cellStyle name="Normal 11 8" xfId="7831"/>
    <cellStyle name="Normal 11 8 2" xfId="22875"/>
    <cellStyle name="Normal 11 8 3" xfId="37918"/>
    <cellStyle name="Normal 11 9" xfId="15354"/>
    <cellStyle name="Normal 12" xfId="168"/>
    <cellStyle name="Normal 13" xfId="169"/>
    <cellStyle name="Normal 13 10" xfId="7833"/>
    <cellStyle name="Normal 13 10 2" xfId="22877"/>
    <cellStyle name="Normal 13 10 3" xfId="37920"/>
    <cellStyle name="Normal 13 11" xfId="15356"/>
    <cellStyle name="Normal 13 12" xfId="30399"/>
    <cellStyle name="Normal 13 2" xfId="170"/>
    <cellStyle name="Normal 13 2 10" xfId="30400"/>
    <cellStyle name="Normal 13 2 2" xfId="171"/>
    <cellStyle name="Normal 13 2 2 2" xfId="172"/>
    <cellStyle name="Normal 13 2 2 2 2" xfId="700"/>
    <cellStyle name="Normal 13 2 2 2 2 2" xfId="1659"/>
    <cellStyle name="Normal 13 2 2 2 2 2 2" xfId="3530"/>
    <cellStyle name="Normal 13 2 2 2 2 2 2 2" xfId="7325"/>
    <cellStyle name="Normal 13 2 2 2 2 2 2 2 2" xfId="14848"/>
    <cellStyle name="Normal 13 2 2 2 2 2 2 2 2 2" xfId="29892"/>
    <cellStyle name="Normal 13 2 2 2 2 2 2 2 2 3" xfId="44935"/>
    <cellStyle name="Normal 13 2 2 2 2 2 2 2 3" xfId="22371"/>
    <cellStyle name="Normal 13 2 2 2 2 2 2 2 4" xfId="37414"/>
    <cellStyle name="Normal 13 2 2 2 2 2 2 3" xfId="11099"/>
    <cellStyle name="Normal 13 2 2 2 2 2 2 3 2" xfId="26143"/>
    <cellStyle name="Normal 13 2 2 2 2 2 2 3 3" xfId="41186"/>
    <cellStyle name="Normal 13 2 2 2 2 2 2 4" xfId="18622"/>
    <cellStyle name="Normal 13 2 2 2 2 2 2 5" xfId="33665"/>
    <cellStyle name="Normal 13 2 2 2 2 2 3" xfId="5460"/>
    <cellStyle name="Normal 13 2 2 2 2 2 3 2" xfId="12983"/>
    <cellStyle name="Normal 13 2 2 2 2 2 3 2 2" xfId="28027"/>
    <cellStyle name="Normal 13 2 2 2 2 2 3 2 3" xfId="43070"/>
    <cellStyle name="Normal 13 2 2 2 2 2 3 3" xfId="20506"/>
    <cellStyle name="Normal 13 2 2 2 2 2 3 4" xfId="35549"/>
    <cellStyle name="Normal 13 2 2 2 2 2 4" xfId="9234"/>
    <cellStyle name="Normal 13 2 2 2 2 2 4 2" xfId="24278"/>
    <cellStyle name="Normal 13 2 2 2 2 2 4 3" xfId="39321"/>
    <cellStyle name="Normal 13 2 2 2 2 2 5" xfId="16757"/>
    <cellStyle name="Normal 13 2 2 2 2 2 6" xfId="31800"/>
    <cellStyle name="Normal 13 2 2 2 2 3" xfId="2598"/>
    <cellStyle name="Normal 13 2 2 2 2 3 2" xfId="6393"/>
    <cellStyle name="Normal 13 2 2 2 2 3 2 2" xfId="13916"/>
    <cellStyle name="Normal 13 2 2 2 2 3 2 2 2" xfId="28960"/>
    <cellStyle name="Normal 13 2 2 2 2 3 2 2 3" xfId="44003"/>
    <cellStyle name="Normal 13 2 2 2 2 3 2 3" xfId="21439"/>
    <cellStyle name="Normal 13 2 2 2 2 3 2 4" xfId="36482"/>
    <cellStyle name="Normal 13 2 2 2 2 3 3" xfId="10167"/>
    <cellStyle name="Normal 13 2 2 2 2 3 3 2" xfId="25211"/>
    <cellStyle name="Normal 13 2 2 2 2 3 3 3" xfId="40254"/>
    <cellStyle name="Normal 13 2 2 2 2 3 4" xfId="17690"/>
    <cellStyle name="Normal 13 2 2 2 2 3 5" xfId="32733"/>
    <cellStyle name="Normal 13 2 2 2 2 4" xfId="4528"/>
    <cellStyle name="Normal 13 2 2 2 2 4 2" xfId="12051"/>
    <cellStyle name="Normal 13 2 2 2 2 4 2 2" xfId="27095"/>
    <cellStyle name="Normal 13 2 2 2 2 4 2 3" xfId="42138"/>
    <cellStyle name="Normal 13 2 2 2 2 4 3" xfId="19574"/>
    <cellStyle name="Normal 13 2 2 2 2 4 4" xfId="34617"/>
    <cellStyle name="Normal 13 2 2 2 2 5" xfId="8302"/>
    <cellStyle name="Normal 13 2 2 2 2 5 2" xfId="23346"/>
    <cellStyle name="Normal 13 2 2 2 2 5 3" xfId="38389"/>
    <cellStyle name="Normal 13 2 2 2 2 6" xfId="15825"/>
    <cellStyle name="Normal 13 2 2 2 2 7" xfId="30868"/>
    <cellStyle name="Normal 13 2 2 2 3" xfId="1207"/>
    <cellStyle name="Normal 13 2 2 2 3 2" xfId="3078"/>
    <cellStyle name="Normal 13 2 2 2 3 2 2" xfId="6873"/>
    <cellStyle name="Normal 13 2 2 2 3 2 2 2" xfId="14396"/>
    <cellStyle name="Normal 13 2 2 2 3 2 2 2 2" xfId="29440"/>
    <cellStyle name="Normal 13 2 2 2 3 2 2 2 3" xfId="44483"/>
    <cellStyle name="Normal 13 2 2 2 3 2 2 3" xfId="21919"/>
    <cellStyle name="Normal 13 2 2 2 3 2 2 4" xfId="36962"/>
    <cellStyle name="Normal 13 2 2 2 3 2 3" xfId="10647"/>
    <cellStyle name="Normal 13 2 2 2 3 2 3 2" xfId="25691"/>
    <cellStyle name="Normal 13 2 2 2 3 2 3 3" xfId="40734"/>
    <cellStyle name="Normal 13 2 2 2 3 2 4" xfId="18170"/>
    <cellStyle name="Normal 13 2 2 2 3 2 5" xfId="33213"/>
    <cellStyle name="Normal 13 2 2 2 3 3" xfId="5008"/>
    <cellStyle name="Normal 13 2 2 2 3 3 2" xfId="12531"/>
    <cellStyle name="Normal 13 2 2 2 3 3 2 2" xfId="27575"/>
    <cellStyle name="Normal 13 2 2 2 3 3 2 3" xfId="42618"/>
    <cellStyle name="Normal 13 2 2 2 3 3 3" xfId="20054"/>
    <cellStyle name="Normal 13 2 2 2 3 3 4" xfId="35097"/>
    <cellStyle name="Normal 13 2 2 2 3 4" xfId="8782"/>
    <cellStyle name="Normal 13 2 2 2 3 4 2" xfId="23826"/>
    <cellStyle name="Normal 13 2 2 2 3 4 3" xfId="38869"/>
    <cellStyle name="Normal 13 2 2 2 3 5" xfId="16305"/>
    <cellStyle name="Normal 13 2 2 2 3 6" xfId="31348"/>
    <cellStyle name="Normal 13 2 2 2 4" xfId="2145"/>
    <cellStyle name="Normal 13 2 2 2 4 2" xfId="5941"/>
    <cellStyle name="Normal 13 2 2 2 4 2 2" xfId="13464"/>
    <cellStyle name="Normal 13 2 2 2 4 2 2 2" xfId="28508"/>
    <cellStyle name="Normal 13 2 2 2 4 2 2 3" xfId="43551"/>
    <cellStyle name="Normal 13 2 2 2 4 2 3" xfId="20987"/>
    <cellStyle name="Normal 13 2 2 2 4 2 4" xfId="36030"/>
    <cellStyle name="Normal 13 2 2 2 4 3" xfId="9715"/>
    <cellStyle name="Normal 13 2 2 2 4 3 2" xfId="24759"/>
    <cellStyle name="Normal 13 2 2 2 4 3 3" xfId="39802"/>
    <cellStyle name="Normal 13 2 2 2 4 4" xfId="17238"/>
    <cellStyle name="Normal 13 2 2 2 4 5" xfId="32281"/>
    <cellStyle name="Normal 13 2 2 2 5" xfId="4073"/>
    <cellStyle name="Normal 13 2 2 2 5 2" xfId="11597"/>
    <cellStyle name="Normal 13 2 2 2 5 2 2" xfId="26641"/>
    <cellStyle name="Normal 13 2 2 2 5 2 3" xfId="41684"/>
    <cellStyle name="Normal 13 2 2 2 5 3" xfId="19120"/>
    <cellStyle name="Normal 13 2 2 2 5 4" xfId="34163"/>
    <cellStyle name="Normal 13 2 2 2 6" xfId="7836"/>
    <cellStyle name="Normal 13 2 2 2 6 2" xfId="22880"/>
    <cellStyle name="Normal 13 2 2 2 6 3" xfId="37923"/>
    <cellStyle name="Normal 13 2 2 2 7" xfId="15359"/>
    <cellStyle name="Normal 13 2 2 2 8" xfId="30402"/>
    <cellStyle name="Normal 13 2 2 3" xfId="699"/>
    <cellStyle name="Normal 13 2 2 3 2" xfId="1658"/>
    <cellStyle name="Normal 13 2 2 3 2 2" xfId="3529"/>
    <cellStyle name="Normal 13 2 2 3 2 2 2" xfId="7324"/>
    <cellStyle name="Normal 13 2 2 3 2 2 2 2" xfId="14847"/>
    <cellStyle name="Normal 13 2 2 3 2 2 2 2 2" xfId="29891"/>
    <cellStyle name="Normal 13 2 2 3 2 2 2 2 3" xfId="44934"/>
    <cellStyle name="Normal 13 2 2 3 2 2 2 3" xfId="22370"/>
    <cellStyle name="Normal 13 2 2 3 2 2 2 4" xfId="37413"/>
    <cellStyle name="Normal 13 2 2 3 2 2 3" xfId="11098"/>
    <cellStyle name="Normal 13 2 2 3 2 2 3 2" xfId="26142"/>
    <cellStyle name="Normal 13 2 2 3 2 2 3 3" xfId="41185"/>
    <cellStyle name="Normal 13 2 2 3 2 2 4" xfId="18621"/>
    <cellStyle name="Normal 13 2 2 3 2 2 5" xfId="33664"/>
    <cellStyle name="Normal 13 2 2 3 2 3" xfId="5459"/>
    <cellStyle name="Normal 13 2 2 3 2 3 2" xfId="12982"/>
    <cellStyle name="Normal 13 2 2 3 2 3 2 2" xfId="28026"/>
    <cellStyle name="Normal 13 2 2 3 2 3 2 3" xfId="43069"/>
    <cellStyle name="Normal 13 2 2 3 2 3 3" xfId="20505"/>
    <cellStyle name="Normal 13 2 2 3 2 3 4" xfId="35548"/>
    <cellStyle name="Normal 13 2 2 3 2 4" xfId="9233"/>
    <cellStyle name="Normal 13 2 2 3 2 4 2" xfId="24277"/>
    <cellStyle name="Normal 13 2 2 3 2 4 3" xfId="39320"/>
    <cellStyle name="Normal 13 2 2 3 2 5" xfId="16756"/>
    <cellStyle name="Normal 13 2 2 3 2 6" xfId="31799"/>
    <cellStyle name="Normal 13 2 2 3 3" xfId="2597"/>
    <cellStyle name="Normal 13 2 2 3 3 2" xfId="6392"/>
    <cellStyle name="Normal 13 2 2 3 3 2 2" xfId="13915"/>
    <cellStyle name="Normal 13 2 2 3 3 2 2 2" xfId="28959"/>
    <cellStyle name="Normal 13 2 2 3 3 2 2 3" xfId="44002"/>
    <cellStyle name="Normal 13 2 2 3 3 2 3" xfId="21438"/>
    <cellStyle name="Normal 13 2 2 3 3 2 4" xfId="36481"/>
    <cellStyle name="Normal 13 2 2 3 3 3" xfId="10166"/>
    <cellStyle name="Normal 13 2 2 3 3 3 2" xfId="25210"/>
    <cellStyle name="Normal 13 2 2 3 3 3 3" xfId="40253"/>
    <cellStyle name="Normal 13 2 2 3 3 4" xfId="17689"/>
    <cellStyle name="Normal 13 2 2 3 3 5" xfId="32732"/>
    <cellStyle name="Normal 13 2 2 3 4" xfId="4527"/>
    <cellStyle name="Normal 13 2 2 3 4 2" xfId="12050"/>
    <cellStyle name="Normal 13 2 2 3 4 2 2" xfId="27094"/>
    <cellStyle name="Normal 13 2 2 3 4 2 3" xfId="42137"/>
    <cellStyle name="Normal 13 2 2 3 4 3" xfId="19573"/>
    <cellStyle name="Normal 13 2 2 3 4 4" xfId="34616"/>
    <cellStyle name="Normal 13 2 2 3 5" xfId="8301"/>
    <cellStyle name="Normal 13 2 2 3 5 2" xfId="23345"/>
    <cellStyle name="Normal 13 2 2 3 5 3" xfId="38388"/>
    <cellStyle name="Normal 13 2 2 3 6" xfId="15824"/>
    <cellStyle name="Normal 13 2 2 3 7" xfId="30867"/>
    <cellStyle name="Normal 13 2 2 4" xfId="1206"/>
    <cellStyle name="Normal 13 2 2 4 2" xfId="3077"/>
    <cellStyle name="Normal 13 2 2 4 2 2" xfId="6872"/>
    <cellStyle name="Normal 13 2 2 4 2 2 2" xfId="14395"/>
    <cellStyle name="Normal 13 2 2 4 2 2 2 2" xfId="29439"/>
    <cellStyle name="Normal 13 2 2 4 2 2 2 3" xfId="44482"/>
    <cellStyle name="Normal 13 2 2 4 2 2 3" xfId="21918"/>
    <cellStyle name="Normal 13 2 2 4 2 2 4" xfId="36961"/>
    <cellStyle name="Normal 13 2 2 4 2 3" xfId="10646"/>
    <cellStyle name="Normal 13 2 2 4 2 3 2" xfId="25690"/>
    <cellStyle name="Normal 13 2 2 4 2 3 3" xfId="40733"/>
    <cellStyle name="Normal 13 2 2 4 2 4" xfId="18169"/>
    <cellStyle name="Normal 13 2 2 4 2 5" xfId="33212"/>
    <cellStyle name="Normal 13 2 2 4 3" xfId="5007"/>
    <cellStyle name="Normal 13 2 2 4 3 2" xfId="12530"/>
    <cellStyle name="Normal 13 2 2 4 3 2 2" xfId="27574"/>
    <cellStyle name="Normal 13 2 2 4 3 2 3" xfId="42617"/>
    <cellStyle name="Normal 13 2 2 4 3 3" xfId="20053"/>
    <cellStyle name="Normal 13 2 2 4 3 4" xfId="35096"/>
    <cellStyle name="Normal 13 2 2 4 4" xfId="8781"/>
    <cellStyle name="Normal 13 2 2 4 4 2" xfId="23825"/>
    <cellStyle name="Normal 13 2 2 4 4 3" xfId="38868"/>
    <cellStyle name="Normal 13 2 2 4 5" xfId="16304"/>
    <cellStyle name="Normal 13 2 2 4 6" xfId="31347"/>
    <cellStyle name="Normal 13 2 2 5" xfId="2144"/>
    <cellStyle name="Normal 13 2 2 5 2" xfId="5940"/>
    <cellStyle name="Normal 13 2 2 5 2 2" xfId="13463"/>
    <cellStyle name="Normal 13 2 2 5 2 2 2" xfId="28507"/>
    <cellStyle name="Normal 13 2 2 5 2 2 3" xfId="43550"/>
    <cellStyle name="Normal 13 2 2 5 2 3" xfId="20986"/>
    <cellStyle name="Normal 13 2 2 5 2 4" xfId="36029"/>
    <cellStyle name="Normal 13 2 2 5 3" xfId="9714"/>
    <cellStyle name="Normal 13 2 2 5 3 2" xfId="24758"/>
    <cellStyle name="Normal 13 2 2 5 3 3" xfId="39801"/>
    <cellStyle name="Normal 13 2 2 5 4" xfId="17237"/>
    <cellStyle name="Normal 13 2 2 5 5" xfId="32280"/>
    <cellStyle name="Normal 13 2 2 6" xfId="4072"/>
    <cellStyle name="Normal 13 2 2 6 2" xfId="11596"/>
    <cellStyle name="Normal 13 2 2 6 2 2" xfId="26640"/>
    <cellStyle name="Normal 13 2 2 6 2 3" xfId="41683"/>
    <cellStyle name="Normal 13 2 2 6 3" xfId="19119"/>
    <cellStyle name="Normal 13 2 2 6 4" xfId="34162"/>
    <cellStyle name="Normal 13 2 2 7" xfId="7835"/>
    <cellStyle name="Normal 13 2 2 7 2" xfId="22879"/>
    <cellStyle name="Normal 13 2 2 7 3" xfId="37922"/>
    <cellStyle name="Normal 13 2 2 8" xfId="15358"/>
    <cellStyle name="Normal 13 2 2 9" xfId="30401"/>
    <cellStyle name="Normal 13 2 3" xfId="173"/>
    <cellStyle name="Normal 13 2 3 2" xfId="701"/>
    <cellStyle name="Normal 13 2 3 2 2" xfId="1660"/>
    <cellStyle name="Normal 13 2 3 2 2 2" xfId="3531"/>
    <cellStyle name="Normal 13 2 3 2 2 2 2" xfId="7326"/>
    <cellStyle name="Normal 13 2 3 2 2 2 2 2" xfId="14849"/>
    <cellStyle name="Normal 13 2 3 2 2 2 2 2 2" xfId="29893"/>
    <cellStyle name="Normal 13 2 3 2 2 2 2 2 3" xfId="44936"/>
    <cellStyle name="Normal 13 2 3 2 2 2 2 3" xfId="22372"/>
    <cellStyle name="Normal 13 2 3 2 2 2 2 4" xfId="37415"/>
    <cellStyle name="Normal 13 2 3 2 2 2 3" xfId="11100"/>
    <cellStyle name="Normal 13 2 3 2 2 2 3 2" xfId="26144"/>
    <cellStyle name="Normal 13 2 3 2 2 2 3 3" xfId="41187"/>
    <cellStyle name="Normal 13 2 3 2 2 2 4" xfId="18623"/>
    <cellStyle name="Normal 13 2 3 2 2 2 5" xfId="33666"/>
    <cellStyle name="Normal 13 2 3 2 2 3" xfId="5461"/>
    <cellStyle name="Normal 13 2 3 2 2 3 2" xfId="12984"/>
    <cellStyle name="Normal 13 2 3 2 2 3 2 2" xfId="28028"/>
    <cellStyle name="Normal 13 2 3 2 2 3 2 3" xfId="43071"/>
    <cellStyle name="Normal 13 2 3 2 2 3 3" xfId="20507"/>
    <cellStyle name="Normal 13 2 3 2 2 3 4" xfId="35550"/>
    <cellStyle name="Normal 13 2 3 2 2 4" xfId="9235"/>
    <cellStyle name="Normal 13 2 3 2 2 4 2" xfId="24279"/>
    <cellStyle name="Normal 13 2 3 2 2 4 3" xfId="39322"/>
    <cellStyle name="Normal 13 2 3 2 2 5" xfId="16758"/>
    <cellStyle name="Normal 13 2 3 2 2 6" xfId="31801"/>
    <cellStyle name="Normal 13 2 3 2 3" xfId="2599"/>
    <cellStyle name="Normal 13 2 3 2 3 2" xfId="6394"/>
    <cellStyle name="Normal 13 2 3 2 3 2 2" xfId="13917"/>
    <cellStyle name="Normal 13 2 3 2 3 2 2 2" xfId="28961"/>
    <cellStyle name="Normal 13 2 3 2 3 2 2 3" xfId="44004"/>
    <cellStyle name="Normal 13 2 3 2 3 2 3" xfId="21440"/>
    <cellStyle name="Normal 13 2 3 2 3 2 4" xfId="36483"/>
    <cellStyle name="Normal 13 2 3 2 3 3" xfId="10168"/>
    <cellStyle name="Normal 13 2 3 2 3 3 2" xfId="25212"/>
    <cellStyle name="Normal 13 2 3 2 3 3 3" xfId="40255"/>
    <cellStyle name="Normal 13 2 3 2 3 4" xfId="17691"/>
    <cellStyle name="Normal 13 2 3 2 3 5" xfId="32734"/>
    <cellStyle name="Normal 13 2 3 2 4" xfId="4529"/>
    <cellStyle name="Normal 13 2 3 2 4 2" xfId="12052"/>
    <cellStyle name="Normal 13 2 3 2 4 2 2" xfId="27096"/>
    <cellStyle name="Normal 13 2 3 2 4 2 3" xfId="42139"/>
    <cellStyle name="Normal 13 2 3 2 4 3" xfId="19575"/>
    <cellStyle name="Normal 13 2 3 2 4 4" xfId="34618"/>
    <cellStyle name="Normal 13 2 3 2 5" xfId="8303"/>
    <cellStyle name="Normal 13 2 3 2 5 2" xfId="23347"/>
    <cellStyle name="Normal 13 2 3 2 5 3" xfId="38390"/>
    <cellStyle name="Normal 13 2 3 2 6" xfId="15826"/>
    <cellStyle name="Normal 13 2 3 2 7" xfId="30869"/>
    <cellStyle name="Normal 13 2 3 3" xfId="1208"/>
    <cellStyle name="Normal 13 2 3 3 2" xfId="3079"/>
    <cellStyle name="Normal 13 2 3 3 2 2" xfId="6874"/>
    <cellStyle name="Normal 13 2 3 3 2 2 2" xfId="14397"/>
    <cellStyle name="Normal 13 2 3 3 2 2 2 2" xfId="29441"/>
    <cellStyle name="Normal 13 2 3 3 2 2 2 3" xfId="44484"/>
    <cellStyle name="Normal 13 2 3 3 2 2 3" xfId="21920"/>
    <cellStyle name="Normal 13 2 3 3 2 2 4" xfId="36963"/>
    <cellStyle name="Normal 13 2 3 3 2 3" xfId="10648"/>
    <cellStyle name="Normal 13 2 3 3 2 3 2" xfId="25692"/>
    <cellStyle name="Normal 13 2 3 3 2 3 3" xfId="40735"/>
    <cellStyle name="Normal 13 2 3 3 2 4" xfId="18171"/>
    <cellStyle name="Normal 13 2 3 3 2 5" xfId="33214"/>
    <cellStyle name="Normal 13 2 3 3 3" xfId="5009"/>
    <cellStyle name="Normal 13 2 3 3 3 2" xfId="12532"/>
    <cellStyle name="Normal 13 2 3 3 3 2 2" xfId="27576"/>
    <cellStyle name="Normal 13 2 3 3 3 2 3" xfId="42619"/>
    <cellStyle name="Normal 13 2 3 3 3 3" xfId="20055"/>
    <cellStyle name="Normal 13 2 3 3 3 4" xfId="35098"/>
    <cellStyle name="Normal 13 2 3 3 4" xfId="8783"/>
    <cellStyle name="Normal 13 2 3 3 4 2" xfId="23827"/>
    <cellStyle name="Normal 13 2 3 3 4 3" xfId="38870"/>
    <cellStyle name="Normal 13 2 3 3 5" xfId="16306"/>
    <cellStyle name="Normal 13 2 3 3 6" xfId="31349"/>
    <cellStyle name="Normal 13 2 3 4" xfId="2146"/>
    <cellStyle name="Normal 13 2 3 4 2" xfId="5942"/>
    <cellStyle name="Normal 13 2 3 4 2 2" xfId="13465"/>
    <cellStyle name="Normal 13 2 3 4 2 2 2" xfId="28509"/>
    <cellStyle name="Normal 13 2 3 4 2 2 3" xfId="43552"/>
    <cellStyle name="Normal 13 2 3 4 2 3" xfId="20988"/>
    <cellStyle name="Normal 13 2 3 4 2 4" xfId="36031"/>
    <cellStyle name="Normal 13 2 3 4 3" xfId="9716"/>
    <cellStyle name="Normal 13 2 3 4 3 2" xfId="24760"/>
    <cellStyle name="Normal 13 2 3 4 3 3" xfId="39803"/>
    <cellStyle name="Normal 13 2 3 4 4" xfId="17239"/>
    <cellStyle name="Normal 13 2 3 4 5" xfId="32282"/>
    <cellStyle name="Normal 13 2 3 5" xfId="4074"/>
    <cellStyle name="Normal 13 2 3 5 2" xfId="11598"/>
    <cellStyle name="Normal 13 2 3 5 2 2" xfId="26642"/>
    <cellStyle name="Normal 13 2 3 5 2 3" xfId="41685"/>
    <cellStyle name="Normal 13 2 3 5 3" xfId="19121"/>
    <cellStyle name="Normal 13 2 3 5 4" xfId="34164"/>
    <cellStyle name="Normal 13 2 3 6" xfId="7837"/>
    <cellStyle name="Normal 13 2 3 6 2" xfId="22881"/>
    <cellStyle name="Normal 13 2 3 6 3" xfId="37924"/>
    <cellStyle name="Normal 13 2 3 7" xfId="15360"/>
    <cellStyle name="Normal 13 2 3 8" xfId="30403"/>
    <cellStyle name="Normal 13 2 4" xfId="698"/>
    <cellStyle name="Normal 13 2 4 2" xfId="1657"/>
    <cellStyle name="Normal 13 2 4 2 2" xfId="3528"/>
    <cellStyle name="Normal 13 2 4 2 2 2" xfId="7323"/>
    <cellStyle name="Normal 13 2 4 2 2 2 2" xfId="14846"/>
    <cellStyle name="Normal 13 2 4 2 2 2 2 2" xfId="29890"/>
    <cellStyle name="Normal 13 2 4 2 2 2 2 3" xfId="44933"/>
    <cellStyle name="Normal 13 2 4 2 2 2 3" xfId="22369"/>
    <cellStyle name="Normal 13 2 4 2 2 2 4" xfId="37412"/>
    <cellStyle name="Normal 13 2 4 2 2 3" xfId="11097"/>
    <cellStyle name="Normal 13 2 4 2 2 3 2" xfId="26141"/>
    <cellStyle name="Normal 13 2 4 2 2 3 3" xfId="41184"/>
    <cellStyle name="Normal 13 2 4 2 2 4" xfId="18620"/>
    <cellStyle name="Normal 13 2 4 2 2 5" xfId="33663"/>
    <cellStyle name="Normal 13 2 4 2 3" xfId="5458"/>
    <cellStyle name="Normal 13 2 4 2 3 2" xfId="12981"/>
    <cellStyle name="Normal 13 2 4 2 3 2 2" xfId="28025"/>
    <cellStyle name="Normal 13 2 4 2 3 2 3" xfId="43068"/>
    <cellStyle name="Normal 13 2 4 2 3 3" xfId="20504"/>
    <cellStyle name="Normal 13 2 4 2 3 4" xfId="35547"/>
    <cellStyle name="Normal 13 2 4 2 4" xfId="9232"/>
    <cellStyle name="Normal 13 2 4 2 4 2" xfId="24276"/>
    <cellStyle name="Normal 13 2 4 2 4 3" xfId="39319"/>
    <cellStyle name="Normal 13 2 4 2 5" xfId="16755"/>
    <cellStyle name="Normal 13 2 4 2 6" xfId="31798"/>
    <cellStyle name="Normal 13 2 4 3" xfId="2596"/>
    <cellStyle name="Normal 13 2 4 3 2" xfId="6391"/>
    <cellStyle name="Normal 13 2 4 3 2 2" xfId="13914"/>
    <cellStyle name="Normal 13 2 4 3 2 2 2" xfId="28958"/>
    <cellStyle name="Normal 13 2 4 3 2 2 3" xfId="44001"/>
    <cellStyle name="Normal 13 2 4 3 2 3" xfId="21437"/>
    <cellStyle name="Normal 13 2 4 3 2 4" xfId="36480"/>
    <cellStyle name="Normal 13 2 4 3 3" xfId="10165"/>
    <cellStyle name="Normal 13 2 4 3 3 2" xfId="25209"/>
    <cellStyle name="Normal 13 2 4 3 3 3" xfId="40252"/>
    <cellStyle name="Normal 13 2 4 3 4" xfId="17688"/>
    <cellStyle name="Normal 13 2 4 3 5" xfId="32731"/>
    <cellStyle name="Normal 13 2 4 4" xfId="4526"/>
    <cellStyle name="Normal 13 2 4 4 2" xfId="12049"/>
    <cellStyle name="Normal 13 2 4 4 2 2" xfId="27093"/>
    <cellStyle name="Normal 13 2 4 4 2 3" xfId="42136"/>
    <cellStyle name="Normal 13 2 4 4 3" xfId="19572"/>
    <cellStyle name="Normal 13 2 4 4 4" xfId="34615"/>
    <cellStyle name="Normal 13 2 4 5" xfId="8300"/>
    <cellStyle name="Normal 13 2 4 5 2" xfId="23344"/>
    <cellStyle name="Normal 13 2 4 5 3" xfId="38387"/>
    <cellStyle name="Normal 13 2 4 6" xfId="15823"/>
    <cellStyle name="Normal 13 2 4 7" xfId="30866"/>
    <cellStyle name="Normal 13 2 5" xfId="1205"/>
    <cellStyle name="Normal 13 2 5 2" xfId="3076"/>
    <cellStyle name="Normal 13 2 5 2 2" xfId="6871"/>
    <cellStyle name="Normal 13 2 5 2 2 2" xfId="14394"/>
    <cellStyle name="Normal 13 2 5 2 2 2 2" xfId="29438"/>
    <cellStyle name="Normal 13 2 5 2 2 2 3" xfId="44481"/>
    <cellStyle name="Normal 13 2 5 2 2 3" xfId="21917"/>
    <cellStyle name="Normal 13 2 5 2 2 4" xfId="36960"/>
    <cellStyle name="Normal 13 2 5 2 3" xfId="10645"/>
    <cellStyle name="Normal 13 2 5 2 3 2" xfId="25689"/>
    <cellStyle name="Normal 13 2 5 2 3 3" xfId="40732"/>
    <cellStyle name="Normal 13 2 5 2 4" xfId="18168"/>
    <cellStyle name="Normal 13 2 5 2 5" xfId="33211"/>
    <cellStyle name="Normal 13 2 5 3" xfId="5006"/>
    <cellStyle name="Normal 13 2 5 3 2" xfId="12529"/>
    <cellStyle name="Normal 13 2 5 3 2 2" xfId="27573"/>
    <cellStyle name="Normal 13 2 5 3 2 3" xfId="42616"/>
    <cellStyle name="Normal 13 2 5 3 3" xfId="20052"/>
    <cellStyle name="Normal 13 2 5 3 4" xfId="35095"/>
    <cellStyle name="Normal 13 2 5 4" xfId="8780"/>
    <cellStyle name="Normal 13 2 5 4 2" xfId="23824"/>
    <cellStyle name="Normal 13 2 5 4 3" xfId="38867"/>
    <cellStyle name="Normal 13 2 5 5" xfId="16303"/>
    <cellStyle name="Normal 13 2 5 6" xfId="31346"/>
    <cellStyle name="Normal 13 2 6" xfId="2143"/>
    <cellStyle name="Normal 13 2 6 2" xfId="5939"/>
    <cellStyle name="Normal 13 2 6 2 2" xfId="13462"/>
    <cellStyle name="Normal 13 2 6 2 2 2" xfId="28506"/>
    <cellStyle name="Normal 13 2 6 2 2 3" xfId="43549"/>
    <cellStyle name="Normal 13 2 6 2 3" xfId="20985"/>
    <cellStyle name="Normal 13 2 6 2 4" xfId="36028"/>
    <cellStyle name="Normal 13 2 6 3" xfId="9713"/>
    <cellStyle name="Normal 13 2 6 3 2" xfId="24757"/>
    <cellStyle name="Normal 13 2 6 3 3" xfId="39800"/>
    <cellStyle name="Normal 13 2 6 4" xfId="17236"/>
    <cellStyle name="Normal 13 2 6 5" xfId="32279"/>
    <cellStyle name="Normal 13 2 7" xfId="4071"/>
    <cellStyle name="Normal 13 2 7 2" xfId="11595"/>
    <cellStyle name="Normal 13 2 7 2 2" xfId="26639"/>
    <cellStyle name="Normal 13 2 7 2 3" xfId="41682"/>
    <cellStyle name="Normal 13 2 7 3" xfId="19118"/>
    <cellStyle name="Normal 13 2 7 4" xfId="34161"/>
    <cellStyle name="Normal 13 2 8" xfId="7834"/>
    <cellStyle name="Normal 13 2 8 2" xfId="22878"/>
    <cellStyle name="Normal 13 2 8 3" xfId="37921"/>
    <cellStyle name="Normal 13 2 9" xfId="15357"/>
    <cellStyle name="Normal 13 3" xfId="174"/>
    <cellStyle name="Normal 13 3 2" xfId="175"/>
    <cellStyle name="Normal 13 3 2 2" xfId="703"/>
    <cellStyle name="Normal 13 3 2 2 2" xfId="1662"/>
    <cellStyle name="Normal 13 3 2 2 2 2" xfId="3533"/>
    <cellStyle name="Normal 13 3 2 2 2 2 2" xfId="7328"/>
    <cellStyle name="Normal 13 3 2 2 2 2 2 2" xfId="14851"/>
    <cellStyle name="Normal 13 3 2 2 2 2 2 2 2" xfId="29895"/>
    <cellStyle name="Normal 13 3 2 2 2 2 2 2 3" xfId="44938"/>
    <cellStyle name="Normal 13 3 2 2 2 2 2 3" xfId="22374"/>
    <cellStyle name="Normal 13 3 2 2 2 2 2 4" xfId="37417"/>
    <cellStyle name="Normal 13 3 2 2 2 2 3" xfId="11102"/>
    <cellStyle name="Normal 13 3 2 2 2 2 3 2" xfId="26146"/>
    <cellStyle name="Normal 13 3 2 2 2 2 3 3" xfId="41189"/>
    <cellStyle name="Normal 13 3 2 2 2 2 4" xfId="18625"/>
    <cellStyle name="Normal 13 3 2 2 2 2 5" xfId="33668"/>
    <cellStyle name="Normal 13 3 2 2 2 3" xfId="5463"/>
    <cellStyle name="Normal 13 3 2 2 2 3 2" xfId="12986"/>
    <cellStyle name="Normal 13 3 2 2 2 3 2 2" xfId="28030"/>
    <cellStyle name="Normal 13 3 2 2 2 3 2 3" xfId="43073"/>
    <cellStyle name="Normal 13 3 2 2 2 3 3" xfId="20509"/>
    <cellStyle name="Normal 13 3 2 2 2 3 4" xfId="35552"/>
    <cellStyle name="Normal 13 3 2 2 2 4" xfId="9237"/>
    <cellStyle name="Normal 13 3 2 2 2 4 2" xfId="24281"/>
    <cellStyle name="Normal 13 3 2 2 2 4 3" xfId="39324"/>
    <cellStyle name="Normal 13 3 2 2 2 5" xfId="16760"/>
    <cellStyle name="Normal 13 3 2 2 2 6" xfId="31803"/>
    <cellStyle name="Normal 13 3 2 2 3" xfId="2601"/>
    <cellStyle name="Normal 13 3 2 2 3 2" xfId="6396"/>
    <cellStyle name="Normal 13 3 2 2 3 2 2" xfId="13919"/>
    <cellStyle name="Normal 13 3 2 2 3 2 2 2" xfId="28963"/>
    <cellStyle name="Normal 13 3 2 2 3 2 2 3" xfId="44006"/>
    <cellStyle name="Normal 13 3 2 2 3 2 3" xfId="21442"/>
    <cellStyle name="Normal 13 3 2 2 3 2 4" xfId="36485"/>
    <cellStyle name="Normal 13 3 2 2 3 3" xfId="10170"/>
    <cellStyle name="Normal 13 3 2 2 3 3 2" xfId="25214"/>
    <cellStyle name="Normal 13 3 2 2 3 3 3" xfId="40257"/>
    <cellStyle name="Normal 13 3 2 2 3 4" xfId="17693"/>
    <cellStyle name="Normal 13 3 2 2 3 5" xfId="32736"/>
    <cellStyle name="Normal 13 3 2 2 4" xfId="4531"/>
    <cellStyle name="Normal 13 3 2 2 4 2" xfId="12054"/>
    <cellStyle name="Normal 13 3 2 2 4 2 2" xfId="27098"/>
    <cellStyle name="Normal 13 3 2 2 4 2 3" xfId="42141"/>
    <cellStyle name="Normal 13 3 2 2 4 3" xfId="19577"/>
    <cellStyle name="Normal 13 3 2 2 4 4" xfId="34620"/>
    <cellStyle name="Normal 13 3 2 2 5" xfId="8305"/>
    <cellStyle name="Normal 13 3 2 2 5 2" xfId="23349"/>
    <cellStyle name="Normal 13 3 2 2 5 3" xfId="38392"/>
    <cellStyle name="Normal 13 3 2 2 6" xfId="15828"/>
    <cellStyle name="Normal 13 3 2 2 7" xfId="30871"/>
    <cellStyle name="Normal 13 3 2 3" xfId="1210"/>
    <cellStyle name="Normal 13 3 2 3 2" xfId="3081"/>
    <cellStyle name="Normal 13 3 2 3 2 2" xfId="6876"/>
    <cellStyle name="Normal 13 3 2 3 2 2 2" xfId="14399"/>
    <cellStyle name="Normal 13 3 2 3 2 2 2 2" xfId="29443"/>
    <cellStyle name="Normal 13 3 2 3 2 2 2 3" xfId="44486"/>
    <cellStyle name="Normal 13 3 2 3 2 2 3" xfId="21922"/>
    <cellStyle name="Normal 13 3 2 3 2 2 4" xfId="36965"/>
    <cellStyle name="Normal 13 3 2 3 2 3" xfId="10650"/>
    <cellStyle name="Normal 13 3 2 3 2 3 2" xfId="25694"/>
    <cellStyle name="Normal 13 3 2 3 2 3 3" xfId="40737"/>
    <cellStyle name="Normal 13 3 2 3 2 4" xfId="18173"/>
    <cellStyle name="Normal 13 3 2 3 2 5" xfId="33216"/>
    <cellStyle name="Normal 13 3 2 3 3" xfId="5011"/>
    <cellStyle name="Normal 13 3 2 3 3 2" xfId="12534"/>
    <cellStyle name="Normal 13 3 2 3 3 2 2" xfId="27578"/>
    <cellStyle name="Normal 13 3 2 3 3 2 3" xfId="42621"/>
    <cellStyle name="Normal 13 3 2 3 3 3" xfId="20057"/>
    <cellStyle name="Normal 13 3 2 3 3 4" xfId="35100"/>
    <cellStyle name="Normal 13 3 2 3 4" xfId="8785"/>
    <cellStyle name="Normal 13 3 2 3 4 2" xfId="23829"/>
    <cellStyle name="Normal 13 3 2 3 4 3" xfId="38872"/>
    <cellStyle name="Normal 13 3 2 3 5" xfId="16308"/>
    <cellStyle name="Normal 13 3 2 3 6" xfId="31351"/>
    <cellStyle name="Normal 13 3 2 4" xfId="2148"/>
    <cellStyle name="Normal 13 3 2 4 2" xfId="5944"/>
    <cellStyle name="Normal 13 3 2 4 2 2" xfId="13467"/>
    <cellStyle name="Normal 13 3 2 4 2 2 2" xfId="28511"/>
    <cellStyle name="Normal 13 3 2 4 2 2 3" xfId="43554"/>
    <cellStyle name="Normal 13 3 2 4 2 3" xfId="20990"/>
    <cellStyle name="Normal 13 3 2 4 2 4" xfId="36033"/>
    <cellStyle name="Normal 13 3 2 4 3" xfId="9718"/>
    <cellStyle name="Normal 13 3 2 4 3 2" xfId="24762"/>
    <cellStyle name="Normal 13 3 2 4 3 3" xfId="39805"/>
    <cellStyle name="Normal 13 3 2 4 4" xfId="17241"/>
    <cellStyle name="Normal 13 3 2 4 5" xfId="32284"/>
    <cellStyle name="Normal 13 3 2 5" xfId="4076"/>
    <cellStyle name="Normal 13 3 2 5 2" xfId="11600"/>
    <cellStyle name="Normal 13 3 2 5 2 2" xfId="26644"/>
    <cellStyle name="Normal 13 3 2 5 2 3" xfId="41687"/>
    <cellStyle name="Normal 13 3 2 5 3" xfId="19123"/>
    <cellStyle name="Normal 13 3 2 5 4" xfId="34166"/>
    <cellStyle name="Normal 13 3 2 6" xfId="7839"/>
    <cellStyle name="Normal 13 3 2 6 2" xfId="22883"/>
    <cellStyle name="Normal 13 3 2 6 3" xfId="37926"/>
    <cellStyle name="Normal 13 3 2 7" xfId="15362"/>
    <cellStyle name="Normal 13 3 2 8" xfId="30405"/>
    <cellStyle name="Normal 13 3 3" xfId="702"/>
    <cellStyle name="Normal 13 3 3 2" xfId="1661"/>
    <cellStyle name="Normal 13 3 3 2 2" xfId="3532"/>
    <cellStyle name="Normal 13 3 3 2 2 2" xfId="7327"/>
    <cellStyle name="Normal 13 3 3 2 2 2 2" xfId="14850"/>
    <cellStyle name="Normal 13 3 3 2 2 2 2 2" xfId="29894"/>
    <cellStyle name="Normal 13 3 3 2 2 2 2 3" xfId="44937"/>
    <cellStyle name="Normal 13 3 3 2 2 2 3" xfId="22373"/>
    <cellStyle name="Normal 13 3 3 2 2 2 4" xfId="37416"/>
    <cellStyle name="Normal 13 3 3 2 2 3" xfId="11101"/>
    <cellStyle name="Normal 13 3 3 2 2 3 2" xfId="26145"/>
    <cellStyle name="Normal 13 3 3 2 2 3 3" xfId="41188"/>
    <cellStyle name="Normal 13 3 3 2 2 4" xfId="18624"/>
    <cellStyle name="Normal 13 3 3 2 2 5" xfId="33667"/>
    <cellStyle name="Normal 13 3 3 2 3" xfId="5462"/>
    <cellStyle name="Normal 13 3 3 2 3 2" xfId="12985"/>
    <cellStyle name="Normal 13 3 3 2 3 2 2" xfId="28029"/>
    <cellStyle name="Normal 13 3 3 2 3 2 3" xfId="43072"/>
    <cellStyle name="Normal 13 3 3 2 3 3" xfId="20508"/>
    <cellStyle name="Normal 13 3 3 2 3 4" xfId="35551"/>
    <cellStyle name="Normal 13 3 3 2 4" xfId="9236"/>
    <cellStyle name="Normal 13 3 3 2 4 2" xfId="24280"/>
    <cellStyle name="Normal 13 3 3 2 4 3" xfId="39323"/>
    <cellStyle name="Normal 13 3 3 2 5" xfId="16759"/>
    <cellStyle name="Normal 13 3 3 2 6" xfId="31802"/>
    <cellStyle name="Normal 13 3 3 3" xfId="2600"/>
    <cellStyle name="Normal 13 3 3 3 2" xfId="6395"/>
    <cellStyle name="Normal 13 3 3 3 2 2" xfId="13918"/>
    <cellStyle name="Normal 13 3 3 3 2 2 2" xfId="28962"/>
    <cellStyle name="Normal 13 3 3 3 2 2 3" xfId="44005"/>
    <cellStyle name="Normal 13 3 3 3 2 3" xfId="21441"/>
    <cellStyle name="Normal 13 3 3 3 2 4" xfId="36484"/>
    <cellStyle name="Normal 13 3 3 3 3" xfId="10169"/>
    <cellStyle name="Normal 13 3 3 3 3 2" xfId="25213"/>
    <cellStyle name="Normal 13 3 3 3 3 3" xfId="40256"/>
    <cellStyle name="Normal 13 3 3 3 4" xfId="17692"/>
    <cellStyle name="Normal 13 3 3 3 5" xfId="32735"/>
    <cellStyle name="Normal 13 3 3 4" xfId="4530"/>
    <cellStyle name="Normal 13 3 3 4 2" xfId="12053"/>
    <cellStyle name="Normal 13 3 3 4 2 2" xfId="27097"/>
    <cellStyle name="Normal 13 3 3 4 2 3" xfId="42140"/>
    <cellStyle name="Normal 13 3 3 4 3" xfId="19576"/>
    <cellStyle name="Normal 13 3 3 4 4" xfId="34619"/>
    <cellStyle name="Normal 13 3 3 5" xfId="8304"/>
    <cellStyle name="Normal 13 3 3 5 2" xfId="23348"/>
    <cellStyle name="Normal 13 3 3 5 3" xfId="38391"/>
    <cellStyle name="Normal 13 3 3 6" xfId="15827"/>
    <cellStyle name="Normal 13 3 3 7" xfId="30870"/>
    <cellStyle name="Normal 13 3 4" xfId="1209"/>
    <cellStyle name="Normal 13 3 4 2" xfId="3080"/>
    <cellStyle name="Normal 13 3 4 2 2" xfId="6875"/>
    <cellStyle name="Normal 13 3 4 2 2 2" xfId="14398"/>
    <cellStyle name="Normal 13 3 4 2 2 2 2" xfId="29442"/>
    <cellStyle name="Normal 13 3 4 2 2 2 3" xfId="44485"/>
    <cellStyle name="Normal 13 3 4 2 2 3" xfId="21921"/>
    <cellStyle name="Normal 13 3 4 2 2 4" xfId="36964"/>
    <cellStyle name="Normal 13 3 4 2 3" xfId="10649"/>
    <cellStyle name="Normal 13 3 4 2 3 2" xfId="25693"/>
    <cellStyle name="Normal 13 3 4 2 3 3" xfId="40736"/>
    <cellStyle name="Normal 13 3 4 2 4" xfId="18172"/>
    <cellStyle name="Normal 13 3 4 2 5" xfId="33215"/>
    <cellStyle name="Normal 13 3 4 3" xfId="5010"/>
    <cellStyle name="Normal 13 3 4 3 2" xfId="12533"/>
    <cellStyle name="Normal 13 3 4 3 2 2" xfId="27577"/>
    <cellStyle name="Normal 13 3 4 3 2 3" xfId="42620"/>
    <cellStyle name="Normal 13 3 4 3 3" xfId="20056"/>
    <cellStyle name="Normal 13 3 4 3 4" xfId="35099"/>
    <cellStyle name="Normal 13 3 4 4" xfId="8784"/>
    <cellStyle name="Normal 13 3 4 4 2" xfId="23828"/>
    <cellStyle name="Normal 13 3 4 4 3" xfId="38871"/>
    <cellStyle name="Normal 13 3 4 5" xfId="16307"/>
    <cellStyle name="Normal 13 3 4 6" xfId="31350"/>
    <cellStyle name="Normal 13 3 5" xfId="2147"/>
    <cellStyle name="Normal 13 3 5 2" xfId="5943"/>
    <cellStyle name="Normal 13 3 5 2 2" xfId="13466"/>
    <cellStyle name="Normal 13 3 5 2 2 2" xfId="28510"/>
    <cellStyle name="Normal 13 3 5 2 2 3" xfId="43553"/>
    <cellStyle name="Normal 13 3 5 2 3" xfId="20989"/>
    <cellStyle name="Normal 13 3 5 2 4" xfId="36032"/>
    <cellStyle name="Normal 13 3 5 3" xfId="9717"/>
    <cellStyle name="Normal 13 3 5 3 2" xfId="24761"/>
    <cellStyle name="Normal 13 3 5 3 3" xfId="39804"/>
    <cellStyle name="Normal 13 3 5 4" xfId="17240"/>
    <cellStyle name="Normal 13 3 5 5" xfId="32283"/>
    <cellStyle name="Normal 13 3 6" xfId="4075"/>
    <cellStyle name="Normal 13 3 6 2" xfId="11599"/>
    <cellStyle name="Normal 13 3 6 2 2" xfId="26643"/>
    <cellStyle name="Normal 13 3 6 2 3" xfId="41686"/>
    <cellStyle name="Normal 13 3 6 3" xfId="19122"/>
    <cellStyle name="Normal 13 3 6 4" xfId="34165"/>
    <cellStyle name="Normal 13 3 7" xfId="7838"/>
    <cellStyle name="Normal 13 3 7 2" xfId="22882"/>
    <cellStyle name="Normal 13 3 7 3" xfId="37925"/>
    <cellStyle name="Normal 13 3 8" xfId="15361"/>
    <cellStyle name="Normal 13 3 9" xfId="30404"/>
    <cellStyle name="Normal 13 4" xfId="176"/>
    <cellStyle name="Normal 13 4 2" xfId="177"/>
    <cellStyle name="Normal 13 4 2 2" xfId="705"/>
    <cellStyle name="Normal 13 4 2 2 2" xfId="1664"/>
    <cellStyle name="Normal 13 4 2 2 2 2" xfId="3535"/>
    <cellStyle name="Normal 13 4 2 2 2 2 2" xfId="7330"/>
    <cellStyle name="Normal 13 4 2 2 2 2 2 2" xfId="14853"/>
    <cellStyle name="Normal 13 4 2 2 2 2 2 2 2" xfId="29897"/>
    <cellStyle name="Normal 13 4 2 2 2 2 2 2 3" xfId="44940"/>
    <cellStyle name="Normal 13 4 2 2 2 2 2 3" xfId="22376"/>
    <cellStyle name="Normal 13 4 2 2 2 2 2 4" xfId="37419"/>
    <cellStyle name="Normal 13 4 2 2 2 2 3" xfId="11104"/>
    <cellStyle name="Normal 13 4 2 2 2 2 3 2" xfId="26148"/>
    <cellStyle name="Normal 13 4 2 2 2 2 3 3" xfId="41191"/>
    <cellStyle name="Normal 13 4 2 2 2 2 4" xfId="18627"/>
    <cellStyle name="Normal 13 4 2 2 2 2 5" xfId="33670"/>
    <cellStyle name="Normal 13 4 2 2 2 3" xfId="5465"/>
    <cellStyle name="Normal 13 4 2 2 2 3 2" xfId="12988"/>
    <cellStyle name="Normal 13 4 2 2 2 3 2 2" xfId="28032"/>
    <cellStyle name="Normal 13 4 2 2 2 3 2 3" xfId="43075"/>
    <cellStyle name="Normal 13 4 2 2 2 3 3" xfId="20511"/>
    <cellStyle name="Normal 13 4 2 2 2 3 4" xfId="35554"/>
    <cellStyle name="Normal 13 4 2 2 2 4" xfId="9239"/>
    <cellStyle name="Normal 13 4 2 2 2 4 2" xfId="24283"/>
    <cellStyle name="Normal 13 4 2 2 2 4 3" xfId="39326"/>
    <cellStyle name="Normal 13 4 2 2 2 5" xfId="16762"/>
    <cellStyle name="Normal 13 4 2 2 2 6" xfId="31805"/>
    <cellStyle name="Normal 13 4 2 2 3" xfId="2603"/>
    <cellStyle name="Normal 13 4 2 2 3 2" xfId="6398"/>
    <cellStyle name="Normal 13 4 2 2 3 2 2" xfId="13921"/>
    <cellStyle name="Normal 13 4 2 2 3 2 2 2" xfId="28965"/>
    <cellStyle name="Normal 13 4 2 2 3 2 2 3" xfId="44008"/>
    <cellStyle name="Normal 13 4 2 2 3 2 3" xfId="21444"/>
    <cellStyle name="Normal 13 4 2 2 3 2 4" xfId="36487"/>
    <cellStyle name="Normal 13 4 2 2 3 3" xfId="10172"/>
    <cellStyle name="Normal 13 4 2 2 3 3 2" xfId="25216"/>
    <cellStyle name="Normal 13 4 2 2 3 3 3" xfId="40259"/>
    <cellStyle name="Normal 13 4 2 2 3 4" xfId="17695"/>
    <cellStyle name="Normal 13 4 2 2 3 5" xfId="32738"/>
    <cellStyle name="Normal 13 4 2 2 4" xfId="4533"/>
    <cellStyle name="Normal 13 4 2 2 4 2" xfId="12056"/>
    <cellStyle name="Normal 13 4 2 2 4 2 2" xfId="27100"/>
    <cellStyle name="Normal 13 4 2 2 4 2 3" xfId="42143"/>
    <cellStyle name="Normal 13 4 2 2 4 3" xfId="19579"/>
    <cellStyle name="Normal 13 4 2 2 4 4" xfId="34622"/>
    <cellStyle name="Normal 13 4 2 2 5" xfId="8307"/>
    <cellStyle name="Normal 13 4 2 2 5 2" xfId="23351"/>
    <cellStyle name="Normal 13 4 2 2 5 3" xfId="38394"/>
    <cellStyle name="Normal 13 4 2 2 6" xfId="15830"/>
    <cellStyle name="Normal 13 4 2 2 7" xfId="30873"/>
    <cellStyle name="Normal 13 4 2 3" xfId="1212"/>
    <cellStyle name="Normal 13 4 2 3 2" xfId="3083"/>
    <cellStyle name="Normal 13 4 2 3 2 2" xfId="6878"/>
    <cellStyle name="Normal 13 4 2 3 2 2 2" xfId="14401"/>
    <cellStyle name="Normal 13 4 2 3 2 2 2 2" xfId="29445"/>
    <cellStyle name="Normal 13 4 2 3 2 2 2 3" xfId="44488"/>
    <cellStyle name="Normal 13 4 2 3 2 2 3" xfId="21924"/>
    <cellStyle name="Normal 13 4 2 3 2 2 4" xfId="36967"/>
    <cellStyle name="Normal 13 4 2 3 2 3" xfId="10652"/>
    <cellStyle name="Normal 13 4 2 3 2 3 2" xfId="25696"/>
    <cellStyle name="Normal 13 4 2 3 2 3 3" xfId="40739"/>
    <cellStyle name="Normal 13 4 2 3 2 4" xfId="18175"/>
    <cellStyle name="Normal 13 4 2 3 2 5" xfId="33218"/>
    <cellStyle name="Normal 13 4 2 3 3" xfId="5013"/>
    <cellStyle name="Normal 13 4 2 3 3 2" xfId="12536"/>
    <cellStyle name="Normal 13 4 2 3 3 2 2" xfId="27580"/>
    <cellStyle name="Normal 13 4 2 3 3 2 3" xfId="42623"/>
    <cellStyle name="Normal 13 4 2 3 3 3" xfId="20059"/>
    <cellStyle name="Normal 13 4 2 3 3 4" xfId="35102"/>
    <cellStyle name="Normal 13 4 2 3 4" xfId="8787"/>
    <cellStyle name="Normal 13 4 2 3 4 2" xfId="23831"/>
    <cellStyle name="Normal 13 4 2 3 4 3" xfId="38874"/>
    <cellStyle name="Normal 13 4 2 3 5" xfId="16310"/>
    <cellStyle name="Normal 13 4 2 3 6" xfId="31353"/>
    <cellStyle name="Normal 13 4 2 4" xfId="2150"/>
    <cellStyle name="Normal 13 4 2 4 2" xfId="5946"/>
    <cellStyle name="Normal 13 4 2 4 2 2" xfId="13469"/>
    <cellStyle name="Normal 13 4 2 4 2 2 2" xfId="28513"/>
    <cellStyle name="Normal 13 4 2 4 2 2 3" xfId="43556"/>
    <cellStyle name="Normal 13 4 2 4 2 3" xfId="20992"/>
    <cellStyle name="Normal 13 4 2 4 2 4" xfId="36035"/>
    <cellStyle name="Normal 13 4 2 4 3" xfId="9720"/>
    <cellStyle name="Normal 13 4 2 4 3 2" xfId="24764"/>
    <cellStyle name="Normal 13 4 2 4 3 3" xfId="39807"/>
    <cellStyle name="Normal 13 4 2 4 4" xfId="17243"/>
    <cellStyle name="Normal 13 4 2 4 5" xfId="32286"/>
    <cellStyle name="Normal 13 4 2 5" xfId="4078"/>
    <cellStyle name="Normal 13 4 2 5 2" xfId="11602"/>
    <cellStyle name="Normal 13 4 2 5 2 2" xfId="26646"/>
    <cellStyle name="Normal 13 4 2 5 2 3" xfId="41689"/>
    <cellStyle name="Normal 13 4 2 5 3" xfId="19125"/>
    <cellStyle name="Normal 13 4 2 5 4" xfId="34168"/>
    <cellStyle name="Normal 13 4 2 6" xfId="7841"/>
    <cellStyle name="Normal 13 4 2 6 2" xfId="22885"/>
    <cellStyle name="Normal 13 4 2 6 3" xfId="37928"/>
    <cellStyle name="Normal 13 4 2 7" xfId="15364"/>
    <cellStyle name="Normal 13 4 2 8" xfId="30407"/>
    <cellStyle name="Normal 13 4 3" xfId="704"/>
    <cellStyle name="Normal 13 4 3 2" xfId="1663"/>
    <cellStyle name="Normal 13 4 3 2 2" xfId="3534"/>
    <cellStyle name="Normal 13 4 3 2 2 2" xfId="7329"/>
    <cellStyle name="Normal 13 4 3 2 2 2 2" xfId="14852"/>
    <cellStyle name="Normal 13 4 3 2 2 2 2 2" xfId="29896"/>
    <cellStyle name="Normal 13 4 3 2 2 2 2 3" xfId="44939"/>
    <cellStyle name="Normal 13 4 3 2 2 2 3" xfId="22375"/>
    <cellStyle name="Normal 13 4 3 2 2 2 4" xfId="37418"/>
    <cellStyle name="Normal 13 4 3 2 2 3" xfId="11103"/>
    <cellStyle name="Normal 13 4 3 2 2 3 2" xfId="26147"/>
    <cellStyle name="Normal 13 4 3 2 2 3 3" xfId="41190"/>
    <cellStyle name="Normal 13 4 3 2 2 4" xfId="18626"/>
    <cellStyle name="Normal 13 4 3 2 2 5" xfId="33669"/>
    <cellStyle name="Normal 13 4 3 2 3" xfId="5464"/>
    <cellStyle name="Normal 13 4 3 2 3 2" xfId="12987"/>
    <cellStyle name="Normal 13 4 3 2 3 2 2" xfId="28031"/>
    <cellStyle name="Normal 13 4 3 2 3 2 3" xfId="43074"/>
    <cellStyle name="Normal 13 4 3 2 3 3" xfId="20510"/>
    <cellStyle name="Normal 13 4 3 2 3 4" xfId="35553"/>
    <cellStyle name="Normal 13 4 3 2 4" xfId="9238"/>
    <cellStyle name="Normal 13 4 3 2 4 2" xfId="24282"/>
    <cellStyle name="Normal 13 4 3 2 4 3" xfId="39325"/>
    <cellStyle name="Normal 13 4 3 2 5" xfId="16761"/>
    <cellStyle name="Normal 13 4 3 2 6" xfId="31804"/>
    <cellStyle name="Normal 13 4 3 3" xfId="2602"/>
    <cellStyle name="Normal 13 4 3 3 2" xfId="6397"/>
    <cellStyle name="Normal 13 4 3 3 2 2" xfId="13920"/>
    <cellStyle name="Normal 13 4 3 3 2 2 2" xfId="28964"/>
    <cellStyle name="Normal 13 4 3 3 2 2 3" xfId="44007"/>
    <cellStyle name="Normal 13 4 3 3 2 3" xfId="21443"/>
    <cellStyle name="Normal 13 4 3 3 2 4" xfId="36486"/>
    <cellStyle name="Normal 13 4 3 3 3" xfId="10171"/>
    <cellStyle name="Normal 13 4 3 3 3 2" xfId="25215"/>
    <cellStyle name="Normal 13 4 3 3 3 3" xfId="40258"/>
    <cellStyle name="Normal 13 4 3 3 4" xfId="17694"/>
    <cellStyle name="Normal 13 4 3 3 5" xfId="32737"/>
    <cellStyle name="Normal 13 4 3 4" xfId="4532"/>
    <cellStyle name="Normal 13 4 3 4 2" xfId="12055"/>
    <cellStyle name="Normal 13 4 3 4 2 2" xfId="27099"/>
    <cellStyle name="Normal 13 4 3 4 2 3" xfId="42142"/>
    <cellStyle name="Normal 13 4 3 4 3" xfId="19578"/>
    <cellStyle name="Normal 13 4 3 4 4" xfId="34621"/>
    <cellStyle name="Normal 13 4 3 5" xfId="8306"/>
    <cellStyle name="Normal 13 4 3 5 2" xfId="23350"/>
    <cellStyle name="Normal 13 4 3 5 3" xfId="38393"/>
    <cellStyle name="Normal 13 4 3 6" xfId="15829"/>
    <cellStyle name="Normal 13 4 3 7" xfId="30872"/>
    <cellStyle name="Normal 13 4 4" xfId="1211"/>
    <cellStyle name="Normal 13 4 4 2" xfId="3082"/>
    <cellStyle name="Normal 13 4 4 2 2" xfId="6877"/>
    <cellStyle name="Normal 13 4 4 2 2 2" xfId="14400"/>
    <cellStyle name="Normal 13 4 4 2 2 2 2" xfId="29444"/>
    <cellStyle name="Normal 13 4 4 2 2 2 3" xfId="44487"/>
    <cellStyle name="Normal 13 4 4 2 2 3" xfId="21923"/>
    <cellStyle name="Normal 13 4 4 2 2 4" xfId="36966"/>
    <cellStyle name="Normal 13 4 4 2 3" xfId="10651"/>
    <cellStyle name="Normal 13 4 4 2 3 2" xfId="25695"/>
    <cellStyle name="Normal 13 4 4 2 3 3" xfId="40738"/>
    <cellStyle name="Normal 13 4 4 2 4" xfId="18174"/>
    <cellStyle name="Normal 13 4 4 2 5" xfId="33217"/>
    <cellStyle name="Normal 13 4 4 3" xfId="5012"/>
    <cellStyle name="Normal 13 4 4 3 2" xfId="12535"/>
    <cellStyle name="Normal 13 4 4 3 2 2" xfId="27579"/>
    <cellStyle name="Normal 13 4 4 3 2 3" xfId="42622"/>
    <cellStyle name="Normal 13 4 4 3 3" xfId="20058"/>
    <cellStyle name="Normal 13 4 4 3 4" xfId="35101"/>
    <cellStyle name="Normal 13 4 4 4" xfId="8786"/>
    <cellStyle name="Normal 13 4 4 4 2" xfId="23830"/>
    <cellStyle name="Normal 13 4 4 4 3" xfId="38873"/>
    <cellStyle name="Normal 13 4 4 5" xfId="16309"/>
    <cellStyle name="Normal 13 4 4 6" xfId="31352"/>
    <cellStyle name="Normal 13 4 5" xfId="2149"/>
    <cellStyle name="Normal 13 4 5 2" xfId="5945"/>
    <cellStyle name="Normal 13 4 5 2 2" xfId="13468"/>
    <cellStyle name="Normal 13 4 5 2 2 2" xfId="28512"/>
    <cellStyle name="Normal 13 4 5 2 2 3" xfId="43555"/>
    <cellStyle name="Normal 13 4 5 2 3" xfId="20991"/>
    <cellStyle name="Normal 13 4 5 2 4" xfId="36034"/>
    <cellStyle name="Normal 13 4 5 3" xfId="9719"/>
    <cellStyle name="Normal 13 4 5 3 2" xfId="24763"/>
    <cellStyle name="Normal 13 4 5 3 3" xfId="39806"/>
    <cellStyle name="Normal 13 4 5 4" xfId="17242"/>
    <cellStyle name="Normal 13 4 5 5" xfId="32285"/>
    <cellStyle name="Normal 13 4 6" xfId="4077"/>
    <cellStyle name="Normal 13 4 6 2" xfId="11601"/>
    <cellStyle name="Normal 13 4 6 2 2" xfId="26645"/>
    <cellStyle name="Normal 13 4 6 2 3" xfId="41688"/>
    <cellStyle name="Normal 13 4 6 3" xfId="19124"/>
    <cellStyle name="Normal 13 4 6 4" xfId="34167"/>
    <cellStyle name="Normal 13 4 7" xfId="7840"/>
    <cellStyle name="Normal 13 4 7 2" xfId="22884"/>
    <cellStyle name="Normal 13 4 7 3" xfId="37927"/>
    <cellStyle name="Normal 13 4 8" xfId="15363"/>
    <cellStyle name="Normal 13 4 9" xfId="30406"/>
    <cellStyle name="Normal 13 5" xfId="178"/>
    <cellStyle name="Normal 13 5 2" xfId="706"/>
    <cellStyle name="Normal 13 5 2 2" xfId="1665"/>
    <cellStyle name="Normal 13 5 2 2 2" xfId="3536"/>
    <cellStyle name="Normal 13 5 2 2 2 2" xfId="7331"/>
    <cellStyle name="Normal 13 5 2 2 2 2 2" xfId="14854"/>
    <cellStyle name="Normal 13 5 2 2 2 2 2 2" xfId="29898"/>
    <cellStyle name="Normal 13 5 2 2 2 2 2 3" xfId="44941"/>
    <cellStyle name="Normal 13 5 2 2 2 2 3" xfId="22377"/>
    <cellStyle name="Normal 13 5 2 2 2 2 4" xfId="37420"/>
    <cellStyle name="Normal 13 5 2 2 2 3" xfId="11105"/>
    <cellStyle name="Normal 13 5 2 2 2 3 2" xfId="26149"/>
    <cellStyle name="Normal 13 5 2 2 2 3 3" xfId="41192"/>
    <cellStyle name="Normal 13 5 2 2 2 4" xfId="18628"/>
    <cellStyle name="Normal 13 5 2 2 2 5" xfId="33671"/>
    <cellStyle name="Normal 13 5 2 2 3" xfId="5466"/>
    <cellStyle name="Normal 13 5 2 2 3 2" xfId="12989"/>
    <cellStyle name="Normal 13 5 2 2 3 2 2" xfId="28033"/>
    <cellStyle name="Normal 13 5 2 2 3 2 3" xfId="43076"/>
    <cellStyle name="Normal 13 5 2 2 3 3" xfId="20512"/>
    <cellStyle name="Normal 13 5 2 2 3 4" xfId="35555"/>
    <cellStyle name="Normal 13 5 2 2 4" xfId="9240"/>
    <cellStyle name="Normal 13 5 2 2 4 2" xfId="24284"/>
    <cellStyle name="Normal 13 5 2 2 4 3" xfId="39327"/>
    <cellStyle name="Normal 13 5 2 2 5" xfId="16763"/>
    <cellStyle name="Normal 13 5 2 2 6" xfId="31806"/>
    <cellStyle name="Normal 13 5 2 3" xfId="2604"/>
    <cellStyle name="Normal 13 5 2 3 2" xfId="6399"/>
    <cellStyle name="Normal 13 5 2 3 2 2" xfId="13922"/>
    <cellStyle name="Normal 13 5 2 3 2 2 2" xfId="28966"/>
    <cellStyle name="Normal 13 5 2 3 2 2 3" xfId="44009"/>
    <cellStyle name="Normal 13 5 2 3 2 3" xfId="21445"/>
    <cellStyle name="Normal 13 5 2 3 2 4" xfId="36488"/>
    <cellStyle name="Normal 13 5 2 3 3" xfId="10173"/>
    <cellStyle name="Normal 13 5 2 3 3 2" xfId="25217"/>
    <cellStyle name="Normal 13 5 2 3 3 3" xfId="40260"/>
    <cellStyle name="Normal 13 5 2 3 4" xfId="17696"/>
    <cellStyle name="Normal 13 5 2 3 5" xfId="32739"/>
    <cellStyle name="Normal 13 5 2 4" xfId="4534"/>
    <cellStyle name="Normal 13 5 2 4 2" xfId="12057"/>
    <cellStyle name="Normal 13 5 2 4 2 2" xfId="27101"/>
    <cellStyle name="Normal 13 5 2 4 2 3" xfId="42144"/>
    <cellStyle name="Normal 13 5 2 4 3" xfId="19580"/>
    <cellStyle name="Normal 13 5 2 4 4" xfId="34623"/>
    <cellStyle name="Normal 13 5 2 5" xfId="8308"/>
    <cellStyle name="Normal 13 5 2 5 2" xfId="23352"/>
    <cellStyle name="Normal 13 5 2 5 3" xfId="38395"/>
    <cellStyle name="Normal 13 5 2 6" xfId="15831"/>
    <cellStyle name="Normal 13 5 2 7" xfId="30874"/>
    <cellStyle name="Normal 13 5 3" xfId="1213"/>
    <cellStyle name="Normal 13 5 3 2" xfId="3084"/>
    <cellStyle name="Normal 13 5 3 2 2" xfId="6879"/>
    <cellStyle name="Normal 13 5 3 2 2 2" xfId="14402"/>
    <cellStyle name="Normal 13 5 3 2 2 2 2" xfId="29446"/>
    <cellStyle name="Normal 13 5 3 2 2 2 3" xfId="44489"/>
    <cellStyle name="Normal 13 5 3 2 2 3" xfId="21925"/>
    <cellStyle name="Normal 13 5 3 2 2 4" xfId="36968"/>
    <cellStyle name="Normal 13 5 3 2 3" xfId="10653"/>
    <cellStyle name="Normal 13 5 3 2 3 2" xfId="25697"/>
    <cellStyle name="Normal 13 5 3 2 3 3" xfId="40740"/>
    <cellStyle name="Normal 13 5 3 2 4" xfId="18176"/>
    <cellStyle name="Normal 13 5 3 2 5" xfId="33219"/>
    <cellStyle name="Normal 13 5 3 3" xfId="5014"/>
    <cellStyle name="Normal 13 5 3 3 2" xfId="12537"/>
    <cellStyle name="Normal 13 5 3 3 2 2" xfId="27581"/>
    <cellStyle name="Normal 13 5 3 3 2 3" xfId="42624"/>
    <cellStyle name="Normal 13 5 3 3 3" xfId="20060"/>
    <cellStyle name="Normal 13 5 3 3 4" xfId="35103"/>
    <cellStyle name="Normal 13 5 3 4" xfId="8788"/>
    <cellStyle name="Normal 13 5 3 4 2" xfId="23832"/>
    <cellStyle name="Normal 13 5 3 4 3" xfId="38875"/>
    <cellStyle name="Normal 13 5 3 5" xfId="16311"/>
    <cellStyle name="Normal 13 5 3 6" xfId="31354"/>
    <cellStyle name="Normal 13 5 4" xfId="2151"/>
    <cellStyle name="Normal 13 5 4 2" xfId="5947"/>
    <cellStyle name="Normal 13 5 4 2 2" xfId="13470"/>
    <cellStyle name="Normal 13 5 4 2 2 2" xfId="28514"/>
    <cellStyle name="Normal 13 5 4 2 2 3" xfId="43557"/>
    <cellStyle name="Normal 13 5 4 2 3" xfId="20993"/>
    <cellStyle name="Normal 13 5 4 2 4" xfId="36036"/>
    <cellStyle name="Normal 13 5 4 3" xfId="9721"/>
    <cellStyle name="Normal 13 5 4 3 2" xfId="24765"/>
    <cellStyle name="Normal 13 5 4 3 3" xfId="39808"/>
    <cellStyle name="Normal 13 5 4 4" xfId="17244"/>
    <cellStyle name="Normal 13 5 4 5" xfId="32287"/>
    <cellStyle name="Normal 13 5 5" xfId="4079"/>
    <cellStyle name="Normal 13 5 5 2" xfId="11603"/>
    <cellStyle name="Normal 13 5 5 2 2" xfId="26647"/>
    <cellStyle name="Normal 13 5 5 2 3" xfId="41690"/>
    <cellStyle name="Normal 13 5 5 3" xfId="19126"/>
    <cellStyle name="Normal 13 5 5 4" xfId="34169"/>
    <cellStyle name="Normal 13 5 6" xfId="7842"/>
    <cellStyle name="Normal 13 5 6 2" xfId="22886"/>
    <cellStyle name="Normal 13 5 6 3" xfId="37929"/>
    <cellStyle name="Normal 13 5 7" xfId="15365"/>
    <cellStyle name="Normal 13 5 8" xfId="30408"/>
    <cellStyle name="Normal 13 6" xfId="697"/>
    <cellStyle name="Normal 13 6 2" xfId="1656"/>
    <cellStyle name="Normal 13 6 2 2" xfId="3527"/>
    <cellStyle name="Normal 13 6 2 2 2" xfId="7322"/>
    <cellStyle name="Normal 13 6 2 2 2 2" xfId="14845"/>
    <cellStyle name="Normal 13 6 2 2 2 2 2" xfId="29889"/>
    <cellStyle name="Normal 13 6 2 2 2 2 3" xfId="44932"/>
    <cellStyle name="Normal 13 6 2 2 2 3" xfId="22368"/>
    <cellStyle name="Normal 13 6 2 2 2 4" xfId="37411"/>
    <cellStyle name="Normal 13 6 2 2 3" xfId="11096"/>
    <cellStyle name="Normal 13 6 2 2 3 2" xfId="26140"/>
    <cellStyle name="Normal 13 6 2 2 3 3" xfId="41183"/>
    <cellStyle name="Normal 13 6 2 2 4" xfId="18619"/>
    <cellStyle name="Normal 13 6 2 2 5" xfId="33662"/>
    <cellStyle name="Normal 13 6 2 3" xfId="5457"/>
    <cellStyle name="Normal 13 6 2 3 2" xfId="12980"/>
    <cellStyle name="Normal 13 6 2 3 2 2" xfId="28024"/>
    <cellStyle name="Normal 13 6 2 3 2 3" xfId="43067"/>
    <cellStyle name="Normal 13 6 2 3 3" xfId="20503"/>
    <cellStyle name="Normal 13 6 2 3 4" xfId="35546"/>
    <cellStyle name="Normal 13 6 2 4" xfId="9231"/>
    <cellStyle name="Normal 13 6 2 4 2" xfId="24275"/>
    <cellStyle name="Normal 13 6 2 4 3" xfId="39318"/>
    <cellStyle name="Normal 13 6 2 5" xfId="16754"/>
    <cellStyle name="Normal 13 6 2 6" xfId="31797"/>
    <cellStyle name="Normal 13 6 3" xfId="2595"/>
    <cellStyle name="Normal 13 6 3 2" xfId="6390"/>
    <cellStyle name="Normal 13 6 3 2 2" xfId="13913"/>
    <cellStyle name="Normal 13 6 3 2 2 2" xfId="28957"/>
    <cellStyle name="Normal 13 6 3 2 2 3" xfId="44000"/>
    <cellStyle name="Normal 13 6 3 2 3" xfId="21436"/>
    <cellStyle name="Normal 13 6 3 2 4" xfId="36479"/>
    <cellStyle name="Normal 13 6 3 3" xfId="10164"/>
    <cellStyle name="Normal 13 6 3 3 2" xfId="25208"/>
    <cellStyle name="Normal 13 6 3 3 3" xfId="40251"/>
    <cellStyle name="Normal 13 6 3 4" xfId="17687"/>
    <cellStyle name="Normal 13 6 3 5" xfId="32730"/>
    <cellStyle name="Normal 13 6 4" xfId="4525"/>
    <cellStyle name="Normal 13 6 4 2" xfId="12048"/>
    <cellStyle name="Normal 13 6 4 2 2" xfId="27092"/>
    <cellStyle name="Normal 13 6 4 2 3" xfId="42135"/>
    <cellStyle name="Normal 13 6 4 3" xfId="19571"/>
    <cellStyle name="Normal 13 6 4 4" xfId="34614"/>
    <cellStyle name="Normal 13 6 5" xfId="8299"/>
    <cellStyle name="Normal 13 6 5 2" xfId="23343"/>
    <cellStyle name="Normal 13 6 5 3" xfId="38386"/>
    <cellStyle name="Normal 13 6 6" xfId="15822"/>
    <cellStyle name="Normal 13 6 7" xfId="30865"/>
    <cellStyle name="Normal 13 7" xfId="1204"/>
    <cellStyle name="Normal 13 7 2" xfId="3075"/>
    <cellStyle name="Normal 13 7 2 2" xfId="6870"/>
    <cellStyle name="Normal 13 7 2 2 2" xfId="14393"/>
    <cellStyle name="Normal 13 7 2 2 2 2" xfId="29437"/>
    <cellStyle name="Normal 13 7 2 2 2 3" xfId="44480"/>
    <cellStyle name="Normal 13 7 2 2 3" xfId="21916"/>
    <cellStyle name="Normal 13 7 2 2 4" xfId="36959"/>
    <cellStyle name="Normal 13 7 2 3" xfId="10644"/>
    <cellStyle name="Normal 13 7 2 3 2" xfId="25688"/>
    <cellStyle name="Normal 13 7 2 3 3" xfId="40731"/>
    <cellStyle name="Normal 13 7 2 4" xfId="18167"/>
    <cellStyle name="Normal 13 7 2 5" xfId="33210"/>
    <cellStyle name="Normal 13 7 3" xfId="5005"/>
    <cellStyle name="Normal 13 7 3 2" xfId="12528"/>
    <cellStyle name="Normal 13 7 3 2 2" xfId="27572"/>
    <cellStyle name="Normal 13 7 3 2 3" xfId="42615"/>
    <cellStyle name="Normal 13 7 3 3" xfId="20051"/>
    <cellStyle name="Normal 13 7 3 4" xfId="35094"/>
    <cellStyle name="Normal 13 7 4" xfId="8779"/>
    <cellStyle name="Normal 13 7 4 2" xfId="23823"/>
    <cellStyle name="Normal 13 7 4 3" xfId="38866"/>
    <cellStyle name="Normal 13 7 5" xfId="16302"/>
    <cellStyle name="Normal 13 7 6" xfId="31345"/>
    <cellStyle name="Normal 13 8" xfId="2142"/>
    <cellStyle name="Normal 13 8 2" xfId="5938"/>
    <cellStyle name="Normal 13 8 2 2" xfId="13461"/>
    <cellStyle name="Normal 13 8 2 2 2" xfId="28505"/>
    <cellStyle name="Normal 13 8 2 2 3" xfId="43548"/>
    <cellStyle name="Normal 13 8 2 3" xfId="20984"/>
    <cellStyle name="Normal 13 8 2 4" xfId="36027"/>
    <cellStyle name="Normal 13 8 3" xfId="9712"/>
    <cellStyle name="Normal 13 8 3 2" xfId="24756"/>
    <cellStyle name="Normal 13 8 3 3" xfId="39799"/>
    <cellStyle name="Normal 13 8 4" xfId="17235"/>
    <cellStyle name="Normal 13 8 5" xfId="32278"/>
    <cellStyle name="Normal 13 9" xfId="4070"/>
    <cellStyle name="Normal 13 9 2" xfId="11594"/>
    <cellStyle name="Normal 13 9 2 2" xfId="26638"/>
    <cellStyle name="Normal 13 9 2 3" xfId="41681"/>
    <cellStyle name="Normal 13 9 3" xfId="19117"/>
    <cellStyle name="Normal 13 9 4" xfId="34160"/>
    <cellStyle name="Normal 14" xfId="179"/>
    <cellStyle name="Normal 14 10" xfId="15366"/>
    <cellStyle name="Normal 14 11" xfId="30409"/>
    <cellStyle name="Normal 14 2" xfId="180"/>
    <cellStyle name="Normal 14 2 2" xfId="181"/>
    <cellStyle name="Normal 14 2 2 2" xfId="709"/>
    <cellStyle name="Normal 14 2 2 2 2" xfId="1668"/>
    <cellStyle name="Normal 14 2 2 2 2 2" xfId="3539"/>
    <cellStyle name="Normal 14 2 2 2 2 2 2" xfId="7334"/>
    <cellStyle name="Normal 14 2 2 2 2 2 2 2" xfId="14857"/>
    <cellStyle name="Normal 14 2 2 2 2 2 2 2 2" xfId="29901"/>
    <cellStyle name="Normal 14 2 2 2 2 2 2 2 3" xfId="44944"/>
    <cellStyle name="Normal 14 2 2 2 2 2 2 3" xfId="22380"/>
    <cellStyle name="Normal 14 2 2 2 2 2 2 4" xfId="37423"/>
    <cellStyle name="Normal 14 2 2 2 2 2 3" xfId="11108"/>
    <cellStyle name="Normal 14 2 2 2 2 2 3 2" xfId="26152"/>
    <cellStyle name="Normal 14 2 2 2 2 2 3 3" xfId="41195"/>
    <cellStyle name="Normal 14 2 2 2 2 2 4" xfId="18631"/>
    <cellStyle name="Normal 14 2 2 2 2 2 5" xfId="33674"/>
    <cellStyle name="Normal 14 2 2 2 2 3" xfId="5469"/>
    <cellStyle name="Normal 14 2 2 2 2 3 2" xfId="12992"/>
    <cellStyle name="Normal 14 2 2 2 2 3 2 2" xfId="28036"/>
    <cellStyle name="Normal 14 2 2 2 2 3 2 3" xfId="43079"/>
    <cellStyle name="Normal 14 2 2 2 2 3 3" xfId="20515"/>
    <cellStyle name="Normal 14 2 2 2 2 3 4" xfId="35558"/>
    <cellStyle name="Normal 14 2 2 2 2 4" xfId="9243"/>
    <cellStyle name="Normal 14 2 2 2 2 4 2" xfId="24287"/>
    <cellStyle name="Normal 14 2 2 2 2 4 3" xfId="39330"/>
    <cellStyle name="Normal 14 2 2 2 2 5" xfId="16766"/>
    <cellStyle name="Normal 14 2 2 2 2 6" xfId="31809"/>
    <cellStyle name="Normal 14 2 2 2 3" xfId="2607"/>
    <cellStyle name="Normal 14 2 2 2 3 2" xfId="6402"/>
    <cellStyle name="Normal 14 2 2 2 3 2 2" xfId="13925"/>
    <cellStyle name="Normal 14 2 2 2 3 2 2 2" xfId="28969"/>
    <cellStyle name="Normal 14 2 2 2 3 2 2 3" xfId="44012"/>
    <cellStyle name="Normal 14 2 2 2 3 2 3" xfId="21448"/>
    <cellStyle name="Normal 14 2 2 2 3 2 4" xfId="36491"/>
    <cellStyle name="Normal 14 2 2 2 3 3" xfId="10176"/>
    <cellStyle name="Normal 14 2 2 2 3 3 2" xfId="25220"/>
    <cellStyle name="Normal 14 2 2 2 3 3 3" xfId="40263"/>
    <cellStyle name="Normal 14 2 2 2 3 4" xfId="17699"/>
    <cellStyle name="Normal 14 2 2 2 3 5" xfId="32742"/>
    <cellStyle name="Normal 14 2 2 2 4" xfId="4537"/>
    <cellStyle name="Normal 14 2 2 2 4 2" xfId="12060"/>
    <cellStyle name="Normal 14 2 2 2 4 2 2" xfId="27104"/>
    <cellStyle name="Normal 14 2 2 2 4 2 3" xfId="42147"/>
    <cellStyle name="Normal 14 2 2 2 4 3" xfId="19583"/>
    <cellStyle name="Normal 14 2 2 2 4 4" xfId="34626"/>
    <cellStyle name="Normal 14 2 2 2 5" xfId="8311"/>
    <cellStyle name="Normal 14 2 2 2 5 2" xfId="23355"/>
    <cellStyle name="Normal 14 2 2 2 5 3" xfId="38398"/>
    <cellStyle name="Normal 14 2 2 2 6" xfId="15834"/>
    <cellStyle name="Normal 14 2 2 2 7" xfId="30877"/>
    <cellStyle name="Normal 14 2 2 3" xfId="1216"/>
    <cellStyle name="Normal 14 2 2 3 2" xfId="3087"/>
    <cellStyle name="Normal 14 2 2 3 2 2" xfId="6882"/>
    <cellStyle name="Normal 14 2 2 3 2 2 2" xfId="14405"/>
    <cellStyle name="Normal 14 2 2 3 2 2 2 2" xfId="29449"/>
    <cellStyle name="Normal 14 2 2 3 2 2 2 3" xfId="44492"/>
    <cellStyle name="Normal 14 2 2 3 2 2 3" xfId="21928"/>
    <cellStyle name="Normal 14 2 2 3 2 2 4" xfId="36971"/>
    <cellStyle name="Normal 14 2 2 3 2 3" xfId="10656"/>
    <cellStyle name="Normal 14 2 2 3 2 3 2" xfId="25700"/>
    <cellStyle name="Normal 14 2 2 3 2 3 3" xfId="40743"/>
    <cellStyle name="Normal 14 2 2 3 2 4" xfId="18179"/>
    <cellStyle name="Normal 14 2 2 3 2 5" xfId="33222"/>
    <cellStyle name="Normal 14 2 2 3 3" xfId="5017"/>
    <cellStyle name="Normal 14 2 2 3 3 2" xfId="12540"/>
    <cellStyle name="Normal 14 2 2 3 3 2 2" xfId="27584"/>
    <cellStyle name="Normal 14 2 2 3 3 2 3" xfId="42627"/>
    <cellStyle name="Normal 14 2 2 3 3 3" xfId="20063"/>
    <cellStyle name="Normal 14 2 2 3 3 4" xfId="35106"/>
    <cellStyle name="Normal 14 2 2 3 4" xfId="8791"/>
    <cellStyle name="Normal 14 2 2 3 4 2" xfId="23835"/>
    <cellStyle name="Normal 14 2 2 3 4 3" xfId="38878"/>
    <cellStyle name="Normal 14 2 2 3 5" xfId="16314"/>
    <cellStyle name="Normal 14 2 2 3 6" xfId="31357"/>
    <cellStyle name="Normal 14 2 2 4" xfId="2154"/>
    <cellStyle name="Normal 14 2 2 4 2" xfId="5950"/>
    <cellStyle name="Normal 14 2 2 4 2 2" xfId="13473"/>
    <cellStyle name="Normal 14 2 2 4 2 2 2" xfId="28517"/>
    <cellStyle name="Normal 14 2 2 4 2 2 3" xfId="43560"/>
    <cellStyle name="Normal 14 2 2 4 2 3" xfId="20996"/>
    <cellStyle name="Normal 14 2 2 4 2 4" xfId="36039"/>
    <cellStyle name="Normal 14 2 2 4 3" xfId="9724"/>
    <cellStyle name="Normal 14 2 2 4 3 2" xfId="24768"/>
    <cellStyle name="Normal 14 2 2 4 3 3" xfId="39811"/>
    <cellStyle name="Normal 14 2 2 4 4" xfId="17247"/>
    <cellStyle name="Normal 14 2 2 4 5" xfId="32290"/>
    <cellStyle name="Normal 14 2 2 5" xfId="4082"/>
    <cellStyle name="Normal 14 2 2 5 2" xfId="11606"/>
    <cellStyle name="Normal 14 2 2 5 2 2" xfId="26650"/>
    <cellStyle name="Normal 14 2 2 5 2 3" xfId="41693"/>
    <cellStyle name="Normal 14 2 2 5 3" xfId="19129"/>
    <cellStyle name="Normal 14 2 2 5 4" xfId="34172"/>
    <cellStyle name="Normal 14 2 2 6" xfId="7845"/>
    <cellStyle name="Normal 14 2 2 6 2" xfId="22889"/>
    <cellStyle name="Normal 14 2 2 6 3" xfId="37932"/>
    <cellStyle name="Normal 14 2 2 7" xfId="15368"/>
    <cellStyle name="Normal 14 2 2 8" xfId="30411"/>
    <cellStyle name="Normal 14 2 3" xfId="708"/>
    <cellStyle name="Normal 14 2 3 2" xfId="1667"/>
    <cellStyle name="Normal 14 2 3 2 2" xfId="3538"/>
    <cellStyle name="Normal 14 2 3 2 2 2" xfId="7333"/>
    <cellStyle name="Normal 14 2 3 2 2 2 2" xfId="14856"/>
    <cellStyle name="Normal 14 2 3 2 2 2 2 2" xfId="29900"/>
    <cellStyle name="Normal 14 2 3 2 2 2 2 3" xfId="44943"/>
    <cellStyle name="Normal 14 2 3 2 2 2 3" xfId="22379"/>
    <cellStyle name="Normal 14 2 3 2 2 2 4" xfId="37422"/>
    <cellStyle name="Normal 14 2 3 2 2 3" xfId="11107"/>
    <cellStyle name="Normal 14 2 3 2 2 3 2" xfId="26151"/>
    <cellStyle name="Normal 14 2 3 2 2 3 3" xfId="41194"/>
    <cellStyle name="Normal 14 2 3 2 2 4" xfId="18630"/>
    <cellStyle name="Normal 14 2 3 2 2 5" xfId="33673"/>
    <cellStyle name="Normal 14 2 3 2 3" xfId="5468"/>
    <cellStyle name="Normal 14 2 3 2 3 2" xfId="12991"/>
    <cellStyle name="Normal 14 2 3 2 3 2 2" xfId="28035"/>
    <cellStyle name="Normal 14 2 3 2 3 2 3" xfId="43078"/>
    <cellStyle name="Normal 14 2 3 2 3 3" xfId="20514"/>
    <cellStyle name="Normal 14 2 3 2 3 4" xfId="35557"/>
    <cellStyle name="Normal 14 2 3 2 4" xfId="9242"/>
    <cellStyle name="Normal 14 2 3 2 4 2" xfId="24286"/>
    <cellStyle name="Normal 14 2 3 2 4 3" xfId="39329"/>
    <cellStyle name="Normal 14 2 3 2 5" xfId="16765"/>
    <cellStyle name="Normal 14 2 3 2 6" xfId="31808"/>
    <cellStyle name="Normal 14 2 3 3" xfId="2606"/>
    <cellStyle name="Normal 14 2 3 3 2" xfId="6401"/>
    <cellStyle name="Normal 14 2 3 3 2 2" xfId="13924"/>
    <cellStyle name="Normal 14 2 3 3 2 2 2" xfId="28968"/>
    <cellStyle name="Normal 14 2 3 3 2 2 3" xfId="44011"/>
    <cellStyle name="Normal 14 2 3 3 2 3" xfId="21447"/>
    <cellStyle name="Normal 14 2 3 3 2 4" xfId="36490"/>
    <cellStyle name="Normal 14 2 3 3 3" xfId="10175"/>
    <cellStyle name="Normal 14 2 3 3 3 2" xfId="25219"/>
    <cellStyle name="Normal 14 2 3 3 3 3" xfId="40262"/>
    <cellStyle name="Normal 14 2 3 3 4" xfId="17698"/>
    <cellStyle name="Normal 14 2 3 3 5" xfId="32741"/>
    <cellStyle name="Normal 14 2 3 4" xfId="4536"/>
    <cellStyle name="Normal 14 2 3 4 2" xfId="12059"/>
    <cellStyle name="Normal 14 2 3 4 2 2" xfId="27103"/>
    <cellStyle name="Normal 14 2 3 4 2 3" xfId="42146"/>
    <cellStyle name="Normal 14 2 3 4 3" xfId="19582"/>
    <cellStyle name="Normal 14 2 3 4 4" xfId="34625"/>
    <cellStyle name="Normal 14 2 3 5" xfId="8310"/>
    <cellStyle name="Normal 14 2 3 5 2" xfId="23354"/>
    <cellStyle name="Normal 14 2 3 5 3" xfId="38397"/>
    <cellStyle name="Normal 14 2 3 6" xfId="15833"/>
    <cellStyle name="Normal 14 2 3 7" xfId="30876"/>
    <cellStyle name="Normal 14 2 4" xfId="1215"/>
    <cellStyle name="Normal 14 2 4 2" xfId="3086"/>
    <cellStyle name="Normal 14 2 4 2 2" xfId="6881"/>
    <cellStyle name="Normal 14 2 4 2 2 2" xfId="14404"/>
    <cellStyle name="Normal 14 2 4 2 2 2 2" xfId="29448"/>
    <cellStyle name="Normal 14 2 4 2 2 2 3" xfId="44491"/>
    <cellStyle name="Normal 14 2 4 2 2 3" xfId="21927"/>
    <cellStyle name="Normal 14 2 4 2 2 4" xfId="36970"/>
    <cellStyle name="Normal 14 2 4 2 3" xfId="10655"/>
    <cellStyle name="Normal 14 2 4 2 3 2" xfId="25699"/>
    <cellStyle name="Normal 14 2 4 2 3 3" xfId="40742"/>
    <cellStyle name="Normal 14 2 4 2 4" xfId="18178"/>
    <cellStyle name="Normal 14 2 4 2 5" xfId="33221"/>
    <cellStyle name="Normal 14 2 4 3" xfId="5016"/>
    <cellStyle name="Normal 14 2 4 3 2" xfId="12539"/>
    <cellStyle name="Normal 14 2 4 3 2 2" xfId="27583"/>
    <cellStyle name="Normal 14 2 4 3 2 3" xfId="42626"/>
    <cellStyle name="Normal 14 2 4 3 3" xfId="20062"/>
    <cellStyle name="Normal 14 2 4 3 4" xfId="35105"/>
    <cellStyle name="Normal 14 2 4 4" xfId="8790"/>
    <cellStyle name="Normal 14 2 4 4 2" xfId="23834"/>
    <cellStyle name="Normal 14 2 4 4 3" xfId="38877"/>
    <cellStyle name="Normal 14 2 4 5" xfId="16313"/>
    <cellStyle name="Normal 14 2 4 6" xfId="31356"/>
    <cellStyle name="Normal 14 2 5" xfId="2153"/>
    <cellStyle name="Normal 14 2 5 2" xfId="5949"/>
    <cellStyle name="Normal 14 2 5 2 2" xfId="13472"/>
    <cellStyle name="Normal 14 2 5 2 2 2" xfId="28516"/>
    <cellStyle name="Normal 14 2 5 2 2 3" xfId="43559"/>
    <cellStyle name="Normal 14 2 5 2 3" xfId="20995"/>
    <cellStyle name="Normal 14 2 5 2 4" xfId="36038"/>
    <cellStyle name="Normal 14 2 5 3" xfId="9723"/>
    <cellStyle name="Normal 14 2 5 3 2" xfId="24767"/>
    <cellStyle name="Normal 14 2 5 3 3" xfId="39810"/>
    <cellStyle name="Normal 14 2 5 4" xfId="17246"/>
    <cellStyle name="Normal 14 2 5 5" xfId="32289"/>
    <cellStyle name="Normal 14 2 6" xfId="4081"/>
    <cellStyle name="Normal 14 2 6 2" xfId="11605"/>
    <cellStyle name="Normal 14 2 6 2 2" xfId="26649"/>
    <cellStyle name="Normal 14 2 6 2 3" xfId="41692"/>
    <cellStyle name="Normal 14 2 6 3" xfId="19128"/>
    <cellStyle name="Normal 14 2 6 4" xfId="34171"/>
    <cellStyle name="Normal 14 2 7" xfId="7844"/>
    <cellStyle name="Normal 14 2 7 2" xfId="22888"/>
    <cellStyle name="Normal 14 2 7 3" xfId="37931"/>
    <cellStyle name="Normal 14 2 8" xfId="15367"/>
    <cellStyle name="Normal 14 2 9" xfId="30410"/>
    <cellStyle name="Normal 14 3" xfId="182"/>
    <cellStyle name="Normal 14 3 2" xfId="183"/>
    <cellStyle name="Normal 14 3 2 2" xfId="711"/>
    <cellStyle name="Normal 14 3 2 2 2" xfId="1670"/>
    <cellStyle name="Normal 14 3 2 2 2 2" xfId="3541"/>
    <cellStyle name="Normal 14 3 2 2 2 2 2" xfId="7336"/>
    <cellStyle name="Normal 14 3 2 2 2 2 2 2" xfId="14859"/>
    <cellStyle name="Normal 14 3 2 2 2 2 2 2 2" xfId="29903"/>
    <cellStyle name="Normal 14 3 2 2 2 2 2 2 3" xfId="44946"/>
    <cellStyle name="Normal 14 3 2 2 2 2 2 3" xfId="22382"/>
    <cellStyle name="Normal 14 3 2 2 2 2 2 4" xfId="37425"/>
    <cellStyle name="Normal 14 3 2 2 2 2 3" xfId="11110"/>
    <cellStyle name="Normal 14 3 2 2 2 2 3 2" xfId="26154"/>
    <cellStyle name="Normal 14 3 2 2 2 2 3 3" xfId="41197"/>
    <cellStyle name="Normal 14 3 2 2 2 2 4" xfId="18633"/>
    <cellStyle name="Normal 14 3 2 2 2 2 5" xfId="33676"/>
    <cellStyle name="Normal 14 3 2 2 2 3" xfId="5471"/>
    <cellStyle name="Normal 14 3 2 2 2 3 2" xfId="12994"/>
    <cellStyle name="Normal 14 3 2 2 2 3 2 2" xfId="28038"/>
    <cellStyle name="Normal 14 3 2 2 2 3 2 3" xfId="43081"/>
    <cellStyle name="Normal 14 3 2 2 2 3 3" xfId="20517"/>
    <cellStyle name="Normal 14 3 2 2 2 3 4" xfId="35560"/>
    <cellStyle name="Normal 14 3 2 2 2 4" xfId="9245"/>
    <cellStyle name="Normal 14 3 2 2 2 4 2" xfId="24289"/>
    <cellStyle name="Normal 14 3 2 2 2 4 3" xfId="39332"/>
    <cellStyle name="Normal 14 3 2 2 2 5" xfId="16768"/>
    <cellStyle name="Normal 14 3 2 2 2 6" xfId="31811"/>
    <cellStyle name="Normal 14 3 2 2 3" xfId="2609"/>
    <cellStyle name="Normal 14 3 2 2 3 2" xfId="6404"/>
    <cellStyle name="Normal 14 3 2 2 3 2 2" xfId="13927"/>
    <cellStyle name="Normal 14 3 2 2 3 2 2 2" xfId="28971"/>
    <cellStyle name="Normal 14 3 2 2 3 2 2 3" xfId="44014"/>
    <cellStyle name="Normal 14 3 2 2 3 2 3" xfId="21450"/>
    <cellStyle name="Normal 14 3 2 2 3 2 4" xfId="36493"/>
    <cellStyle name="Normal 14 3 2 2 3 3" xfId="10178"/>
    <cellStyle name="Normal 14 3 2 2 3 3 2" xfId="25222"/>
    <cellStyle name="Normal 14 3 2 2 3 3 3" xfId="40265"/>
    <cellStyle name="Normal 14 3 2 2 3 4" xfId="17701"/>
    <cellStyle name="Normal 14 3 2 2 3 5" xfId="32744"/>
    <cellStyle name="Normal 14 3 2 2 4" xfId="4539"/>
    <cellStyle name="Normal 14 3 2 2 4 2" xfId="12062"/>
    <cellStyle name="Normal 14 3 2 2 4 2 2" xfId="27106"/>
    <cellStyle name="Normal 14 3 2 2 4 2 3" xfId="42149"/>
    <cellStyle name="Normal 14 3 2 2 4 3" xfId="19585"/>
    <cellStyle name="Normal 14 3 2 2 4 4" xfId="34628"/>
    <cellStyle name="Normal 14 3 2 2 5" xfId="8313"/>
    <cellStyle name="Normal 14 3 2 2 5 2" xfId="23357"/>
    <cellStyle name="Normal 14 3 2 2 5 3" xfId="38400"/>
    <cellStyle name="Normal 14 3 2 2 6" xfId="15836"/>
    <cellStyle name="Normal 14 3 2 2 7" xfId="30879"/>
    <cellStyle name="Normal 14 3 2 3" xfId="1218"/>
    <cellStyle name="Normal 14 3 2 3 2" xfId="3089"/>
    <cellStyle name="Normal 14 3 2 3 2 2" xfId="6884"/>
    <cellStyle name="Normal 14 3 2 3 2 2 2" xfId="14407"/>
    <cellStyle name="Normal 14 3 2 3 2 2 2 2" xfId="29451"/>
    <cellStyle name="Normal 14 3 2 3 2 2 2 3" xfId="44494"/>
    <cellStyle name="Normal 14 3 2 3 2 2 3" xfId="21930"/>
    <cellStyle name="Normal 14 3 2 3 2 2 4" xfId="36973"/>
    <cellStyle name="Normal 14 3 2 3 2 3" xfId="10658"/>
    <cellStyle name="Normal 14 3 2 3 2 3 2" xfId="25702"/>
    <cellStyle name="Normal 14 3 2 3 2 3 3" xfId="40745"/>
    <cellStyle name="Normal 14 3 2 3 2 4" xfId="18181"/>
    <cellStyle name="Normal 14 3 2 3 2 5" xfId="33224"/>
    <cellStyle name="Normal 14 3 2 3 3" xfId="5019"/>
    <cellStyle name="Normal 14 3 2 3 3 2" xfId="12542"/>
    <cellStyle name="Normal 14 3 2 3 3 2 2" xfId="27586"/>
    <cellStyle name="Normal 14 3 2 3 3 2 3" xfId="42629"/>
    <cellStyle name="Normal 14 3 2 3 3 3" xfId="20065"/>
    <cellStyle name="Normal 14 3 2 3 3 4" xfId="35108"/>
    <cellStyle name="Normal 14 3 2 3 4" xfId="8793"/>
    <cellStyle name="Normal 14 3 2 3 4 2" xfId="23837"/>
    <cellStyle name="Normal 14 3 2 3 4 3" xfId="38880"/>
    <cellStyle name="Normal 14 3 2 3 5" xfId="16316"/>
    <cellStyle name="Normal 14 3 2 3 6" xfId="31359"/>
    <cellStyle name="Normal 14 3 2 4" xfId="2156"/>
    <cellStyle name="Normal 14 3 2 4 2" xfId="5952"/>
    <cellStyle name="Normal 14 3 2 4 2 2" xfId="13475"/>
    <cellStyle name="Normal 14 3 2 4 2 2 2" xfId="28519"/>
    <cellStyle name="Normal 14 3 2 4 2 2 3" xfId="43562"/>
    <cellStyle name="Normal 14 3 2 4 2 3" xfId="20998"/>
    <cellStyle name="Normal 14 3 2 4 2 4" xfId="36041"/>
    <cellStyle name="Normal 14 3 2 4 3" xfId="9726"/>
    <cellStyle name="Normal 14 3 2 4 3 2" xfId="24770"/>
    <cellStyle name="Normal 14 3 2 4 3 3" xfId="39813"/>
    <cellStyle name="Normal 14 3 2 4 4" xfId="17249"/>
    <cellStyle name="Normal 14 3 2 4 5" xfId="32292"/>
    <cellStyle name="Normal 14 3 2 5" xfId="4084"/>
    <cellStyle name="Normal 14 3 2 5 2" xfId="11608"/>
    <cellStyle name="Normal 14 3 2 5 2 2" xfId="26652"/>
    <cellStyle name="Normal 14 3 2 5 2 3" xfId="41695"/>
    <cellStyle name="Normal 14 3 2 5 3" xfId="19131"/>
    <cellStyle name="Normal 14 3 2 5 4" xfId="34174"/>
    <cellStyle name="Normal 14 3 2 6" xfId="7847"/>
    <cellStyle name="Normal 14 3 2 6 2" xfId="22891"/>
    <cellStyle name="Normal 14 3 2 6 3" xfId="37934"/>
    <cellStyle name="Normal 14 3 2 7" xfId="15370"/>
    <cellStyle name="Normal 14 3 2 8" xfId="30413"/>
    <cellStyle name="Normal 14 3 3" xfId="710"/>
    <cellStyle name="Normal 14 3 3 2" xfId="1669"/>
    <cellStyle name="Normal 14 3 3 2 2" xfId="3540"/>
    <cellStyle name="Normal 14 3 3 2 2 2" xfId="7335"/>
    <cellStyle name="Normal 14 3 3 2 2 2 2" xfId="14858"/>
    <cellStyle name="Normal 14 3 3 2 2 2 2 2" xfId="29902"/>
    <cellStyle name="Normal 14 3 3 2 2 2 2 3" xfId="44945"/>
    <cellStyle name="Normal 14 3 3 2 2 2 3" xfId="22381"/>
    <cellStyle name="Normal 14 3 3 2 2 2 4" xfId="37424"/>
    <cellStyle name="Normal 14 3 3 2 2 3" xfId="11109"/>
    <cellStyle name="Normal 14 3 3 2 2 3 2" xfId="26153"/>
    <cellStyle name="Normal 14 3 3 2 2 3 3" xfId="41196"/>
    <cellStyle name="Normal 14 3 3 2 2 4" xfId="18632"/>
    <cellStyle name="Normal 14 3 3 2 2 5" xfId="33675"/>
    <cellStyle name="Normal 14 3 3 2 3" xfId="5470"/>
    <cellStyle name="Normal 14 3 3 2 3 2" xfId="12993"/>
    <cellStyle name="Normal 14 3 3 2 3 2 2" xfId="28037"/>
    <cellStyle name="Normal 14 3 3 2 3 2 3" xfId="43080"/>
    <cellStyle name="Normal 14 3 3 2 3 3" xfId="20516"/>
    <cellStyle name="Normal 14 3 3 2 3 4" xfId="35559"/>
    <cellStyle name="Normal 14 3 3 2 4" xfId="9244"/>
    <cellStyle name="Normal 14 3 3 2 4 2" xfId="24288"/>
    <cellStyle name="Normal 14 3 3 2 4 3" xfId="39331"/>
    <cellStyle name="Normal 14 3 3 2 5" xfId="16767"/>
    <cellStyle name="Normal 14 3 3 2 6" xfId="31810"/>
    <cellStyle name="Normal 14 3 3 3" xfId="2608"/>
    <cellStyle name="Normal 14 3 3 3 2" xfId="6403"/>
    <cellStyle name="Normal 14 3 3 3 2 2" xfId="13926"/>
    <cellStyle name="Normal 14 3 3 3 2 2 2" xfId="28970"/>
    <cellStyle name="Normal 14 3 3 3 2 2 3" xfId="44013"/>
    <cellStyle name="Normal 14 3 3 3 2 3" xfId="21449"/>
    <cellStyle name="Normal 14 3 3 3 2 4" xfId="36492"/>
    <cellStyle name="Normal 14 3 3 3 3" xfId="10177"/>
    <cellStyle name="Normal 14 3 3 3 3 2" xfId="25221"/>
    <cellStyle name="Normal 14 3 3 3 3 3" xfId="40264"/>
    <cellStyle name="Normal 14 3 3 3 4" xfId="17700"/>
    <cellStyle name="Normal 14 3 3 3 5" xfId="32743"/>
    <cellStyle name="Normal 14 3 3 4" xfId="4538"/>
    <cellStyle name="Normal 14 3 3 4 2" xfId="12061"/>
    <cellStyle name="Normal 14 3 3 4 2 2" xfId="27105"/>
    <cellStyle name="Normal 14 3 3 4 2 3" xfId="42148"/>
    <cellStyle name="Normal 14 3 3 4 3" xfId="19584"/>
    <cellStyle name="Normal 14 3 3 4 4" xfId="34627"/>
    <cellStyle name="Normal 14 3 3 5" xfId="8312"/>
    <cellStyle name="Normal 14 3 3 5 2" xfId="23356"/>
    <cellStyle name="Normal 14 3 3 5 3" xfId="38399"/>
    <cellStyle name="Normal 14 3 3 6" xfId="15835"/>
    <cellStyle name="Normal 14 3 3 7" xfId="30878"/>
    <cellStyle name="Normal 14 3 4" xfId="1217"/>
    <cellStyle name="Normal 14 3 4 2" xfId="3088"/>
    <cellStyle name="Normal 14 3 4 2 2" xfId="6883"/>
    <cellStyle name="Normal 14 3 4 2 2 2" xfId="14406"/>
    <cellStyle name="Normal 14 3 4 2 2 2 2" xfId="29450"/>
    <cellStyle name="Normal 14 3 4 2 2 2 3" xfId="44493"/>
    <cellStyle name="Normal 14 3 4 2 2 3" xfId="21929"/>
    <cellStyle name="Normal 14 3 4 2 2 4" xfId="36972"/>
    <cellStyle name="Normal 14 3 4 2 3" xfId="10657"/>
    <cellStyle name="Normal 14 3 4 2 3 2" xfId="25701"/>
    <cellStyle name="Normal 14 3 4 2 3 3" xfId="40744"/>
    <cellStyle name="Normal 14 3 4 2 4" xfId="18180"/>
    <cellStyle name="Normal 14 3 4 2 5" xfId="33223"/>
    <cellStyle name="Normal 14 3 4 3" xfId="5018"/>
    <cellStyle name="Normal 14 3 4 3 2" xfId="12541"/>
    <cellStyle name="Normal 14 3 4 3 2 2" xfId="27585"/>
    <cellStyle name="Normal 14 3 4 3 2 3" xfId="42628"/>
    <cellStyle name="Normal 14 3 4 3 3" xfId="20064"/>
    <cellStyle name="Normal 14 3 4 3 4" xfId="35107"/>
    <cellStyle name="Normal 14 3 4 4" xfId="8792"/>
    <cellStyle name="Normal 14 3 4 4 2" xfId="23836"/>
    <cellStyle name="Normal 14 3 4 4 3" xfId="38879"/>
    <cellStyle name="Normal 14 3 4 5" xfId="16315"/>
    <cellStyle name="Normal 14 3 4 6" xfId="31358"/>
    <cellStyle name="Normal 14 3 5" xfId="2155"/>
    <cellStyle name="Normal 14 3 5 2" xfId="5951"/>
    <cellStyle name="Normal 14 3 5 2 2" xfId="13474"/>
    <cellStyle name="Normal 14 3 5 2 2 2" xfId="28518"/>
    <cellStyle name="Normal 14 3 5 2 2 3" xfId="43561"/>
    <cellStyle name="Normal 14 3 5 2 3" xfId="20997"/>
    <cellStyle name="Normal 14 3 5 2 4" xfId="36040"/>
    <cellStyle name="Normal 14 3 5 3" xfId="9725"/>
    <cellStyle name="Normal 14 3 5 3 2" xfId="24769"/>
    <cellStyle name="Normal 14 3 5 3 3" xfId="39812"/>
    <cellStyle name="Normal 14 3 5 4" xfId="17248"/>
    <cellStyle name="Normal 14 3 5 5" xfId="32291"/>
    <cellStyle name="Normal 14 3 6" xfId="4083"/>
    <cellStyle name="Normal 14 3 6 2" xfId="11607"/>
    <cellStyle name="Normal 14 3 6 2 2" xfId="26651"/>
    <cellStyle name="Normal 14 3 6 2 3" xfId="41694"/>
    <cellStyle name="Normal 14 3 6 3" xfId="19130"/>
    <cellStyle name="Normal 14 3 6 4" xfId="34173"/>
    <cellStyle name="Normal 14 3 7" xfId="7846"/>
    <cellStyle name="Normal 14 3 7 2" xfId="22890"/>
    <cellStyle name="Normal 14 3 7 3" xfId="37933"/>
    <cellStyle name="Normal 14 3 8" xfId="15369"/>
    <cellStyle name="Normal 14 3 9" xfId="30412"/>
    <cellStyle name="Normal 14 4" xfId="184"/>
    <cellStyle name="Normal 14 4 2" xfId="712"/>
    <cellStyle name="Normal 14 4 2 2" xfId="1671"/>
    <cellStyle name="Normal 14 4 2 2 2" xfId="3542"/>
    <cellStyle name="Normal 14 4 2 2 2 2" xfId="7337"/>
    <cellStyle name="Normal 14 4 2 2 2 2 2" xfId="14860"/>
    <cellStyle name="Normal 14 4 2 2 2 2 2 2" xfId="29904"/>
    <cellStyle name="Normal 14 4 2 2 2 2 2 3" xfId="44947"/>
    <cellStyle name="Normal 14 4 2 2 2 2 3" xfId="22383"/>
    <cellStyle name="Normal 14 4 2 2 2 2 4" xfId="37426"/>
    <cellStyle name="Normal 14 4 2 2 2 3" xfId="11111"/>
    <cellStyle name="Normal 14 4 2 2 2 3 2" xfId="26155"/>
    <cellStyle name="Normal 14 4 2 2 2 3 3" xfId="41198"/>
    <cellStyle name="Normal 14 4 2 2 2 4" xfId="18634"/>
    <cellStyle name="Normal 14 4 2 2 2 5" xfId="33677"/>
    <cellStyle name="Normal 14 4 2 2 3" xfId="5472"/>
    <cellStyle name="Normal 14 4 2 2 3 2" xfId="12995"/>
    <cellStyle name="Normal 14 4 2 2 3 2 2" xfId="28039"/>
    <cellStyle name="Normal 14 4 2 2 3 2 3" xfId="43082"/>
    <cellStyle name="Normal 14 4 2 2 3 3" xfId="20518"/>
    <cellStyle name="Normal 14 4 2 2 3 4" xfId="35561"/>
    <cellStyle name="Normal 14 4 2 2 4" xfId="9246"/>
    <cellStyle name="Normal 14 4 2 2 4 2" xfId="24290"/>
    <cellStyle name="Normal 14 4 2 2 4 3" xfId="39333"/>
    <cellStyle name="Normal 14 4 2 2 5" xfId="16769"/>
    <cellStyle name="Normal 14 4 2 2 6" xfId="31812"/>
    <cellStyle name="Normal 14 4 2 3" xfId="2610"/>
    <cellStyle name="Normal 14 4 2 3 2" xfId="6405"/>
    <cellStyle name="Normal 14 4 2 3 2 2" xfId="13928"/>
    <cellStyle name="Normal 14 4 2 3 2 2 2" xfId="28972"/>
    <cellStyle name="Normal 14 4 2 3 2 2 3" xfId="44015"/>
    <cellStyle name="Normal 14 4 2 3 2 3" xfId="21451"/>
    <cellStyle name="Normal 14 4 2 3 2 4" xfId="36494"/>
    <cellStyle name="Normal 14 4 2 3 3" xfId="10179"/>
    <cellStyle name="Normal 14 4 2 3 3 2" xfId="25223"/>
    <cellStyle name="Normal 14 4 2 3 3 3" xfId="40266"/>
    <cellStyle name="Normal 14 4 2 3 4" xfId="17702"/>
    <cellStyle name="Normal 14 4 2 3 5" xfId="32745"/>
    <cellStyle name="Normal 14 4 2 4" xfId="4540"/>
    <cellStyle name="Normal 14 4 2 4 2" xfId="12063"/>
    <cellStyle name="Normal 14 4 2 4 2 2" xfId="27107"/>
    <cellStyle name="Normal 14 4 2 4 2 3" xfId="42150"/>
    <cellStyle name="Normal 14 4 2 4 3" xfId="19586"/>
    <cellStyle name="Normal 14 4 2 4 4" xfId="34629"/>
    <cellStyle name="Normal 14 4 2 5" xfId="8314"/>
    <cellStyle name="Normal 14 4 2 5 2" xfId="23358"/>
    <cellStyle name="Normal 14 4 2 5 3" xfId="38401"/>
    <cellStyle name="Normal 14 4 2 6" xfId="15837"/>
    <cellStyle name="Normal 14 4 2 7" xfId="30880"/>
    <cellStyle name="Normal 14 4 3" xfId="1219"/>
    <cellStyle name="Normal 14 4 3 2" xfId="3090"/>
    <cellStyle name="Normal 14 4 3 2 2" xfId="6885"/>
    <cellStyle name="Normal 14 4 3 2 2 2" xfId="14408"/>
    <cellStyle name="Normal 14 4 3 2 2 2 2" xfId="29452"/>
    <cellStyle name="Normal 14 4 3 2 2 2 3" xfId="44495"/>
    <cellStyle name="Normal 14 4 3 2 2 3" xfId="21931"/>
    <cellStyle name="Normal 14 4 3 2 2 4" xfId="36974"/>
    <cellStyle name="Normal 14 4 3 2 3" xfId="10659"/>
    <cellStyle name="Normal 14 4 3 2 3 2" xfId="25703"/>
    <cellStyle name="Normal 14 4 3 2 3 3" xfId="40746"/>
    <cellStyle name="Normal 14 4 3 2 4" xfId="18182"/>
    <cellStyle name="Normal 14 4 3 2 5" xfId="33225"/>
    <cellStyle name="Normal 14 4 3 3" xfId="5020"/>
    <cellStyle name="Normal 14 4 3 3 2" xfId="12543"/>
    <cellStyle name="Normal 14 4 3 3 2 2" xfId="27587"/>
    <cellStyle name="Normal 14 4 3 3 2 3" xfId="42630"/>
    <cellStyle name="Normal 14 4 3 3 3" xfId="20066"/>
    <cellStyle name="Normal 14 4 3 3 4" xfId="35109"/>
    <cellStyle name="Normal 14 4 3 4" xfId="8794"/>
    <cellStyle name="Normal 14 4 3 4 2" xfId="23838"/>
    <cellStyle name="Normal 14 4 3 4 3" xfId="38881"/>
    <cellStyle name="Normal 14 4 3 5" xfId="16317"/>
    <cellStyle name="Normal 14 4 3 6" xfId="31360"/>
    <cellStyle name="Normal 14 4 4" xfId="2157"/>
    <cellStyle name="Normal 14 4 4 2" xfId="5953"/>
    <cellStyle name="Normal 14 4 4 2 2" xfId="13476"/>
    <cellStyle name="Normal 14 4 4 2 2 2" xfId="28520"/>
    <cellStyle name="Normal 14 4 4 2 2 3" xfId="43563"/>
    <cellStyle name="Normal 14 4 4 2 3" xfId="20999"/>
    <cellStyle name="Normal 14 4 4 2 4" xfId="36042"/>
    <cellStyle name="Normal 14 4 4 3" xfId="9727"/>
    <cellStyle name="Normal 14 4 4 3 2" xfId="24771"/>
    <cellStyle name="Normal 14 4 4 3 3" xfId="39814"/>
    <cellStyle name="Normal 14 4 4 4" xfId="17250"/>
    <cellStyle name="Normal 14 4 4 5" xfId="32293"/>
    <cellStyle name="Normal 14 4 5" xfId="4085"/>
    <cellStyle name="Normal 14 4 5 2" xfId="11609"/>
    <cellStyle name="Normal 14 4 5 2 2" xfId="26653"/>
    <cellStyle name="Normal 14 4 5 2 3" xfId="41696"/>
    <cellStyle name="Normal 14 4 5 3" xfId="19132"/>
    <cellStyle name="Normal 14 4 5 4" xfId="34175"/>
    <cellStyle name="Normal 14 4 6" xfId="7848"/>
    <cellStyle name="Normal 14 4 6 2" xfId="22892"/>
    <cellStyle name="Normal 14 4 6 3" xfId="37935"/>
    <cellStyle name="Normal 14 4 7" xfId="15371"/>
    <cellStyle name="Normal 14 4 8" xfId="30414"/>
    <cellStyle name="Normal 14 5" xfId="707"/>
    <cellStyle name="Normal 14 5 2" xfId="1666"/>
    <cellStyle name="Normal 14 5 2 2" xfId="3537"/>
    <cellStyle name="Normal 14 5 2 2 2" xfId="7332"/>
    <cellStyle name="Normal 14 5 2 2 2 2" xfId="14855"/>
    <cellStyle name="Normal 14 5 2 2 2 2 2" xfId="29899"/>
    <cellStyle name="Normal 14 5 2 2 2 2 3" xfId="44942"/>
    <cellStyle name="Normal 14 5 2 2 2 3" xfId="22378"/>
    <cellStyle name="Normal 14 5 2 2 2 4" xfId="37421"/>
    <cellStyle name="Normal 14 5 2 2 3" xfId="11106"/>
    <cellStyle name="Normal 14 5 2 2 3 2" xfId="26150"/>
    <cellStyle name="Normal 14 5 2 2 3 3" xfId="41193"/>
    <cellStyle name="Normal 14 5 2 2 4" xfId="18629"/>
    <cellStyle name="Normal 14 5 2 2 5" xfId="33672"/>
    <cellStyle name="Normal 14 5 2 3" xfId="5467"/>
    <cellStyle name="Normal 14 5 2 3 2" xfId="12990"/>
    <cellStyle name="Normal 14 5 2 3 2 2" xfId="28034"/>
    <cellStyle name="Normal 14 5 2 3 2 3" xfId="43077"/>
    <cellStyle name="Normal 14 5 2 3 3" xfId="20513"/>
    <cellStyle name="Normal 14 5 2 3 4" xfId="35556"/>
    <cellStyle name="Normal 14 5 2 4" xfId="9241"/>
    <cellStyle name="Normal 14 5 2 4 2" xfId="24285"/>
    <cellStyle name="Normal 14 5 2 4 3" xfId="39328"/>
    <cellStyle name="Normal 14 5 2 5" xfId="16764"/>
    <cellStyle name="Normal 14 5 2 6" xfId="31807"/>
    <cellStyle name="Normal 14 5 3" xfId="2605"/>
    <cellStyle name="Normal 14 5 3 2" xfId="6400"/>
    <cellStyle name="Normal 14 5 3 2 2" xfId="13923"/>
    <cellStyle name="Normal 14 5 3 2 2 2" xfId="28967"/>
    <cellStyle name="Normal 14 5 3 2 2 3" xfId="44010"/>
    <cellStyle name="Normal 14 5 3 2 3" xfId="21446"/>
    <cellStyle name="Normal 14 5 3 2 4" xfId="36489"/>
    <cellStyle name="Normal 14 5 3 3" xfId="10174"/>
    <cellStyle name="Normal 14 5 3 3 2" xfId="25218"/>
    <cellStyle name="Normal 14 5 3 3 3" xfId="40261"/>
    <cellStyle name="Normal 14 5 3 4" xfId="17697"/>
    <cellStyle name="Normal 14 5 3 5" xfId="32740"/>
    <cellStyle name="Normal 14 5 4" xfId="4535"/>
    <cellStyle name="Normal 14 5 4 2" xfId="12058"/>
    <cellStyle name="Normal 14 5 4 2 2" xfId="27102"/>
    <cellStyle name="Normal 14 5 4 2 3" xfId="42145"/>
    <cellStyle name="Normal 14 5 4 3" xfId="19581"/>
    <cellStyle name="Normal 14 5 4 4" xfId="34624"/>
    <cellStyle name="Normal 14 5 5" xfId="8309"/>
    <cellStyle name="Normal 14 5 5 2" xfId="23353"/>
    <cellStyle name="Normal 14 5 5 3" xfId="38396"/>
    <cellStyle name="Normal 14 5 6" xfId="15832"/>
    <cellStyle name="Normal 14 5 7" xfId="30875"/>
    <cellStyle name="Normal 14 6" xfId="1214"/>
    <cellStyle name="Normal 14 6 2" xfId="3085"/>
    <cellStyle name="Normal 14 6 2 2" xfId="6880"/>
    <cellStyle name="Normal 14 6 2 2 2" xfId="14403"/>
    <cellStyle name="Normal 14 6 2 2 2 2" xfId="29447"/>
    <cellStyle name="Normal 14 6 2 2 2 3" xfId="44490"/>
    <cellStyle name="Normal 14 6 2 2 3" xfId="21926"/>
    <cellStyle name="Normal 14 6 2 2 4" xfId="36969"/>
    <cellStyle name="Normal 14 6 2 3" xfId="10654"/>
    <cellStyle name="Normal 14 6 2 3 2" xfId="25698"/>
    <cellStyle name="Normal 14 6 2 3 3" xfId="40741"/>
    <cellStyle name="Normal 14 6 2 4" xfId="18177"/>
    <cellStyle name="Normal 14 6 2 5" xfId="33220"/>
    <cellStyle name="Normal 14 6 3" xfId="5015"/>
    <cellStyle name="Normal 14 6 3 2" xfId="12538"/>
    <cellStyle name="Normal 14 6 3 2 2" xfId="27582"/>
    <cellStyle name="Normal 14 6 3 2 3" xfId="42625"/>
    <cellStyle name="Normal 14 6 3 3" xfId="20061"/>
    <cellStyle name="Normal 14 6 3 4" xfId="35104"/>
    <cellStyle name="Normal 14 6 4" xfId="8789"/>
    <cellStyle name="Normal 14 6 4 2" xfId="23833"/>
    <cellStyle name="Normal 14 6 4 3" xfId="38876"/>
    <cellStyle name="Normal 14 6 5" xfId="16312"/>
    <cellStyle name="Normal 14 6 6" xfId="31355"/>
    <cellStyle name="Normal 14 7" xfId="2152"/>
    <cellStyle name="Normal 14 7 2" xfId="5948"/>
    <cellStyle name="Normal 14 7 2 2" xfId="13471"/>
    <cellStyle name="Normal 14 7 2 2 2" xfId="28515"/>
    <cellStyle name="Normal 14 7 2 2 3" xfId="43558"/>
    <cellStyle name="Normal 14 7 2 3" xfId="20994"/>
    <cellStyle name="Normal 14 7 2 4" xfId="36037"/>
    <cellStyle name="Normal 14 7 3" xfId="9722"/>
    <cellStyle name="Normal 14 7 3 2" xfId="24766"/>
    <cellStyle name="Normal 14 7 3 3" xfId="39809"/>
    <cellStyle name="Normal 14 7 4" xfId="17245"/>
    <cellStyle name="Normal 14 7 5" xfId="32288"/>
    <cellStyle name="Normal 14 8" xfId="4080"/>
    <cellStyle name="Normal 14 8 2" xfId="11604"/>
    <cellStyle name="Normal 14 8 2 2" xfId="26648"/>
    <cellStyle name="Normal 14 8 2 3" xfId="41691"/>
    <cellStyle name="Normal 14 8 3" xfId="19127"/>
    <cellStyle name="Normal 14 8 4" xfId="34170"/>
    <cellStyle name="Normal 14 9" xfId="7843"/>
    <cellStyle name="Normal 14 9 2" xfId="22887"/>
    <cellStyle name="Normal 14 9 3" xfId="37930"/>
    <cellStyle name="Normal 15" xfId="185"/>
    <cellStyle name="Normal 15 10" xfId="30415"/>
    <cellStyle name="Normal 15 2" xfId="186"/>
    <cellStyle name="Normal 15 2 2" xfId="187"/>
    <cellStyle name="Normal 15 2 2 2" xfId="715"/>
    <cellStyle name="Normal 15 2 2 2 2" xfId="1674"/>
    <cellStyle name="Normal 15 2 2 2 2 2" xfId="3545"/>
    <cellStyle name="Normal 15 2 2 2 2 2 2" xfId="7340"/>
    <cellStyle name="Normal 15 2 2 2 2 2 2 2" xfId="14863"/>
    <cellStyle name="Normal 15 2 2 2 2 2 2 2 2" xfId="29907"/>
    <cellStyle name="Normal 15 2 2 2 2 2 2 2 3" xfId="44950"/>
    <cellStyle name="Normal 15 2 2 2 2 2 2 3" xfId="22386"/>
    <cellStyle name="Normal 15 2 2 2 2 2 2 4" xfId="37429"/>
    <cellStyle name="Normal 15 2 2 2 2 2 3" xfId="11114"/>
    <cellStyle name="Normal 15 2 2 2 2 2 3 2" xfId="26158"/>
    <cellStyle name="Normal 15 2 2 2 2 2 3 3" xfId="41201"/>
    <cellStyle name="Normal 15 2 2 2 2 2 4" xfId="18637"/>
    <cellStyle name="Normal 15 2 2 2 2 2 5" xfId="33680"/>
    <cellStyle name="Normal 15 2 2 2 2 3" xfId="5475"/>
    <cellStyle name="Normal 15 2 2 2 2 3 2" xfId="12998"/>
    <cellStyle name="Normal 15 2 2 2 2 3 2 2" xfId="28042"/>
    <cellStyle name="Normal 15 2 2 2 2 3 2 3" xfId="43085"/>
    <cellStyle name="Normal 15 2 2 2 2 3 3" xfId="20521"/>
    <cellStyle name="Normal 15 2 2 2 2 3 4" xfId="35564"/>
    <cellStyle name="Normal 15 2 2 2 2 4" xfId="9249"/>
    <cellStyle name="Normal 15 2 2 2 2 4 2" xfId="24293"/>
    <cellStyle name="Normal 15 2 2 2 2 4 3" xfId="39336"/>
    <cellStyle name="Normal 15 2 2 2 2 5" xfId="16772"/>
    <cellStyle name="Normal 15 2 2 2 2 6" xfId="31815"/>
    <cellStyle name="Normal 15 2 2 2 3" xfId="2613"/>
    <cellStyle name="Normal 15 2 2 2 3 2" xfId="6408"/>
    <cellStyle name="Normal 15 2 2 2 3 2 2" xfId="13931"/>
    <cellStyle name="Normal 15 2 2 2 3 2 2 2" xfId="28975"/>
    <cellStyle name="Normal 15 2 2 2 3 2 2 3" xfId="44018"/>
    <cellStyle name="Normal 15 2 2 2 3 2 3" xfId="21454"/>
    <cellStyle name="Normal 15 2 2 2 3 2 4" xfId="36497"/>
    <cellStyle name="Normal 15 2 2 2 3 3" xfId="10182"/>
    <cellStyle name="Normal 15 2 2 2 3 3 2" xfId="25226"/>
    <cellStyle name="Normal 15 2 2 2 3 3 3" xfId="40269"/>
    <cellStyle name="Normal 15 2 2 2 3 4" xfId="17705"/>
    <cellStyle name="Normal 15 2 2 2 3 5" xfId="32748"/>
    <cellStyle name="Normal 15 2 2 2 4" xfId="4543"/>
    <cellStyle name="Normal 15 2 2 2 4 2" xfId="12066"/>
    <cellStyle name="Normal 15 2 2 2 4 2 2" xfId="27110"/>
    <cellStyle name="Normal 15 2 2 2 4 2 3" xfId="42153"/>
    <cellStyle name="Normal 15 2 2 2 4 3" xfId="19589"/>
    <cellStyle name="Normal 15 2 2 2 4 4" xfId="34632"/>
    <cellStyle name="Normal 15 2 2 2 5" xfId="8317"/>
    <cellStyle name="Normal 15 2 2 2 5 2" xfId="23361"/>
    <cellStyle name="Normal 15 2 2 2 5 3" xfId="38404"/>
    <cellStyle name="Normal 15 2 2 2 6" xfId="15840"/>
    <cellStyle name="Normal 15 2 2 2 7" xfId="30883"/>
    <cellStyle name="Normal 15 2 2 3" xfId="1222"/>
    <cellStyle name="Normal 15 2 2 3 2" xfId="3093"/>
    <cellStyle name="Normal 15 2 2 3 2 2" xfId="6888"/>
    <cellStyle name="Normal 15 2 2 3 2 2 2" xfId="14411"/>
    <cellStyle name="Normal 15 2 2 3 2 2 2 2" xfId="29455"/>
    <cellStyle name="Normal 15 2 2 3 2 2 2 3" xfId="44498"/>
    <cellStyle name="Normal 15 2 2 3 2 2 3" xfId="21934"/>
    <cellStyle name="Normal 15 2 2 3 2 2 4" xfId="36977"/>
    <cellStyle name="Normal 15 2 2 3 2 3" xfId="10662"/>
    <cellStyle name="Normal 15 2 2 3 2 3 2" xfId="25706"/>
    <cellStyle name="Normal 15 2 2 3 2 3 3" xfId="40749"/>
    <cellStyle name="Normal 15 2 2 3 2 4" xfId="18185"/>
    <cellStyle name="Normal 15 2 2 3 2 5" xfId="33228"/>
    <cellStyle name="Normal 15 2 2 3 3" xfId="5023"/>
    <cellStyle name="Normal 15 2 2 3 3 2" xfId="12546"/>
    <cellStyle name="Normal 15 2 2 3 3 2 2" xfId="27590"/>
    <cellStyle name="Normal 15 2 2 3 3 2 3" xfId="42633"/>
    <cellStyle name="Normal 15 2 2 3 3 3" xfId="20069"/>
    <cellStyle name="Normal 15 2 2 3 3 4" xfId="35112"/>
    <cellStyle name="Normal 15 2 2 3 4" xfId="8797"/>
    <cellStyle name="Normal 15 2 2 3 4 2" xfId="23841"/>
    <cellStyle name="Normal 15 2 2 3 4 3" xfId="38884"/>
    <cellStyle name="Normal 15 2 2 3 5" xfId="16320"/>
    <cellStyle name="Normal 15 2 2 3 6" xfId="31363"/>
    <cellStyle name="Normal 15 2 2 4" xfId="2160"/>
    <cellStyle name="Normal 15 2 2 4 2" xfId="5956"/>
    <cellStyle name="Normal 15 2 2 4 2 2" xfId="13479"/>
    <cellStyle name="Normal 15 2 2 4 2 2 2" xfId="28523"/>
    <cellStyle name="Normal 15 2 2 4 2 2 3" xfId="43566"/>
    <cellStyle name="Normal 15 2 2 4 2 3" xfId="21002"/>
    <cellStyle name="Normal 15 2 2 4 2 4" xfId="36045"/>
    <cellStyle name="Normal 15 2 2 4 3" xfId="9730"/>
    <cellStyle name="Normal 15 2 2 4 3 2" xfId="24774"/>
    <cellStyle name="Normal 15 2 2 4 3 3" xfId="39817"/>
    <cellStyle name="Normal 15 2 2 4 4" xfId="17253"/>
    <cellStyle name="Normal 15 2 2 4 5" xfId="32296"/>
    <cellStyle name="Normal 15 2 2 5" xfId="4088"/>
    <cellStyle name="Normal 15 2 2 5 2" xfId="11612"/>
    <cellStyle name="Normal 15 2 2 5 2 2" xfId="26656"/>
    <cellStyle name="Normal 15 2 2 5 2 3" xfId="41699"/>
    <cellStyle name="Normal 15 2 2 5 3" xfId="19135"/>
    <cellStyle name="Normal 15 2 2 5 4" xfId="34178"/>
    <cellStyle name="Normal 15 2 2 6" xfId="7851"/>
    <cellStyle name="Normal 15 2 2 6 2" xfId="22895"/>
    <cellStyle name="Normal 15 2 2 6 3" xfId="37938"/>
    <cellStyle name="Normal 15 2 2 7" xfId="15374"/>
    <cellStyle name="Normal 15 2 2 8" xfId="30417"/>
    <cellStyle name="Normal 15 2 3" xfId="714"/>
    <cellStyle name="Normal 15 2 3 2" xfId="1673"/>
    <cellStyle name="Normal 15 2 3 2 2" xfId="3544"/>
    <cellStyle name="Normal 15 2 3 2 2 2" xfId="7339"/>
    <cellStyle name="Normal 15 2 3 2 2 2 2" xfId="14862"/>
    <cellStyle name="Normal 15 2 3 2 2 2 2 2" xfId="29906"/>
    <cellStyle name="Normal 15 2 3 2 2 2 2 3" xfId="44949"/>
    <cellStyle name="Normal 15 2 3 2 2 2 3" xfId="22385"/>
    <cellStyle name="Normal 15 2 3 2 2 2 4" xfId="37428"/>
    <cellStyle name="Normal 15 2 3 2 2 3" xfId="11113"/>
    <cellStyle name="Normal 15 2 3 2 2 3 2" xfId="26157"/>
    <cellStyle name="Normal 15 2 3 2 2 3 3" xfId="41200"/>
    <cellStyle name="Normal 15 2 3 2 2 4" xfId="18636"/>
    <cellStyle name="Normal 15 2 3 2 2 5" xfId="33679"/>
    <cellStyle name="Normal 15 2 3 2 3" xfId="5474"/>
    <cellStyle name="Normal 15 2 3 2 3 2" xfId="12997"/>
    <cellStyle name="Normal 15 2 3 2 3 2 2" xfId="28041"/>
    <cellStyle name="Normal 15 2 3 2 3 2 3" xfId="43084"/>
    <cellStyle name="Normal 15 2 3 2 3 3" xfId="20520"/>
    <cellStyle name="Normal 15 2 3 2 3 4" xfId="35563"/>
    <cellStyle name="Normal 15 2 3 2 4" xfId="9248"/>
    <cellStyle name="Normal 15 2 3 2 4 2" xfId="24292"/>
    <cellStyle name="Normal 15 2 3 2 4 3" xfId="39335"/>
    <cellStyle name="Normal 15 2 3 2 5" xfId="16771"/>
    <cellStyle name="Normal 15 2 3 2 6" xfId="31814"/>
    <cellStyle name="Normal 15 2 3 3" xfId="2612"/>
    <cellStyle name="Normal 15 2 3 3 2" xfId="6407"/>
    <cellStyle name="Normal 15 2 3 3 2 2" xfId="13930"/>
    <cellStyle name="Normal 15 2 3 3 2 2 2" xfId="28974"/>
    <cellStyle name="Normal 15 2 3 3 2 2 3" xfId="44017"/>
    <cellStyle name="Normal 15 2 3 3 2 3" xfId="21453"/>
    <cellStyle name="Normal 15 2 3 3 2 4" xfId="36496"/>
    <cellStyle name="Normal 15 2 3 3 3" xfId="10181"/>
    <cellStyle name="Normal 15 2 3 3 3 2" xfId="25225"/>
    <cellStyle name="Normal 15 2 3 3 3 3" xfId="40268"/>
    <cellStyle name="Normal 15 2 3 3 4" xfId="17704"/>
    <cellStyle name="Normal 15 2 3 3 5" xfId="32747"/>
    <cellStyle name="Normal 15 2 3 4" xfId="4542"/>
    <cellStyle name="Normal 15 2 3 4 2" xfId="12065"/>
    <cellStyle name="Normal 15 2 3 4 2 2" xfId="27109"/>
    <cellStyle name="Normal 15 2 3 4 2 3" xfId="42152"/>
    <cellStyle name="Normal 15 2 3 4 3" xfId="19588"/>
    <cellStyle name="Normal 15 2 3 4 4" xfId="34631"/>
    <cellStyle name="Normal 15 2 3 5" xfId="8316"/>
    <cellStyle name="Normal 15 2 3 5 2" xfId="23360"/>
    <cellStyle name="Normal 15 2 3 5 3" xfId="38403"/>
    <cellStyle name="Normal 15 2 3 6" xfId="15839"/>
    <cellStyle name="Normal 15 2 3 7" xfId="30882"/>
    <cellStyle name="Normal 15 2 4" xfId="1221"/>
    <cellStyle name="Normal 15 2 4 2" xfId="3092"/>
    <cellStyle name="Normal 15 2 4 2 2" xfId="6887"/>
    <cellStyle name="Normal 15 2 4 2 2 2" xfId="14410"/>
    <cellStyle name="Normal 15 2 4 2 2 2 2" xfId="29454"/>
    <cellStyle name="Normal 15 2 4 2 2 2 3" xfId="44497"/>
    <cellStyle name="Normal 15 2 4 2 2 3" xfId="21933"/>
    <cellStyle name="Normal 15 2 4 2 2 4" xfId="36976"/>
    <cellStyle name="Normal 15 2 4 2 3" xfId="10661"/>
    <cellStyle name="Normal 15 2 4 2 3 2" xfId="25705"/>
    <cellStyle name="Normal 15 2 4 2 3 3" xfId="40748"/>
    <cellStyle name="Normal 15 2 4 2 4" xfId="18184"/>
    <cellStyle name="Normal 15 2 4 2 5" xfId="33227"/>
    <cellStyle name="Normal 15 2 4 3" xfId="5022"/>
    <cellStyle name="Normal 15 2 4 3 2" xfId="12545"/>
    <cellStyle name="Normal 15 2 4 3 2 2" xfId="27589"/>
    <cellStyle name="Normal 15 2 4 3 2 3" xfId="42632"/>
    <cellStyle name="Normal 15 2 4 3 3" xfId="20068"/>
    <cellStyle name="Normal 15 2 4 3 4" xfId="35111"/>
    <cellStyle name="Normal 15 2 4 4" xfId="8796"/>
    <cellStyle name="Normal 15 2 4 4 2" xfId="23840"/>
    <cellStyle name="Normal 15 2 4 4 3" xfId="38883"/>
    <cellStyle name="Normal 15 2 4 5" xfId="16319"/>
    <cellStyle name="Normal 15 2 4 6" xfId="31362"/>
    <cellStyle name="Normal 15 2 5" xfId="2159"/>
    <cellStyle name="Normal 15 2 5 2" xfId="5955"/>
    <cellStyle name="Normal 15 2 5 2 2" xfId="13478"/>
    <cellStyle name="Normal 15 2 5 2 2 2" xfId="28522"/>
    <cellStyle name="Normal 15 2 5 2 2 3" xfId="43565"/>
    <cellStyle name="Normal 15 2 5 2 3" xfId="21001"/>
    <cellStyle name="Normal 15 2 5 2 4" xfId="36044"/>
    <cellStyle name="Normal 15 2 5 3" xfId="9729"/>
    <cellStyle name="Normal 15 2 5 3 2" xfId="24773"/>
    <cellStyle name="Normal 15 2 5 3 3" xfId="39816"/>
    <cellStyle name="Normal 15 2 5 4" xfId="17252"/>
    <cellStyle name="Normal 15 2 5 5" xfId="32295"/>
    <cellStyle name="Normal 15 2 6" xfId="4087"/>
    <cellStyle name="Normal 15 2 6 2" xfId="11611"/>
    <cellStyle name="Normal 15 2 6 2 2" xfId="26655"/>
    <cellStyle name="Normal 15 2 6 2 3" xfId="41698"/>
    <cellStyle name="Normal 15 2 6 3" xfId="19134"/>
    <cellStyle name="Normal 15 2 6 4" xfId="34177"/>
    <cellStyle name="Normal 15 2 7" xfId="7850"/>
    <cellStyle name="Normal 15 2 7 2" xfId="22894"/>
    <cellStyle name="Normal 15 2 7 3" xfId="37937"/>
    <cellStyle name="Normal 15 2 8" xfId="15373"/>
    <cellStyle name="Normal 15 2 9" xfId="30416"/>
    <cellStyle name="Normal 15 3" xfId="188"/>
    <cellStyle name="Normal 15 3 2" xfId="716"/>
    <cellStyle name="Normal 15 3 2 2" xfId="1675"/>
    <cellStyle name="Normal 15 3 2 2 2" xfId="3546"/>
    <cellStyle name="Normal 15 3 2 2 2 2" xfId="7341"/>
    <cellStyle name="Normal 15 3 2 2 2 2 2" xfId="14864"/>
    <cellStyle name="Normal 15 3 2 2 2 2 2 2" xfId="29908"/>
    <cellStyle name="Normal 15 3 2 2 2 2 2 3" xfId="44951"/>
    <cellStyle name="Normal 15 3 2 2 2 2 3" xfId="22387"/>
    <cellStyle name="Normal 15 3 2 2 2 2 4" xfId="37430"/>
    <cellStyle name="Normal 15 3 2 2 2 3" xfId="11115"/>
    <cellStyle name="Normal 15 3 2 2 2 3 2" xfId="26159"/>
    <cellStyle name="Normal 15 3 2 2 2 3 3" xfId="41202"/>
    <cellStyle name="Normal 15 3 2 2 2 4" xfId="18638"/>
    <cellStyle name="Normal 15 3 2 2 2 5" xfId="33681"/>
    <cellStyle name="Normal 15 3 2 2 3" xfId="5476"/>
    <cellStyle name="Normal 15 3 2 2 3 2" xfId="12999"/>
    <cellStyle name="Normal 15 3 2 2 3 2 2" xfId="28043"/>
    <cellStyle name="Normal 15 3 2 2 3 2 3" xfId="43086"/>
    <cellStyle name="Normal 15 3 2 2 3 3" xfId="20522"/>
    <cellStyle name="Normal 15 3 2 2 3 4" xfId="35565"/>
    <cellStyle name="Normal 15 3 2 2 4" xfId="9250"/>
    <cellStyle name="Normal 15 3 2 2 4 2" xfId="24294"/>
    <cellStyle name="Normal 15 3 2 2 4 3" xfId="39337"/>
    <cellStyle name="Normal 15 3 2 2 5" xfId="16773"/>
    <cellStyle name="Normal 15 3 2 2 6" xfId="31816"/>
    <cellStyle name="Normal 15 3 2 3" xfId="2614"/>
    <cellStyle name="Normal 15 3 2 3 2" xfId="6409"/>
    <cellStyle name="Normal 15 3 2 3 2 2" xfId="13932"/>
    <cellStyle name="Normal 15 3 2 3 2 2 2" xfId="28976"/>
    <cellStyle name="Normal 15 3 2 3 2 2 3" xfId="44019"/>
    <cellStyle name="Normal 15 3 2 3 2 3" xfId="21455"/>
    <cellStyle name="Normal 15 3 2 3 2 4" xfId="36498"/>
    <cellStyle name="Normal 15 3 2 3 3" xfId="10183"/>
    <cellStyle name="Normal 15 3 2 3 3 2" xfId="25227"/>
    <cellStyle name="Normal 15 3 2 3 3 3" xfId="40270"/>
    <cellStyle name="Normal 15 3 2 3 4" xfId="17706"/>
    <cellStyle name="Normal 15 3 2 3 5" xfId="32749"/>
    <cellStyle name="Normal 15 3 2 4" xfId="4544"/>
    <cellStyle name="Normal 15 3 2 4 2" xfId="12067"/>
    <cellStyle name="Normal 15 3 2 4 2 2" xfId="27111"/>
    <cellStyle name="Normal 15 3 2 4 2 3" xfId="42154"/>
    <cellStyle name="Normal 15 3 2 4 3" xfId="19590"/>
    <cellStyle name="Normal 15 3 2 4 4" xfId="34633"/>
    <cellStyle name="Normal 15 3 2 5" xfId="8318"/>
    <cellStyle name="Normal 15 3 2 5 2" xfId="23362"/>
    <cellStyle name="Normal 15 3 2 5 3" xfId="38405"/>
    <cellStyle name="Normal 15 3 2 6" xfId="15841"/>
    <cellStyle name="Normal 15 3 2 7" xfId="30884"/>
    <cellStyle name="Normal 15 3 3" xfId="1223"/>
    <cellStyle name="Normal 15 3 3 2" xfId="3094"/>
    <cellStyle name="Normal 15 3 3 2 2" xfId="6889"/>
    <cellStyle name="Normal 15 3 3 2 2 2" xfId="14412"/>
    <cellStyle name="Normal 15 3 3 2 2 2 2" xfId="29456"/>
    <cellStyle name="Normal 15 3 3 2 2 2 3" xfId="44499"/>
    <cellStyle name="Normal 15 3 3 2 2 3" xfId="21935"/>
    <cellStyle name="Normal 15 3 3 2 2 4" xfId="36978"/>
    <cellStyle name="Normal 15 3 3 2 3" xfId="10663"/>
    <cellStyle name="Normal 15 3 3 2 3 2" xfId="25707"/>
    <cellStyle name="Normal 15 3 3 2 3 3" xfId="40750"/>
    <cellStyle name="Normal 15 3 3 2 4" xfId="18186"/>
    <cellStyle name="Normal 15 3 3 2 5" xfId="33229"/>
    <cellStyle name="Normal 15 3 3 3" xfId="5024"/>
    <cellStyle name="Normal 15 3 3 3 2" xfId="12547"/>
    <cellStyle name="Normal 15 3 3 3 2 2" xfId="27591"/>
    <cellStyle name="Normal 15 3 3 3 2 3" xfId="42634"/>
    <cellStyle name="Normal 15 3 3 3 3" xfId="20070"/>
    <cellStyle name="Normal 15 3 3 3 4" xfId="35113"/>
    <cellStyle name="Normal 15 3 3 4" xfId="8798"/>
    <cellStyle name="Normal 15 3 3 4 2" xfId="23842"/>
    <cellStyle name="Normal 15 3 3 4 3" xfId="38885"/>
    <cellStyle name="Normal 15 3 3 5" xfId="16321"/>
    <cellStyle name="Normal 15 3 3 6" xfId="31364"/>
    <cellStyle name="Normal 15 3 4" xfId="2161"/>
    <cellStyle name="Normal 15 3 4 2" xfId="5957"/>
    <cellStyle name="Normal 15 3 4 2 2" xfId="13480"/>
    <cellStyle name="Normal 15 3 4 2 2 2" xfId="28524"/>
    <cellStyle name="Normal 15 3 4 2 2 3" xfId="43567"/>
    <cellStyle name="Normal 15 3 4 2 3" xfId="21003"/>
    <cellStyle name="Normal 15 3 4 2 4" xfId="36046"/>
    <cellStyle name="Normal 15 3 4 3" xfId="9731"/>
    <cellStyle name="Normal 15 3 4 3 2" xfId="24775"/>
    <cellStyle name="Normal 15 3 4 3 3" xfId="39818"/>
    <cellStyle name="Normal 15 3 4 4" xfId="17254"/>
    <cellStyle name="Normal 15 3 4 5" xfId="32297"/>
    <cellStyle name="Normal 15 3 5" xfId="4089"/>
    <cellStyle name="Normal 15 3 5 2" xfId="11613"/>
    <cellStyle name="Normal 15 3 5 2 2" xfId="26657"/>
    <cellStyle name="Normal 15 3 5 2 3" xfId="41700"/>
    <cellStyle name="Normal 15 3 5 3" xfId="19136"/>
    <cellStyle name="Normal 15 3 5 4" xfId="34179"/>
    <cellStyle name="Normal 15 3 6" xfId="7852"/>
    <cellStyle name="Normal 15 3 6 2" xfId="22896"/>
    <cellStyle name="Normal 15 3 6 3" xfId="37939"/>
    <cellStyle name="Normal 15 3 7" xfId="15375"/>
    <cellStyle name="Normal 15 3 8" xfId="30418"/>
    <cellStyle name="Normal 15 4" xfId="713"/>
    <cellStyle name="Normal 15 4 2" xfId="1672"/>
    <cellStyle name="Normal 15 4 2 2" xfId="3543"/>
    <cellStyle name="Normal 15 4 2 2 2" xfId="7338"/>
    <cellStyle name="Normal 15 4 2 2 2 2" xfId="14861"/>
    <cellStyle name="Normal 15 4 2 2 2 2 2" xfId="29905"/>
    <cellStyle name="Normal 15 4 2 2 2 2 3" xfId="44948"/>
    <cellStyle name="Normal 15 4 2 2 2 3" xfId="22384"/>
    <cellStyle name="Normal 15 4 2 2 2 4" xfId="37427"/>
    <cellStyle name="Normal 15 4 2 2 3" xfId="11112"/>
    <cellStyle name="Normal 15 4 2 2 3 2" xfId="26156"/>
    <cellStyle name="Normal 15 4 2 2 3 3" xfId="41199"/>
    <cellStyle name="Normal 15 4 2 2 4" xfId="18635"/>
    <cellStyle name="Normal 15 4 2 2 5" xfId="33678"/>
    <cellStyle name="Normal 15 4 2 3" xfId="5473"/>
    <cellStyle name="Normal 15 4 2 3 2" xfId="12996"/>
    <cellStyle name="Normal 15 4 2 3 2 2" xfId="28040"/>
    <cellStyle name="Normal 15 4 2 3 2 3" xfId="43083"/>
    <cellStyle name="Normal 15 4 2 3 3" xfId="20519"/>
    <cellStyle name="Normal 15 4 2 3 4" xfId="35562"/>
    <cellStyle name="Normal 15 4 2 4" xfId="9247"/>
    <cellStyle name="Normal 15 4 2 4 2" xfId="24291"/>
    <cellStyle name="Normal 15 4 2 4 3" xfId="39334"/>
    <cellStyle name="Normal 15 4 2 5" xfId="16770"/>
    <cellStyle name="Normal 15 4 2 6" xfId="31813"/>
    <cellStyle name="Normal 15 4 3" xfId="2611"/>
    <cellStyle name="Normal 15 4 3 2" xfId="6406"/>
    <cellStyle name="Normal 15 4 3 2 2" xfId="13929"/>
    <cellStyle name="Normal 15 4 3 2 2 2" xfId="28973"/>
    <cellStyle name="Normal 15 4 3 2 2 3" xfId="44016"/>
    <cellStyle name="Normal 15 4 3 2 3" xfId="21452"/>
    <cellStyle name="Normal 15 4 3 2 4" xfId="36495"/>
    <cellStyle name="Normal 15 4 3 3" xfId="10180"/>
    <cellStyle name="Normal 15 4 3 3 2" xfId="25224"/>
    <cellStyle name="Normal 15 4 3 3 3" xfId="40267"/>
    <cellStyle name="Normal 15 4 3 4" xfId="17703"/>
    <cellStyle name="Normal 15 4 3 5" xfId="32746"/>
    <cellStyle name="Normal 15 4 4" xfId="4541"/>
    <cellStyle name="Normal 15 4 4 2" xfId="12064"/>
    <cellStyle name="Normal 15 4 4 2 2" xfId="27108"/>
    <cellStyle name="Normal 15 4 4 2 3" xfId="42151"/>
    <cellStyle name="Normal 15 4 4 3" xfId="19587"/>
    <cellStyle name="Normal 15 4 4 4" xfId="34630"/>
    <cellStyle name="Normal 15 4 5" xfId="8315"/>
    <cellStyle name="Normal 15 4 5 2" xfId="23359"/>
    <cellStyle name="Normal 15 4 5 3" xfId="38402"/>
    <cellStyle name="Normal 15 4 6" xfId="15838"/>
    <cellStyle name="Normal 15 4 7" xfId="30881"/>
    <cellStyle name="Normal 15 5" xfId="1220"/>
    <cellStyle name="Normal 15 5 2" xfId="3091"/>
    <cellStyle name="Normal 15 5 2 2" xfId="6886"/>
    <cellStyle name="Normal 15 5 2 2 2" xfId="14409"/>
    <cellStyle name="Normal 15 5 2 2 2 2" xfId="29453"/>
    <cellStyle name="Normal 15 5 2 2 2 3" xfId="44496"/>
    <cellStyle name="Normal 15 5 2 2 3" xfId="21932"/>
    <cellStyle name="Normal 15 5 2 2 4" xfId="36975"/>
    <cellStyle name="Normal 15 5 2 3" xfId="10660"/>
    <cellStyle name="Normal 15 5 2 3 2" xfId="25704"/>
    <cellStyle name="Normal 15 5 2 3 3" xfId="40747"/>
    <cellStyle name="Normal 15 5 2 4" xfId="18183"/>
    <cellStyle name="Normal 15 5 2 5" xfId="33226"/>
    <cellStyle name="Normal 15 5 3" xfId="5021"/>
    <cellStyle name="Normal 15 5 3 2" xfId="12544"/>
    <cellStyle name="Normal 15 5 3 2 2" xfId="27588"/>
    <cellStyle name="Normal 15 5 3 2 3" xfId="42631"/>
    <cellStyle name="Normal 15 5 3 3" xfId="20067"/>
    <cellStyle name="Normal 15 5 3 4" xfId="35110"/>
    <cellStyle name="Normal 15 5 4" xfId="8795"/>
    <cellStyle name="Normal 15 5 4 2" xfId="23839"/>
    <cellStyle name="Normal 15 5 4 3" xfId="38882"/>
    <cellStyle name="Normal 15 5 5" xfId="16318"/>
    <cellStyle name="Normal 15 5 6" xfId="31361"/>
    <cellStyle name="Normal 15 6" xfId="2158"/>
    <cellStyle name="Normal 15 6 2" xfId="5954"/>
    <cellStyle name="Normal 15 6 2 2" xfId="13477"/>
    <cellStyle name="Normal 15 6 2 2 2" xfId="28521"/>
    <cellStyle name="Normal 15 6 2 2 3" xfId="43564"/>
    <cellStyle name="Normal 15 6 2 3" xfId="21000"/>
    <cellStyle name="Normal 15 6 2 4" xfId="36043"/>
    <cellStyle name="Normal 15 6 3" xfId="9728"/>
    <cellStyle name="Normal 15 6 3 2" xfId="24772"/>
    <cellStyle name="Normal 15 6 3 3" xfId="39815"/>
    <cellStyle name="Normal 15 6 4" xfId="17251"/>
    <cellStyle name="Normal 15 6 5" xfId="32294"/>
    <cellStyle name="Normal 15 7" xfId="4086"/>
    <cellStyle name="Normal 15 7 2" xfId="11610"/>
    <cellStyle name="Normal 15 7 2 2" xfId="26654"/>
    <cellStyle name="Normal 15 7 2 3" xfId="41697"/>
    <cellStyle name="Normal 15 7 3" xfId="19133"/>
    <cellStyle name="Normal 15 7 4" xfId="34176"/>
    <cellStyle name="Normal 15 8" xfId="7849"/>
    <cellStyle name="Normal 15 8 2" xfId="22893"/>
    <cellStyle name="Normal 15 8 3" xfId="37936"/>
    <cellStyle name="Normal 15 9" xfId="15372"/>
    <cellStyle name="Normal 16" xfId="189"/>
    <cellStyle name="Normal 16 10" xfId="15376"/>
    <cellStyle name="Normal 16 11" xfId="30419"/>
    <cellStyle name="Normal 16 2" xfId="190"/>
    <cellStyle name="Normal 16 2 2" xfId="191"/>
    <cellStyle name="Normal 16 2 2 2" xfId="719"/>
    <cellStyle name="Normal 16 2 2 2 2" xfId="1678"/>
    <cellStyle name="Normal 16 2 2 2 2 2" xfId="3549"/>
    <cellStyle name="Normal 16 2 2 2 2 2 2" xfId="7344"/>
    <cellStyle name="Normal 16 2 2 2 2 2 2 2" xfId="14867"/>
    <cellStyle name="Normal 16 2 2 2 2 2 2 2 2" xfId="29911"/>
    <cellStyle name="Normal 16 2 2 2 2 2 2 2 3" xfId="44954"/>
    <cellStyle name="Normal 16 2 2 2 2 2 2 3" xfId="22390"/>
    <cellStyle name="Normal 16 2 2 2 2 2 2 4" xfId="37433"/>
    <cellStyle name="Normal 16 2 2 2 2 2 3" xfId="11118"/>
    <cellStyle name="Normal 16 2 2 2 2 2 3 2" xfId="26162"/>
    <cellStyle name="Normal 16 2 2 2 2 2 3 3" xfId="41205"/>
    <cellStyle name="Normal 16 2 2 2 2 2 4" xfId="18641"/>
    <cellStyle name="Normal 16 2 2 2 2 2 5" xfId="33684"/>
    <cellStyle name="Normal 16 2 2 2 2 3" xfId="5479"/>
    <cellStyle name="Normal 16 2 2 2 2 3 2" xfId="13002"/>
    <cellStyle name="Normal 16 2 2 2 2 3 2 2" xfId="28046"/>
    <cellStyle name="Normal 16 2 2 2 2 3 2 3" xfId="43089"/>
    <cellStyle name="Normal 16 2 2 2 2 3 3" xfId="20525"/>
    <cellStyle name="Normal 16 2 2 2 2 3 4" xfId="35568"/>
    <cellStyle name="Normal 16 2 2 2 2 4" xfId="9253"/>
    <cellStyle name="Normal 16 2 2 2 2 4 2" xfId="24297"/>
    <cellStyle name="Normal 16 2 2 2 2 4 3" xfId="39340"/>
    <cellStyle name="Normal 16 2 2 2 2 5" xfId="16776"/>
    <cellStyle name="Normal 16 2 2 2 2 6" xfId="31819"/>
    <cellStyle name="Normal 16 2 2 2 3" xfId="2617"/>
    <cellStyle name="Normal 16 2 2 2 3 2" xfId="6412"/>
    <cellStyle name="Normal 16 2 2 2 3 2 2" xfId="13935"/>
    <cellStyle name="Normal 16 2 2 2 3 2 2 2" xfId="28979"/>
    <cellStyle name="Normal 16 2 2 2 3 2 2 3" xfId="44022"/>
    <cellStyle name="Normal 16 2 2 2 3 2 3" xfId="21458"/>
    <cellStyle name="Normal 16 2 2 2 3 2 4" xfId="36501"/>
    <cellStyle name="Normal 16 2 2 2 3 3" xfId="10186"/>
    <cellStyle name="Normal 16 2 2 2 3 3 2" xfId="25230"/>
    <cellStyle name="Normal 16 2 2 2 3 3 3" xfId="40273"/>
    <cellStyle name="Normal 16 2 2 2 3 4" xfId="17709"/>
    <cellStyle name="Normal 16 2 2 2 3 5" xfId="32752"/>
    <cellStyle name="Normal 16 2 2 2 4" xfId="4547"/>
    <cellStyle name="Normal 16 2 2 2 4 2" xfId="12070"/>
    <cellStyle name="Normal 16 2 2 2 4 2 2" xfId="27114"/>
    <cellStyle name="Normal 16 2 2 2 4 2 3" xfId="42157"/>
    <cellStyle name="Normal 16 2 2 2 4 3" xfId="19593"/>
    <cellStyle name="Normal 16 2 2 2 4 4" xfId="34636"/>
    <cellStyle name="Normal 16 2 2 2 5" xfId="8321"/>
    <cellStyle name="Normal 16 2 2 2 5 2" xfId="23365"/>
    <cellStyle name="Normal 16 2 2 2 5 3" xfId="38408"/>
    <cellStyle name="Normal 16 2 2 2 6" xfId="15844"/>
    <cellStyle name="Normal 16 2 2 2 7" xfId="30887"/>
    <cellStyle name="Normal 16 2 2 3" xfId="1226"/>
    <cellStyle name="Normal 16 2 2 3 2" xfId="3097"/>
    <cellStyle name="Normal 16 2 2 3 2 2" xfId="6892"/>
    <cellStyle name="Normal 16 2 2 3 2 2 2" xfId="14415"/>
    <cellStyle name="Normal 16 2 2 3 2 2 2 2" xfId="29459"/>
    <cellStyle name="Normal 16 2 2 3 2 2 2 3" xfId="44502"/>
    <cellStyle name="Normal 16 2 2 3 2 2 3" xfId="21938"/>
    <cellStyle name="Normal 16 2 2 3 2 2 4" xfId="36981"/>
    <cellStyle name="Normal 16 2 2 3 2 3" xfId="10666"/>
    <cellStyle name="Normal 16 2 2 3 2 3 2" xfId="25710"/>
    <cellStyle name="Normal 16 2 2 3 2 3 3" xfId="40753"/>
    <cellStyle name="Normal 16 2 2 3 2 4" xfId="18189"/>
    <cellStyle name="Normal 16 2 2 3 2 5" xfId="33232"/>
    <cellStyle name="Normal 16 2 2 3 3" xfId="5027"/>
    <cellStyle name="Normal 16 2 2 3 3 2" xfId="12550"/>
    <cellStyle name="Normal 16 2 2 3 3 2 2" xfId="27594"/>
    <cellStyle name="Normal 16 2 2 3 3 2 3" xfId="42637"/>
    <cellStyle name="Normal 16 2 2 3 3 3" xfId="20073"/>
    <cellStyle name="Normal 16 2 2 3 3 4" xfId="35116"/>
    <cellStyle name="Normal 16 2 2 3 4" xfId="8801"/>
    <cellStyle name="Normal 16 2 2 3 4 2" xfId="23845"/>
    <cellStyle name="Normal 16 2 2 3 4 3" xfId="38888"/>
    <cellStyle name="Normal 16 2 2 3 5" xfId="16324"/>
    <cellStyle name="Normal 16 2 2 3 6" xfId="31367"/>
    <cellStyle name="Normal 16 2 2 4" xfId="2164"/>
    <cellStyle name="Normal 16 2 2 4 2" xfId="5960"/>
    <cellStyle name="Normal 16 2 2 4 2 2" xfId="13483"/>
    <cellStyle name="Normal 16 2 2 4 2 2 2" xfId="28527"/>
    <cellStyle name="Normal 16 2 2 4 2 2 3" xfId="43570"/>
    <cellStyle name="Normal 16 2 2 4 2 3" xfId="21006"/>
    <cellStyle name="Normal 16 2 2 4 2 4" xfId="36049"/>
    <cellStyle name="Normal 16 2 2 4 3" xfId="9734"/>
    <cellStyle name="Normal 16 2 2 4 3 2" xfId="24778"/>
    <cellStyle name="Normal 16 2 2 4 3 3" xfId="39821"/>
    <cellStyle name="Normal 16 2 2 4 4" xfId="17257"/>
    <cellStyle name="Normal 16 2 2 4 5" xfId="32300"/>
    <cellStyle name="Normal 16 2 2 5" xfId="4092"/>
    <cellStyle name="Normal 16 2 2 5 2" xfId="11616"/>
    <cellStyle name="Normal 16 2 2 5 2 2" xfId="26660"/>
    <cellStyle name="Normal 16 2 2 5 2 3" xfId="41703"/>
    <cellStyle name="Normal 16 2 2 5 3" xfId="19139"/>
    <cellStyle name="Normal 16 2 2 5 4" xfId="34182"/>
    <cellStyle name="Normal 16 2 2 6" xfId="7855"/>
    <cellStyle name="Normal 16 2 2 6 2" xfId="22899"/>
    <cellStyle name="Normal 16 2 2 6 3" xfId="37942"/>
    <cellStyle name="Normal 16 2 2 7" xfId="15378"/>
    <cellStyle name="Normal 16 2 2 8" xfId="30421"/>
    <cellStyle name="Normal 16 2 3" xfId="718"/>
    <cellStyle name="Normal 16 2 3 2" xfId="1677"/>
    <cellStyle name="Normal 16 2 3 2 2" xfId="3548"/>
    <cellStyle name="Normal 16 2 3 2 2 2" xfId="7343"/>
    <cellStyle name="Normal 16 2 3 2 2 2 2" xfId="14866"/>
    <cellStyle name="Normal 16 2 3 2 2 2 2 2" xfId="29910"/>
    <cellStyle name="Normal 16 2 3 2 2 2 2 3" xfId="44953"/>
    <cellStyle name="Normal 16 2 3 2 2 2 3" xfId="22389"/>
    <cellStyle name="Normal 16 2 3 2 2 2 4" xfId="37432"/>
    <cellStyle name="Normal 16 2 3 2 2 3" xfId="11117"/>
    <cellStyle name="Normal 16 2 3 2 2 3 2" xfId="26161"/>
    <cellStyle name="Normal 16 2 3 2 2 3 3" xfId="41204"/>
    <cellStyle name="Normal 16 2 3 2 2 4" xfId="18640"/>
    <cellStyle name="Normal 16 2 3 2 2 5" xfId="33683"/>
    <cellStyle name="Normal 16 2 3 2 3" xfId="5478"/>
    <cellStyle name="Normal 16 2 3 2 3 2" xfId="13001"/>
    <cellStyle name="Normal 16 2 3 2 3 2 2" xfId="28045"/>
    <cellStyle name="Normal 16 2 3 2 3 2 3" xfId="43088"/>
    <cellStyle name="Normal 16 2 3 2 3 3" xfId="20524"/>
    <cellStyle name="Normal 16 2 3 2 3 4" xfId="35567"/>
    <cellStyle name="Normal 16 2 3 2 4" xfId="9252"/>
    <cellStyle name="Normal 16 2 3 2 4 2" xfId="24296"/>
    <cellStyle name="Normal 16 2 3 2 4 3" xfId="39339"/>
    <cellStyle name="Normal 16 2 3 2 5" xfId="16775"/>
    <cellStyle name="Normal 16 2 3 2 6" xfId="31818"/>
    <cellStyle name="Normal 16 2 3 3" xfId="2616"/>
    <cellStyle name="Normal 16 2 3 3 2" xfId="6411"/>
    <cellStyle name="Normal 16 2 3 3 2 2" xfId="13934"/>
    <cellStyle name="Normal 16 2 3 3 2 2 2" xfId="28978"/>
    <cellStyle name="Normal 16 2 3 3 2 2 3" xfId="44021"/>
    <cellStyle name="Normal 16 2 3 3 2 3" xfId="21457"/>
    <cellStyle name="Normal 16 2 3 3 2 4" xfId="36500"/>
    <cellStyle name="Normal 16 2 3 3 3" xfId="10185"/>
    <cellStyle name="Normal 16 2 3 3 3 2" xfId="25229"/>
    <cellStyle name="Normal 16 2 3 3 3 3" xfId="40272"/>
    <cellStyle name="Normal 16 2 3 3 4" xfId="17708"/>
    <cellStyle name="Normal 16 2 3 3 5" xfId="32751"/>
    <cellStyle name="Normal 16 2 3 4" xfId="4546"/>
    <cellStyle name="Normal 16 2 3 4 2" xfId="12069"/>
    <cellStyle name="Normal 16 2 3 4 2 2" xfId="27113"/>
    <cellStyle name="Normal 16 2 3 4 2 3" xfId="42156"/>
    <cellStyle name="Normal 16 2 3 4 3" xfId="19592"/>
    <cellStyle name="Normal 16 2 3 4 4" xfId="34635"/>
    <cellStyle name="Normal 16 2 3 5" xfId="8320"/>
    <cellStyle name="Normal 16 2 3 5 2" xfId="23364"/>
    <cellStyle name="Normal 16 2 3 5 3" xfId="38407"/>
    <cellStyle name="Normal 16 2 3 6" xfId="15843"/>
    <cellStyle name="Normal 16 2 3 7" xfId="30886"/>
    <cellStyle name="Normal 16 2 4" xfId="1225"/>
    <cellStyle name="Normal 16 2 4 2" xfId="3096"/>
    <cellStyle name="Normal 16 2 4 2 2" xfId="6891"/>
    <cellStyle name="Normal 16 2 4 2 2 2" xfId="14414"/>
    <cellStyle name="Normal 16 2 4 2 2 2 2" xfId="29458"/>
    <cellStyle name="Normal 16 2 4 2 2 2 3" xfId="44501"/>
    <cellStyle name="Normal 16 2 4 2 2 3" xfId="21937"/>
    <cellStyle name="Normal 16 2 4 2 2 4" xfId="36980"/>
    <cellStyle name="Normal 16 2 4 2 3" xfId="10665"/>
    <cellStyle name="Normal 16 2 4 2 3 2" xfId="25709"/>
    <cellStyle name="Normal 16 2 4 2 3 3" xfId="40752"/>
    <cellStyle name="Normal 16 2 4 2 4" xfId="18188"/>
    <cellStyle name="Normal 16 2 4 2 5" xfId="33231"/>
    <cellStyle name="Normal 16 2 4 3" xfId="5026"/>
    <cellStyle name="Normal 16 2 4 3 2" xfId="12549"/>
    <cellStyle name="Normal 16 2 4 3 2 2" xfId="27593"/>
    <cellStyle name="Normal 16 2 4 3 2 3" xfId="42636"/>
    <cellStyle name="Normal 16 2 4 3 3" xfId="20072"/>
    <cellStyle name="Normal 16 2 4 3 4" xfId="35115"/>
    <cellStyle name="Normal 16 2 4 4" xfId="8800"/>
    <cellStyle name="Normal 16 2 4 4 2" xfId="23844"/>
    <cellStyle name="Normal 16 2 4 4 3" xfId="38887"/>
    <cellStyle name="Normal 16 2 4 5" xfId="16323"/>
    <cellStyle name="Normal 16 2 4 6" xfId="31366"/>
    <cellStyle name="Normal 16 2 5" xfId="2163"/>
    <cellStyle name="Normal 16 2 5 2" xfId="5959"/>
    <cellStyle name="Normal 16 2 5 2 2" xfId="13482"/>
    <cellStyle name="Normal 16 2 5 2 2 2" xfId="28526"/>
    <cellStyle name="Normal 16 2 5 2 2 3" xfId="43569"/>
    <cellStyle name="Normal 16 2 5 2 3" xfId="21005"/>
    <cellStyle name="Normal 16 2 5 2 4" xfId="36048"/>
    <cellStyle name="Normal 16 2 5 3" xfId="9733"/>
    <cellStyle name="Normal 16 2 5 3 2" xfId="24777"/>
    <cellStyle name="Normal 16 2 5 3 3" xfId="39820"/>
    <cellStyle name="Normal 16 2 5 4" xfId="17256"/>
    <cellStyle name="Normal 16 2 5 5" xfId="32299"/>
    <cellStyle name="Normal 16 2 6" xfId="4091"/>
    <cellStyle name="Normal 16 2 6 2" xfId="11615"/>
    <cellStyle name="Normal 16 2 6 2 2" xfId="26659"/>
    <cellStyle name="Normal 16 2 6 2 3" xfId="41702"/>
    <cellStyle name="Normal 16 2 6 3" xfId="19138"/>
    <cellStyle name="Normal 16 2 6 4" xfId="34181"/>
    <cellStyle name="Normal 16 2 7" xfId="7854"/>
    <cellStyle name="Normal 16 2 7 2" xfId="22898"/>
    <cellStyle name="Normal 16 2 7 3" xfId="37941"/>
    <cellStyle name="Normal 16 2 8" xfId="15377"/>
    <cellStyle name="Normal 16 2 9" xfId="30420"/>
    <cellStyle name="Normal 16 3" xfId="192"/>
    <cellStyle name="Normal 16 3 2" xfId="193"/>
    <cellStyle name="Normal 16 3 2 2" xfId="721"/>
    <cellStyle name="Normal 16 3 2 2 2" xfId="1680"/>
    <cellStyle name="Normal 16 3 2 2 2 2" xfId="3551"/>
    <cellStyle name="Normal 16 3 2 2 2 2 2" xfId="7346"/>
    <cellStyle name="Normal 16 3 2 2 2 2 2 2" xfId="14869"/>
    <cellStyle name="Normal 16 3 2 2 2 2 2 2 2" xfId="29913"/>
    <cellStyle name="Normal 16 3 2 2 2 2 2 2 3" xfId="44956"/>
    <cellStyle name="Normal 16 3 2 2 2 2 2 3" xfId="22392"/>
    <cellStyle name="Normal 16 3 2 2 2 2 2 4" xfId="37435"/>
    <cellStyle name="Normal 16 3 2 2 2 2 3" xfId="11120"/>
    <cellStyle name="Normal 16 3 2 2 2 2 3 2" xfId="26164"/>
    <cellStyle name="Normal 16 3 2 2 2 2 3 3" xfId="41207"/>
    <cellStyle name="Normal 16 3 2 2 2 2 4" xfId="18643"/>
    <cellStyle name="Normal 16 3 2 2 2 2 5" xfId="33686"/>
    <cellStyle name="Normal 16 3 2 2 2 3" xfId="5481"/>
    <cellStyle name="Normal 16 3 2 2 2 3 2" xfId="13004"/>
    <cellStyle name="Normal 16 3 2 2 2 3 2 2" xfId="28048"/>
    <cellStyle name="Normal 16 3 2 2 2 3 2 3" xfId="43091"/>
    <cellStyle name="Normal 16 3 2 2 2 3 3" xfId="20527"/>
    <cellStyle name="Normal 16 3 2 2 2 3 4" xfId="35570"/>
    <cellStyle name="Normal 16 3 2 2 2 4" xfId="9255"/>
    <cellStyle name="Normal 16 3 2 2 2 4 2" xfId="24299"/>
    <cellStyle name="Normal 16 3 2 2 2 4 3" xfId="39342"/>
    <cellStyle name="Normal 16 3 2 2 2 5" xfId="16778"/>
    <cellStyle name="Normal 16 3 2 2 2 6" xfId="31821"/>
    <cellStyle name="Normal 16 3 2 2 3" xfId="2619"/>
    <cellStyle name="Normal 16 3 2 2 3 2" xfId="6414"/>
    <cellStyle name="Normal 16 3 2 2 3 2 2" xfId="13937"/>
    <cellStyle name="Normal 16 3 2 2 3 2 2 2" xfId="28981"/>
    <cellStyle name="Normal 16 3 2 2 3 2 2 3" xfId="44024"/>
    <cellStyle name="Normal 16 3 2 2 3 2 3" xfId="21460"/>
    <cellStyle name="Normal 16 3 2 2 3 2 4" xfId="36503"/>
    <cellStyle name="Normal 16 3 2 2 3 3" xfId="10188"/>
    <cellStyle name="Normal 16 3 2 2 3 3 2" xfId="25232"/>
    <cellStyle name="Normal 16 3 2 2 3 3 3" xfId="40275"/>
    <cellStyle name="Normal 16 3 2 2 3 4" xfId="17711"/>
    <cellStyle name="Normal 16 3 2 2 3 5" xfId="32754"/>
    <cellStyle name="Normal 16 3 2 2 4" xfId="4549"/>
    <cellStyle name="Normal 16 3 2 2 4 2" xfId="12072"/>
    <cellStyle name="Normal 16 3 2 2 4 2 2" xfId="27116"/>
    <cellStyle name="Normal 16 3 2 2 4 2 3" xfId="42159"/>
    <cellStyle name="Normal 16 3 2 2 4 3" xfId="19595"/>
    <cellStyle name="Normal 16 3 2 2 4 4" xfId="34638"/>
    <cellStyle name="Normal 16 3 2 2 5" xfId="8323"/>
    <cellStyle name="Normal 16 3 2 2 5 2" xfId="23367"/>
    <cellStyle name="Normal 16 3 2 2 5 3" xfId="38410"/>
    <cellStyle name="Normal 16 3 2 2 6" xfId="15846"/>
    <cellStyle name="Normal 16 3 2 2 7" xfId="30889"/>
    <cellStyle name="Normal 16 3 2 3" xfId="1228"/>
    <cellStyle name="Normal 16 3 2 3 2" xfId="3099"/>
    <cellStyle name="Normal 16 3 2 3 2 2" xfId="6894"/>
    <cellStyle name="Normal 16 3 2 3 2 2 2" xfId="14417"/>
    <cellStyle name="Normal 16 3 2 3 2 2 2 2" xfId="29461"/>
    <cellStyle name="Normal 16 3 2 3 2 2 2 3" xfId="44504"/>
    <cellStyle name="Normal 16 3 2 3 2 2 3" xfId="21940"/>
    <cellStyle name="Normal 16 3 2 3 2 2 4" xfId="36983"/>
    <cellStyle name="Normal 16 3 2 3 2 3" xfId="10668"/>
    <cellStyle name="Normal 16 3 2 3 2 3 2" xfId="25712"/>
    <cellStyle name="Normal 16 3 2 3 2 3 3" xfId="40755"/>
    <cellStyle name="Normal 16 3 2 3 2 4" xfId="18191"/>
    <cellStyle name="Normal 16 3 2 3 2 5" xfId="33234"/>
    <cellStyle name="Normal 16 3 2 3 3" xfId="5029"/>
    <cellStyle name="Normal 16 3 2 3 3 2" xfId="12552"/>
    <cellStyle name="Normal 16 3 2 3 3 2 2" xfId="27596"/>
    <cellStyle name="Normal 16 3 2 3 3 2 3" xfId="42639"/>
    <cellStyle name="Normal 16 3 2 3 3 3" xfId="20075"/>
    <cellStyle name="Normal 16 3 2 3 3 4" xfId="35118"/>
    <cellStyle name="Normal 16 3 2 3 4" xfId="8803"/>
    <cellStyle name="Normal 16 3 2 3 4 2" xfId="23847"/>
    <cellStyle name="Normal 16 3 2 3 4 3" xfId="38890"/>
    <cellStyle name="Normal 16 3 2 3 5" xfId="16326"/>
    <cellStyle name="Normal 16 3 2 3 6" xfId="31369"/>
    <cellStyle name="Normal 16 3 2 4" xfId="2166"/>
    <cellStyle name="Normal 16 3 2 4 2" xfId="5962"/>
    <cellStyle name="Normal 16 3 2 4 2 2" xfId="13485"/>
    <cellStyle name="Normal 16 3 2 4 2 2 2" xfId="28529"/>
    <cellStyle name="Normal 16 3 2 4 2 2 3" xfId="43572"/>
    <cellStyle name="Normal 16 3 2 4 2 3" xfId="21008"/>
    <cellStyle name="Normal 16 3 2 4 2 4" xfId="36051"/>
    <cellStyle name="Normal 16 3 2 4 3" xfId="9736"/>
    <cellStyle name="Normal 16 3 2 4 3 2" xfId="24780"/>
    <cellStyle name="Normal 16 3 2 4 3 3" xfId="39823"/>
    <cellStyle name="Normal 16 3 2 4 4" xfId="17259"/>
    <cellStyle name="Normal 16 3 2 4 5" xfId="32302"/>
    <cellStyle name="Normal 16 3 2 5" xfId="4094"/>
    <cellStyle name="Normal 16 3 2 5 2" xfId="11618"/>
    <cellStyle name="Normal 16 3 2 5 2 2" xfId="26662"/>
    <cellStyle name="Normal 16 3 2 5 2 3" xfId="41705"/>
    <cellStyle name="Normal 16 3 2 5 3" xfId="19141"/>
    <cellStyle name="Normal 16 3 2 5 4" xfId="34184"/>
    <cellStyle name="Normal 16 3 2 6" xfId="7857"/>
    <cellStyle name="Normal 16 3 2 6 2" xfId="22901"/>
    <cellStyle name="Normal 16 3 2 6 3" xfId="37944"/>
    <cellStyle name="Normal 16 3 2 7" xfId="15380"/>
    <cellStyle name="Normal 16 3 2 8" xfId="30423"/>
    <cellStyle name="Normal 16 3 3" xfId="720"/>
    <cellStyle name="Normal 16 3 3 2" xfId="1679"/>
    <cellStyle name="Normal 16 3 3 2 2" xfId="3550"/>
    <cellStyle name="Normal 16 3 3 2 2 2" xfId="7345"/>
    <cellStyle name="Normal 16 3 3 2 2 2 2" xfId="14868"/>
    <cellStyle name="Normal 16 3 3 2 2 2 2 2" xfId="29912"/>
    <cellStyle name="Normal 16 3 3 2 2 2 2 3" xfId="44955"/>
    <cellStyle name="Normal 16 3 3 2 2 2 3" xfId="22391"/>
    <cellStyle name="Normal 16 3 3 2 2 2 4" xfId="37434"/>
    <cellStyle name="Normal 16 3 3 2 2 3" xfId="11119"/>
    <cellStyle name="Normal 16 3 3 2 2 3 2" xfId="26163"/>
    <cellStyle name="Normal 16 3 3 2 2 3 3" xfId="41206"/>
    <cellStyle name="Normal 16 3 3 2 2 4" xfId="18642"/>
    <cellStyle name="Normal 16 3 3 2 2 5" xfId="33685"/>
    <cellStyle name="Normal 16 3 3 2 3" xfId="5480"/>
    <cellStyle name="Normal 16 3 3 2 3 2" xfId="13003"/>
    <cellStyle name="Normal 16 3 3 2 3 2 2" xfId="28047"/>
    <cellStyle name="Normal 16 3 3 2 3 2 3" xfId="43090"/>
    <cellStyle name="Normal 16 3 3 2 3 3" xfId="20526"/>
    <cellStyle name="Normal 16 3 3 2 3 4" xfId="35569"/>
    <cellStyle name="Normal 16 3 3 2 4" xfId="9254"/>
    <cellStyle name="Normal 16 3 3 2 4 2" xfId="24298"/>
    <cellStyle name="Normal 16 3 3 2 4 3" xfId="39341"/>
    <cellStyle name="Normal 16 3 3 2 5" xfId="16777"/>
    <cellStyle name="Normal 16 3 3 2 6" xfId="31820"/>
    <cellStyle name="Normal 16 3 3 3" xfId="2618"/>
    <cellStyle name="Normal 16 3 3 3 2" xfId="6413"/>
    <cellStyle name="Normal 16 3 3 3 2 2" xfId="13936"/>
    <cellStyle name="Normal 16 3 3 3 2 2 2" xfId="28980"/>
    <cellStyle name="Normal 16 3 3 3 2 2 3" xfId="44023"/>
    <cellStyle name="Normal 16 3 3 3 2 3" xfId="21459"/>
    <cellStyle name="Normal 16 3 3 3 2 4" xfId="36502"/>
    <cellStyle name="Normal 16 3 3 3 3" xfId="10187"/>
    <cellStyle name="Normal 16 3 3 3 3 2" xfId="25231"/>
    <cellStyle name="Normal 16 3 3 3 3 3" xfId="40274"/>
    <cellStyle name="Normal 16 3 3 3 4" xfId="17710"/>
    <cellStyle name="Normal 16 3 3 3 5" xfId="32753"/>
    <cellStyle name="Normal 16 3 3 4" xfId="4548"/>
    <cellStyle name="Normal 16 3 3 4 2" xfId="12071"/>
    <cellStyle name="Normal 16 3 3 4 2 2" xfId="27115"/>
    <cellStyle name="Normal 16 3 3 4 2 3" xfId="42158"/>
    <cellStyle name="Normal 16 3 3 4 3" xfId="19594"/>
    <cellStyle name="Normal 16 3 3 4 4" xfId="34637"/>
    <cellStyle name="Normal 16 3 3 5" xfId="8322"/>
    <cellStyle name="Normal 16 3 3 5 2" xfId="23366"/>
    <cellStyle name="Normal 16 3 3 5 3" xfId="38409"/>
    <cellStyle name="Normal 16 3 3 6" xfId="15845"/>
    <cellStyle name="Normal 16 3 3 7" xfId="30888"/>
    <cellStyle name="Normal 16 3 4" xfId="1227"/>
    <cellStyle name="Normal 16 3 4 2" xfId="3098"/>
    <cellStyle name="Normal 16 3 4 2 2" xfId="6893"/>
    <cellStyle name="Normal 16 3 4 2 2 2" xfId="14416"/>
    <cellStyle name="Normal 16 3 4 2 2 2 2" xfId="29460"/>
    <cellStyle name="Normal 16 3 4 2 2 2 3" xfId="44503"/>
    <cellStyle name="Normal 16 3 4 2 2 3" xfId="21939"/>
    <cellStyle name="Normal 16 3 4 2 2 4" xfId="36982"/>
    <cellStyle name="Normal 16 3 4 2 3" xfId="10667"/>
    <cellStyle name="Normal 16 3 4 2 3 2" xfId="25711"/>
    <cellStyle name="Normal 16 3 4 2 3 3" xfId="40754"/>
    <cellStyle name="Normal 16 3 4 2 4" xfId="18190"/>
    <cellStyle name="Normal 16 3 4 2 5" xfId="33233"/>
    <cellStyle name="Normal 16 3 4 3" xfId="5028"/>
    <cellStyle name="Normal 16 3 4 3 2" xfId="12551"/>
    <cellStyle name="Normal 16 3 4 3 2 2" xfId="27595"/>
    <cellStyle name="Normal 16 3 4 3 2 3" xfId="42638"/>
    <cellStyle name="Normal 16 3 4 3 3" xfId="20074"/>
    <cellStyle name="Normal 16 3 4 3 4" xfId="35117"/>
    <cellStyle name="Normal 16 3 4 4" xfId="8802"/>
    <cellStyle name="Normal 16 3 4 4 2" xfId="23846"/>
    <cellStyle name="Normal 16 3 4 4 3" xfId="38889"/>
    <cellStyle name="Normal 16 3 4 5" xfId="16325"/>
    <cellStyle name="Normal 16 3 4 6" xfId="31368"/>
    <cellStyle name="Normal 16 3 5" xfId="2165"/>
    <cellStyle name="Normal 16 3 5 2" xfId="5961"/>
    <cellStyle name="Normal 16 3 5 2 2" xfId="13484"/>
    <cellStyle name="Normal 16 3 5 2 2 2" xfId="28528"/>
    <cellStyle name="Normal 16 3 5 2 2 3" xfId="43571"/>
    <cellStyle name="Normal 16 3 5 2 3" xfId="21007"/>
    <cellStyle name="Normal 16 3 5 2 4" xfId="36050"/>
    <cellStyle name="Normal 16 3 5 3" xfId="9735"/>
    <cellStyle name="Normal 16 3 5 3 2" xfId="24779"/>
    <cellStyle name="Normal 16 3 5 3 3" xfId="39822"/>
    <cellStyle name="Normal 16 3 5 4" xfId="17258"/>
    <cellStyle name="Normal 16 3 5 5" xfId="32301"/>
    <cellStyle name="Normal 16 3 6" xfId="4093"/>
    <cellStyle name="Normal 16 3 6 2" xfId="11617"/>
    <cellStyle name="Normal 16 3 6 2 2" xfId="26661"/>
    <cellStyle name="Normal 16 3 6 2 3" xfId="41704"/>
    <cellStyle name="Normal 16 3 6 3" xfId="19140"/>
    <cellStyle name="Normal 16 3 6 4" xfId="34183"/>
    <cellStyle name="Normal 16 3 7" xfId="7856"/>
    <cellStyle name="Normal 16 3 7 2" xfId="22900"/>
    <cellStyle name="Normal 16 3 7 3" xfId="37943"/>
    <cellStyle name="Normal 16 3 8" xfId="15379"/>
    <cellStyle name="Normal 16 3 9" xfId="30422"/>
    <cellStyle name="Normal 16 4" xfId="194"/>
    <cellStyle name="Normal 16 4 2" xfId="722"/>
    <cellStyle name="Normal 16 4 2 2" xfId="1681"/>
    <cellStyle name="Normal 16 4 2 2 2" xfId="3552"/>
    <cellStyle name="Normal 16 4 2 2 2 2" xfId="7347"/>
    <cellStyle name="Normal 16 4 2 2 2 2 2" xfId="14870"/>
    <cellStyle name="Normal 16 4 2 2 2 2 2 2" xfId="29914"/>
    <cellStyle name="Normal 16 4 2 2 2 2 2 3" xfId="44957"/>
    <cellStyle name="Normal 16 4 2 2 2 2 3" xfId="22393"/>
    <cellStyle name="Normal 16 4 2 2 2 2 4" xfId="37436"/>
    <cellStyle name="Normal 16 4 2 2 2 3" xfId="11121"/>
    <cellStyle name="Normal 16 4 2 2 2 3 2" xfId="26165"/>
    <cellStyle name="Normal 16 4 2 2 2 3 3" xfId="41208"/>
    <cellStyle name="Normal 16 4 2 2 2 4" xfId="18644"/>
    <cellStyle name="Normal 16 4 2 2 2 5" xfId="33687"/>
    <cellStyle name="Normal 16 4 2 2 3" xfId="5482"/>
    <cellStyle name="Normal 16 4 2 2 3 2" xfId="13005"/>
    <cellStyle name="Normal 16 4 2 2 3 2 2" xfId="28049"/>
    <cellStyle name="Normal 16 4 2 2 3 2 3" xfId="43092"/>
    <cellStyle name="Normal 16 4 2 2 3 3" xfId="20528"/>
    <cellStyle name="Normal 16 4 2 2 3 4" xfId="35571"/>
    <cellStyle name="Normal 16 4 2 2 4" xfId="9256"/>
    <cellStyle name="Normal 16 4 2 2 4 2" xfId="24300"/>
    <cellStyle name="Normal 16 4 2 2 4 3" xfId="39343"/>
    <cellStyle name="Normal 16 4 2 2 5" xfId="16779"/>
    <cellStyle name="Normal 16 4 2 2 6" xfId="31822"/>
    <cellStyle name="Normal 16 4 2 3" xfId="2620"/>
    <cellStyle name="Normal 16 4 2 3 2" xfId="6415"/>
    <cellStyle name="Normal 16 4 2 3 2 2" xfId="13938"/>
    <cellStyle name="Normal 16 4 2 3 2 2 2" xfId="28982"/>
    <cellStyle name="Normal 16 4 2 3 2 2 3" xfId="44025"/>
    <cellStyle name="Normal 16 4 2 3 2 3" xfId="21461"/>
    <cellStyle name="Normal 16 4 2 3 2 4" xfId="36504"/>
    <cellStyle name="Normal 16 4 2 3 3" xfId="10189"/>
    <cellStyle name="Normal 16 4 2 3 3 2" xfId="25233"/>
    <cellStyle name="Normal 16 4 2 3 3 3" xfId="40276"/>
    <cellStyle name="Normal 16 4 2 3 4" xfId="17712"/>
    <cellStyle name="Normal 16 4 2 3 5" xfId="32755"/>
    <cellStyle name="Normal 16 4 2 4" xfId="4550"/>
    <cellStyle name="Normal 16 4 2 4 2" xfId="12073"/>
    <cellStyle name="Normal 16 4 2 4 2 2" xfId="27117"/>
    <cellStyle name="Normal 16 4 2 4 2 3" xfId="42160"/>
    <cellStyle name="Normal 16 4 2 4 3" xfId="19596"/>
    <cellStyle name="Normal 16 4 2 4 4" xfId="34639"/>
    <cellStyle name="Normal 16 4 2 5" xfId="8324"/>
    <cellStyle name="Normal 16 4 2 5 2" xfId="23368"/>
    <cellStyle name="Normal 16 4 2 5 3" xfId="38411"/>
    <cellStyle name="Normal 16 4 2 6" xfId="15847"/>
    <cellStyle name="Normal 16 4 2 7" xfId="30890"/>
    <cellStyle name="Normal 16 4 3" xfId="1229"/>
    <cellStyle name="Normal 16 4 3 2" xfId="3100"/>
    <cellStyle name="Normal 16 4 3 2 2" xfId="6895"/>
    <cellStyle name="Normal 16 4 3 2 2 2" xfId="14418"/>
    <cellStyle name="Normal 16 4 3 2 2 2 2" xfId="29462"/>
    <cellStyle name="Normal 16 4 3 2 2 2 3" xfId="44505"/>
    <cellStyle name="Normal 16 4 3 2 2 3" xfId="21941"/>
    <cellStyle name="Normal 16 4 3 2 2 4" xfId="36984"/>
    <cellStyle name="Normal 16 4 3 2 3" xfId="10669"/>
    <cellStyle name="Normal 16 4 3 2 3 2" xfId="25713"/>
    <cellStyle name="Normal 16 4 3 2 3 3" xfId="40756"/>
    <cellStyle name="Normal 16 4 3 2 4" xfId="18192"/>
    <cellStyle name="Normal 16 4 3 2 5" xfId="33235"/>
    <cellStyle name="Normal 16 4 3 3" xfId="5030"/>
    <cellStyle name="Normal 16 4 3 3 2" xfId="12553"/>
    <cellStyle name="Normal 16 4 3 3 2 2" xfId="27597"/>
    <cellStyle name="Normal 16 4 3 3 2 3" xfId="42640"/>
    <cellStyle name="Normal 16 4 3 3 3" xfId="20076"/>
    <cellStyle name="Normal 16 4 3 3 4" xfId="35119"/>
    <cellStyle name="Normal 16 4 3 4" xfId="8804"/>
    <cellStyle name="Normal 16 4 3 4 2" xfId="23848"/>
    <cellStyle name="Normal 16 4 3 4 3" xfId="38891"/>
    <cellStyle name="Normal 16 4 3 5" xfId="16327"/>
    <cellStyle name="Normal 16 4 3 6" xfId="31370"/>
    <cellStyle name="Normal 16 4 4" xfId="2167"/>
    <cellStyle name="Normal 16 4 4 2" xfId="5963"/>
    <cellStyle name="Normal 16 4 4 2 2" xfId="13486"/>
    <cellStyle name="Normal 16 4 4 2 2 2" xfId="28530"/>
    <cellStyle name="Normal 16 4 4 2 2 3" xfId="43573"/>
    <cellStyle name="Normal 16 4 4 2 3" xfId="21009"/>
    <cellStyle name="Normal 16 4 4 2 4" xfId="36052"/>
    <cellStyle name="Normal 16 4 4 3" xfId="9737"/>
    <cellStyle name="Normal 16 4 4 3 2" xfId="24781"/>
    <cellStyle name="Normal 16 4 4 3 3" xfId="39824"/>
    <cellStyle name="Normal 16 4 4 4" xfId="17260"/>
    <cellStyle name="Normal 16 4 4 5" xfId="32303"/>
    <cellStyle name="Normal 16 4 5" xfId="4095"/>
    <cellStyle name="Normal 16 4 5 2" xfId="11619"/>
    <cellStyle name="Normal 16 4 5 2 2" xfId="26663"/>
    <cellStyle name="Normal 16 4 5 2 3" xfId="41706"/>
    <cellStyle name="Normal 16 4 5 3" xfId="19142"/>
    <cellStyle name="Normal 16 4 5 4" xfId="34185"/>
    <cellStyle name="Normal 16 4 6" xfId="7858"/>
    <cellStyle name="Normal 16 4 6 2" xfId="22902"/>
    <cellStyle name="Normal 16 4 6 3" xfId="37945"/>
    <cellStyle name="Normal 16 4 7" xfId="15381"/>
    <cellStyle name="Normal 16 4 8" xfId="30424"/>
    <cellStyle name="Normal 16 5" xfId="717"/>
    <cellStyle name="Normal 16 5 2" xfId="1676"/>
    <cellStyle name="Normal 16 5 2 2" xfId="3547"/>
    <cellStyle name="Normal 16 5 2 2 2" xfId="7342"/>
    <cellStyle name="Normal 16 5 2 2 2 2" xfId="14865"/>
    <cellStyle name="Normal 16 5 2 2 2 2 2" xfId="29909"/>
    <cellStyle name="Normal 16 5 2 2 2 2 3" xfId="44952"/>
    <cellStyle name="Normal 16 5 2 2 2 3" xfId="22388"/>
    <cellStyle name="Normal 16 5 2 2 2 4" xfId="37431"/>
    <cellStyle name="Normal 16 5 2 2 3" xfId="11116"/>
    <cellStyle name="Normal 16 5 2 2 3 2" xfId="26160"/>
    <cellStyle name="Normal 16 5 2 2 3 3" xfId="41203"/>
    <cellStyle name="Normal 16 5 2 2 4" xfId="18639"/>
    <cellStyle name="Normal 16 5 2 2 5" xfId="33682"/>
    <cellStyle name="Normal 16 5 2 3" xfId="5477"/>
    <cellStyle name="Normal 16 5 2 3 2" xfId="13000"/>
    <cellStyle name="Normal 16 5 2 3 2 2" xfId="28044"/>
    <cellStyle name="Normal 16 5 2 3 2 3" xfId="43087"/>
    <cellStyle name="Normal 16 5 2 3 3" xfId="20523"/>
    <cellStyle name="Normal 16 5 2 3 4" xfId="35566"/>
    <cellStyle name="Normal 16 5 2 4" xfId="9251"/>
    <cellStyle name="Normal 16 5 2 4 2" xfId="24295"/>
    <cellStyle name="Normal 16 5 2 4 3" xfId="39338"/>
    <cellStyle name="Normal 16 5 2 5" xfId="16774"/>
    <cellStyle name="Normal 16 5 2 6" xfId="31817"/>
    <cellStyle name="Normal 16 5 3" xfId="2615"/>
    <cellStyle name="Normal 16 5 3 2" xfId="6410"/>
    <cellStyle name="Normal 16 5 3 2 2" xfId="13933"/>
    <cellStyle name="Normal 16 5 3 2 2 2" xfId="28977"/>
    <cellStyle name="Normal 16 5 3 2 2 3" xfId="44020"/>
    <cellStyle name="Normal 16 5 3 2 3" xfId="21456"/>
    <cellStyle name="Normal 16 5 3 2 4" xfId="36499"/>
    <cellStyle name="Normal 16 5 3 3" xfId="10184"/>
    <cellStyle name="Normal 16 5 3 3 2" xfId="25228"/>
    <cellStyle name="Normal 16 5 3 3 3" xfId="40271"/>
    <cellStyle name="Normal 16 5 3 4" xfId="17707"/>
    <cellStyle name="Normal 16 5 3 5" xfId="32750"/>
    <cellStyle name="Normal 16 5 4" xfId="4545"/>
    <cellStyle name="Normal 16 5 4 2" xfId="12068"/>
    <cellStyle name="Normal 16 5 4 2 2" xfId="27112"/>
    <cellStyle name="Normal 16 5 4 2 3" xfId="42155"/>
    <cellStyle name="Normal 16 5 4 3" xfId="19591"/>
    <cellStyle name="Normal 16 5 4 4" xfId="34634"/>
    <cellStyle name="Normal 16 5 5" xfId="8319"/>
    <cellStyle name="Normal 16 5 5 2" xfId="23363"/>
    <cellStyle name="Normal 16 5 5 3" xfId="38406"/>
    <cellStyle name="Normal 16 5 6" xfId="15842"/>
    <cellStyle name="Normal 16 5 7" xfId="30885"/>
    <cellStyle name="Normal 16 6" xfId="1224"/>
    <cellStyle name="Normal 16 6 2" xfId="3095"/>
    <cellStyle name="Normal 16 6 2 2" xfId="6890"/>
    <cellStyle name="Normal 16 6 2 2 2" xfId="14413"/>
    <cellStyle name="Normal 16 6 2 2 2 2" xfId="29457"/>
    <cellStyle name="Normal 16 6 2 2 2 3" xfId="44500"/>
    <cellStyle name="Normal 16 6 2 2 3" xfId="21936"/>
    <cellStyle name="Normal 16 6 2 2 4" xfId="36979"/>
    <cellStyle name="Normal 16 6 2 3" xfId="10664"/>
    <cellStyle name="Normal 16 6 2 3 2" xfId="25708"/>
    <cellStyle name="Normal 16 6 2 3 3" xfId="40751"/>
    <cellStyle name="Normal 16 6 2 4" xfId="18187"/>
    <cellStyle name="Normal 16 6 2 5" xfId="33230"/>
    <cellStyle name="Normal 16 6 3" xfId="5025"/>
    <cellStyle name="Normal 16 6 3 2" xfId="12548"/>
    <cellStyle name="Normal 16 6 3 2 2" xfId="27592"/>
    <cellStyle name="Normal 16 6 3 2 3" xfId="42635"/>
    <cellStyle name="Normal 16 6 3 3" xfId="20071"/>
    <cellStyle name="Normal 16 6 3 4" xfId="35114"/>
    <cellStyle name="Normal 16 6 4" xfId="8799"/>
    <cellStyle name="Normal 16 6 4 2" xfId="23843"/>
    <cellStyle name="Normal 16 6 4 3" xfId="38886"/>
    <cellStyle name="Normal 16 6 5" xfId="16322"/>
    <cellStyle name="Normal 16 6 6" xfId="31365"/>
    <cellStyle name="Normal 16 7" xfId="2162"/>
    <cellStyle name="Normal 16 7 2" xfId="5958"/>
    <cellStyle name="Normal 16 7 2 2" xfId="13481"/>
    <cellStyle name="Normal 16 7 2 2 2" xfId="28525"/>
    <cellStyle name="Normal 16 7 2 2 3" xfId="43568"/>
    <cellStyle name="Normal 16 7 2 3" xfId="21004"/>
    <cellStyle name="Normal 16 7 2 4" xfId="36047"/>
    <cellStyle name="Normal 16 7 3" xfId="9732"/>
    <cellStyle name="Normal 16 7 3 2" xfId="24776"/>
    <cellStyle name="Normal 16 7 3 3" xfId="39819"/>
    <cellStyle name="Normal 16 7 4" xfId="17255"/>
    <cellStyle name="Normal 16 7 5" xfId="32298"/>
    <cellStyle name="Normal 16 8" xfId="4090"/>
    <cellStyle name="Normal 16 8 2" xfId="11614"/>
    <cellStyle name="Normal 16 8 2 2" xfId="26658"/>
    <cellStyle name="Normal 16 8 2 3" xfId="41701"/>
    <cellStyle name="Normal 16 8 3" xfId="19137"/>
    <cellStyle name="Normal 16 8 4" xfId="34180"/>
    <cellStyle name="Normal 16 9" xfId="7853"/>
    <cellStyle name="Normal 16 9 2" xfId="22897"/>
    <cellStyle name="Normal 16 9 3" xfId="37940"/>
    <cellStyle name="Normal 17" xfId="195"/>
    <cellStyle name="Normal 17 10" xfId="30425"/>
    <cellStyle name="Normal 17 2" xfId="196"/>
    <cellStyle name="Normal 17 2 2" xfId="197"/>
    <cellStyle name="Normal 17 2 2 2" xfId="725"/>
    <cellStyle name="Normal 17 2 2 2 2" xfId="1684"/>
    <cellStyle name="Normal 17 2 2 2 2 2" xfId="3555"/>
    <cellStyle name="Normal 17 2 2 2 2 2 2" xfId="7350"/>
    <cellStyle name="Normal 17 2 2 2 2 2 2 2" xfId="14873"/>
    <cellStyle name="Normal 17 2 2 2 2 2 2 2 2" xfId="29917"/>
    <cellStyle name="Normal 17 2 2 2 2 2 2 2 3" xfId="44960"/>
    <cellStyle name="Normal 17 2 2 2 2 2 2 3" xfId="22396"/>
    <cellStyle name="Normal 17 2 2 2 2 2 2 4" xfId="37439"/>
    <cellStyle name="Normal 17 2 2 2 2 2 3" xfId="11124"/>
    <cellStyle name="Normal 17 2 2 2 2 2 3 2" xfId="26168"/>
    <cellStyle name="Normal 17 2 2 2 2 2 3 3" xfId="41211"/>
    <cellStyle name="Normal 17 2 2 2 2 2 4" xfId="18647"/>
    <cellStyle name="Normal 17 2 2 2 2 2 5" xfId="33690"/>
    <cellStyle name="Normal 17 2 2 2 2 3" xfId="5485"/>
    <cellStyle name="Normal 17 2 2 2 2 3 2" xfId="13008"/>
    <cellStyle name="Normal 17 2 2 2 2 3 2 2" xfId="28052"/>
    <cellStyle name="Normal 17 2 2 2 2 3 2 3" xfId="43095"/>
    <cellStyle name="Normal 17 2 2 2 2 3 3" xfId="20531"/>
    <cellStyle name="Normal 17 2 2 2 2 3 4" xfId="35574"/>
    <cellStyle name="Normal 17 2 2 2 2 4" xfId="9259"/>
    <cellStyle name="Normal 17 2 2 2 2 4 2" xfId="24303"/>
    <cellStyle name="Normal 17 2 2 2 2 4 3" xfId="39346"/>
    <cellStyle name="Normal 17 2 2 2 2 5" xfId="16782"/>
    <cellStyle name="Normal 17 2 2 2 2 6" xfId="31825"/>
    <cellStyle name="Normal 17 2 2 2 3" xfId="2623"/>
    <cellStyle name="Normal 17 2 2 2 3 2" xfId="6418"/>
    <cellStyle name="Normal 17 2 2 2 3 2 2" xfId="13941"/>
    <cellStyle name="Normal 17 2 2 2 3 2 2 2" xfId="28985"/>
    <cellStyle name="Normal 17 2 2 2 3 2 2 3" xfId="44028"/>
    <cellStyle name="Normal 17 2 2 2 3 2 3" xfId="21464"/>
    <cellStyle name="Normal 17 2 2 2 3 2 4" xfId="36507"/>
    <cellStyle name="Normal 17 2 2 2 3 3" xfId="10192"/>
    <cellStyle name="Normal 17 2 2 2 3 3 2" xfId="25236"/>
    <cellStyle name="Normal 17 2 2 2 3 3 3" xfId="40279"/>
    <cellStyle name="Normal 17 2 2 2 3 4" xfId="17715"/>
    <cellStyle name="Normal 17 2 2 2 3 5" xfId="32758"/>
    <cellStyle name="Normal 17 2 2 2 4" xfId="4553"/>
    <cellStyle name="Normal 17 2 2 2 4 2" xfId="12076"/>
    <cellStyle name="Normal 17 2 2 2 4 2 2" xfId="27120"/>
    <cellStyle name="Normal 17 2 2 2 4 2 3" xfId="42163"/>
    <cellStyle name="Normal 17 2 2 2 4 3" xfId="19599"/>
    <cellStyle name="Normal 17 2 2 2 4 4" xfId="34642"/>
    <cellStyle name="Normal 17 2 2 2 5" xfId="8327"/>
    <cellStyle name="Normal 17 2 2 2 5 2" xfId="23371"/>
    <cellStyle name="Normal 17 2 2 2 5 3" xfId="38414"/>
    <cellStyle name="Normal 17 2 2 2 6" xfId="15850"/>
    <cellStyle name="Normal 17 2 2 2 7" xfId="30893"/>
    <cellStyle name="Normal 17 2 2 3" xfId="1232"/>
    <cellStyle name="Normal 17 2 2 3 2" xfId="3103"/>
    <cellStyle name="Normal 17 2 2 3 2 2" xfId="6898"/>
    <cellStyle name="Normal 17 2 2 3 2 2 2" xfId="14421"/>
    <cellStyle name="Normal 17 2 2 3 2 2 2 2" xfId="29465"/>
    <cellStyle name="Normal 17 2 2 3 2 2 2 3" xfId="44508"/>
    <cellStyle name="Normal 17 2 2 3 2 2 3" xfId="21944"/>
    <cellStyle name="Normal 17 2 2 3 2 2 4" xfId="36987"/>
    <cellStyle name="Normal 17 2 2 3 2 3" xfId="10672"/>
    <cellStyle name="Normal 17 2 2 3 2 3 2" xfId="25716"/>
    <cellStyle name="Normal 17 2 2 3 2 3 3" xfId="40759"/>
    <cellStyle name="Normal 17 2 2 3 2 4" xfId="18195"/>
    <cellStyle name="Normal 17 2 2 3 2 5" xfId="33238"/>
    <cellStyle name="Normal 17 2 2 3 3" xfId="5033"/>
    <cellStyle name="Normal 17 2 2 3 3 2" xfId="12556"/>
    <cellStyle name="Normal 17 2 2 3 3 2 2" xfId="27600"/>
    <cellStyle name="Normal 17 2 2 3 3 2 3" xfId="42643"/>
    <cellStyle name="Normal 17 2 2 3 3 3" xfId="20079"/>
    <cellStyle name="Normal 17 2 2 3 3 4" xfId="35122"/>
    <cellStyle name="Normal 17 2 2 3 4" xfId="8807"/>
    <cellStyle name="Normal 17 2 2 3 4 2" xfId="23851"/>
    <cellStyle name="Normal 17 2 2 3 4 3" xfId="38894"/>
    <cellStyle name="Normal 17 2 2 3 5" xfId="16330"/>
    <cellStyle name="Normal 17 2 2 3 6" xfId="31373"/>
    <cellStyle name="Normal 17 2 2 4" xfId="2170"/>
    <cellStyle name="Normal 17 2 2 4 2" xfId="5966"/>
    <cellStyle name="Normal 17 2 2 4 2 2" xfId="13489"/>
    <cellStyle name="Normal 17 2 2 4 2 2 2" xfId="28533"/>
    <cellStyle name="Normal 17 2 2 4 2 2 3" xfId="43576"/>
    <cellStyle name="Normal 17 2 2 4 2 3" xfId="21012"/>
    <cellStyle name="Normal 17 2 2 4 2 4" xfId="36055"/>
    <cellStyle name="Normal 17 2 2 4 3" xfId="9740"/>
    <cellStyle name="Normal 17 2 2 4 3 2" xfId="24784"/>
    <cellStyle name="Normal 17 2 2 4 3 3" xfId="39827"/>
    <cellStyle name="Normal 17 2 2 4 4" xfId="17263"/>
    <cellStyle name="Normal 17 2 2 4 5" xfId="32306"/>
    <cellStyle name="Normal 17 2 2 5" xfId="4098"/>
    <cellStyle name="Normal 17 2 2 5 2" xfId="11622"/>
    <cellStyle name="Normal 17 2 2 5 2 2" xfId="26666"/>
    <cellStyle name="Normal 17 2 2 5 2 3" xfId="41709"/>
    <cellStyle name="Normal 17 2 2 5 3" xfId="19145"/>
    <cellStyle name="Normal 17 2 2 5 4" xfId="34188"/>
    <cellStyle name="Normal 17 2 2 6" xfId="7861"/>
    <cellStyle name="Normal 17 2 2 6 2" xfId="22905"/>
    <cellStyle name="Normal 17 2 2 6 3" xfId="37948"/>
    <cellStyle name="Normal 17 2 2 7" xfId="15384"/>
    <cellStyle name="Normal 17 2 2 8" xfId="30427"/>
    <cellStyle name="Normal 17 2 3" xfId="724"/>
    <cellStyle name="Normal 17 2 3 2" xfId="1683"/>
    <cellStyle name="Normal 17 2 3 2 2" xfId="3554"/>
    <cellStyle name="Normal 17 2 3 2 2 2" xfId="7349"/>
    <cellStyle name="Normal 17 2 3 2 2 2 2" xfId="14872"/>
    <cellStyle name="Normal 17 2 3 2 2 2 2 2" xfId="29916"/>
    <cellStyle name="Normal 17 2 3 2 2 2 2 3" xfId="44959"/>
    <cellStyle name="Normal 17 2 3 2 2 2 3" xfId="22395"/>
    <cellStyle name="Normal 17 2 3 2 2 2 4" xfId="37438"/>
    <cellStyle name="Normal 17 2 3 2 2 3" xfId="11123"/>
    <cellStyle name="Normal 17 2 3 2 2 3 2" xfId="26167"/>
    <cellStyle name="Normal 17 2 3 2 2 3 3" xfId="41210"/>
    <cellStyle name="Normal 17 2 3 2 2 4" xfId="18646"/>
    <cellStyle name="Normal 17 2 3 2 2 5" xfId="33689"/>
    <cellStyle name="Normal 17 2 3 2 3" xfId="5484"/>
    <cellStyle name="Normal 17 2 3 2 3 2" xfId="13007"/>
    <cellStyle name="Normal 17 2 3 2 3 2 2" xfId="28051"/>
    <cellStyle name="Normal 17 2 3 2 3 2 3" xfId="43094"/>
    <cellStyle name="Normal 17 2 3 2 3 3" xfId="20530"/>
    <cellStyle name="Normal 17 2 3 2 3 4" xfId="35573"/>
    <cellStyle name="Normal 17 2 3 2 4" xfId="9258"/>
    <cellStyle name="Normal 17 2 3 2 4 2" xfId="24302"/>
    <cellStyle name="Normal 17 2 3 2 4 3" xfId="39345"/>
    <cellStyle name="Normal 17 2 3 2 5" xfId="16781"/>
    <cellStyle name="Normal 17 2 3 2 6" xfId="31824"/>
    <cellStyle name="Normal 17 2 3 3" xfId="2622"/>
    <cellStyle name="Normal 17 2 3 3 2" xfId="6417"/>
    <cellStyle name="Normal 17 2 3 3 2 2" xfId="13940"/>
    <cellStyle name="Normal 17 2 3 3 2 2 2" xfId="28984"/>
    <cellStyle name="Normal 17 2 3 3 2 2 3" xfId="44027"/>
    <cellStyle name="Normal 17 2 3 3 2 3" xfId="21463"/>
    <cellStyle name="Normal 17 2 3 3 2 4" xfId="36506"/>
    <cellStyle name="Normal 17 2 3 3 3" xfId="10191"/>
    <cellStyle name="Normal 17 2 3 3 3 2" xfId="25235"/>
    <cellStyle name="Normal 17 2 3 3 3 3" xfId="40278"/>
    <cellStyle name="Normal 17 2 3 3 4" xfId="17714"/>
    <cellStyle name="Normal 17 2 3 3 5" xfId="32757"/>
    <cellStyle name="Normal 17 2 3 4" xfId="4552"/>
    <cellStyle name="Normal 17 2 3 4 2" xfId="12075"/>
    <cellStyle name="Normal 17 2 3 4 2 2" xfId="27119"/>
    <cellStyle name="Normal 17 2 3 4 2 3" xfId="42162"/>
    <cellStyle name="Normal 17 2 3 4 3" xfId="19598"/>
    <cellStyle name="Normal 17 2 3 4 4" xfId="34641"/>
    <cellStyle name="Normal 17 2 3 5" xfId="8326"/>
    <cellStyle name="Normal 17 2 3 5 2" xfId="23370"/>
    <cellStyle name="Normal 17 2 3 5 3" xfId="38413"/>
    <cellStyle name="Normal 17 2 3 6" xfId="15849"/>
    <cellStyle name="Normal 17 2 3 7" xfId="30892"/>
    <cellStyle name="Normal 17 2 4" xfId="1231"/>
    <cellStyle name="Normal 17 2 4 2" xfId="3102"/>
    <cellStyle name="Normal 17 2 4 2 2" xfId="6897"/>
    <cellStyle name="Normal 17 2 4 2 2 2" xfId="14420"/>
    <cellStyle name="Normal 17 2 4 2 2 2 2" xfId="29464"/>
    <cellStyle name="Normal 17 2 4 2 2 2 3" xfId="44507"/>
    <cellStyle name="Normal 17 2 4 2 2 3" xfId="21943"/>
    <cellStyle name="Normal 17 2 4 2 2 4" xfId="36986"/>
    <cellStyle name="Normal 17 2 4 2 3" xfId="10671"/>
    <cellStyle name="Normal 17 2 4 2 3 2" xfId="25715"/>
    <cellStyle name="Normal 17 2 4 2 3 3" xfId="40758"/>
    <cellStyle name="Normal 17 2 4 2 4" xfId="18194"/>
    <cellStyle name="Normal 17 2 4 2 5" xfId="33237"/>
    <cellStyle name="Normal 17 2 4 3" xfId="5032"/>
    <cellStyle name="Normal 17 2 4 3 2" xfId="12555"/>
    <cellStyle name="Normal 17 2 4 3 2 2" xfId="27599"/>
    <cellStyle name="Normal 17 2 4 3 2 3" xfId="42642"/>
    <cellStyle name="Normal 17 2 4 3 3" xfId="20078"/>
    <cellStyle name="Normal 17 2 4 3 4" xfId="35121"/>
    <cellStyle name="Normal 17 2 4 4" xfId="8806"/>
    <cellStyle name="Normal 17 2 4 4 2" xfId="23850"/>
    <cellStyle name="Normal 17 2 4 4 3" xfId="38893"/>
    <cellStyle name="Normal 17 2 4 5" xfId="16329"/>
    <cellStyle name="Normal 17 2 4 6" xfId="31372"/>
    <cellStyle name="Normal 17 2 5" xfId="2169"/>
    <cellStyle name="Normal 17 2 5 2" xfId="5965"/>
    <cellStyle name="Normal 17 2 5 2 2" xfId="13488"/>
    <cellStyle name="Normal 17 2 5 2 2 2" xfId="28532"/>
    <cellStyle name="Normal 17 2 5 2 2 3" xfId="43575"/>
    <cellStyle name="Normal 17 2 5 2 3" xfId="21011"/>
    <cellStyle name="Normal 17 2 5 2 4" xfId="36054"/>
    <cellStyle name="Normal 17 2 5 3" xfId="9739"/>
    <cellStyle name="Normal 17 2 5 3 2" xfId="24783"/>
    <cellStyle name="Normal 17 2 5 3 3" xfId="39826"/>
    <cellStyle name="Normal 17 2 5 4" xfId="17262"/>
    <cellStyle name="Normal 17 2 5 5" xfId="32305"/>
    <cellStyle name="Normal 17 2 6" xfId="4097"/>
    <cellStyle name="Normal 17 2 6 2" xfId="11621"/>
    <cellStyle name="Normal 17 2 6 2 2" xfId="26665"/>
    <cellStyle name="Normal 17 2 6 2 3" xfId="41708"/>
    <cellStyle name="Normal 17 2 6 3" xfId="19144"/>
    <cellStyle name="Normal 17 2 6 4" xfId="34187"/>
    <cellStyle name="Normal 17 2 7" xfId="7860"/>
    <cellStyle name="Normal 17 2 7 2" xfId="22904"/>
    <cellStyle name="Normal 17 2 7 3" xfId="37947"/>
    <cellStyle name="Normal 17 2 8" xfId="15383"/>
    <cellStyle name="Normal 17 2 9" xfId="30426"/>
    <cellStyle name="Normal 17 3" xfId="198"/>
    <cellStyle name="Normal 17 3 2" xfId="726"/>
    <cellStyle name="Normal 17 3 2 2" xfId="1685"/>
    <cellStyle name="Normal 17 3 2 2 2" xfId="3556"/>
    <cellStyle name="Normal 17 3 2 2 2 2" xfId="7351"/>
    <cellStyle name="Normal 17 3 2 2 2 2 2" xfId="14874"/>
    <cellStyle name="Normal 17 3 2 2 2 2 2 2" xfId="29918"/>
    <cellStyle name="Normal 17 3 2 2 2 2 2 3" xfId="44961"/>
    <cellStyle name="Normal 17 3 2 2 2 2 3" xfId="22397"/>
    <cellStyle name="Normal 17 3 2 2 2 2 4" xfId="37440"/>
    <cellStyle name="Normal 17 3 2 2 2 3" xfId="11125"/>
    <cellStyle name="Normal 17 3 2 2 2 3 2" xfId="26169"/>
    <cellStyle name="Normal 17 3 2 2 2 3 3" xfId="41212"/>
    <cellStyle name="Normal 17 3 2 2 2 4" xfId="18648"/>
    <cellStyle name="Normal 17 3 2 2 2 5" xfId="33691"/>
    <cellStyle name="Normal 17 3 2 2 3" xfId="5486"/>
    <cellStyle name="Normal 17 3 2 2 3 2" xfId="13009"/>
    <cellStyle name="Normal 17 3 2 2 3 2 2" xfId="28053"/>
    <cellStyle name="Normal 17 3 2 2 3 2 3" xfId="43096"/>
    <cellStyle name="Normal 17 3 2 2 3 3" xfId="20532"/>
    <cellStyle name="Normal 17 3 2 2 3 4" xfId="35575"/>
    <cellStyle name="Normal 17 3 2 2 4" xfId="9260"/>
    <cellStyle name="Normal 17 3 2 2 4 2" xfId="24304"/>
    <cellStyle name="Normal 17 3 2 2 4 3" xfId="39347"/>
    <cellStyle name="Normal 17 3 2 2 5" xfId="16783"/>
    <cellStyle name="Normal 17 3 2 2 6" xfId="31826"/>
    <cellStyle name="Normal 17 3 2 3" xfId="2624"/>
    <cellStyle name="Normal 17 3 2 3 2" xfId="6419"/>
    <cellStyle name="Normal 17 3 2 3 2 2" xfId="13942"/>
    <cellStyle name="Normal 17 3 2 3 2 2 2" xfId="28986"/>
    <cellStyle name="Normal 17 3 2 3 2 2 3" xfId="44029"/>
    <cellStyle name="Normal 17 3 2 3 2 3" xfId="21465"/>
    <cellStyle name="Normal 17 3 2 3 2 4" xfId="36508"/>
    <cellStyle name="Normal 17 3 2 3 3" xfId="10193"/>
    <cellStyle name="Normal 17 3 2 3 3 2" xfId="25237"/>
    <cellStyle name="Normal 17 3 2 3 3 3" xfId="40280"/>
    <cellStyle name="Normal 17 3 2 3 4" xfId="17716"/>
    <cellStyle name="Normal 17 3 2 3 5" xfId="32759"/>
    <cellStyle name="Normal 17 3 2 4" xfId="4554"/>
    <cellStyle name="Normal 17 3 2 4 2" xfId="12077"/>
    <cellStyle name="Normal 17 3 2 4 2 2" xfId="27121"/>
    <cellStyle name="Normal 17 3 2 4 2 3" xfId="42164"/>
    <cellStyle name="Normal 17 3 2 4 3" xfId="19600"/>
    <cellStyle name="Normal 17 3 2 4 4" xfId="34643"/>
    <cellStyle name="Normal 17 3 2 5" xfId="8328"/>
    <cellStyle name="Normal 17 3 2 5 2" xfId="23372"/>
    <cellStyle name="Normal 17 3 2 5 3" xfId="38415"/>
    <cellStyle name="Normal 17 3 2 6" xfId="15851"/>
    <cellStyle name="Normal 17 3 2 7" xfId="30894"/>
    <cellStyle name="Normal 17 3 3" xfId="1233"/>
    <cellStyle name="Normal 17 3 3 2" xfId="3104"/>
    <cellStyle name="Normal 17 3 3 2 2" xfId="6899"/>
    <cellStyle name="Normal 17 3 3 2 2 2" xfId="14422"/>
    <cellStyle name="Normal 17 3 3 2 2 2 2" xfId="29466"/>
    <cellStyle name="Normal 17 3 3 2 2 2 3" xfId="44509"/>
    <cellStyle name="Normal 17 3 3 2 2 3" xfId="21945"/>
    <cellStyle name="Normal 17 3 3 2 2 4" xfId="36988"/>
    <cellStyle name="Normal 17 3 3 2 3" xfId="10673"/>
    <cellStyle name="Normal 17 3 3 2 3 2" xfId="25717"/>
    <cellStyle name="Normal 17 3 3 2 3 3" xfId="40760"/>
    <cellStyle name="Normal 17 3 3 2 4" xfId="18196"/>
    <cellStyle name="Normal 17 3 3 2 5" xfId="33239"/>
    <cellStyle name="Normal 17 3 3 3" xfId="5034"/>
    <cellStyle name="Normal 17 3 3 3 2" xfId="12557"/>
    <cellStyle name="Normal 17 3 3 3 2 2" xfId="27601"/>
    <cellStyle name="Normal 17 3 3 3 2 3" xfId="42644"/>
    <cellStyle name="Normal 17 3 3 3 3" xfId="20080"/>
    <cellStyle name="Normal 17 3 3 3 4" xfId="35123"/>
    <cellStyle name="Normal 17 3 3 4" xfId="8808"/>
    <cellStyle name="Normal 17 3 3 4 2" xfId="23852"/>
    <cellStyle name="Normal 17 3 3 4 3" xfId="38895"/>
    <cellStyle name="Normal 17 3 3 5" xfId="16331"/>
    <cellStyle name="Normal 17 3 3 6" xfId="31374"/>
    <cellStyle name="Normal 17 3 4" xfId="2171"/>
    <cellStyle name="Normal 17 3 4 2" xfId="5967"/>
    <cellStyle name="Normal 17 3 4 2 2" xfId="13490"/>
    <cellStyle name="Normal 17 3 4 2 2 2" xfId="28534"/>
    <cellStyle name="Normal 17 3 4 2 2 3" xfId="43577"/>
    <cellStyle name="Normal 17 3 4 2 3" xfId="21013"/>
    <cellStyle name="Normal 17 3 4 2 4" xfId="36056"/>
    <cellStyle name="Normal 17 3 4 3" xfId="9741"/>
    <cellStyle name="Normal 17 3 4 3 2" xfId="24785"/>
    <cellStyle name="Normal 17 3 4 3 3" xfId="39828"/>
    <cellStyle name="Normal 17 3 4 4" xfId="17264"/>
    <cellStyle name="Normal 17 3 4 5" xfId="32307"/>
    <cellStyle name="Normal 17 3 5" xfId="4099"/>
    <cellStyle name="Normal 17 3 5 2" xfId="11623"/>
    <cellStyle name="Normal 17 3 5 2 2" xfId="26667"/>
    <cellStyle name="Normal 17 3 5 2 3" xfId="41710"/>
    <cellStyle name="Normal 17 3 5 3" xfId="19146"/>
    <cellStyle name="Normal 17 3 5 4" xfId="34189"/>
    <cellStyle name="Normal 17 3 6" xfId="7862"/>
    <cellStyle name="Normal 17 3 6 2" xfId="22906"/>
    <cellStyle name="Normal 17 3 6 3" xfId="37949"/>
    <cellStyle name="Normal 17 3 7" xfId="15385"/>
    <cellStyle name="Normal 17 3 8" xfId="30428"/>
    <cellStyle name="Normal 17 4" xfId="723"/>
    <cellStyle name="Normal 17 4 2" xfId="1682"/>
    <cellStyle name="Normal 17 4 2 2" xfId="3553"/>
    <cellStyle name="Normal 17 4 2 2 2" xfId="7348"/>
    <cellStyle name="Normal 17 4 2 2 2 2" xfId="14871"/>
    <cellStyle name="Normal 17 4 2 2 2 2 2" xfId="29915"/>
    <cellStyle name="Normal 17 4 2 2 2 2 3" xfId="44958"/>
    <cellStyle name="Normal 17 4 2 2 2 3" xfId="22394"/>
    <cellStyle name="Normal 17 4 2 2 2 4" xfId="37437"/>
    <cellStyle name="Normal 17 4 2 2 3" xfId="11122"/>
    <cellStyle name="Normal 17 4 2 2 3 2" xfId="26166"/>
    <cellStyle name="Normal 17 4 2 2 3 3" xfId="41209"/>
    <cellStyle name="Normal 17 4 2 2 4" xfId="18645"/>
    <cellStyle name="Normal 17 4 2 2 5" xfId="33688"/>
    <cellStyle name="Normal 17 4 2 3" xfId="5483"/>
    <cellStyle name="Normal 17 4 2 3 2" xfId="13006"/>
    <cellStyle name="Normal 17 4 2 3 2 2" xfId="28050"/>
    <cellStyle name="Normal 17 4 2 3 2 3" xfId="43093"/>
    <cellStyle name="Normal 17 4 2 3 3" xfId="20529"/>
    <cellStyle name="Normal 17 4 2 3 4" xfId="35572"/>
    <cellStyle name="Normal 17 4 2 4" xfId="9257"/>
    <cellStyle name="Normal 17 4 2 4 2" xfId="24301"/>
    <cellStyle name="Normal 17 4 2 4 3" xfId="39344"/>
    <cellStyle name="Normal 17 4 2 5" xfId="16780"/>
    <cellStyle name="Normal 17 4 2 6" xfId="31823"/>
    <cellStyle name="Normal 17 4 3" xfId="2621"/>
    <cellStyle name="Normal 17 4 3 2" xfId="6416"/>
    <cellStyle name="Normal 17 4 3 2 2" xfId="13939"/>
    <cellStyle name="Normal 17 4 3 2 2 2" xfId="28983"/>
    <cellStyle name="Normal 17 4 3 2 2 3" xfId="44026"/>
    <cellStyle name="Normal 17 4 3 2 3" xfId="21462"/>
    <cellStyle name="Normal 17 4 3 2 4" xfId="36505"/>
    <cellStyle name="Normal 17 4 3 3" xfId="10190"/>
    <cellStyle name="Normal 17 4 3 3 2" xfId="25234"/>
    <cellStyle name="Normal 17 4 3 3 3" xfId="40277"/>
    <cellStyle name="Normal 17 4 3 4" xfId="17713"/>
    <cellStyle name="Normal 17 4 3 5" xfId="32756"/>
    <cellStyle name="Normal 17 4 4" xfId="4551"/>
    <cellStyle name="Normal 17 4 4 2" xfId="12074"/>
    <cellStyle name="Normal 17 4 4 2 2" xfId="27118"/>
    <cellStyle name="Normal 17 4 4 2 3" xfId="42161"/>
    <cellStyle name="Normal 17 4 4 3" xfId="19597"/>
    <cellStyle name="Normal 17 4 4 4" xfId="34640"/>
    <cellStyle name="Normal 17 4 5" xfId="8325"/>
    <cellStyle name="Normal 17 4 5 2" xfId="23369"/>
    <cellStyle name="Normal 17 4 5 3" xfId="38412"/>
    <cellStyle name="Normal 17 4 6" xfId="15848"/>
    <cellStyle name="Normal 17 4 7" xfId="30891"/>
    <cellStyle name="Normal 17 5" xfId="1230"/>
    <cellStyle name="Normal 17 5 2" xfId="3101"/>
    <cellStyle name="Normal 17 5 2 2" xfId="6896"/>
    <cellStyle name="Normal 17 5 2 2 2" xfId="14419"/>
    <cellStyle name="Normal 17 5 2 2 2 2" xfId="29463"/>
    <cellStyle name="Normal 17 5 2 2 2 3" xfId="44506"/>
    <cellStyle name="Normal 17 5 2 2 3" xfId="21942"/>
    <cellStyle name="Normal 17 5 2 2 4" xfId="36985"/>
    <cellStyle name="Normal 17 5 2 3" xfId="10670"/>
    <cellStyle name="Normal 17 5 2 3 2" xfId="25714"/>
    <cellStyle name="Normal 17 5 2 3 3" xfId="40757"/>
    <cellStyle name="Normal 17 5 2 4" xfId="18193"/>
    <cellStyle name="Normal 17 5 2 5" xfId="33236"/>
    <cellStyle name="Normal 17 5 3" xfId="5031"/>
    <cellStyle name="Normal 17 5 3 2" xfId="12554"/>
    <cellStyle name="Normal 17 5 3 2 2" xfId="27598"/>
    <cellStyle name="Normal 17 5 3 2 3" xfId="42641"/>
    <cellStyle name="Normal 17 5 3 3" xfId="20077"/>
    <cellStyle name="Normal 17 5 3 4" xfId="35120"/>
    <cellStyle name="Normal 17 5 4" xfId="8805"/>
    <cellStyle name="Normal 17 5 4 2" xfId="23849"/>
    <cellStyle name="Normal 17 5 4 3" xfId="38892"/>
    <cellStyle name="Normal 17 5 5" xfId="16328"/>
    <cellStyle name="Normal 17 5 6" xfId="31371"/>
    <cellStyle name="Normal 17 6" xfId="2168"/>
    <cellStyle name="Normal 17 6 2" xfId="5964"/>
    <cellStyle name="Normal 17 6 2 2" xfId="13487"/>
    <cellStyle name="Normal 17 6 2 2 2" xfId="28531"/>
    <cellStyle name="Normal 17 6 2 2 3" xfId="43574"/>
    <cellStyle name="Normal 17 6 2 3" xfId="21010"/>
    <cellStyle name="Normal 17 6 2 4" xfId="36053"/>
    <cellStyle name="Normal 17 6 3" xfId="9738"/>
    <cellStyle name="Normal 17 6 3 2" xfId="24782"/>
    <cellStyle name="Normal 17 6 3 3" xfId="39825"/>
    <cellStyle name="Normal 17 6 4" xfId="17261"/>
    <cellStyle name="Normal 17 6 5" xfId="32304"/>
    <cellStyle name="Normal 17 7" xfId="4096"/>
    <cellStyle name="Normal 17 7 2" xfId="11620"/>
    <cellStyle name="Normal 17 7 2 2" xfId="26664"/>
    <cellStyle name="Normal 17 7 2 3" xfId="41707"/>
    <cellStyle name="Normal 17 7 3" xfId="19143"/>
    <cellStyle name="Normal 17 7 4" xfId="34186"/>
    <cellStyle name="Normal 17 8" xfId="7859"/>
    <cellStyle name="Normal 17 8 2" xfId="22903"/>
    <cellStyle name="Normal 17 8 3" xfId="37946"/>
    <cellStyle name="Normal 17 9" xfId="15382"/>
    <cellStyle name="Normal 18" xfId="199"/>
    <cellStyle name="Normal 18 2" xfId="200"/>
    <cellStyle name="Normal 18 2 2" xfId="728"/>
    <cellStyle name="Normal 18 2 2 2" xfId="1687"/>
    <cellStyle name="Normal 18 2 2 2 2" xfId="3558"/>
    <cellStyle name="Normal 18 2 2 2 2 2" xfId="7353"/>
    <cellStyle name="Normal 18 2 2 2 2 2 2" xfId="14876"/>
    <cellStyle name="Normal 18 2 2 2 2 2 2 2" xfId="29920"/>
    <cellStyle name="Normal 18 2 2 2 2 2 2 3" xfId="44963"/>
    <cellStyle name="Normal 18 2 2 2 2 2 3" xfId="22399"/>
    <cellStyle name="Normal 18 2 2 2 2 2 4" xfId="37442"/>
    <cellStyle name="Normal 18 2 2 2 2 3" xfId="11127"/>
    <cellStyle name="Normal 18 2 2 2 2 3 2" xfId="26171"/>
    <cellStyle name="Normal 18 2 2 2 2 3 3" xfId="41214"/>
    <cellStyle name="Normal 18 2 2 2 2 4" xfId="18650"/>
    <cellStyle name="Normal 18 2 2 2 2 5" xfId="33693"/>
    <cellStyle name="Normal 18 2 2 2 3" xfId="5488"/>
    <cellStyle name="Normal 18 2 2 2 3 2" xfId="13011"/>
    <cellStyle name="Normal 18 2 2 2 3 2 2" xfId="28055"/>
    <cellStyle name="Normal 18 2 2 2 3 2 3" xfId="43098"/>
    <cellStyle name="Normal 18 2 2 2 3 3" xfId="20534"/>
    <cellStyle name="Normal 18 2 2 2 3 4" xfId="35577"/>
    <cellStyle name="Normal 18 2 2 2 4" xfId="9262"/>
    <cellStyle name="Normal 18 2 2 2 4 2" xfId="24306"/>
    <cellStyle name="Normal 18 2 2 2 4 3" xfId="39349"/>
    <cellStyle name="Normal 18 2 2 2 5" xfId="16785"/>
    <cellStyle name="Normal 18 2 2 2 6" xfId="31828"/>
    <cellStyle name="Normal 18 2 2 3" xfId="2626"/>
    <cellStyle name="Normal 18 2 2 3 2" xfId="6421"/>
    <cellStyle name="Normal 18 2 2 3 2 2" xfId="13944"/>
    <cellStyle name="Normal 18 2 2 3 2 2 2" xfId="28988"/>
    <cellStyle name="Normal 18 2 2 3 2 2 3" xfId="44031"/>
    <cellStyle name="Normal 18 2 2 3 2 3" xfId="21467"/>
    <cellStyle name="Normal 18 2 2 3 2 4" xfId="36510"/>
    <cellStyle name="Normal 18 2 2 3 3" xfId="10195"/>
    <cellStyle name="Normal 18 2 2 3 3 2" xfId="25239"/>
    <cellStyle name="Normal 18 2 2 3 3 3" xfId="40282"/>
    <cellStyle name="Normal 18 2 2 3 4" xfId="17718"/>
    <cellStyle name="Normal 18 2 2 3 5" xfId="32761"/>
    <cellStyle name="Normal 18 2 2 4" xfId="4556"/>
    <cellStyle name="Normal 18 2 2 4 2" xfId="12079"/>
    <cellStyle name="Normal 18 2 2 4 2 2" xfId="27123"/>
    <cellStyle name="Normal 18 2 2 4 2 3" xfId="42166"/>
    <cellStyle name="Normal 18 2 2 4 3" xfId="19602"/>
    <cellStyle name="Normal 18 2 2 4 4" xfId="34645"/>
    <cellStyle name="Normal 18 2 2 5" xfId="8330"/>
    <cellStyle name="Normal 18 2 2 5 2" xfId="23374"/>
    <cellStyle name="Normal 18 2 2 5 3" xfId="38417"/>
    <cellStyle name="Normal 18 2 2 6" xfId="15853"/>
    <cellStyle name="Normal 18 2 2 7" xfId="30896"/>
    <cellStyle name="Normal 18 2 3" xfId="1235"/>
    <cellStyle name="Normal 18 2 3 2" xfId="3106"/>
    <cellStyle name="Normal 18 2 3 2 2" xfId="6901"/>
    <cellStyle name="Normal 18 2 3 2 2 2" xfId="14424"/>
    <cellStyle name="Normal 18 2 3 2 2 2 2" xfId="29468"/>
    <cellStyle name="Normal 18 2 3 2 2 2 3" xfId="44511"/>
    <cellStyle name="Normal 18 2 3 2 2 3" xfId="21947"/>
    <cellStyle name="Normal 18 2 3 2 2 4" xfId="36990"/>
    <cellStyle name="Normal 18 2 3 2 3" xfId="10675"/>
    <cellStyle name="Normal 18 2 3 2 3 2" xfId="25719"/>
    <cellStyle name="Normal 18 2 3 2 3 3" xfId="40762"/>
    <cellStyle name="Normal 18 2 3 2 4" xfId="18198"/>
    <cellStyle name="Normal 18 2 3 2 5" xfId="33241"/>
    <cellStyle name="Normal 18 2 3 3" xfId="5036"/>
    <cellStyle name="Normal 18 2 3 3 2" xfId="12559"/>
    <cellStyle name="Normal 18 2 3 3 2 2" xfId="27603"/>
    <cellStyle name="Normal 18 2 3 3 2 3" xfId="42646"/>
    <cellStyle name="Normal 18 2 3 3 3" xfId="20082"/>
    <cellStyle name="Normal 18 2 3 3 4" xfId="35125"/>
    <cellStyle name="Normal 18 2 3 4" xfId="8810"/>
    <cellStyle name="Normal 18 2 3 4 2" xfId="23854"/>
    <cellStyle name="Normal 18 2 3 4 3" xfId="38897"/>
    <cellStyle name="Normal 18 2 3 5" xfId="16333"/>
    <cellStyle name="Normal 18 2 3 6" xfId="31376"/>
    <cellStyle name="Normal 18 2 4" xfId="2173"/>
    <cellStyle name="Normal 18 2 4 2" xfId="5969"/>
    <cellStyle name="Normal 18 2 4 2 2" xfId="13492"/>
    <cellStyle name="Normal 18 2 4 2 2 2" xfId="28536"/>
    <cellStyle name="Normal 18 2 4 2 2 3" xfId="43579"/>
    <cellStyle name="Normal 18 2 4 2 3" xfId="21015"/>
    <cellStyle name="Normal 18 2 4 2 4" xfId="36058"/>
    <cellStyle name="Normal 18 2 4 3" xfId="9743"/>
    <cellStyle name="Normal 18 2 4 3 2" xfId="24787"/>
    <cellStyle name="Normal 18 2 4 3 3" xfId="39830"/>
    <cellStyle name="Normal 18 2 4 4" xfId="17266"/>
    <cellStyle name="Normal 18 2 4 5" xfId="32309"/>
    <cellStyle name="Normal 18 2 5" xfId="4101"/>
    <cellStyle name="Normal 18 2 5 2" xfId="11625"/>
    <cellStyle name="Normal 18 2 5 2 2" xfId="26669"/>
    <cellStyle name="Normal 18 2 5 2 3" xfId="41712"/>
    <cellStyle name="Normal 18 2 5 3" xfId="19148"/>
    <cellStyle name="Normal 18 2 5 4" xfId="34191"/>
    <cellStyle name="Normal 18 2 6" xfId="7864"/>
    <cellStyle name="Normal 18 2 6 2" xfId="22908"/>
    <cellStyle name="Normal 18 2 6 3" xfId="37951"/>
    <cellStyle name="Normal 18 2 7" xfId="15387"/>
    <cellStyle name="Normal 18 2 8" xfId="30430"/>
    <cellStyle name="Normal 18 3" xfId="727"/>
    <cellStyle name="Normal 18 3 2" xfId="1686"/>
    <cellStyle name="Normal 18 3 2 2" xfId="3557"/>
    <cellStyle name="Normal 18 3 2 2 2" xfId="7352"/>
    <cellStyle name="Normal 18 3 2 2 2 2" xfId="14875"/>
    <cellStyle name="Normal 18 3 2 2 2 2 2" xfId="29919"/>
    <cellStyle name="Normal 18 3 2 2 2 2 3" xfId="44962"/>
    <cellStyle name="Normal 18 3 2 2 2 3" xfId="22398"/>
    <cellStyle name="Normal 18 3 2 2 2 4" xfId="37441"/>
    <cellStyle name="Normal 18 3 2 2 3" xfId="11126"/>
    <cellStyle name="Normal 18 3 2 2 3 2" xfId="26170"/>
    <cellStyle name="Normal 18 3 2 2 3 3" xfId="41213"/>
    <cellStyle name="Normal 18 3 2 2 4" xfId="18649"/>
    <cellStyle name="Normal 18 3 2 2 5" xfId="33692"/>
    <cellStyle name="Normal 18 3 2 3" xfId="5487"/>
    <cellStyle name="Normal 18 3 2 3 2" xfId="13010"/>
    <cellStyle name="Normal 18 3 2 3 2 2" xfId="28054"/>
    <cellStyle name="Normal 18 3 2 3 2 3" xfId="43097"/>
    <cellStyle name="Normal 18 3 2 3 3" xfId="20533"/>
    <cellStyle name="Normal 18 3 2 3 4" xfId="35576"/>
    <cellStyle name="Normal 18 3 2 4" xfId="9261"/>
    <cellStyle name="Normal 18 3 2 4 2" xfId="24305"/>
    <cellStyle name="Normal 18 3 2 4 3" xfId="39348"/>
    <cellStyle name="Normal 18 3 2 5" xfId="16784"/>
    <cellStyle name="Normal 18 3 2 6" xfId="31827"/>
    <cellStyle name="Normal 18 3 3" xfId="2625"/>
    <cellStyle name="Normal 18 3 3 2" xfId="6420"/>
    <cellStyle name="Normal 18 3 3 2 2" xfId="13943"/>
    <cellStyle name="Normal 18 3 3 2 2 2" xfId="28987"/>
    <cellStyle name="Normal 18 3 3 2 2 3" xfId="44030"/>
    <cellStyle name="Normal 18 3 3 2 3" xfId="21466"/>
    <cellStyle name="Normal 18 3 3 2 4" xfId="36509"/>
    <cellStyle name="Normal 18 3 3 3" xfId="10194"/>
    <cellStyle name="Normal 18 3 3 3 2" xfId="25238"/>
    <cellStyle name="Normal 18 3 3 3 3" xfId="40281"/>
    <cellStyle name="Normal 18 3 3 4" xfId="17717"/>
    <cellStyle name="Normal 18 3 3 5" xfId="32760"/>
    <cellStyle name="Normal 18 3 4" xfId="4555"/>
    <cellStyle name="Normal 18 3 4 2" xfId="12078"/>
    <cellStyle name="Normal 18 3 4 2 2" xfId="27122"/>
    <cellStyle name="Normal 18 3 4 2 3" xfId="42165"/>
    <cellStyle name="Normal 18 3 4 3" xfId="19601"/>
    <cellStyle name="Normal 18 3 4 4" xfId="34644"/>
    <cellStyle name="Normal 18 3 5" xfId="8329"/>
    <cellStyle name="Normal 18 3 5 2" xfId="23373"/>
    <cellStyle name="Normal 18 3 5 3" xfId="38416"/>
    <cellStyle name="Normal 18 3 6" xfId="15852"/>
    <cellStyle name="Normal 18 3 7" xfId="30895"/>
    <cellStyle name="Normal 18 4" xfId="1234"/>
    <cellStyle name="Normal 18 4 2" xfId="3105"/>
    <cellStyle name="Normal 18 4 2 2" xfId="6900"/>
    <cellStyle name="Normal 18 4 2 2 2" xfId="14423"/>
    <cellStyle name="Normal 18 4 2 2 2 2" xfId="29467"/>
    <cellStyle name="Normal 18 4 2 2 2 3" xfId="44510"/>
    <cellStyle name="Normal 18 4 2 2 3" xfId="21946"/>
    <cellStyle name="Normal 18 4 2 2 4" xfId="36989"/>
    <cellStyle name="Normal 18 4 2 3" xfId="10674"/>
    <cellStyle name="Normal 18 4 2 3 2" xfId="25718"/>
    <cellStyle name="Normal 18 4 2 3 3" xfId="40761"/>
    <cellStyle name="Normal 18 4 2 4" xfId="18197"/>
    <cellStyle name="Normal 18 4 2 5" xfId="33240"/>
    <cellStyle name="Normal 18 4 3" xfId="5035"/>
    <cellStyle name="Normal 18 4 3 2" xfId="12558"/>
    <cellStyle name="Normal 18 4 3 2 2" xfId="27602"/>
    <cellStyle name="Normal 18 4 3 2 3" xfId="42645"/>
    <cellStyle name="Normal 18 4 3 3" xfId="20081"/>
    <cellStyle name="Normal 18 4 3 4" xfId="35124"/>
    <cellStyle name="Normal 18 4 4" xfId="8809"/>
    <cellStyle name="Normal 18 4 4 2" xfId="23853"/>
    <cellStyle name="Normal 18 4 4 3" xfId="38896"/>
    <cellStyle name="Normal 18 4 5" xfId="16332"/>
    <cellStyle name="Normal 18 4 6" xfId="31375"/>
    <cellStyle name="Normal 18 5" xfId="2172"/>
    <cellStyle name="Normal 18 5 2" xfId="5968"/>
    <cellStyle name="Normal 18 5 2 2" xfId="13491"/>
    <cellStyle name="Normal 18 5 2 2 2" xfId="28535"/>
    <cellStyle name="Normal 18 5 2 2 3" xfId="43578"/>
    <cellStyle name="Normal 18 5 2 3" xfId="21014"/>
    <cellStyle name="Normal 18 5 2 4" xfId="36057"/>
    <cellStyle name="Normal 18 5 3" xfId="9742"/>
    <cellStyle name="Normal 18 5 3 2" xfId="24786"/>
    <cellStyle name="Normal 18 5 3 3" xfId="39829"/>
    <cellStyle name="Normal 18 5 4" xfId="17265"/>
    <cellStyle name="Normal 18 5 5" xfId="32308"/>
    <cellStyle name="Normal 18 6" xfId="4100"/>
    <cellStyle name="Normal 18 6 2" xfId="11624"/>
    <cellStyle name="Normal 18 6 2 2" xfId="26668"/>
    <cellStyle name="Normal 18 6 2 3" xfId="41711"/>
    <cellStyle name="Normal 18 6 3" xfId="19147"/>
    <cellStyle name="Normal 18 6 4" xfId="34190"/>
    <cellStyle name="Normal 18 7" xfId="7863"/>
    <cellStyle name="Normal 18 7 2" xfId="22907"/>
    <cellStyle name="Normal 18 7 3" xfId="37950"/>
    <cellStyle name="Normal 18 8" xfId="15386"/>
    <cellStyle name="Normal 18 9" xfId="30429"/>
    <cellStyle name="Normal 19" xfId="201"/>
    <cellStyle name="Normal 19 2" xfId="202"/>
    <cellStyle name="Normal 19 2 2" xfId="730"/>
    <cellStyle name="Normal 19 2 2 2" xfId="1689"/>
    <cellStyle name="Normal 19 2 2 2 2" xfId="3560"/>
    <cellStyle name="Normal 19 2 2 2 2 2" xfId="7355"/>
    <cellStyle name="Normal 19 2 2 2 2 2 2" xfId="14878"/>
    <cellStyle name="Normal 19 2 2 2 2 2 2 2" xfId="29922"/>
    <cellStyle name="Normal 19 2 2 2 2 2 2 3" xfId="44965"/>
    <cellStyle name="Normal 19 2 2 2 2 2 3" xfId="22401"/>
    <cellStyle name="Normal 19 2 2 2 2 2 4" xfId="37444"/>
    <cellStyle name="Normal 19 2 2 2 2 3" xfId="11129"/>
    <cellStyle name="Normal 19 2 2 2 2 3 2" xfId="26173"/>
    <cellStyle name="Normal 19 2 2 2 2 3 3" xfId="41216"/>
    <cellStyle name="Normal 19 2 2 2 2 4" xfId="18652"/>
    <cellStyle name="Normal 19 2 2 2 2 5" xfId="33695"/>
    <cellStyle name="Normal 19 2 2 2 3" xfId="5490"/>
    <cellStyle name="Normal 19 2 2 2 3 2" xfId="13013"/>
    <cellStyle name="Normal 19 2 2 2 3 2 2" xfId="28057"/>
    <cellStyle name="Normal 19 2 2 2 3 2 3" xfId="43100"/>
    <cellStyle name="Normal 19 2 2 2 3 3" xfId="20536"/>
    <cellStyle name="Normal 19 2 2 2 3 4" xfId="35579"/>
    <cellStyle name="Normal 19 2 2 2 4" xfId="9264"/>
    <cellStyle name="Normal 19 2 2 2 4 2" xfId="24308"/>
    <cellStyle name="Normal 19 2 2 2 4 3" xfId="39351"/>
    <cellStyle name="Normal 19 2 2 2 5" xfId="16787"/>
    <cellStyle name="Normal 19 2 2 2 6" xfId="31830"/>
    <cellStyle name="Normal 19 2 2 3" xfId="2628"/>
    <cellStyle name="Normal 19 2 2 3 2" xfId="6423"/>
    <cellStyle name="Normal 19 2 2 3 2 2" xfId="13946"/>
    <cellStyle name="Normal 19 2 2 3 2 2 2" xfId="28990"/>
    <cellStyle name="Normal 19 2 2 3 2 2 3" xfId="44033"/>
    <cellStyle name="Normal 19 2 2 3 2 3" xfId="21469"/>
    <cellStyle name="Normal 19 2 2 3 2 4" xfId="36512"/>
    <cellStyle name="Normal 19 2 2 3 3" xfId="10197"/>
    <cellStyle name="Normal 19 2 2 3 3 2" xfId="25241"/>
    <cellStyle name="Normal 19 2 2 3 3 3" xfId="40284"/>
    <cellStyle name="Normal 19 2 2 3 4" xfId="17720"/>
    <cellStyle name="Normal 19 2 2 3 5" xfId="32763"/>
    <cellStyle name="Normal 19 2 2 4" xfId="4558"/>
    <cellStyle name="Normal 19 2 2 4 2" xfId="12081"/>
    <cellStyle name="Normal 19 2 2 4 2 2" xfId="27125"/>
    <cellStyle name="Normal 19 2 2 4 2 3" xfId="42168"/>
    <cellStyle name="Normal 19 2 2 4 3" xfId="19604"/>
    <cellStyle name="Normal 19 2 2 4 4" xfId="34647"/>
    <cellStyle name="Normal 19 2 2 5" xfId="8332"/>
    <cellStyle name="Normal 19 2 2 5 2" xfId="23376"/>
    <cellStyle name="Normal 19 2 2 5 3" xfId="38419"/>
    <cellStyle name="Normal 19 2 2 6" xfId="15855"/>
    <cellStyle name="Normal 19 2 2 7" xfId="30898"/>
    <cellStyle name="Normal 19 2 3" xfId="1237"/>
    <cellStyle name="Normal 19 2 3 2" xfId="3108"/>
    <cellStyle name="Normal 19 2 3 2 2" xfId="6903"/>
    <cellStyle name="Normal 19 2 3 2 2 2" xfId="14426"/>
    <cellStyle name="Normal 19 2 3 2 2 2 2" xfId="29470"/>
    <cellStyle name="Normal 19 2 3 2 2 2 3" xfId="44513"/>
    <cellStyle name="Normal 19 2 3 2 2 3" xfId="21949"/>
    <cellStyle name="Normal 19 2 3 2 2 4" xfId="36992"/>
    <cellStyle name="Normal 19 2 3 2 3" xfId="10677"/>
    <cellStyle name="Normal 19 2 3 2 3 2" xfId="25721"/>
    <cellStyle name="Normal 19 2 3 2 3 3" xfId="40764"/>
    <cellStyle name="Normal 19 2 3 2 4" xfId="18200"/>
    <cellStyle name="Normal 19 2 3 2 5" xfId="33243"/>
    <cellStyle name="Normal 19 2 3 3" xfId="5038"/>
    <cellStyle name="Normal 19 2 3 3 2" xfId="12561"/>
    <cellStyle name="Normal 19 2 3 3 2 2" xfId="27605"/>
    <cellStyle name="Normal 19 2 3 3 2 3" xfId="42648"/>
    <cellStyle name="Normal 19 2 3 3 3" xfId="20084"/>
    <cellStyle name="Normal 19 2 3 3 4" xfId="35127"/>
    <cellStyle name="Normal 19 2 3 4" xfId="8812"/>
    <cellStyle name="Normal 19 2 3 4 2" xfId="23856"/>
    <cellStyle name="Normal 19 2 3 4 3" xfId="38899"/>
    <cellStyle name="Normal 19 2 3 5" xfId="16335"/>
    <cellStyle name="Normal 19 2 3 6" xfId="31378"/>
    <cellStyle name="Normal 19 2 4" xfId="2175"/>
    <cellStyle name="Normal 19 2 4 2" xfId="5971"/>
    <cellStyle name="Normal 19 2 4 2 2" xfId="13494"/>
    <cellStyle name="Normal 19 2 4 2 2 2" xfId="28538"/>
    <cellStyle name="Normal 19 2 4 2 2 3" xfId="43581"/>
    <cellStyle name="Normal 19 2 4 2 3" xfId="21017"/>
    <cellStyle name="Normal 19 2 4 2 4" xfId="36060"/>
    <cellStyle name="Normal 19 2 4 3" xfId="9745"/>
    <cellStyle name="Normal 19 2 4 3 2" xfId="24789"/>
    <cellStyle name="Normal 19 2 4 3 3" xfId="39832"/>
    <cellStyle name="Normal 19 2 4 4" xfId="17268"/>
    <cellStyle name="Normal 19 2 4 5" xfId="32311"/>
    <cellStyle name="Normal 19 2 5" xfId="4103"/>
    <cellStyle name="Normal 19 2 5 2" xfId="11627"/>
    <cellStyle name="Normal 19 2 5 2 2" xfId="26671"/>
    <cellStyle name="Normal 19 2 5 2 3" xfId="41714"/>
    <cellStyle name="Normal 19 2 5 3" xfId="19150"/>
    <cellStyle name="Normal 19 2 5 4" xfId="34193"/>
    <cellStyle name="Normal 19 2 6" xfId="7866"/>
    <cellStyle name="Normal 19 2 6 2" xfId="22910"/>
    <cellStyle name="Normal 19 2 6 3" xfId="37953"/>
    <cellStyle name="Normal 19 2 7" xfId="15389"/>
    <cellStyle name="Normal 19 2 8" xfId="30432"/>
    <cellStyle name="Normal 19 3" xfId="729"/>
    <cellStyle name="Normal 19 3 2" xfId="1688"/>
    <cellStyle name="Normal 19 3 2 2" xfId="3559"/>
    <cellStyle name="Normal 19 3 2 2 2" xfId="7354"/>
    <cellStyle name="Normal 19 3 2 2 2 2" xfId="14877"/>
    <cellStyle name="Normal 19 3 2 2 2 2 2" xfId="29921"/>
    <cellStyle name="Normal 19 3 2 2 2 2 3" xfId="44964"/>
    <cellStyle name="Normal 19 3 2 2 2 3" xfId="22400"/>
    <cellStyle name="Normal 19 3 2 2 2 4" xfId="37443"/>
    <cellStyle name="Normal 19 3 2 2 3" xfId="11128"/>
    <cellStyle name="Normal 19 3 2 2 3 2" xfId="26172"/>
    <cellStyle name="Normal 19 3 2 2 3 3" xfId="41215"/>
    <cellStyle name="Normal 19 3 2 2 4" xfId="18651"/>
    <cellStyle name="Normal 19 3 2 2 5" xfId="33694"/>
    <cellStyle name="Normal 19 3 2 3" xfId="5489"/>
    <cellStyle name="Normal 19 3 2 3 2" xfId="13012"/>
    <cellStyle name="Normal 19 3 2 3 2 2" xfId="28056"/>
    <cellStyle name="Normal 19 3 2 3 2 3" xfId="43099"/>
    <cellStyle name="Normal 19 3 2 3 3" xfId="20535"/>
    <cellStyle name="Normal 19 3 2 3 4" xfId="35578"/>
    <cellStyle name="Normal 19 3 2 4" xfId="9263"/>
    <cellStyle name="Normal 19 3 2 4 2" xfId="24307"/>
    <cellStyle name="Normal 19 3 2 4 3" xfId="39350"/>
    <cellStyle name="Normal 19 3 2 5" xfId="16786"/>
    <cellStyle name="Normal 19 3 2 6" xfId="31829"/>
    <cellStyle name="Normal 19 3 3" xfId="2627"/>
    <cellStyle name="Normal 19 3 3 2" xfId="6422"/>
    <cellStyle name="Normal 19 3 3 2 2" xfId="13945"/>
    <cellStyle name="Normal 19 3 3 2 2 2" xfId="28989"/>
    <cellStyle name="Normal 19 3 3 2 2 3" xfId="44032"/>
    <cellStyle name="Normal 19 3 3 2 3" xfId="21468"/>
    <cellStyle name="Normal 19 3 3 2 4" xfId="36511"/>
    <cellStyle name="Normal 19 3 3 3" xfId="10196"/>
    <cellStyle name="Normal 19 3 3 3 2" xfId="25240"/>
    <cellStyle name="Normal 19 3 3 3 3" xfId="40283"/>
    <cellStyle name="Normal 19 3 3 4" xfId="17719"/>
    <cellStyle name="Normal 19 3 3 5" xfId="32762"/>
    <cellStyle name="Normal 19 3 4" xfId="4557"/>
    <cellStyle name="Normal 19 3 4 2" xfId="12080"/>
    <cellStyle name="Normal 19 3 4 2 2" xfId="27124"/>
    <cellStyle name="Normal 19 3 4 2 3" xfId="42167"/>
    <cellStyle name="Normal 19 3 4 3" xfId="19603"/>
    <cellStyle name="Normal 19 3 4 4" xfId="34646"/>
    <cellStyle name="Normal 19 3 5" xfId="8331"/>
    <cellStyle name="Normal 19 3 5 2" xfId="23375"/>
    <cellStyle name="Normal 19 3 5 3" xfId="38418"/>
    <cellStyle name="Normal 19 3 6" xfId="15854"/>
    <cellStyle name="Normal 19 3 7" xfId="30897"/>
    <cellStyle name="Normal 19 4" xfId="1236"/>
    <cellStyle name="Normal 19 4 2" xfId="3107"/>
    <cellStyle name="Normal 19 4 2 2" xfId="6902"/>
    <cellStyle name="Normal 19 4 2 2 2" xfId="14425"/>
    <cellStyle name="Normal 19 4 2 2 2 2" xfId="29469"/>
    <cellStyle name="Normal 19 4 2 2 2 3" xfId="44512"/>
    <cellStyle name="Normal 19 4 2 2 3" xfId="21948"/>
    <cellStyle name="Normal 19 4 2 2 4" xfId="36991"/>
    <cellStyle name="Normal 19 4 2 3" xfId="10676"/>
    <cellStyle name="Normal 19 4 2 3 2" xfId="25720"/>
    <cellStyle name="Normal 19 4 2 3 3" xfId="40763"/>
    <cellStyle name="Normal 19 4 2 4" xfId="18199"/>
    <cellStyle name="Normal 19 4 2 5" xfId="33242"/>
    <cellStyle name="Normal 19 4 3" xfId="5037"/>
    <cellStyle name="Normal 19 4 3 2" xfId="12560"/>
    <cellStyle name="Normal 19 4 3 2 2" xfId="27604"/>
    <cellStyle name="Normal 19 4 3 2 3" xfId="42647"/>
    <cellStyle name="Normal 19 4 3 3" xfId="20083"/>
    <cellStyle name="Normal 19 4 3 4" xfId="35126"/>
    <cellStyle name="Normal 19 4 4" xfId="8811"/>
    <cellStyle name="Normal 19 4 4 2" xfId="23855"/>
    <cellStyle name="Normal 19 4 4 3" xfId="38898"/>
    <cellStyle name="Normal 19 4 5" xfId="16334"/>
    <cellStyle name="Normal 19 4 6" xfId="31377"/>
    <cellStyle name="Normal 19 5" xfId="2174"/>
    <cellStyle name="Normal 19 5 2" xfId="5970"/>
    <cellStyle name="Normal 19 5 2 2" xfId="13493"/>
    <cellStyle name="Normal 19 5 2 2 2" xfId="28537"/>
    <cellStyle name="Normal 19 5 2 2 3" xfId="43580"/>
    <cellStyle name="Normal 19 5 2 3" xfId="21016"/>
    <cellStyle name="Normal 19 5 2 4" xfId="36059"/>
    <cellStyle name="Normal 19 5 3" xfId="9744"/>
    <cellStyle name="Normal 19 5 3 2" xfId="24788"/>
    <cellStyle name="Normal 19 5 3 3" xfId="39831"/>
    <cellStyle name="Normal 19 5 4" xfId="17267"/>
    <cellStyle name="Normal 19 5 5" xfId="32310"/>
    <cellStyle name="Normal 19 6" xfId="4102"/>
    <cellStyle name="Normal 19 6 2" xfId="11626"/>
    <cellStyle name="Normal 19 6 2 2" xfId="26670"/>
    <cellStyle name="Normal 19 6 2 3" xfId="41713"/>
    <cellStyle name="Normal 19 6 3" xfId="19149"/>
    <cellStyle name="Normal 19 6 4" xfId="34192"/>
    <cellStyle name="Normal 19 7" xfId="7865"/>
    <cellStyle name="Normal 19 7 2" xfId="22909"/>
    <cellStyle name="Normal 19 7 3" xfId="37952"/>
    <cellStyle name="Normal 19 8" xfId="15388"/>
    <cellStyle name="Normal 19 9" xfId="30431"/>
    <cellStyle name="Normal 2" xfId="3"/>
    <cellStyle name="Normal 2 10" xfId="2094"/>
    <cellStyle name="Normal 2 10 10" xfId="45441"/>
    <cellStyle name="Normal 2 10 11" xfId="45451"/>
    <cellStyle name="Normal 2 10 12" xfId="45463"/>
    <cellStyle name="Normal 2 10 13" xfId="45477"/>
    <cellStyle name="Normal 2 10 2" xfId="5890"/>
    <cellStyle name="Normal 2 10 2 2" xfId="13413"/>
    <cellStyle name="Normal 2 10 2 2 2" xfId="28457"/>
    <cellStyle name="Normal 2 10 2 2 3" xfId="43500"/>
    <cellStyle name="Normal 2 10 2 3" xfId="20936"/>
    <cellStyle name="Normal 2 10 2 4" xfId="35979"/>
    <cellStyle name="Normal 2 10 3" xfId="9664"/>
    <cellStyle name="Normal 2 10 3 2" xfId="24708"/>
    <cellStyle name="Normal 2 10 3 3" xfId="39751"/>
    <cellStyle name="Normal 2 10 4" xfId="17187"/>
    <cellStyle name="Normal 2 10 5" xfId="32230"/>
    <cellStyle name="Normal 2 10 6" xfId="45399"/>
    <cellStyle name="Normal 2 10 7" xfId="45410"/>
    <cellStyle name="Normal 2 10 8" xfId="45421"/>
    <cellStyle name="Normal 2 10 9" xfId="45431"/>
    <cellStyle name="Normal 2 11" xfId="4020"/>
    <cellStyle name="Normal 2 11 10" xfId="45450"/>
    <cellStyle name="Normal 2 11 11" xfId="45462"/>
    <cellStyle name="Normal 2 11 12" xfId="45476"/>
    <cellStyle name="Normal 2 11 13" xfId="45494"/>
    <cellStyle name="Normal 2 11 14" xfId="45496"/>
    <cellStyle name="Normal 2 11 15" xfId="45498"/>
    <cellStyle name="Normal 2 11 16" xfId="45500"/>
    <cellStyle name="Normal 2 11 2" xfId="11544"/>
    <cellStyle name="Normal 2 11 2 2" xfId="26588"/>
    <cellStyle name="Normal 2 11 2 3" xfId="41631"/>
    <cellStyle name="Normal 2 11 3" xfId="19067"/>
    <cellStyle name="Normal 2 11 4" xfId="34110"/>
    <cellStyle name="Normal 2 11 5" xfId="45396"/>
    <cellStyle name="Normal 2 11 6" xfId="45409"/>
    <cellStyle name="Normal 2 11 7" xfId="45420"/>
    <cellStyle name="Normal 2 11 8" xfId="45430"/>
    <cellStyle name="Normal 2 11 9" xfId="45440"/>
    <cellStyle name="Normal 2 12" xfId="7774"/>
    <cellStyle name="Normal 2 13" xfId="7783"/>
    <cellStyle name="Normal 2 13 2" xfId="22827"/>
    <cellStyle name="Normal 2 13 3" xfId="37870"/>
    <cellStyle name="Normal 2 14" xfId="15306"/>
    <cellStyle name="Normal 2 15" xfId="30349"/>
    <cellStyle name="Normal 2 2" xfId="4"/>
    <cellStyle name="Normal 2 2 10" xfId="7784"/>
    <cellStyle name="Normal 2 2 10 2" xfId="22828"/>
    <cellStyle name="Normal 2 2 10 3" xfId="37871"/>
    <cellStyle name="Normal 2 2 11" xfId="15307"/>
    <cellStyle name="Normal 2 2 12" xfId="30350"/>
    <cellStyle name="Normal 2 2 13" xfId="45394"/>
    <cellStyle name="Normal 2 2 14" xfId="45407"/>
    <cellStyle name="Normal 2 2 15" xfId="45418"/>
    <cellStyle name="Normal 2 2 16" xfId="45428"/>
    <cellStyle name="Normal 2 2 17" xfId="45438"/>
    <cellStyle name="Normal 2 2 18" xfId="45448"/>
    <cellStyle name="Normal 2 2 19" xfId="45460"/>
    <cellStyle name="Normal 2 2 2" xfId="8"/>
    <cellStyle name="Normal 2 2 2 10" xfId="15311"/>
    <cellStyle name="Normal 2 2 2 11" xfId="30354"/>
    <cellStyle name="Normal 2 2 2 12" xfId="45416"/>
    <cellStyle name="Normal 2 2 2 2" xfId="24"/>
    <cellStyle name="Normal 2 2 2 2 10" xfId="30363"/>
    <cellStyle name="Normal 2 2 2 2 2" xfId="43"/>
    <cellStyle name="Normal 2 2 2 2 2 2" xfId="680"/>
    <cellStyle name="Normal 2 2 2 2 2 2 2" xfId="1639"/>
    <cellStyle name="Normal 2 2 2 2 2 2 2 2" xfId="3510"/>
    <cellStyle name="Normal 2 2 2 2 2 2 2 2 2" xfId="7305"/>
    <cellStyle name="Normal 2 2 2 2 2 2 2 2 2 2" xfId="14828"/>
    <cellStyle name="Normal 2 2 2 2 2 2 2 2 2 2 2" xfId="29872"/>
    <cellStyle name="Normal 2 2 2 2 2 2 2 2 2 2 3" xfId="44915"/>
    <cellStyle name="Normal 2 2 2 2 2 2 2 2 2 3" xfId="22351"/>
    <cellStyle name="Normal 2 2 2 2 2 2 2 2 2 4" xfId="37394"/>
    <cellStyle name="Normal 2 2 2 2 2 2 2 2 3" xfId="11079"/>
    <cellStyle name="Normal 2 2 2 2 2 2 2 2 3 2" xfId="26123"/>
    <cellStyle name="Normal 2 2 2 2 2 2 2 2 3 3" xfId="41166"/>
    <cellStyle name="Normal 2 2 2 2 2 2 2 2 4" xfId="18602"/>
    <cellStyle name="Normal 2 2 2 2 2 2 2 2 5" xfId="33645"/>
    <cellStyle name="Normal 2 2 2 2 2 2 2 3" xfId="5440"/>
    <cellStyle name="Normal 2 2 2 2 2 2 2 3 2" xfId="12963"/>
    <cellStyle name="Normal 2 2 2 2 2 2 2 3 2 2" xfId="28007"/>
    <cellStyle name="Normal 2 2 2 2 2 2 2 3 2 3" xfId="43050"/>
    <cellStyle name="Normal 2 2 2 2 2 2 2 3 3" xfId="20486"/>
    <cellStyle name="Normal 2 2 2 2 2 2 2 3 4" xfId="35529"/>
    <cellStyle name="Normal 2 2 2 2 2 2 2 4" xfId="9214"/>
    <cellStyle name="Normal 2 2 2 2 2 2 2 4 2" xfId="24258"/>
    <cellStyle name="Normal 2 2 2 2 2 2 2 4 3" xfId="39301"/>
    <cellStyle name="Normal 2 2 2 2 2 2 2 5" xfId="16737"/>
    <cellStyle name="Normal 2 2 2 2 2 2 2 6" xfId="31780"/>
    <cellStyle name="Normal 2 2 2 2 2 2 3" xfId="2578"/>
    <cellStyle name="Normal 2 2 2 2 2 2 3 2" xfId="6373"/>
    <cellStyle name="Normal 2 2 2 2 2 2 3 2 2" xfId="13896"/>
    <cellStyle name="Normal 2 2 2 2 2 2 3 2 2 2" xfId="28940"/>
    <cellStyle name="Normal 2 2 2 2 2 2 3 2 2 3" xfId="43983"/>
    <cellStyle name="Normal 2 2 2 2 2 2 3 2 3" xfId="21419"/>
    <cellStyle name="Normal 2 2 2 2 2 2 3 2 4" xfId="36462"/>
    <cellStyle name="Normal 2 2 2 2 2 2 3 3" xfId="10147"/>
    <cellStyle name="Normal 2 2 2 2 2 2 3 3 2" xfId="25191"/>
    <cellStyle name="Normal 2 2 2 2 2 2 3 3 3" xfId="40234"/>
    <cellStyle name="Normal 2 2 2 2 2 2 3 4" xfId="17670"/>
    <cellStyle name="Normal 2 2 2 2 2 2 3 5" xfId="32713"/>
    <cellStyle name="Normal 2 2 2 2 2 2 4" xfId="4508"/>
    <cellStyle name="Normal 2 2 2 2 2 2 4 2" xfId="12031"/>
    <cellStyle name="Normal 2 2 2 2 2 2 4 2 2" xfId="27075"/>
    <cellStyle name="Normal 2 2 2 2 2 2 4 2 3" xfId="42118"/>
    <cellStyle name="Normal 2 2 2 2 2 2 4 3" xfId="19554"/>
    <cellStyle name="Normal 2 2 2 2 2 2 4 4" xfId="34597"/>
    <cellStyle name="Normal 2 2 2 2 2 2 5" xfId="8282"/>
    <cellStyle name="Normal 2 2 2 2 2 2 5 2" xfId="23326"/>
    <cellStyle name="Normal 2 2 2 2 2 2 5 3" xfId="38369"/>
    <cellStyle name="Normal 2 2 2 2 2 2 6" xfId="15805"/>
    <cellStyle name="Normal 2 2 2 2 2 2 7" xfId="30848"/>
    <cellStyle name="Normal 2 2 2 2 2 3" xfId="1187"/>
    <cellStyle name="Normal 2 2 2 2 2 3 2" xfId="3058"/>
    <cellStyle name="Normal 2 2 2 2 2 3 2 2" xfId="6853"/>
    <cellStyle name="Normal 2 2 2 2 2 3 2 2 2" xfId="14376"/>
    <cellStyle name="Normal 2 2 2 2 2 3 2 2 2 2" xfId="29420"/>
    <cellStyle name="Normal 2 2 2 2 2 3 2 2 2 3" xfId="44463"/>
    <cellStyle name="Normal 2 2 2 2 2 3 2 2 3" xfId="21899"/>
    <cellStyle name="Normal 2 2 2 2 2 3 2 2 4" xfId="36942"/>
    <cellStyle name="Normal 2 2 2 2 2 3 2 3" xfId="10627"/>
    <cellStyle name="Normal 2 2 2 2 2 3 2 3 2" xfId="25671"/>
    <cellStyle name="Normal 2 2 2 2 2 3 2 3 3" xfId="40714"/>
    <cellStyle name="Normal 2 2 2 2 2 3 2 4" xfId="18150"/>
    <cellStyle name="Normal 2 2 2 2 2 3 2 5" xfId="33193"/>
    <cellStyle name="Normal 2 2 2 2 2 3 3" xfId="4988"/>
    <cellStyle name="Normal 2 2 2 2 2 3 3 2" xfId="12511"/>
    <cellStyle name="Normal 2 2 2 2 2 3 3 2 2" xfId="27555"/>
    <cellStyle name="Normal 2 2 2 2 2 3 3 2 3" xfId="42598"/>
    <cellStyle name="Normal 2 2 2 2 2 3 3 3" xfId="20034"/>
    <cellStyle name="Normal 2 2 2 2 2 3 3 4" xfId="35077"/>
    <cellStyle name="Normal 2 2 2 2 2 3 4" xfId="8762"/>
    <cellStyle name="Normal 2 2 2 2 2 3 4 2" xfId="23806"/>
    <cellStyle name="Normal 2 2 2 2 2 3 4 3" xfId="38849"/>
    <cellStyle name="Normal 2 2 2 2 2 3 5" xfId="16285"/>
    <cellStyle name="Normal 2 2 2 2 2 3 6" xfId="31328"/>
    <cellStyle name="Normal 2 2 2 2 2 4" xfId="2125"/>
    <cellStyle name="Normal 2 2 2 2 2 4 2" xfId="5921"/>
    <cellStyle name="Normal 2 2 2 2 2 4 2 2" xfId="13444"/>
    <cellStyle name="Normal 2 2 2 2 2 4 2 2 2" xfId="28488"/>
    <cellStyle name="Normal 2 2 2 2 2 4 2 2 3" xfId="43531"/>
    <cellStyle name="Normal 2 2 2 2 2 4 2 3" xfId="20967"/>
    <cellStyle name="Normal 2 2 2 2 2 4 2 4" xfId="36010"/>
    <cellStyle name="Normal 2 2 2 2 2 4 3" xfId="9695"/>
    <cellStyle name="Normal 2 2 2 2 2 4 3 2" xfId="24739"/>
    <cellStyle name="Normal 2 2 2 2 2 4 3 3" xfId="39782"/>
    <cellStyle name="Normal 2 2 2 2 2 4 4" xfId="17218"/>
    <cellStyle name="Normal 2 2 2 2 2 4 5" xfId="32261"/>
    <cellStyle name="Normal 2 2 2 2 2 5" xfId="4051"/>
    <cellStyle name="Normal 2 2 2 2 2 5 2" xfId="11575"/>
    <cellStyle name="Normal 2 2 2 2 2 5 2 2" xfId="26619"/>
    <cellStyle name="Normal 2 2 2 2 2 5 2 3" xfId="41662"/>
    <cellStyle name="Normal 2 2 2 2 2 5 3" xfId="19098"/>
    <cellStyle name="Normal 2 2 2 2 2 5 4" xfId="34141"/>
    <cellStyle name="Normal 2 2 2 2 2 6" xfId="7814"/>
    <cellStyle name="Normal 2 2 2 2 2 6 2" xfId="22858"/>
    <cellStyle name="Normal 2 2 2 2 2 6 3" xfId="37901"/>
    <cellStyle name="Normal 2 2 2 2 2 7" xfId="15337"/>
    <cellStyle name="Normal 2 2 2 2 2 8" xfId="30380"/>
    <cellStyle name="Normal 2 2 2 2 3" xfId="599"/>
    <cellStyle name="Normal 2 2 2 2 3 2" xfId="1097"/>
    <cellStyle name="Normal 2 2 2 2 3 2 2" xfId="2056"/>
    <cellStyle name="Normal 2 2 2 2 3 2 2 2" xfId="3927"/>
    <cellStyle name="Normal 2 2 2 2 3 2 2 2 2" xfId="7722"/>
    <cellStyle name="Normal 2 2 2 2 3 2 2 2 2 2" xfId="15245"/>
    <cellStyle name="Normal 2 2 2 2 3 2 2 2 2 2 2" xfId="30289"/>
    <cellStyle name="Normal 2 2 2 2 3 2 2 2 2 2 3" xfId="45332"/>
    <cellStyle name="Normal 2 2 2 2 3 2 2 2 2 3" xfId="22768"/>
    <cellStyle name="Normal 2 2 2 2 3 2 2 2 2 4" xfId="37811"/>
    <cellStyle name="Normal 2 2 2 2 3 2 2 2 3" xfId="11496"/>
    <cellStyle name="Normal 2 2 2 2 3 2 2 2 3 2" xfId="26540"/>
    <cellStyle name="Normal 2 2 2 2 3 2 2 2 3 3" xfId="41583"/>
    <cellStyle name="Normal 2 2 2 2 3 2 2 2 4" xfId="19019"/>
    <cellStyle name="Normal 2 2 2 2 3 2 2 2 5" xfId="34062"/>
    <cellStyle name="Normal 2 2 2 2 3 2 2 3" xfId="5857"/>
    <cellStyle name="Normal 2 2 2 2 3 2 2 3 2" xfId="13380"/>
    <cellStyle name="Normal 2 2 2 2 3 2 2 3 2 2" xfId="28424"/>
    <cellStyle name="Normal 2 2 2 2 3 2 2 3 2 3" xfId="43467"/>
    <cellStyle name="Normal 2 2 2 2 3 2 2 3 3" xfId="20903"/>
    <cellStyle name="Normal 2 2 2 2 3 2 2 3 4" xfId="35946"/>
    <cellStyle name="Normal 2 2 2 2 3 2 2 4" xfId="9631"/>
    <cellStyle name="Normal 2 2 2 2 3 2 2 4 2" xfId="24675"/>
    <cellStyle name="Normal 2 2 2 2 3 2 2 4 3" xfId="39718"/>
    <cellStyle name="Normal 2 2 2 2 3 2 2 5" xfId="17154"/>
    <cellStyle name="Normal 2 2 2 2 3 2 2 6" xfId="32197"/>
    <cellStyle name="Normal 2 2 2 2 3 2 3" xfId="2995"/>
    <cellStyle name="Normal 2 2 2 2 3 2 3 2" xfId="6790"/>
    <cellStyle name="Normal 2 2 2 2 3 2 3 2 2" xfId="14313"/>
    <cellStyle name="Normal 2 2 2 2 3 2 3 2 2 2" xfId="29357"/>
    <cellStyle name="Normal 2 2 2 2 3 2 3 2 2 3" xfId="44400"/>
    <cellStyle name="Normal 2 2 2 2 3 2 3 2 3" xfId="21836"/>
    <cellStyle name="Normal 2 2 2 2 3 2 3 2 4" xfId="36879"/>
    <cellStyle name="Normal 2 2 2 2 3 2 3 3" xfId="10564"/>
    <cellStyle name="Normal 2 2 2 2 3 2 3 3 2" xfId="25608"/>
    <cellStyle name="Normal 2 2 2 2 3 2 3 3 3" xfId="40651"/>
    <cellStyle name="Normal 2 2 2 2 3 2 3 4" xfId="18087"/>
    <cellStyle name="Normal 2 2 2 2 3 2 3 5" xfId="33130"/>
    <cellStyle name="Normal 2 2 2 2 3 2 4" xfId="4925"/>
    <cellStyle name="Normal 2 2 2 2 3 2 4 2" xfId="12448"/>
    <cellStyle name="Normal 2 2 2 2 3 2 4 2 2" xfId="27492"/>
    <cellStyle name="Normal 2 2 2 2 3 2 4 2 3" xfId="42535"/>
    <cellStyle name="Normal 2 2 2 2 3 2 4 3" xfId="19971"/>
    <cellStyle name="Normal 2 2 2 2 3 2 4 4" xfId="35014"/>
    <cellStyle name="Normal 2 2 2 2 3 2 5" xfId="8699"/>
    <cellStyle name="Normal 2 2 2 2 3 2 5 2" xfId="23743"/>
    <cellStyle name="Normal 2 2 2 2 3 2 5 3" xfId="38786"/>
    <cellStyle name="Normal 2 2 2 2 3 2 6" xfId="16222"/>
    <cellStyle name="Normal 2 2 2 2 3 2 7" xfId="31265"/>
    <cellStyle name="Normal 2 2 2 2 3 3" xfId="1604"/>
    <cellStyle name="Normal 2 2 2 2 3 3 2" xfId="3475"/>
    <cellStyle name="Normal 2 2 2 2 3 3 2 2" xfId="7270"/>
    <cellStyle name="Normal 2 2 2 2 3 3 2 2 2" xfId="14793"/>
    <cellStyle name="Normal 2 2 2 2 3 3 2 2 2 2" xfId="29837"/>
    <cellStyle name="Normal 2 2 2 2 3 3 2 2 2 3" xfId="44880"/>
    <cellStyle name="Normal 2 2 2 2 3 3 2 2 3" xfId="22316"/>
    <cellStyle name="Normal 2 2 2 2 3 3 2 2 4" xfId="37359"/>
    <cellStyle name="Normal 2 2 2 2 3 3 2 3" xfId="11044"/>
    <cellStyle name="Normal 2 2 2 2 3 3 2 3 2" xfId="26088"/>
    <cellStyle name="Normal 2 2 2 2 3 3 2 3 3" xfId="41131"/>
    <cellStyle name="Normal 2 2 2 2 3 3 2 4" xfId="18567"/>
    <cellStyle name="Normal 2 2 2 2 3 3 2 5" xfId="33610"/>
    <cellStyle name="Normal 2 2 2 2 3 3 3" xfId="5405"/>
    <cellStyle name="Normal 2 2 2 2 3 3 3 2" xfId="12928"/>
    <cellStyle name="Normal 2 2 2 2 3 3 3 2 2" xfId="27972"/>
    <cellStyle name="Normal 2 2 2 2 3 3 3 2 3" xfId="43015"/>
    <cellStyle name="Normal 2 2 2 2 3 3 3 3" xfId="20451"/>
    <cellStyle name="Normal 2 2 2 2 3 3 3 4" xfId="35494"/>
    <cellStyle name="Normal 2 2 2 2 3 3 4" xfId="9179"/>
    <cellStyle name="Normal 2 2 2 2 3 3 4 2" xfId="24223"/>
    <cellStyle name="Normal 2 2 2 2 3 3 4 3" xfId="39266"/>
    <cellStyle name="Normal 2 2 2 2 3 3 5" xfId="16702"/>
    <cellStyle name="Normal 2 2 2 2 3 3 6" xfId="31745"/>
    <cellStyle name="Normal 2 2 2 2 3 4" xfId="2542"/>
    <cellStyle name="Normal 2 2 2 2 3 4 2" xfId="6338"/>
    <cellStyle name="Normal 2 2 2 2 3 4 2 2" xfId="13861"/>
    <cellStyle name="Normal 2 2 2 2 3 4 2 2 2" xfId="28905"/>
    <cellStyle name="Normal 2 2 2 2 3 4 2 2 3" xfId="43948"/>
    <cellStyle name="Normal 2 2 2 2 3 4 2 3" xfId="21384"/>
    <cellStyle name="Normal 2 2 2 2 3 4 2 4" xfId="36427"/>
    <cellStyle name="Normal 2 2 2 2 3 4 3" xfId="10112"/>
    <cellStyle name="Normal 2 2 2 2 3 4 3 2" xfId="25156"/>
    <cellStyle name="Normal 2 2 2 2 3 4 3 3" xfId="40199"/>
    <cellStyle name="Normal 2 2 2 2 3 4 4" xfId="17635"/>
    <cellStyle name="Normal 2 2 2 2 3 4 5" xfId="32678"/>
    <cellStyle name="Normal 2 2 2 2 3 5" xfId="4470"/>
    <cellStyle name="Normal 2 2 2 2 3 5 2" xfId="11994"/>
    <cellStyle name="Normal 2 2 2 2 3 5 2 2" xfId="27038"/>
    <cellStyle name="Normal 2 2 2 2 3 5 2 3" xfId="42081"/>
    <cellStyle name="Normal 2 2 2 2 3 5 3" xfId="19517"/>
    <cellStyle name="Normal 2 2 2 2 3 5 4" xfId="34560"/>
    <cellStyle name="Normal 2 2 2 2 3 6" xfId="8233"/>
    <cellStyle name="Normal 2 2 2 2 3 6 2" xfId="23277"/>
    <cellStyle name="Normal 2 2 2 2 3 6 3" xfId="38320"/>
    <cellStyle name="Normal 2 2 2 2 3 7" xfId="15756"/>
    <cellStyle name="Normal 2 2 2 2 3 8" xfId="30799"/>
    <cellStyle name="Normal 2 2 2 2 4" xfId="663"/>
    <cellStyle name="Normal 2 2 2 2 4 2" xfId="1622"/>
    <cellStyle name="Normal 2 2 2 2 4 2 2" xfId="3493"/>
    <cellStyle name="Normal 2 2 2 2 4 2 2 2" xfId="7288"/>
    <cellStyle name="Normal 2 2 2 2 4 2 2 2 2" xfId="14811"/>
    <cellStyle name="Normal 2 2 2 2 4 2 2 2 2 2" xfId="29855"/>
    <cellStyle name="Normal 2 2 2 2 4 2 2 2 2 3" xfId="44898"/>
    <cellStyle name="Normal 2 2 2 2 4 2 2 2 3" xfId="22334"/>
    <cellStyle name="Normal 2 2 2 2 4 2 2 2 4" xfId="37377"/>
    <cellStyle name="Normal 2 2 2 2 4 2 2 3" xfId="11062"/>
    <cellStyle name="Normal 2 2 2 2 4 2 2 3 2" xfId="26106"/>
    <cellStyle name="Normal 2 2 2 2 4 2 2 3 3" xfId="41149"/>
    <cellStyle name="Normal 2 2 2 2 4 2 2 4" xfId="18585"/>
    <cellStyle name="Normal 2 2 2 2 4 2 2 5" xfId="33628"/>
    <cellStyle name="Normal 2 2 2 2 4 2 3" xfId="5423"/>
    <cellStyle name="Normal 2 2 2 2 4 2 3 2" xfId="12946"/>
    <cellStyle name="Normal 2 2 2 2 4 2 3 2 2" xfId="27990"/>
    <cellStyle name="Normal 2 2 2 2 4 2 3 2 3" xfId="43033"/>
    <cellStyle name="Normal 2 2 2 2 4 2 3 3" xfId="20469"/>
    <cellStyle name="Normal 2 2 2 2 4 2 3 4" xfId="35512"/>
    <cellStyle name="Normal 2 2 2 2 4 2 4" xfId="9197"/>
    <cellStyle name="Normal 2 2 2 2 4 2 4 2" xfId="24241"/>
    <cellStyle name="Normal 2 2 2 2 4 2 4 3" xfId="39284"/>
    <cellStyle name="Normal 2 2 2 2 4 2 5" xfId="16720"/>
    <cellStyle name="Normal 2 2 2 2 4 2 6" xfId="31763"/>
    <cellStyle name="Normal 2 2 2 2 4 3" xfId="2561"/>
    <cellStyle name="Normal 2 2 2 2 4 3 2" xfId="6356"/>
    <cellStyle name="Normal 2 2 2 2 4 3 2 2" xfId="13879"/>
    <cellStyle name="Normal 2 2 2 2 4 3 2 2 2" xfId="28923"/>
    <cellStyle name="Normal 2 2 2 2 4 3 2 2 3" xfId="43966"/>
    <cellStyle name="Normal 2 2 2 2 4 3 2 3" xfId="21402"/>
    <cellStyle name="Normal 2 2 2 2 4 3 2 4" xfId="36445"/>
    <cellStyle name="Normal 2 2 2 2 4 3 3" xfId="10130"/>
    <cellStyle name="Normal 2 2 2 2 4 3 3 2" xfId="25174"/>
    <cellStyle name="Normal 2 2 2 2 4 3 3 3" xfId="40217"/>
    <cellStyle name="Normal 2 2 2 2 4 3 4" xfId="17653"/>
    <cellStyle name="Normal 2 2 2 2 4 3 5" xfId="32696"/>
    <cellStyle name="Normal 2 2 2 2 4 4" xfId="4491"/>
    <cellStyle name="Normal 2 2 2 2 4 4 2" xfId="12014"/>
    <cellStyle name="Normal 2 2 2 2 4 4 2 2" xfId="27058"/>
    <cellStyle name="Normal 2 2 2 2 4 4 2 3" xfId="42101"/>
    <cellStyle name="Normal 2 2 2 2 4 4 3" xfId="19537"/>
    <cellStyle name="Normal 2 2 2 2 4 4 4" xfId="34580"/>
    <cellStyle name="Normal 2 2 2 2 4 5" xfId="8265"/>
    <cellStyle name="Normal 2 2 2 2 4 5 2" xfId="23309"/>
    <cellStyle name="Normal 2 2 2 2 4 5 3" xfId="38352"/>
    <cellStyle name="Normal 2 2 2 2 4 6" xfId="15788"/>
    <cellStyle name="Normal 2 2 2 2 4 7" xfId="30831"/>
    <cellStyle name="Normal 2 2 2 2 5" xfId="1170"/>
    <cellStyle name="Normal 2 2 2 2 5 2" xfId="3041"/>
    <cellStyle name="Normal 2 2 2 2 5 2 2" xfId="6836"/>
    <cellStyle name="Normal 2 2 2 2 5 2 2 2" xfId="14359"/>
    <cellStyle name="Normal 2 2 2 2 5 2 2 2 2" xfId="29403"/>
    <cellStyle name="Normal 2 2 2 2 5 2 2 2 3" xfId="44446"/>
    <cellStyle name="Normal 2 2 2 2 5 2 2 3" xfId="21882"/>
    <cellStyle name="Normal 2 2 2 2 5 2 2 4" xfId="36925"/>
    <cellStyle name="Normal 2 2 2 2 5 2 3" xfId="10610"/>
    <cellStyle name="Normal 2 2 2 2 5 2 3 2" xfId="25654"/>
    <cellStyle name="Normal 2 2 2 2 5 2 3 3" xfId="40697"/>
    <cellStyle name="Normal 2 2 2 2 5 2 4" xfId="18133"/>
    <cellStyle name="Normal 2 2 2 2 5 2 5" xfId="33176"/>
    <cellStyle name="Normal 2 2 2 2 5 3" xfId="4971"/>
    <cellStyle name="Normal 2 2 2 2 5 3 2" xfId="12494"/>
    <cellStyle name="Normal 2 2 2 2 5 3 2 2" xfId="27538"/>
    <cellStyle name="Normal 2 2 2 2 5 3 2 3" xfId="42581"/>
    <cellStyle name="Normal 2 2 2 2 5 3 3" xfId="20017"/>
    <cellStyle name="Normal 2 2 2 2 5 3 4" xfId="35060"/>
    <cellStyle name="Normal 2 2 2 2 5 4" xfId="8745"/>
    <cellStyle name="Normal 2 2 2 2 5 4 2" xfId="23789"/>
    <cellStyle name="Normal 2 2 2 2 5 4 3" xfId="38832"/>
    <cellStyle name="Normal 2 2 2 2 5 5" xfId="16268"/>
    <cellStyle name="Normal 2 2 2 2 5 6" xfId="31311"/>
    <cellStyle name="Normal 2 2 2 2 6" xfId="2108"/>
    <cellStyle name="Normal 2 2 2 2 6 2" xfId="5904"/>
    <cellStyle name="Normal 2 2 2 2 6 2 2" xfId="13427"/>
    <cellStyle name="Normal 2 2 2 2 6 2 2 2" xfId="28471"/>
    <cellStyle name="Normal 2 2 2 2 6 2 2 3" xfId="43514"/>
    <cellStyle name="Normal 2 2 2 2 6 2 3" xfId="20950"/>
    <cellStyle name="Normal 2 2 2 2 6 2 4" xfId="35993"/>
    <cellStyle name="Normal 2 2 2 2 6 3" xfId="9678"/>
    <cellStyle name="Normal 2 2 2 2 6 3 2" xfId="24722"/>
    <cellStyle name="Normal 2 2 2 2 6 3 3" xfId="39765"/>
    <cellStyle name="Normal 2 2 2 2 6 4" xfId="17201"/>
    <cellStyle name="Normal 2 2 2 2 6 5" xfId="32244"/>
    <cellStyle name="Normal 2 2 2 2 7" xfId="4034"/>
    <cellStyle name="Normal 2 2 2 2 7 2" xfId="11558"/>
    <cellStyle name="Normal 2 2 2 2 7 2 2" xfId="26602"/>
    <cellStyle name="Normal 2 2 2 2 7 2 3" xfId="41645"/>
    <cellStyle name="Normal 2 2 2 2 7 3" xfId="19081"/>
    <cellStyle name="Normal 2 2 2 2 7 4" xfId="34124"/>
    <cellStyle name="Normal 2 2 2 2 8" xfId="7797"/>
    <cellStyle name="Normal 2 2 2 2 8 2" xfId="22841"/>
    <cellStyle name="Normal 2 2 2 2 8 3" xfId="37884"/>
    <cellStyle name="Normal 2 2 2 2 9" xfId="15320"/>
    <cellStyle name="Normal 2 2 2 3" xfId="34"/>
    <cellStyle name="Normal 2 2 2 3 2" xfId="671"/>
    <cellStyle name="Normal 2 2 2 3 2 2" xfId="1630"/>
    <cellStyle name="Normal 2 2 2 3 2 2 2" xfId="3501"/>
    <cellStyle name="Normal 2 2 2 3 2 2 2 2" xfId="7296"/>
    <cellStyle name="Normal 2 2 2 3 2 2 2 2 2" xfId="14819"/>
    <cellStyle name="Normal 2 2 2 3 2 2 2 2 2 2" xfId="29863"/>
    <cellStyle name="Normal 2 2 2 3 2 2 2 2 2 3" xfId="44906"/>
    <cellStyle name="Normal 2 2 2 3 2 2 2 2 3" xfId="22342"/>
    <cellStyle name="Normal 2 2 2 3 2 2 2 2 4" xfId="37385"/>
    <cellStyle name="Normal 2 2 2 3 2 2 2 3" xfId="11070"/>
    <cellStyle name="Normal 2 2 2 3 2 2 2 3 2" xfId="26114"/>
    <cellStyle name="Normal 2 2 2 3 2 2 2 3 3" xfId="41157"/>
    <cellStyle name="Normal 2 2 2 3 2 2 2 4" xfId="18593"/>
    <cellStyle name="Normal 2 2 2 3 2 2 2 5" xfId="33636"/>
    <cellStyle name="Normal 2 2 2 3 2 2 3" xfId="5431"/>
    <cellStyle name="Normal 2 2 2 3 2 2 3 2" xfId="12954"/>
    <cellStyle name="Normal 2 2 2 3 2 2 3 2 2" xfId="27998"/>
    <cellStyle name="Normal 2 2 2 3 2 2 3 2 3" xfId="43041"/>
    <cellStyle name="Normal 2 2 2 3 2 2 3 3" xfId="20477"/>
    <cellStyle name="Normal 2 2 2 3 2 2 3 4" xfId="35520"/>
    <cellStyle name="Normal 2 2 2 3 2 2 4" xfId="9205"/>
    <cellStyle name="Normal 2 2 2 3 2 2 4 2" xfId="24249"/>
    <cellStyle name="Normal 2 2 2 3 2 2 4 3" xfId="39292"/>
    <cellStyle name="Normal 2 2 2 3 2 2 5" xfId="16728"/>
    <cellStyle name="Normal 2 2 2 3 2 2 6" xfId="31771"/>
    <cellStyle name="Normal 2 2 2 3 2 3" xfId="2569"/>
    <cellStyle name="Normal 2 2 2 3 2 3 2" xfId="6364"/>
    <cellStyle name="Normal 2 2 2 3 2 3 2 2" xfId="13887"/>
    <cellStyle name="Normal 2 2 2 3 2 3 2 2 2" xfId="28931"/>
    <cellStyle name="Normal 2 2 2 3 2 3 2 2 3" xfId="43974"/>
    <cellStyle name="Normal 2 2 2 3 2 3 2 3" xfId="21410"/>
    <cellStyle name="Normal 2 2 2 3 2 3 2 4" xfId="36453"/>
    <cellStyle name="Normal 2 2 2 3 2 3 3" xfId="10138"/>
    <cellStyle name="Normal 2 2 2 3 2 3 3 2" xfId="25182"/>
    <cellStyle name="Normal 2 2 2 3 2 3 3 3" xfId="40225"/>
    <cellStyle name="Normal 2 2 2 3 2 3 4" xfId="17661"/>
    <cellStyle name="Normal 2 2 2 3 2 3 5" xfId="32704"/>
    <cellStyle name="Normal 2 2 2 3 2 4" xfId="4499"/>
    <cellStyle name="Normal 2 2 2 3 2 4 2" xfId="12022"/>
    <cellStyle name="Normal 2 2 2 3 2 4 2 2" xfId="27066"/>
    <cellStyle name="Normal 2 2 2 3 2 4 2 3" xfId="42109"/>
    <cellStyle name="Normal 2 2 2 3 2 4 3" xfId="19545"/>
    <cellStyle name="Normal 2 2 2 3 2 4 4" xfId="34588"/>
    <cellStyle name="Normal 2 2 2 3 2 5" xfId="8273"/>
    <cellStyle name="Normal 2 2 2 3 2 5 2" xfId="23317"/>
    <cellStyle name="Normal 2 2 2 3 2 5 3" xfId="38360"/>
    <cellStyle name="Normal 2 2 2 3 2 6" xfId="15796"/>
    <cellStyle name="Normal 2 2 2 3 2 7" xfId="30839"/>
    <cellStyle name="Normal 2 2 2 3 3" xfId="1178"/>
    <cellStyle name="Normal 2 2 2 3 3 2" xfId="3049"/>
    <cellStyle name="Normal 2 2 2 3 3 2 2" xfId="6844"/>
    <cellStyle name="Normal 2 2 2 3 3 2 2 2" xfId="14367"/>
    <cellStyle name="Normal 2 2 2 3 3 2 2 2 2" xfId="29411"/>
    <cellStyle name="Normal 2 2 2 3 3 2 2 2 3" xfId="44454"/>
    <cellStyle name="Normal 2 2 2 3 3 2 2 3" xfId="21890"/>
    <cellStyle name="Normal 2 2 2 3 3 2 2 4" xfId="36933"/>
    <cellStyle name="Normal 2 2 2 3 3 2 3" xfId="10618"/>
    <cellStyle name="Normal 2 2 2 3 3 2 3 2" xfId="25662"/>
    <cellStyle name="Normal 2 2 2 3 3 2 3 3" xfId="40705"/>
    <cellStyle name="Normal 2 2 2 3 3 2 4" xfId="18141"/>
    <cellStyle name="Normal 2 2 2 3 3 2 5" xfId="33184"/>
    <cellStyle name="Normal 2 2 2 3 3 3" xfId="4979"/>
    <cellStyle name="Normal 2 2 2 3 3 3 2" xfId="12502"/>
    <cellStyle name="Normal 2 2 2 3 3 3 2 2" xfId="27546"/>
    <cellStyle name="Normal 2 2 2 3 3 3 2 3" xfId="42589"/>
    <cellStyle name="Normal 2 2 2 3 3 3 3" xfId="20025"/>
    <cellStyle name="Normal 2 2 2 3 3 3 4" xfId="35068"/>
    <cellStyle name="Normal 2 2 2 3 3 4" xfId="8753"/>
    <cellStyle name="Normal 2 2 2 3 3 4 2" xfId="23797"/>
    <cellStyle name="Normal 2 2 2 3 3 4 3" xfId="38840"/>
    <cellStyle name="Normal 2 2 2 3 3 5" xfId="16276"/>
    <cellStyle name="Normal 2 2 2 3 3 6" xfId="31319"/>
    <cellStyle name="Normal 2 2 2 3 4" xfId="2116"/>
    <cellStyle name="Normal 2 2 2 3 4 2" xfId="5912"/>
    <cellStyle name="Normal 2 2 2 3 4 2 2" xfId="13435"/>
    <cellStyle name="Normal 2 2 2 3 4 2 2 2" xfId="28479"/>
    <cellStyle name="Normal 2 2 2 3 4 2 2 3" xfId="43522"/>
    <cellStyle name="Normal 2 2 2 3 4 2 3" xfId="20958"/>
    <cellStyle name="Normal 2 2 2 3 4 2 4" xfId="36001"/>
    <cellStyle name="Normal 2 2 2 3 4 3" xfId="9686"/>
    <cellStyle name="Normal 2 2 2 3 4 3 2" xfId="24730"/>
    <cellStyle name="Normal 2 2 2 3 4 3 3" xfId="39773"/>
    <cellStyle name="Normal 2 2 2 3 4 4" xfId="17209"/>
    <cellStyle name="Normal 2 2 2 3 4 5" xfId="32252"/>
    <cellStyle name="Normal 2 2 2 3 5" xfId="4042"/>
    <cellStyle name="Normal 2 2 2 3 5 2" xfId="11566"/>
    <cellStyle name="Normal 2 2 2 3 5 2 2" xfId="26610"/>
    <cellStyle name="Normal 2 2 2 3 5 2 3" xfId="41653"/>
    <cellStyle name="Normal 2 2 2 3 5 3" xfId="19089"/>
    <cellStyle name="Normal 2 2 2 3 5 4" xfId="34132"/>
    <cellStyle name="Normal 2 2 2 3 6" xfId="7805"/>
    <cellStyle name="Normal 2 2 2 3 6 2" xfId="22849"/>
    <cellStyle name="Normal 2 2 2 3 6 3" xfId="37892"/>
    <cellStyle name="Normal 2 2 2 3 7" xfId="15328"/>
    <cellStyle name="Normal 2 2 2 3 8" xfId="30371"/>
    <cellStyle name="Normal 2 2 2 4" xfId="593"/>
    <cellStyle name="Normal 2 2 2 4 2" xfId="1091"/>
    <cellStyle name="Normal 2 2 2 4 2 2" xfId="2050"/>
    <cellStyle name="Normal 2 2 2 4 2 2 2" xfId="3921"/>
    <cellStyle name="Normal 2 2 2 4 2 2 2 2" xfId="7716"/>
    <cellStyle name="Normal 2 2 2 4 2 2 2 2 2" xfId="15239"/>
    <cellStyle name="Normal 2 2 2 4 2 2 2 2 2 2" xfId="30283"/>
    <cellStyle name="Normal 2 2 2 4 2 2 2 2 2 3" xfId="45326"/>
    <cellStyle name="Normal 2 2 2 4 2 2 2 2 3" xfId="22762"/>
    <cellStyle name="Normal 2 2 2 4 2 2 2 2 4" xfId="37805"/>
    <cellStyle name="Normal 2 2 2 4 2 2 2 3" xfId="11490"/>
    <cellStyle name="Normal 2 2 2 4 2 2 2 3 2" xfId="26534"/>
    <cellStyle name="Normal 2 2 2 4 2 2 2 3 3" xfId="41577"/>
    <cellStyle name="Normal 2 2 2 4 2 2 2 4" xfId="19013"/>
    <cellStyle name="Normal 2 2 2 4 2 2 2 5" xfId="34056"/>
    <cellStyle name="Normal 2 2 2 4 2 2 3" xfId="5851"/>
    <cellStyle name="Normal 2 2 2 4 2 2 3 2" xfId="13374"/>
    <cellStyle name="Normal 2 2 2 4 2 2 3 2 2" xfId="28418"/>
    <cellStyle name="Normal 2 2 2 4 2 2 3 2 3" xfId="43461"/>
    <cellStyle name="Normal 2 2 2 4 2 2 3 3" xfId="20897"/>
    <cellStyle name="Normal 2 2 2 4 2 2 3 4" xfId="35940"/>
    <cellStyle name="Normal 2 2 2 4 2 2 4" xfId="9625"/>
    <cellStyle name="Normal 2 2 2 4 2 2 4 2" xfId="24669"/>
    <cellStyle name="Normal 2 2 2 4 2 2 4 3" xfId="39712"/>
    <cellStyle name="Normal 2 2 2 4 2 2 5" xfId="17148"/>
    <cellStyle name="Normal 2 2 2 4 2 2 6" xfId="32191"/>
    <cellStyle name="Normal 2 2 2 4 2 3" xfId="2989"/>
    <cellStyle name="Normal 2 2 2 4 2 3 2" xfId="6784"/>
    <cellStyle name="Normal 2 2 2 4 2 3 2 2" xfId="14307"/>
    <cellStyle name="Normal 2 2 2 4 2 3 2 2 2" xfId="29351"/>
    <cellStyle name="Normal 2 2 2 4 2 3 2 2 3" xfId="44394"/>
    <cellStyle name="Normal 2 2 2 4 2 3 2 3" xfId="21830"/>
    <cellStyle name="Normal 2 2 2 4 2 3 2 4" xfId="36873"/>
    <cellStyle name="Normal 2 2 2 4 2 3 3" xfId="10558"/>
    <cellStyle name="Normal 2 2 2 4 2 3 3 2" xfId="25602"/>
    <cellStyle name="Normal 2 2 2 4 2 3 3 3" xfId="40645"/>
    <cellStyle name="Normal 2 2 2 4 2 3 4" xfId="18081"/>
    <cellStyle name="Normal 2 2 2 4 2 3 5" xfId="33124"/>
    <cellStyle name="Normal 2 2 2 4 2 4" xfId="4919"/>
    <cellStyle name="Normal 2 2 2 4 2 4 2" xfId="12442"/>
    <cellStyle name="Normal 2 2 2 4 2 4 2 2" xfId="27486"/>
    <cellStyle name="Normal 2 2 2 4 2 4 2 3" xfId="42529"/>
    <cellStyle name="Normal 2 2 2 4 2 4 3" xfId="19965"/>
    <cellStyle name="Normal 2 2 2 4 2 4 4" xfId="35008"/>
    <cellStyle name="Normal 2 2 2 4 2 5" xfId="8693"/>
    <cellStyle name="Normal 2 2 2 4 2 5 2" xfId="23737"/>
    <cellStyle name="Normal 2 2 2 4 2 5 3" xfId="38780"/>
    <cellStyle name="Normal 2 2 2 4 2 6" xfId="16216"/>
    <cellStyle name="Normal 2 2 2 4 2 7" xfId="31259"/>
    <cellStyle name="Normal 2 2 2 4 3" xfId="1598"/>
    <cellStyle name="Normal 2 2 2 4 3 2" xfId="3469"/>
    <cellStyle name="Normal 2 2 2 4 3 2 2" xfId="7264"/>
    <cellStyle name="Normal 2 2 2 4 3 2 2 2" xfId="14787"/>
    <cellStyle name="Normal 2 2 2 4 3 2 2 2 2" xfId="29831"/>
    <cellStyle name="Normal 2 2 2 4 3 2 2 2 3" xfId="44874"/>
    <cellStyle name="Normal 2 2 2 4 3 2 2 3" xfId="22310"/>
    <cellStyle name="Normal 2 2 2 4 3 2 2 4" xfId="37353"/>
    <cellStyle name="Normal 2 2 2 4 3 2 3" xfId="11038"/>
    <cellStyle name="Normal 2 2 2 4 3 2 3 2" xfId="26082"/>
    <cellStyle name="Normal 2 2 2 4 3 2 3 3" xfId="41125"/>
    <cellStyle name="Normal 2 2 2 4 3 2 4" xfId="18561"/>
    <cellStyle name="Normal 2 2 2 4 3 2 5" xfId="33604"/>
    <cellStyle name="Normal 2 2 2 4 3 3" xfId="5399"/>
    <cellStyle name="Normal 2 2 2 4 3 3 2" xfId="12922"/>
    <cellStyle name="Normal 2 2 2 4 3 3 2 2" xfId="27966"/>
    <cellStyle name="Normal 2 2 2 4 3 3 2 3" xfId="43009"/>
    <cellStyle name="Normal 2 2 2 4 3 3 3" xfId="20445"/>
    <cellStyle name="Normal 2 2 2 4 3 3 4" xfId="35488"/>
    <cellStyle name="Normal 2 2 2 4 3 4" xfId="9173"/>
    <cellStyle name="Normal 2 2 2 4 3 4 2" xfId="24217"/>
    <cellStyle name="Normal 2 2 2 4 3 4 3" xfId="39260"/>
    <cellStyle name="Normal 2 2 2 4 3 5" xfId="16696"/>
    <cellStyle name="Normal 2 2 2 4 3 6" xfId="31739"/>
    <cellStyle name="Normal 2 2 2 4 4" xfId="2536"/>
    <cellStyle name="Normal 2 2 2 4 4 2" xfId="6332"/>
    <cellStyle name="Normal 2 2 2 4 4 2 2" xfId="13855"/>
    <cellStyle name="Normal 2 2 2 4 4 2 2 2" xfId="28899"/>
    <cellStyle name="Normal 2 2 2 4 4 2 2 3" xfId="43942"/>
    <cellStyle name="Normal 2 2 2 4 4 2 3" xfId="21378"/>
    <cellStyle name="Normal 2 2 2 4 4 2 4" xfId="36421"/>
    <cellStyle name="Normal 2 2 2 4 4 3" xfId="10106"/>
    <cellStyle name="Normal 2 2 2 4 4 3 2" xfId="25150"/>
    <cellStyle name="Normal 2 2 2 4 4 3 3" xfId="40193"/>
    <cellStyle name="Normal 2 2 2 4 4 4" xfId="17629"/>
    <cellStyle name="Normal 2 2 2 4 4 5" xfId="32672"/>
    <cellStyle name="Normal 2 2 2 4 5" xfId="4464"/>
    <cellStyle name="Normal 2 2 2 4 5 2" xfId="11988"/>
    <cellStyle name="Normal 2 2 2 4 5 2 2" xfId="27032"/>
    <cellStyle name="Normal 2 2 2 4 5 2 3" xfId="42075"/>
    <cellStyle name="Normal 2 2 2 4 5 3" xfId="19511"/>
    <cellStyle name="Normal 2 2 2 4 5 4" xfId="34554"/>
    <cellStyle name="Normal 2 2 2 4 6" xfId="8227"/>
    <cellStyle name="Normal 2 2 2 4 6 2" xfId="23271"/>
    <cellStyle name="Normal 2 2 2 4 6 3" xfId="38314"/>
    <cellStyle name="Normal 2 2 2 4 7" xfId="15750"/>
    <cellStyle name="Normal 2 2 2 4 8" xfId="30793"/>
    <cellStyle name="Normal 2 2 2 5" xfId="653"/>
    <cellStyle name="Normal 2 2 2 5 2" xfId="1613"/>
    <cellStyle name="Normal 2 2 2 5 2 2" xfId="3484"/>
    <cellStyle name="Normal 2 2 2 5 2 2 2" xfId="7279"/>
    <cellStyle name="Normal 2 2 2 5 2 2 2 2" xfId="14802"/>
    <cellStyle name="Normal 2 2 2 5 2 2 2 2 2" xfId="29846"/>
    <cellStyle name="Normal 2 2 2 5 2 2 2 2 3" xfId="44889"/>
    <cellStyle name="Normal 2 2 2 5 2 2 2 3" xfId="22325"/>
    <cellStyle name="Normal 2 2 2 5 2 2 2 4" xfId="37368"/>
    <cellStyle name="Normal 2 2 2 5 2 2 3" xfId="11053"/>
    <cellStyle name="Normal 2 2 2 5 2 2 3 2" xfId="26097"/>
    <cellStyle name="Normal 2 2 2 5 2 2 3 3" xfId="41140"/>
    <cellStyle name="Normal 2 2 2 5 2 2 4" xfId="18576"/>
    <cellStyle name="Normal 2 2 2 5 2 2 5" xfId="33619"/>
    <cellStyle name="Normal 2 2 2 5 2 3" xfId="5414"/>
    <cellStyle name="Normal 2 2 2 5 2 3 2" xfId="12937"/>
    <cellStyle name="Normal 2 2 2 5 2 3 2 2" xfId="27981"/>
    <cellStyle name="Normal 2 2 2 5 2 3 2 3" xfId="43024"/>
    <cellStyle name="Normal 2 2 2 5 2 3 3" xfId="20460"/>
    <cellStyle name="Normal 2 2 2 5 2 3 4" xfId="35503"/>
    <cellStyle name="Normal 2 2 2 5 2 4" xfId="9188"/>
    <cellStyle name="Normal 2 2 2 5 2 4 2" xfId="24232"/>
    <cellStyle name="Normal 2 2 2 5 2 4 3" xfId="39275"/>
    <cellStyle name="Normal 2 2 2 5 2 5" xfId="16711"/>
    <cellStyle name="Normal 2 2 2 5 2 6" xfId="31754"/>
    <cellStyle name="Normal 2 2 2 5 3" xfId="2552"/>
    <cellStyle name="Normal 2 2 2 5 3 2" xfId="6347"/>
    <cellStyle name="Normal 2 2 2 5 3 2 2" xfId="13870"/>
    <cellStyle name="Normal 2 2 2 5 3 2 2 2" xfId="28914"/>
    <cellStyle name="Normal 2 2 2 5 3 2 2 3" xfId="43957"/>
    <cellStyle name="Normal 2 2 2 5 3 2 3" xfId="21393"/>
    <cellStyle name="Normal 2 2 2 5 3 2 4" xfId="36436"/>
    <cellStyle name="Normal 2 2 2 5 3 3" xfId="10121"/>
    <cellStyle name="Normal 2 2 2 5 3 3 2" xfId="25165"/>
    <cellStyle name="Normal 2 2 2 5 3 3 3" xfId="40208"/>
    <cellStyle name="Normal 2 2 2 5 3 4" xfId="17644"/>
    <cellStyle name="Normal 2 2 2 5 3 5" xfId="32687"/>
    <cellStyle name="Normal 2 2 2 5 4" xfId="4482"/>
    <cellStyle name="Normal 2 2 2 5 4 2" xfId="12005"/>
    <cellStyle name="Normal 2 2 2 5 4 2 2" xfId="27049"/>
    <cellStyle name="Normal 2 2 2 5 4 2 3" xfId="42092"/>
    <cellStyle name="Normal 2 2 2 5 4 3" xfId="19528"/>
    <cellStyle name="Normal 2 2 2 5 4 4" xfId="34571"/>
    <cellStyle name="Normal 2 2 2 5 5" xfId="8256"/>
    <cellStyle name="Normal 2 2 2 5 5 2" xfId="23300"/>
    <cellStyle name="Normal 2 2 2 5 5 3" xfId="38343"/>
    <cellStyle name="Normal 2 2 2 5 6" xfId="15779"/>
    <cellStyle name="Normal 2 2 2 5 7" xfId="30822"/>
    <cellStyle name="Normal 2 2 2 6" xfId="1161"/>
    <cellStyle name="Normal 2 2 2 6 2" xfId="3032"/>
    <cellStyle name="Normal 2 2 2 6 2 2" xfId="6827"/>
    <cellStyle name="Normal 2 2 2 6 2 2 2" xfId="14350"/>
    <cellStyle name="Normal 2 2 2 6 2 2 2 2" xfId="29394"/>
    <cellStyle name="Normal 2 2 2 6 2 2 2 3" xfId="44437"/>
    <cellStyle name="Normal 2 2 2 6 2 2 3" xfId="21873"/>
    <cellStyle name="Normal 2 2 2 6 2 2 4" xfId="36916"/>
    <cellStyle name="Normal 2 2 2 6 2 3" xfId="10601"/>
    <cellStyle name="Normal 2 2 2 6 2 3 2" xfId="25645"/>
    <cellStyle name="Normal 2 2 2 6 2 3 3" xfId="40688"/>
    <cellStyle name="Normal 2 2 2 6 2 4" xfId="18124"/>
    <cellStyle name="Normal 2 2 2 6 2 5" xfId="33167"/>
    <cellStyle name="Normal 2 2 2 6 3" xfId="4962"/>
    <cellStyle name="Normal 2 2 2 6 3 2" xfId="12485"/>
    <cellStyle name="Normal 2 2 2 6 3 2 2" xfId="27529"/>
    <cellStyle name="Normal 2 2 2 6 3 2 3" xfId="42572"/>
    <cellStyle name="Normal 2 2 2 6 3 3" xfId="20008"/>
    <cellStyle name="Normal 2 2 2 6 3 4" xfId="35051"/>
    <cellStyle name="Normal 2 2 2 6 4" xfId="8736"/>
    <cellStyle name="Normal 2 2 2 6 4 2" xfId="23780"/>
    <cellStyle name="Normal 2 2 2 6 4 3" xfId="38823"/>
    <cellStyle name="Normal 2 2 2 6 5" xfId="16259"/>
    <cellStyle name="Normal 2 2 2 6 6" xfId="31302"/>
    <cellStyle name="Normal 2 2 2 7" xfId="2099"/>
    <cellStyle name="Normal 2 2 2 7 2" xfId="5895"/>
    <cellStyle name="Normal 2 2 2 7 2 2" xfId="13418"/>
    <cellStyle name="Normal 2 2 2 7 2 2 2" xfId="28462"/>
    <cellStyle name="Normal 2 2 2 7 2 2 3" xfId="43505"/>
    <cellStyle name="Normal 2 2 2 7 2 3" xfId="20941"/>
    <cellStyle name="Normal 2 2 2 7 2 4" xfId="35984"/>
    <cellStyle name="Normal 2 2 2 7 3" xfId="9669"/>
    <cellStyle name="Normal 2 2 2 7 3 2" xfId="24713"/>
    <cellStyle name="Normal 2 2 2 7 3 3" xfId="39756"/>
    <cellStyle name="Normal 2 2 2 7 4" xfId="17192"/>
    <cellStyle name="Normal 2 2 2 7 5" xfId="32235"/>
    <cellStyle name="Normal 2 2 2 8" xfId="4025"/>
    <cellStyle name="Normal 2 2 2 8 2" xfId="11549"/>
    <cellStyle name="Normal 2 2 2 8 2 2" xfId="26593"/>
    <cellStyle name="Normal 2 2 2 8 2 3" xfId="41636"/>
    <cellStyle name="Normal 2 2 2 8 3" xfId="19072"/>
    <cellStyle name="Normal 2 2 2 8 4" xfId="34115"/>
    <cellStyle name="Normal 2 2 2 9" xfId="7788"/>
    <cellStyle name="Normal 2 2 2 9 2" xfId="22832"/>
    <cellStyle name="Normal 2 2 2 9 3" xfId="37875"/>
    <cellStyle name="Normal 2 2 20" xfId="45474"/>
    <cellStyle name="Normal 2 2 3" xfId="20"/>
    <cellStyle name="Normal 2 2 3 10" xfId="30359"/>
    <cellStyle name="Normal 2 2 3 2" xfId="39"/>
    <cellStyle name="Normal 2 2 3 2 2" xfId="676"/>
    <cellStyle name="Normal 2 2 3 2 2 2" xfId="1635"/>
    <cellStyle name="Normal 2 2 3 2 2 2 2" xfId="3506"/>
    <cellStyle name="Normal 2 2 3 2 2 2 2 2" xfId="7301"/>
    <cellStyle name="Normal 2 2 3 2 2 2 2 2 2" xfId="14824"/>
    <cellStyle name="Normal 2 2 3 2 2 2 2 2 2 2" xfId="29868"/>
    <cellStyle name="Normal 2 2 3 2 2 2 2 2 2 3" xfId="44911"/>
    <cellStyle name="Normal 2 2 3 2 2 2 2 2 3" xfId="22347"/>
    <cellStyle name="Normal 2 2 3 2 2 2 2 2 4" xfId="37390"/>
    <cellStyle name="Normal 2 2 3 2 2 2 2 3" xfId="11075"/>
    <cellStyle name="Normal 2 2 3 2 2 2 2 3 2" xfId="26119"/>
    <cellStyle name="Normal 2 2 3 2 2 2 2 3 3" xfId="41162"/>
    <cellStyle name="Normal 2 2 3 2 2 2 2 4" xfId="18598"/>
    <cellStyle name="Normal 2 2 3 2 2 2 2 5" xfId="33641"/>
    <cellStyle name="Normal 2 2 3 2 2 2 3" xfId="5436"/>
    <cellStyle name="Normal 2 2 3 2 2 2 3 2" xfId="12959"/>
    <cellStyle name="Normal 2 2 3 2 2 2 3 2 2" xfId="28003"/>
    <cellStyle name="Normal 2 2 3 2 2 2 3 2 3" xfId="43046"/>
    <cellStyle name="Normal 2 2 3 2 2 2 3 3" xfId="20482"/>
    <cellStyle name="Normal 2 2 3 2 2 2 3 4" xfId="35525"/>
    <cellStyle name="Normal 2 2 3 2 2 2 4" xfId="9210"/>
    <cellStyle name="Normal 2 2 3 2 2 2 4 2" xfId="24254"/>
    <cellStyle name="Normal 2 2 3 2 2 2 4 3" xfId="39297"/>
    <cellStyle name="Normal 2 2 3 2 2 2 5" xfId="16733"/>
    <cellStyle name="Normal 2 2 3 2 2 2 6" xfId="31776"/>
    <cellStyle name="Normal 2 2 3 2 2 3" xfId="2574"/>
    <cellStyle name="Normal 2 2 3 2 2 3 2" xfId="6369"/>
    <cellStyle name="Normal 2 2 3 2 2 3 2 2" xfId="13892"/>
    <cellStyle name="Normal 2 2 3 2 2 3 2 2 2" xfId="28936"/>
    <cellStyle name="Normal 2 2 3 2 2 3 2 2 3" xfId="43979"/>
    <cellStyle name="Normal 2 2 3 2 2 3 2 3" xfId="21415"/>
    <cellStyle name="Normal 2 2 3 2 2 3 2 4" xfId="36458"/>
    <cellStyle name="Normal 2 2 3 2 2 3 3" xfId="10143"/>
    <cellStyle name="Normal 2 2 3 2 2 3 3 2" xfId="25187"/>
    <cellStyle name="Normal 2 2 3 2 2 3 3 3" xfId="40230"/>
    <cellStyle name="Normal 2 2 3 2 2 3 4" xfId="17666"/>
    <cellStyle name="Normal 2 2 3 2 2 3 5" xfId="32709"/>
    <cellStyle name="Normal 2 2 3 2 2 4" xfId="4504"/>
    <cellStyle name="Normal 2 2 3 2 2 4 2" xfId="12027"/>
    <cellStyle name="Normal 2 2 3 2 2 4 2 2" xfId="27071"/>
    <cellStyle name="Normal 2 2 3 2 2 4 2 3" xfId="42114"/>
    <cellStyle name="Normal 2 2 3 2 2 4 3" xfId="19550"/>
    <cellStyle name="Normal 2 2 3 2 2 4 4" xfId="34593"/>
    <cellStyle name="Normal 2 2 3 2 2 5" xfId="8278"/>
    <cellStyle name="Normal 2 2 3 2 2 5 2" xfId="23322"/>
    <cellStyle name="Normal 2 2 3 2 2 5 3" xfId="38365"/>
    <cellStyle name="Normal 2 2 3 2 2 6" xfId="15801"/>
    <cellStyle name="Normal 2 2 3 2 2 7" xfId="30844"/>
    <cellStyle name="Normal 2 2 3 2 3" xfId="1183"/>
    <cellStyle name="Normal 2 2 3 2 3 2" xfId="3054"/>
    <cellStyle name="Normal 2 2 3 2 3 2 2" xfId="6849"/>
    <cellStyle name="Normal 2 2 3 2 3 2 2 2" xfId="14372"/>
    <cellStyle name="Normal 2 2 3 2 3 2 2 2 2" xfId="29416"/>
    <cellStyle name="Normal 2 2 3 2 3 2 2 2 3" xfId="44459"/>
    <cellStyle name="Normal 2 2 3 2 3 2 2 3" xfId="21895"/>
    <cellStyle name="Normal 2 2 3 2 3 2 2 4" xfId="36938"/>
    <cellStyle name="Normal 2 2 3 2 3 2 3" xfId="10623"/>
    <cellStyle name="Normal 2 2 3 2 3 2 3 2" xfId="25667"/>
    <cellStyle name="Normal 2 2 3 2 3 2 3 3" xfId="40710"/>
    <cellStyle name="Normal 2 2 3 2 3 2 4" xfId="18146"/>
    <cellStyle name="Normal 2 2 3 2 3 2 5" xfId="33189"/>
    <cellStyle name="Normal 2 2 3 2 3 3" xfId="4984"/>
    <cellStyle name="Normal 2 2 3 2 3 3 2" xfId="12507"/>
    <cellStyle name="Normal 2 2 3 2 3 3 2 2" xfId="27551"/>
    <cellStyle name="Normal 2 2 3 2 3 3 2 3" xfId="42594"/>
    <cellStyle name="Normal 2 2 3 2 3 3 3" xfId="20030"/>
    <cellStyle name="Normal 2 2 3 2 3 3 4" xfId="35073"/>
    <cellStyle name="Normal 2 2 3 2 3 4" xfId="8758"/>
    <cellStyle name="Normal 2 2 3 2 3 4 2" xfId="23802"/>
    <cellStyle name="Normal 2 2 3 2 3 4 3" xfId="38845"/>
    <cellStyle name="Normal 2 2 3 2 3 5" xfId="16281"/>
    <cellStyle name="Normal 2 2 3 2 3 6" xfId="31324"/>
    <cellStyle name="Normal 2 2 3 2 4" xfId="2121"/>
    <cellStyle name="Normal 2 2 3 2 4 2" xfId="5917"/>
    <cellStyle name="Normal 2 2 3 2 4 2 2" xfId="13440"/>
    <cellStyle name="Normal 2 2 3 2 4 2 2 2" xfId="28484"/>
    <cellStyle name="Normal 2 2 3 2 4 2 2 3" xfId="43527"/>
    <cellStyle name="Normal 2 2 3 2 4 2 3" xfId="20963"/>
    <cellStyle name="Normal 2 2 3 2 4 2 4" xfId="36006"/>
    <cellStyle name="Normal 2 2 3 2 4 3" xfId="9691"/>
    <cellStyle name="Normal 2 2 3 2 4 3 2" xfId="24735"/>
    <cellStyle name="Normal 2 2 3 2 4 3 3" xfId="39778"/>
    <cellStyle name="Normal 2 2 3 2 4 4" xfId="17214"/>
    <cellStyle name="Normal 2 2 3 2 4 5" xfId="32257"/>
    <cellStyle name="Normal 2 2 3 2 5" xfId="4047"/>
    <cellStyle name="Normal 2 2 3 2 5 2" xfId="11571"/>
    <cellStyle name="Normal 2 2 3 2 5 2 2" xfId="26615"/>
    <cellStyle name="Normal 2 2 3 2 5 2 3" xfId="41658"/>
    <cellStyle name="Normal 2 2 3 2 5 3" xfId="19094"/>
    <cellStyle name="Normal 2 2 3 2 5 4" xfId="34137"/>
    <cellStyle name="Normal 2 2 3 2 6" xfId="7810"/>
    <cellStyle name="Normal 2 2 3 2 6 2" xfId="22854"/>
    <cellStyle name="Normal 2 2 3 2 6 3" xfId="37897"/>
    <cellStyle name="Normal 2 2 3 2 7" xfId="15333"/>
    <cellStyle name="Normal 2 2 3 2 8" xfId="30376"/>
    <cellStyle name="Normal 2 2 3 3" xfId="596"/>
    <cellStyle name="Normal 2 2 3 3 2" xfId="1094"/>
    <cellStyle name="Normal 2 2 3 3 2 2" xfId="2053"/>
    <cellStyle name="Normal 2 2 3 3 2 2 2" xfId="3924"/>
    <cellStyle name="Normal 2 2 3 3 2 2 2 2" xfId="7719"/>
    <cellStyle name="Normal 2 2 3 3 2 2 2 2 2" xfId="15242"/>
    <cellStyle name="Normal 2 2 3 3 2 2 2 2 2 2" xfId="30286"/>
    <cellStyle name="Normal 2 2 3 3 2 2 2 2 2 3" xfId="45329"/>
    <cellStyle name="Normal 2 2 3 3 2 2 2 2 3" xfId="22765"/>
    <cellStyle name="Normal 2 2 3 3 2 2 2 2 4" xfId="37808"/>
    <cellStyle name="Normal 2 2 3 3 2 2 2 3" xfId="11493"/>
    <cellStyle name="Normal 2 2 3 3 2 2 2 3 2" xfId="26537"/>
    <cellStyle name="Normal 2 2 3 3 2 2 2 3 3" xfId="41580"/>
    <cellStyle name="Normal 2 2 3 3 2 2 2 4" xfId="19016"/>
    <cellStyle name="Normal 2 2 3 3 2 2 2 5" xfId="34059"/>
    <cellStyle name="Normal 2 2 3 3 2 2 3" xfId="5854"/>
    <cellStyle name="Normal 2 2 3 3 2 2 3 2" xfId="13377"/>
    <cellStyle name="Normal 2 2 3 3 2 2 3 2 2" xfId="28421"/>
    <cellStyle name="Normal 2 2 3 3 2 2 3 2 3" xfId="43464"/>
    <cellStyle name="Normal 2 2 3 3 2 2 3 3" xfId="20900"/>
    <cellStyle name="Normal 2 2 3 3 2 2 3 4" xfId="35943"/>
    <cellStyle name="Normal 2 2 3 3 2 2 4" xfId="9628"/>
    <cellStyle name="Normal 2 2 3 3 2 2 4 2" xfId="24672"/>
    <cellStyle name="Normal 2 2 3 3 2 2 4 3" xfId="39715"/>
    <cellStyle name="Normal 2 2 3 3 2 2 5" xfId="17151"/>
    <cellStyle name="Normal 2 2 3 3 2 2 6" xfId="32194"/>
    <cellStyle name="Normal 2 2 3 3 2 3" xfId="2992"/>
    <cellStyle name="Normal 2 2 3 3 2 3 2" xfId="6787"/>
    <cellStyle name="Normal 2 2 3 3 2 3 2 2" xfId="14310"/>
    <cellStyle name="Normal 2 2 3 3 2 3 2 2 2" xfId="29354"/>
    <cellStyle name="Normal 2 2 3 3 2 3 2 2 3" xfId="44397"/>
    <cellStyle name="Normal 2 2 3 3 2 3 2 3" xfId="21833"/>
    <cellStyle name="Normal 2 2 3 3 2 3 2 4" xfId="36876"/>
    <cellStyle name="Normal 2 2 3 3 2 3 3" xfId="10561"/>
    <cellStyle name="Normal 2 2 3 3 2 3 3 2" xfId="25605"/>
    <cellStyle name="Normal 2 2 3 3 2 3 3 3" xfId="40648"/>
    <cellStyle name="Normal 2 2 3 3 2 3 4" xfId="18084"/>
    <cellStyle name="Normal 2 2 3 3 2 3 5" xfId="33127"/>
    <cellStyle name="Normal 2 2 3 3 2 4" xfId="4922"/>
    <cellStyle name="Normal 2 2 3 3 2 4 2" xfId="12445"/>
    <cellStyle name="Normal 2 2 3 3 2 4 2 2" xfId="27489"/>
    <cellStyle name="Normal 2 2 3 3 2 4 2 3" xfId="42532"/>
    <cellStyle name="Normal 2 2 3 3 2 4 3" xfId="19968"/>
    <cellStyle name="Normal 2 2 3 3 2 4 4" xfId="35011"/>
    <cellStyle name="Normal 2 2 3 3 2 5" xfId="8696"/>
    <cellStyle name="Normal 2 2 3 3 2 5 2" xfId="23740"/>
    <cellStyle name="Normal 2 2 3 3 2 5 3" xfId="38783"/>
    <cellStyle name="Normal 2 2 3 3 2 6" xfId="16219"/>
    <cellStyle name="Normal 2 2 3 3 2 7" xfId="31262"/>
    <cellStyle name="Normal 2 2 3 3 3" xfId="1601"/>
    <cellStyle name="Normal 2 2 3 3 3 2" xfId="3472"/>
    <cellStyle name="Normal 2 2 3 3 3 2 2" xfId="7267"/>
    <cellStyle name="Normal 2 2 3 3 3 2 2 2" xfId="14790"/>
    <cellStyle name="Normal 2 2 3 3 3 2 2 2 2" xfId="29834"/>
    <cellStyle name="Normal 2 2 3 3 3 2 2 2 3" xfId="44877"/>
    <cellStyle name="Normal 2 2 3 3 3 2 2 3" xfId="22313"/>
    <cellStyle name="Normal 2 2 3 3 3 2 2 4" xfId="37356"/>
    <cellStyle name="Normal 2 2 3 3 3 2 3" xfId="11041"/>
    <cellStyle name="Normal 2 2 3 3 3 2 3 2" xfId="26085"/>
    <cellStyle name="Normal 2 2 3 3 3 2 3 3" xfId="41128"/>
    <cellStyle name="Normal 2 2 3 3 3 2 4" xfId="18564"/>
    <cellStyle name="Normal 2 2 3 3 3 2 5" xfId="33607"/>
    <cellStyle name="Normal 2 2 3 3 3 3" xfId="5402"/>
    <cellStyle name="Normal 2 2 3 3 3 3 2" xfId="12925"/>
    <cellStyle name="Normal 2 2 3 3 3 3 2 2" xfId="27969"/>
    <cellStyle name="Normal 2 2 3 3 3 3 2 3" xfId="43012"/>
    <cellStyle name="Normal 2 2 3 3 3 3 3" xfId="20448"/>
    <cellStyle name="Normal 2 2 3 3 3 3 4" xfId="35491"/>
    <cellStyle name="Normal 2 2 3 3 3 4" xfId="9176"/>
    <cellStyle name="Normal 2 2 3 3 3 4 2" xfId="24220"/>
    <cellStyle name="Normal 2 2 3 3 3 4 3" xfId="39263"/>
    <cellStyle name="Normal 2 2 3 3 3 5" xfId="16699"/>
    <cellStyle name="Normal 2 2 3 3 3 6" xfId="31742"/>
    <cellStyle name="Normal 2 2 3 3 4" xfId="2539"/>
    <cellStyle name="Normal 2 2 3 3 4 2" xfId="6335"/>
    <cellStyle name="Normal 2 2 3 3 4 2 2" xfId="13858"/>
    <cellStyle name="Normal 2 2 3 3 4 2 2 2" xfId="28902"/>
    <cellStyle name="Normal 2 2 3 3 4 2 2 3" xfId="43945"/>
    <cellStyle name="Normal 2 2 3 3 4 2 3" xfId="21381"/>
    <cellStyle name="Normal 2 2 3 3 4 2 4" xfId="36424"/>
    <cellStyle name="Normal 2 2 3 3 4 3" xfId="10109"/>
    <cellStyle name="Normal 2 2 3 3 4 3 2" xfId="25153"/>
    <cellStyle name="Normal 2 2 3 3 4 3 3" xfId="40196"/>
    <cellStyle name="Normal 2 2 3 3 4 4" xfId="17632"/>
    <cellStyle name="Normal 2 2 3 3 4 5" xfId="32675"/>
    <cellStyle name="Normal 2 2 3 3 5" xfId="4467"/>
    <cellStyle name="Normal 2 2 3 3 5 2" xfId="11991"/>
    <cellStyle name="Normal 2 2 3 3 5 2 2" xfId="27035"/>
    <cellStyle name="Normal 2 2 3 3 5 2 3" xfId="42078"/>
    <cellStyle name="Normal 2 2 3 3 5 3" xfId="19514"/>
    <cellStyle name="Normal 2 2 3 3 5 4" xfId="34557"/>
    <cellStyle name="Normal 2 2 3 3 6" xfId="8230"/>
    <cellStyle name="Normal 2 2 3 3 6 2" xfId="23274"/>
    <cellStyle name="Normal 2 2 3 3 6 3" xfId="38317"/>
    <cellStyle name="Normal 2 2 3 3 7" xfId="15753"/>
    <cellStyle name="Normal 2 2 3 3 8" xfId="30796"/>
    <cellStyle name="Normal 2 2 3 4" xfId="659"/>
    <cellStyle name="Normal 2 2 3 4 2" xfId="1618"/>
    <cellStyle name="Normal 2 2 3 4 2 2" xfId="3489"/>
    <cellStyle name="Normal 2 2 3 4 2 2 2" xfId="7284"/>
    <cellStyle name="Normal 2 2 3 4 2 2 2 2" xfId="14807"/>
    <cellStyle name="Normal 2 2 3 4 2 2 2 2 2" xfId="29851"/>
    <cellStyle name="Normal 2 2 3 4 2 2 2 2 3" xfId="44894"/>
    <cellStyle name="Normal 2 2 3 4 2 2 2 3" xfId="22330"/>
    <cellStyle name="Normal 2 2 3 4 2 2 2 4" xfId="37373"/>
    <cellStyle name="Normal 2 2 3 4 2 2 3" xfId="11058"/>
    <cellStyle name="Normal 2 2 3 4 2 2 3 2" xfId="26102"/>
    <cellStyle name="Normal 2 2 3 4 2 2 3 3" xfId="41145"/>
    <cellStyle name="Normal 2 2 3 4 2 2 4" xfId="18581"/>
    <cellStyle name="Normal 2 2 3 4 2 2 5" xfId="33624"/>
    <cellStyle name="Normal 2 2 3 4 2 3" xfId="5419"/>
    <cellStyle name="Normal 2 2 3 4 2 3 2" xfId="12942"/>
    <cellStyle name="Normal 2 2 3 4 2 3 2 2" xfId="27986"/>
    <cellStyle name="Normal 2 2 3 4 2 3 2 3" xfId="43029"/>
    <cellStyle name="Normal 2 2 3 4 2 3 3" xfId="20465"/>
    <cellStyle name="Normal 2 2 3 4 2 3 4" xfId="35508"/>
    <cellStyle name="Normal 2 2 3 4 2 4" xfId="9193"/>
    <cellStyle name="Normal 2 2 3 4 2 4 2" xfId="24237"/>
    <cellStyle name="Normal 2 2 3 4 2 4 3" xfId="39280"/>
    <cellStyle name="Normal 2 2 3 4 2 5" xfId="16716"/>
    <cellStyle name="Normal 2 2 3 4 2 6" xfId="31759"/>
    <cellStyle name="Normal 2 2 3 4 3" xfId="2557"/>
    <cellStyle name="Normal 2 2 3 4 3 2" xfId="6352"/>
    <cellStyle name="Normal 2 2 3 4 3 2 2" xfId="13875"/>
    <cellStyle name="Normal 2 2 3 4 3 2 2 2" xfId="28919"/>
    <cellStyle name="Normal 2 2 3 4 3 2 2 3" xfId="43962"/>
    <cellStyle name="Normal 2 2 3 4 3 2 3" xfId="21398"/>
    <cellStyle name="Normal 2 2 3 4 3 2 4" xfId="36441"/>
    <cellStyle name="Normal 2 2 3 4 3 3" xfId="10126"/>
    <cellStyle name="Normal 2 2 3 4 3 3 2" xfId="25170"/>
    <cellStyle name="Normal 2 2 3 4 3 3 3" xfId="40213"/>
    <cellStyle name="Normal 2 2 3 4 3 4" xfId="17649"/>
    <cellStyle name="Normal 2 2 3 4 3 5" xfId="32692"/>
    <cellStyle name="Normal 2 2 3 4 4" xfId="4487"/>
    <cellStyle name="Normal 2 2 3 4 4 2" xfId="12010"/>
    <cellStyle name="Normal 2 2 3 4 4 2 2" xfId="27054"/>
    <cellStyle name="Normal 2 2 3 4 4 2 3" xfId="42097"/>
    <cellStyle name="Normal 2 2 3 4 4 3" xfId="19533"/>
    <cellStyle name="Normal 2 2 3 4 4 4" xfId="34576"/>
    <cellStyle name="Normal 2 2 3 4 5" xfId="8261"/>
    <cellStyle name="Normal 2 2 3 4 5 2" xfId="23305"/>
    <cellStyle name="Normal 2 2 3 4 5 3" xfId="38348"/>
    <cellStyle name="Normal 2 2 3 4 6" xfId="15784"/>
    <cellStyle name="Normal 2 2 3 4 7" xfId="30827"/>
    <cellStyle name="Normal 2 2 3 5" xfId="1166"/>
    <cellStyle name="Normal 2 2 3 5 2" xfId="3037"/>
    <cellStyle name="Normal 2 2 3 5 2 2" xfId="6832"/>
    <cellStyle name="Normal 2 2 3 5 2 2 2" xfId="14355"/>
    <cellStyle name="Normal 2 2 3 5 2 2 2 2" xfId="29399"/>
    <cellStyle name="Normal 2 2 3 5 2 2 2 3" xfId="44442"/>
    <cellStyle name="Normal 2 2 3 5 2 2 3" xfId="21878"/>
    <cellStyle name="Normal 2 2 3 5 2 2 4" xfId="36921"/>
    <cellStyle name="Normal 2 2 3 5 2 3" xfId="10606"/>
    <cellStyle name="Normal 2 2 3 5 2 3 2" xfId="25650"/>
    <cellStyle name="Normal 2 2 3 5 2 3 3" xfId="40693"/>
    <cellStyle name="Normal 2 2 3 5 2 4" xfId="18129"/>
    <cellStyle name="Normal 2 2 3 5 2 5" xfId="33172"/>
    <cellStyle name="Normal 2 2 3 5 3" xfId="4967"/>
    <cellStyle name="Normal 2 2 3 5 3 2" xfId="12490"/>
    <cellStyle name="Normal 2 2 3 5 3 2 2" xfId="27534"/>
    <cellStyle name="Normal 2 2 3 5 3 2 3" xfId="42577"/>
    <cellStyle name="Normal 2 2 3 5 3 3" xfId="20013"/>
    <cellStyle name="Normal 2 2 3 5 3 4" xfId="35056"/>
    <cellStyle name="Normal 2 2 3 5 4" xfId="8741"/>
    <cellStyle name="Normal 2 2 3 5 4 2" xfId="23785"/>
    <cellStyle name="Normal 2 2 3 5 4 3" xfId="38828"/>
    <cellStyle name="Normal 2 2 3 5 5" xfId="16264"/>
    <cellStyle name="Normal 2 2 3 5 6" xfId="31307"/>
    <cellStyle name="Normal 2 2 3 6" xfId="2104"/>
    <cellStyle name="Normal 2 2 3 6 2" xfId="5900"/>
    <cellStyle name="Normal 2 2 3 6 2 2" xfId="13423"/>
    <cellStyle name="Normal 2 2 3 6 2 2 2" xfId="28467"/>
    <cellStyle name="Normal 2 2 3 6 2 2 3" xfId="43510"/>
    <cellStyle name="Normal 2 2 3 6 2 3" xfId="20946"/>
    <cellStyle name="Normal 2 2 3 6 2 4" xfId="35989"/>
    <cellStyle name="Normal 2 2 3 6 3" xfId="9674"/>
    <cellStyle name="Normal 2 2 3 6 3 2" xfId="24718"/>
    <cellStyle name="Normal 2 2 3 6 3 3" xfId="39761"/>
    <cellStyle name="Normal 2 2 3 6 4" xfId="17197"/>
    <cellStyle name="Normal 2 2 3 6 5" xfId="32240"/>
    <cellStyle name="Normal 2 2 3 7" xfId="4030"/>
    <cellStyle name="Normal 2 2 3 7 2" xfId="11554"/>
    <cellStyle name="Normal 2 2 3 7 2 2" xfId="26598"/>
    <cellStyle name="Normal 2 2 3 7 2 3" xfId="41641"/>
    <cellStyle name="Normal 2 2 3 7 3" xfId="19077"/>
    <cellStyle name="Normal 2 2 3 7 4" xfId="34120"/>
    <cellStyle name="Normal 2 2 3 8" xfId="7793"/>
    <cellStyle name="Normal 2 2 3 8 2" xfId="22837"/>
    <cellStyle name="Normal 2 2 3 8 3" xfId="37880"/>
    <cellStyle name="Normal 2 2 3 9" xfId="15316"/>
    <cellStyle name="Normal 2 2 4" xfId="30"/>
    <cellStyle name="Normal 2 2 4 2" xfId="667"/>
    <cellStyle name="Normal 2 2 4 2 2" xfId="1626"/>
    <cellStyle name="Normal 2 2 4 2 2 2" xfId="3497"/>
    <cellStyle name="Normal 2 2 4 2 2 2 2" xfId="7292"/>
    <cellStyle name="Normal 2 2 4 2 2 2 2 2" xfId="14815"/>
    <cellStyle name="Normal 2 2 4 2 2 2 2 2 2" xfId="29859"/>
    <cellStyle name="Normal 2 2 4 2 2 2 2 2 3" xfId="44902"/>
    <cellStyle name="Normal 2 2 4 2 2 2 2 3" xfId="22338"/>
    <cellStyle name="Normal 2 2 4 2 2 2 2 4" xfId="37381"/>
    <cellStyle name="Normal 2 2 4 2 2 2 3" xfId="11066"/>
    <cellStyle name="Normal 2 2 4 2 2 2 3 2" xfId="26110"/>
    <cellStyle name="Normal 2 2 4 2 2 2 3 3" xfId="41153"/>
    <cellStyle name="Normal 2 2 4 2 2 2 4" xfId="18589"/>
    <cellStyle name="Normal 2 2 4 2 2 2 5" xfId="33632"/>
    <cellStyle name="Normal 2 2 4 2 2 3" xfId="5427"/>
    <cellStyle name="Normal 2 2 4 2 2 3 2" xfId="12950"/>
    <cellStyle name="Normal 2 2 4 2 2 3 2 2" xfId="27994"/>
    <cellStyle name="Normal 2 2 4 2 2 3 2 3" xfId="43037"/>
    <cellStyle name="Normal 2 2 4 2 2 3 3" xfId="20473"/>
    <cellStyle name="Normal 2 2 4 2 2 3 4" xfId="35516"/>
    <cellStyle name="Normal 2 2 4 2 2 4" xfId="9201"/>
    <cellStyle name="Normal 2 2 4 2 2 4 2" xfId="24245"/>
    <cellStyle name="Normal 2 2 4 2 2 4 3" xfId="39288"/>
    <cellStyle name="Normal 2 2 4 2 2 5" xfId="16724"/>
    <cellStyle name="Normal 2 2 4 2 2 6" xfId="31767"/>
    <cellStyle name="Normal 2 2 4 2 3" xfId="2565"/>
    <cellStyle name="Normal 2 2 4 2 3 2" xfId="6360"/>
    <cellStyle name="Normal 2 2 4 2 3 2 2" xfId="13883"/>
    <cellStyle name="Normal 2 2 4 2 3 2 2 2" xfId="28927"/>
    <cellStyle name="Normal 2 2 4 2 3 2 2 3" xfId="43970"/>
    <cellStyle name="Normal 2 2 4 2 3 2 3" xfId="21406"/>
    <cellStyle name="Normal 2 2 4 2 3 2 4" xfId="36449"/>
    <cellStyle name="Normal 2 2 4 2 3 3" xfId="10134"/>
    <cellStyle name="Normal 2 2 4 2 3 3 2" xfId="25178"/>
    <cellStyle name="Normal 2 2 4 2 3 3 3" xfId="40221"/>
    <cellStyle name="Normal 2 2 4 2 3 4" xfId="17657"/>
    <cellStyle name="Normal 2 2 4 2 3 5" xfId="32700"/>
    <cellStyle name="Normal 2 2 4 2 4" xfId="4495"/>
    <cellStyle name="Normal 2 2 4 2 4 2" xfId="12018"/>
    <cellStyle name="Normal 2 2 4 2 4 2 2" xfId="27062"/>
    <cellStyle name="Normal 2 2 4 2 4 2 3" xfId="42105"/>
    <cellStyle name="Normal 2 2 4 2 4 3" xfId="19541"/>
    <cellStyle name="Normal 2 2 4 2 4 4" xfId="34584"/>
    <cellStyle name="Normal 2 2 4 2 5" xfId="8269"/>
    <cellStyle name="Normal 2 2 4 2 5 2" xfId="23313"/>
    <cellStyle name="Normal 2 2 4 2 5 3" xfId="38356"/>
    <cellStyle name="Normal 2 2 4 2 6" xfId="15792"/>
    <cellStyle name="Normal 2 2 4 2 7" xfId="30835"/>
    <cellStyle name="Normal 2 2 4 3" xfId="1174"/>
    <cellStyle name="Normal 2 2 4 3 2" xfId="3045"/>
    <cellStyle name="Normal 2 2 4 3 2 2" xfId="6840"/>
    <cellStyle name="Normal 2 2 4 3 2 2 2" xfId="14363"/>
    <cellStyle name="Normal 2 2 4 3 2 2 2 2" xfId="29407"/>
    <cellStyle name="Normal 2 2 4 3 2 2 2 3" xfId="44450"/>
    <cellStyle name="Normal 2 2 4 3 2 2 3" xfId="21886"/>
    <cellStyle name="Normal 2 2 4 3 2 2 4" xfId="36929"/>
    <cellStyle name="Normal 2 2 4 3 2 3" xfId="10614"/>
    <cellStyle name="Normal 2 2 4 3 2 3 2" xfId="25658"/>
    <cellStyle name="Normal 2 2 4 3 2 3 3" xfId="40701"/>
    <cellStyle name="Normal 2 2 4 3 2 4" xfId="18137"/>
    <cellStyle name="Normal 2 2 4 3 2 5" xfId="33180"/>
    <cellStyle name="Normal 2 2 4 3 3" xfId="4975"/>
    <cellStyle name="Normal 2 2 4 3 3 2" xfId="12498"/>
    <cellStyle name="Normal 2 2 4 3 3 2 2" xfId="27542"/>
    <cellStyle name="Normal 2 2 4 3 3 2 3" xfId="42585"/>
    <cellStyle name="Normal 2 2 4 3 3 3" xfId="20021"/>
    <cellStyle name="Normal 2 2 4 3 3 4" xfId="35064"/>
    <cellStyle name="Normal 2 2 4 3 4" xfId="8749"/>
    <cellStyle name="Normal 2 2 4 3 4 2" xfId="23793"/>
    <cellStyle name="Normal 2 2 4 3 4 3" xfId="38836"/>
    <cellStyle name="Normal 2 2 4 3 5" xfId="16272"/>
    <cellStyle name="Normal 2 2 4 3 6" xfId="31315"/>
    <cellStyle name="Normal 2 2 4 4" xfId="2112"/>
    <cellStyle name="Normal 2 2 4 4 2" xfId="5908"/>
    <cellStyle name="Normal 2 2 4 4 2 2" xfId="13431"/>
    <cellStyle name="Normal 2 2 4 4 2 2 2" xfId="28475"/>
    <cellStyle name="Normal 2 2 4 4 2 2 3" xfId="43518"/>
    <cellStyle name="Normal 2 2 4 4 2 3" xfId="20954"/>
    <cellStyle name="Normal 2 2 4 4 2 4" xfId="35997"/>
    <cellStyle name="Normal 2 2 4 4 3" xfId="9682"/>
    <cellStyle name="Normal 2 2 4 4 3 2" xfId="24726"/>
    <cellStyle name="Normal 2 2 4 4 3 3" xfId="39769"/>
    <cellStyle name="Normal 2 2 4 4 4" xfId="17205"/>
    <cellStyle name="Normal 2 2 4 4 5" xfId="32248"/>
    <cellStyle name="Normal 2 2 4 5" xfId="4038"/>
    <cellStyle name="Normal 2 2 4 5 2" xfId="11562"/>
    <cellStyle name="Normal 2 2 4 5 2 2" xfId="26606"/>
    <cellStyle name="Normal 2 2 4 5 2 3" xfId="41649"/>
    <cellStyle name="Normal 2 2 4 5 3" xfId="19085"/>
    <cellStyle name="Normal 2 2 4 5 4" xfId="34128"/>
    <cellStyle name="Normal 2 2 4 6" xfId="7801"/>
    <cellStyle name="Normal 2 2 4 6 2" xfId="22845"/>
    <cellStyle name="Normal 2 2 4 6 3" xfId="37888"/>
    <cellStyle name="Normal 2 2 4 7" xfId="15324"/>
    <cellStyle name="Normal 2 2 4 8" xfId="30367"/>
    <cellStyle name="Normal 2 2 5" xfId="591"/>
    <cellStyle name="Normal 2 2 5 2" xfId="1089"/>
    <cellStyle name="Normal 2 2 5 2 2" xfId="2048"/>
    <cellStyle name="Normal 2 2 5 2 2 2" xfId="3919"/>
    <cellStyle name="Normal 2 2 5 2 2 2 2" xfId="7714"/>
    <cellStyle name="Normal 2 2 5 2 2 2 2 2" xfId="15237"/>
    <cellStyle name="Normal 2 2 5 2 2 2 2 2 2" xfId="30281"/>
    <cellStyle name="Normal 2 2 5 2 2 2 2 2 3" xfId="45324"/>
    <cellStyle name="Normal 2 2 5 2 2 2 2 3" xfId="22760"/>
    <cellStyle name="Normal 2 2 5 2 2 2 2 4" xfId="37803"/>
    <cellStyle name="Normal 2 2 5 2 2 2 3" xfId="11488"/>
    <cellStyle name="Normal 2 2 5 2 2 2 3 2" xfId="26532"/>
    <cellStyle name="Normal 2 2 5 2 2 2 3 3" xfId="41575"/>
    <cellStyle name="Normal 2 2 5 2 2 2 4" xfId="19011"/>
    <cellStyle name="Normal 2 2 5 2 2 2 5" xfId="34054"/>
    <cellStyle name="Normal 2 2 5 2 2 3" xfId="5849"/>
    <cellStyle name="Normal 2 2 5 2 2 3 2" xfId="13372"/>
    <cellStyle name="Normal 2 2 5 2 2 3 2 2" xfId="28416"/>
    <cellStyle name="Normal 2 2 5 2 2 3 2 3" xfId="43459"/>
    <cellStyle name="Normal 2 2 5 2 2 3 3" xfId="20895"/>
    <cellStyle name="Normal 2 2 5 2 2 3 4" xfId="35938"/>
    <cellStyle name="Normal 2 2 5 2 2 4" xfId="9623"/>
    <cellStyle name="Normal 2 2 5 2 2 4 2" xfId="24667"/>
    <cellStyle name="Normal 2 2 5 2 2 4 3" xfId="39710"/>
    <cellStyle name="Normal 2 2 5 2 2 5" xfId="17146"/>
    <cellStyle name="Normal 2 2 5 2 2 6" xfId="32189"/>
    <cellStyle name="Normal 2 2 5 2 3" xfId="2987"/>
    <cellStyle name="Normal 2 2 5 2 3 2" xfId="6782"/>
    <cellStyle name="Normal 2 2 5 2 3 2 2" xfId="14305"/>
    <cellStyle name="Normal 2 2 5 2 3 2 2 2" xfId="29349"/>
    <cellStyle name="Normal 2 2 5 2 3 2 2 3" xfId="44392"/>
    <cellStyle name="Normal 2 2 5 2 3 2 3" xfId="21828"/>
    <cellStyle name="Normal 2 2 5 2 3 2 4" xfId="36871"/>
    <cellStyle name="Normal 2 2 5 2 3 3" xfId="10556"/>
    <cellStyle name="Normal 2 2 5 2 3 3 2" xfId="25600"/>
    <cellStyle name="Normal 2 2 5 2 3 3 3" xfId="40643"/>
    <cellStyle name="Normal 2 2 5 2 3 4" xfId="18079"/>
    <cellStyle name="Normal 2 2 5 2 3 5" xfId="33122"/>
    <cellStyle name="Normal 2 2 5 2 4" xfId="4917"/>
    <cellStyle name="Normal 2 2 5 2 4 2" xfId="12440"/>
    <cellStyle name="Normal 2 2 5 2 4 2 2" xfId="27484"/>
    <cellStyle name="Normal 2 2 5 2 4 2 3" xfId="42527"/>
    <cellStyle name="Normal 2 2 5 2 4 3" xfId="19963"/>
    <cellStyle name="Normal 2 2 5 2 4 4" xfId="35006"/>
    <cellStyle name="Normal 2 2 5 2 5" xfId="8691"/>
    <cellStyle name="Normal 2 2 5 2 5 2" xfId="23735"/>
    <cellStyle name="Normal 2 2 5 2 5 3" xfId="38778"/>
    <cellStyle name="Normal 2 2 5 2 6" xfId="16214"/>
    <cellStyle name="Normal 2 2 5 2 7" xfId="31257"/>
    <cellStyle name="Normal 2 2 5 3" xfId="1596"/>
    <cellStyle name="Normal 2 2 5 3 2" xfId="3467"/>
    <cellStyle name="Normal 2 2 5 3 2 2" xfId="7262"/>
    <cellStyle name="Normal 2 2 5 3 2 2 2" xfId="14785"/>
    <cellStyle name="Normal 2 2 5 3 2 2 2 2" xfId="29829"/>
    <cellStyle name="Normal 2 2 5 3 2 2 2 3" xfId="44872"/>
    <cellStyle name="Normal 2 2 5 3 2 2 3" xfId="22308"/>
    <cellStyle name="Normal 2 2 5 3 2 2 4" xfId="37351"/>
    <cellStyle name="Normal 2 2 5 3 2 3" xfId="11036"/>
    <cellStyle name="Normal 2 2 5 3 2 3 2" xfId="26080"/>
    <cellStyle name="Normal 2 2 5 3 2 3 3" xfId="41123"/>
    <cellStyle name="Normal 2 2 5 3 2 4" xfId="18559"/>
    <cellStyle name="Normal 2 2 5 3 2 5" xfId="33602"/>
    <cellStyle name="Normal 2 2 5 3 3" xfId="5397"/>
    <cellStyle name="Normal 2 2 5 3 3 2" xfId="12920"/>
    <cellStyle name="Normal 2 2 5 3 3 2 2" xfId="27964"/>
    <cellStyle name="Normal 2 2 5 3 3 2 3" xfId="43007"/>
    <cellStyle name="Normal 2 2 5 3 3 3" xfId="20443"/>
    <cellStyle name="Normal 2 2 5 3 3 4" xfId="35486"/>
    <cellStyle name="Normal 2 2 5 3 4" xfId="9171"/>
    <cellStyle name="Normal 2 2 5 3 4 2" xfId="24215"/>
    <cellStyle name="Normal 2 2 5 3 4 3" xfId="39258"/>
    <cellStyle name="Normal 2 2 5 3 5" xfId="16694"/>
    <cellStyle name="Normal 2 2 5 3 6" xfId="31737"/>
    <cellStyle name="Normal 2 2 5 4" xfId="2534"/>
    <cellStyle name="Normal 2 2 5 4 2" xfId="6330"/>
    <cellStyle name="Normal 2 2 5 4 2 2" xfId="13853"/>
    <cellStyle name="Normal 2 2 5 4 2 2 2" xfId="28897"/>
    <cellStyle name="Normal 2 2 5 4 2 2 3" xfId="43940"/>
    <cellStyle name="Normal 2 2 5 4 2 3" xfId="21376"/>
    <cellStyle name="Normal 2 2 5 4 2 4" xfId="36419"/>
    <cellStyle name="Normal 2 2 5 4 3" xfId="10104"/>
    <cellStyle name="Normal 2 2 5 4 3 2" xfId="25148"/>
    <cellStyle name="Normal 2 2 5 4 3 3" xfId="40191"/>
    <cellStyle name="Normal 2 2 5 4 4" xfId="17627"/>
    <cellStyle name="Normal 2 2 5 4 5" xfId="32670"/>
    <cellStyle name="Normal 2 2 5 5" xfId="4462"/>
    <cellStyle name="Normal 2 2 5 5 2" xfId="11986"/>
    <cellStyle name="Normal 2 2 5 5 2 2" xfId="27030"/>
    <cellStyle name="Normal 2 2 5 5 2 3" xfId="42073"/>
    <cellStyle name="Normal 2 2 5 5 3" xfId="19509"/>
    <cellStyle name="Normal 2 2 5 5 4" xfId="34552"/>
    <cellStyle name="Normal 2 2 5 6" xfId="8225"/>
    <cellStyle name="Normal 2 2 5 6 2" xfId="23269"/>
    <cellStyle name="Normal 2 2 5 6 3" xfId="38312"/>
    <cellStyle name="Normal 2 2 5 7" xfId="15748"/>
    <cellStyle name="Normal 2 2 5 8" xfId="30791"/>
    <cellStyle name="Normal 2 2 6" xfId="649"/>
    <cellStyle name="Normal 2 2 6 2" xfId="1609"/>
    <cellStyle name="Normal 2 2 6 2 2" xfId="3480"/>
    <cellStyle name="Normal 2 2 6 2 2 2" xfId="7275"/>
    <cellStyle name="Normal 2 2 6 2 2 2 2" xfId="14798"/>
    <cellStyle name="Normal 2 2 6 2 2 2 2 2" xfId="29842"/>
    <cellStyle name="Normal 2 2 6 2 2 2 2 3" xfId="44885"/>
    <cellStyle name="Normal 2 2 6 2 2 2 3" xfId="22321"/>
    <cellStyle name="Normal 2 2 6 2 2 2 4" xfId="37364"/>
    <cellStyle name="Normal 2 2 6 2 2 3" xfId="11049"/>
    <cellStyle name="Normal 2 2 6 2 2 3 2" xfId="26093"/>
    <cellStyle name="Normal 2 2 6 2 2 3 3" xfId="41136"/>
    <cellStyle name="Normal 2 2 6 2 2 4" xfId="18572"/>
    <cellStyle name="Normal 2 2 6 2 2 5" xfId="33615"/>
    <cellStyle name="Normal 2 2 6 2 3" xfId="5410"/>
    <cellStyle name="Normal 2 2 6 2 3 2" xfId="12933"/>
    <cellStyle name="Normal 2 2 6 2 3 2 2" xfId="27977"/>
    <cellStyle name="Normal 2 2 6 2 3 2 3" xfId="43020"/>
    <cellStyle name="Normal 2 2 6 2 3 3" xfId="20456"/>
    <cellStyle name="Normal 2 2 6 2 3 4" xfId="35499"/>
    <cellStyle name="Normal 2 2 6 2 4" xfId="9184"/>
    <cellStyle name="Normal 2 2 6 2 4 2" xfId="24228"/>
    <cellStyle name="Normal 2 2 6 2 4 3" xfId="39271"/>
    <cellStyle name="Normal 2 2 6 2 5" xfId="16707"/>
    <cellStyle name="Normal 2 2 6 2 6" xfId="31750"/>
    <cellStyle name="Normal 2 2 6 3" xfId="2548"/>
    <cellStyle name="Normal 2 2 6 3 2" xfId="6343"/>
    <cellStyle name="Normal 2 2 6 3 2 2" xfId="13866"/>
    <cellStyle name="Normal 2 2 6 3 2 2 2" xfId="28910"/>
    <cellStyle name="Normal 2 2 6 3 2 2 3" xfId="43953"/>
    <cellStyle name="Normal 2 2 6 3 2 3" xfId="21389"/>
    <cellStyle name="Normal 2 2 6 3 2 4" xfId="36432"/>
    <cellStyle name="Normal 2 2 6 3 3" xfId="10117"/>
    <cellStyle name="Normal 2 2 6 3 3 2" xfId="25161"/>
    <cellStyle name="Normal 2 2 6 3 3 3" xfId="40204"/>
    <cellStyle name="Normal 2 2 6 3 4" xfId="17640"/>
    <cellStyle name="Normal 2 2 6 3 5" xfId="32683"/>
    <cellStyle name="Normal 2 2 6 4" xfId="4478"/>
    <cellStyle name="Normal 2 2 6 4 2" xfId="12001"/>
    <cellStyle name="Normal 2 2 6 4 2 2" xfId="27045"/>
    <cellStyle name="Normal 2 2 6 4 2 3" xfId="42088"/>
    <cellStyle name="Normal 2 2 6 4 3" xfId="19524"/>
    <cellStyle name="Normal 2 2 6 4 4" xfId="34567"/>
    <cellStyle name="Normal 2 2 6 5" xfId="8252"/>
    <cellStyle name="Normal 2 2 6 5 2" xfId="23296"/>
    <cellStyle name="Normal 2 2 6 5 3" xfId="38339"/>
    <cellStyle name="Normal 2 2 6 6" xfId="15775"/>
    <cellStyle name="Normal 2 2 6 7" xfId="30818"/>
    <cellStyle name="Normal 2 2 7" xfId="1157"/>
    <cellStyle name="Normal 2 2 7 2" xfId="3028"/>
    <cellStyle name="Normal 2 2 7 2 2" xfId="6823"/>
    <cellStyle name="Normal 2 2 7 2 2 2" xfId="14346"/>
    <cellStyle name="Normal 2 2 7 2 2 2 2" xfId="29390"/>
    <cellStyle name="Normal 2 2 7 2 2 2 3" xfId="44433"/>
    <cellStyle name="Normal 2 2 7 2 2 3" xfId="21869"/>
    <cellStyle name="Normal 2 2 7 2 2 4" xfId="36912"/>
    <cellStyle name="Normal 2 2 7 2 3" xfId="10597"/>
    <cellStyle name="Normal 2 2 7 2 3 2" xfId="25641"/>
    <cellStyle name="Normal 2 2 7 2 3 3" xfId="40684"/>
    <cellStyle name="Normal 2 2 7 2 4" xfId="18120"/>
    <cellStyle name="Normal 2 2 7 2 5" xfId="33163"/>
    <cellStyle name="Normal 2 2 7 3" xfId="4958"/>
    <cellStyle name="Normal 2 2 7 3 2" xfId="12481"/>
    <cellStyle name="Normal 2 2 7 3 2 2" xfId="27525"/>
    <cellStyle name="Normal 2 2 7 3 2 3" xfId="42568"/>
    <cellStyle name="Normal 2 2 7 3 3" xfId="20004"/>
    <cellStyle name="Normal 2 2 7 3 4" xfId="35047"/>
    <cellStyle name="Normal 2 2 7 4" xfId="8732"/>
    <cellStyle name="Normal 2 2 7 4 2" xfId="23776"/>
    <cellStyle name="Normal 2 2 7 4 3" xfId="38819"/>
    <cellStyle name="Normal 2 2 7 5" xfId="16255"/>
    <cellStyle name="Normal 2 2 7 6" xfId="31298"/>
    <cellStyle name="Normal 2 2 8" xfId="2095"/>
    <cellStyle name="Normal 2 2 8 2" xfId="5891"/>
    <cellStyle name="Normal 2 2 8 2 2" xfId="13414"/>
    <cellStyle name="Normal 2 2 8 2 2 2" xfId="28458"/>
    <cellStyle name="Normal 2 2 8 2 2 3" xfId="43501"/>
    <cellStyle name="Normal 2 2 8 2 3" xfId="20937"/>
    <cellStyle name="Normal 2 2 8 2 4" xfId="35980"/>
    <cellStyle name="Normal 2 2 8 3" xfId="9665"/>
    <cellStyle name="Normal 2 2 8 3 2" xfId="24709"/>
    <cellStyle name="Normal 2 2 8 3 3" xfId="39752"/>
    <cellStyle name="Normal 2 2 8 4" xfId="17188"/>
    <cellStyle name="Normal 2 2 8 5" xfId="32231"/>
    <cellStyle name="Normal 2 2 9" xfId="4021"/>
    <cellStyle name="Normal 2 2 9 2" xfId="11545"/>
    <cellStyle name="Normal 2 2 9 2 2" xfId="26589"/>
    <cellStyle name="Normal 2 2 9 2 3" xfId="41632"/>
    <cellStyle name="Normal 2 2 9 3" xfId="19068"/>
    <cellStyle name="Normal 2 2 9 4" xfId="34111"/>
    <cellStyle name="Normal 2 3" xfId="7"/>
    <cellStyle name="Normal 2 3 10" xfId="7787"/>
    <cellStyle name="Normal 2 3 10 2" xfId="22831"/>
    <cellStyle name="Normal 2 3 10 3" xfId="37874"/>
    <cellStyle name="Normal 2 3 11" xfId="15310"/>
    <cellStyle name="Normal 2 3 12" xfId="30353"/>
    <cellStyle name="Normal 2 3 13" xfId="45402"/>
    <cellStyle name="Normal 2 3 2" xfId="23"/>
    <cellStyle name="Normal 2 3 2 10" xfId="30362"/>
    <cellStyle name="Normal 2 3 2 2" xfId="42"/>
    <cellStyle name="Normal 2 3 2 2 2" xfId="679"/>
    <cellStyle name="Normal 2 3 2 2 2 2" xfId="1638"/>
    <cellStyle name="Normal 2 3 2 2 2 2 2" xfId="3509"/>
    <cellStyle name="Normal 2 3 2 2 2 2 2 2" xfId="7304"/>
    <cellStyle name="Normal 2 3 2 2 2 2 2 2 2" xfId="14827"/>
    <cellStyle name="Normal 2 3 2 2 2 2 2 2 2 2" xfId="29871"/>
    <cellStyle name="Normal 2 3 2 2 2 2 2 2 2 3" xfId="44914"/>
    <cellStyle name="Normal 2 3 2 2 2 2 2 2 3" xfId="22350"/>
    <cellStyle name="Normal 2 3 2 2 2 2 2 2 4" xfId="37393"/>
    <cellStyle name="Normal 2 3 2 2 2 2 2 3" xfId="11078"/>
    <cellStyle name="Normal 2 3 2 2 2 2 2 3 2" xfId="26122"/>
    <cellStyle name="Normal 2 3 2 2 2 2 2 3 3" xfId="41165"/>
    <cellStyle name="Normal 2 3 2 2 2 2 2 4" xfId="18601"/>
    <cellStyle name="Normal 2 3 2 2 2 2 2 5" xfId="33644"/>
    <cellStyle name="Normal 2 3 2 2 2 2 3" xfId="5439"/>
    <cellStyle name="Normal 2 3 2 2 2 2 3 2" xfId="12962"/>
    <cellStyle name="Normal 2 3 2 2 2 2 3 2 2" xfId="28006"/>
    <cellStyle name="Normal 2 3 2 2 2 2 3 2 3" xfId="43049"/>
    <cellStyle name="Normal 2 3 2 2 2 2 3 3" xfId="20485"/>
    <cellStyle name="Normal 2 3 2 2 2 2 3 4" xfId="35528"/>
    <cellStyle name="Normal 2 3 2 2 2 2 4" xfId="9213"/>
    <cellStyle name="Normal 2 3 2 2 2 2 4 2" xfId="24257"/>
    <cellStyle name="Normal 2 3 2 2 2 2 4 3" xfId="39300"/>
    <cellStyle name="Normal 2 3 2 2 2 2 5" xfId="16736"/>
    <cellStyle name="Normal 2 3 2 2 2 2 6" xfId="31779"/>
    <cellStyle name="Normal 2 3 2 2 2 3" xfId="2577"/>
    <cellStyle name="Normal 2 3 2 2 2 3 2" xfId="6372"/>
    <cellStyle name="Normal 2 3 2 2 2 3 2 2" xfId="13895"/>
    <cellStyle name="Normal 2 3 2 2 2 3 2 2 2" xfId="28939"/>
    <cellStyle name="Normal 2 3 2 2 2 3 2 2 3" xfId="43982"/>
    <cellStyle name="Normal 2 3 2 2 2 3 2 3" xfId="21418"/>
    <cellStyle name="Normal 2 3 2 2 2 3 2 4" xfId="36461"/>
    <cellStyle name="Normal 2 3 2 2 2 3 3" xfId="10146"/>
    <cellStyle name="Normal 2 3 2 2 2 3 3 2" xfId="25190"/>
    <cellStyle name="Normal 2 3 2 2 2 3 3 3" xfId="40233"/>
    <cellStyle name="Normal 2 3 2 2 2 3 4" xfId="17669"/>
    <cellStyle name="Normal 2 3 2 2 2 3 5" xfId="32712"/>
    <cellStyle name="Normal 2 3 2 2 2 4" xfId="4507"/>
    <cellStyle name="Normal 2 3 2 2 2 4 2" xfId="12030"/>
    <cellStyle name="Normal 2 3 2 2 2 4 2 2" xfId="27074"/>
    <cellStyle name="Normal 2 3 2 2 2 4 2 3" xfId="42117"/>
    <cellStyle name="Normal 2 3 2 2 2 4 3" xfId="19553"/>
    <cellStyle name="Normal 2 3 2 2 2 4 4" xfId="34596"/>
    <cellStyle name="Normal 2 3 2 2 2 5" xfId="8281"/>
    <cellStyle name="Normal 2 3 2 2 2 5 2" xfId="23325"/>
    <cellStyle name="Normal 2 3 2 2 2 5 3" xfId="38368"/>
    <cellStyle name="Normal 2 3 2 2 2 6" xfId="15804"/>
    <cellStyle name="Normal 2 3 2 2 2 7" xfId="30847"/>
    <cellStyle name="Normal 2 3 2 2 3" xfId="1186"/>
    <cellStyle name="Normal 2 3 2 2 3 2" xfId="3057"/>
    <cellStyle name="Normal 2 3 2 2 3 2 2" xfId="6852"/>
    <cellStyle name="Normal 2 3 2 2 3 2 2 2" xfId="14375"/>
    <cellStyle name="Normal 2 3 2 2 3 2 2 2 2" xfId="29419"/>
    <cellStyle name="Normal 2 3 2 2 3 2 2 2 3" xfId="44462"/>
    <cellStyle name="Normal 2 3 2 2 3 2 2 3" xfId="21898"/>
    <cellStyle name="Normal 2 3 2 2 3 2 2 4" xfId="36941"/>
    <cellStyle name="Normal 2 3 2 2 3 2 3" xfId="10626"/>
    <cellStyle name="Normal 2 3 2 2 3 2 3 2" xfId="25670"/>
    <cellStyle name="Normal 2 3 2 2 3 2 3 3" xfId="40713"/>
    <cellStyle name="Normal 2 3 2 2 3 2 4" xfId="18149"/>
    <cellStyle name="Normal 2 3 2 2 3 2 5" xfId="33192"/>
    <cellStyle name="Normal 2 3 2 2 3 3" xfId="4987"/>
    <cellStyle name="Normal 2 3 2 2 3 3 2" xfId="12510"/>
    <cellStyle name="Normal 2 3 2 2 3 3 2 2" xfId="27554"/>
    <cellStyle name="Normal 2 3 2 2 3 3 2 3" xfId="42597"/>
    <cellStyle name="Normal 2 3 2 2 3 3 3" xfId="20033"/>
    <cellStyle name="Normal 2 3 2 2 3 3 4" xfId="35076"/>
    <cellStyle name="Normal 2 3 2 2 3 4" xfId="8761"/>
    <cellStyle name="Normal 2 3 2 2 3 4 2" xfId="23805"/>
    <cellStyle name="Normal 2 3 2 2 3 4 3" xfId="38848"/>
    <cellStyle name="Normal 2 3 2 2 3 5" xfId="16284"/>
    <cellStyle name="Normal 2 3 2 2 3 6" xfId="31327"/>
    <cellStyle name="Normal 2 3 2 2 4" xfId="2124"/>
    <cellStyle name="Normal 2 3 2 2 4 2" xfId="5920"/>
    <cellStyle name="Normal 2 3 2 2 4 2 2" xfId="13443"/>
    <cellStyle name="Normal 2 3 2 2 4 2 2 2" xfId="28487"/>
    <cellStyle name="Normal 2 3 2 2 4 2 2 3" xfId="43530"/>
    <cellStyle name="Normal 2 3 2 2 4 2 3" xfId="20966"/>
    <cellStyle name="Normal 2 3 2 2 4 2 4" xfId="36009"/>
    <cellStyle name="Normal 2 3 2 2 4 3" xfId="9694"/>
    <cellStyle name="Normal 2 3 2 2 4 3 2" xfId="24738"/>
    <cellStyle name="Normal 2 3 2 2 4 3 3" xfId="39781"/>
    <cellStyle name="Normal 2 3 2 2 4 4" xfId="17217"/>
    <cellStyle name="Normal 2 3 2 2 4 5" xfId="32260"/>
    <cellStyle name="Normal 2 3 2 2 5" xfId="4050"/>
    <cellStyle name="Normal 2 3 2 2 5 2" xfId="11574"/>
    <cellStyle name="Normal 2 3 2 2 5 2 2" xfId="26618"/>
    <cellStyle name="Normal 2 3 2 2 5 2 3" xfId="41661"/>
    <cellStyle name="Normal 2 3 2 2 5 3" xfId="19097"/>
    <cellStyle name="Normal 2 3 2 2 5 4" xfId="34140"/>
    <cellStyle name="Normal 2 3 2 2 6" xfId="7813"/>
    <cellStyle name="Normal 2 3 2 2 6 2" xfId="22857"/>
    <cellStyle name="Normal 2 3 2 2 6 3" xfId="37900"/>
    <cellStyle name="Normal 2 3 2 2 7" xfId="15336"/>
    <cellStyle name="Normal 2 3 2 2 8" xfId="30379"/>
    <cellStyle name="Normal 2 3 2 3" xfId="598"/>
    <cellStyle name="Normal 2 3 2 3 2" xfId="1096"/>
    <cellStyle name="Normal 2 3 2 3 2 2" xfId="2055"/>
    <cellStyle name="Normal 2 3 2 3 2 2 2" xfId="3926"/>
    <cellStyle name="Normal 2 3 2 3 2 2 2 2" xfId="7721"/>
    <cellStyle name="Normal 2 3 2 3 2 2 2 2 2" xfId="15244"/>
    <cellStyle name="Normal 2 3 2 3 2 2 2 2 2 2" xfId="30288"/>
    <cellStyle name="Normal 2 3 2 3 2 2 2 2 2 3" xfId="45331"/>
    <cellStyle name="Normal 2 3 2 3 2 2 2 2 3" xfId="22767"/>
    <cellStyle name="Normal 2 3 2 3 2 2 2 2 4" xfId="37810"/>
    <cellStyle name="Normal 2 3 2 3 2 2 2 3" xfId="11495"/>
    <cellStyle name="Normal 2 3 2 3 2 2 2 3 2" xfId="26539"/>
    <cellStyle name="Normal 2 3 2 3 2 2 2 3 3" xfId="41582"/>
    <cellStyle name="Normal 2 3 2 3 2 2 2 4" xfId="19018"/>
    <cellStyle name="Normal 2 3 2 3 2 2 2 5" xfId="34061"/>
    <cellStyle name="Normal 2 3 2 3 2 2 3" xfId="5856"/>
    <cellStyle name="Normal 2 3 2 3 2 2 3 2" xfId="13379"/>
    <cellStyle name="Normal 2 3 2 3 2 2 3 2 2" xfId="28423"/>
    <cellStyle name="Normal 2 3 2 3 2 2 3 2 3" xfId="43466"/>
    <cellStyle name="Normal 2 3 2 3 2 2 3 3" xfId="20902"/>
    <cellStyle name="Normal 2 3 2 3 2 2 3 4" xfId="35945"/>
    <cellStyle name="Normal 2 3 2 3 2 2 4" xfId="9630"/>
    <cellStyle name="Normal 2 3 2 3 2 2 4 2" xfId="24674"/>
    <cellStyle name="Normal 2 3 2 3 2 2 4 3" xfId="39717"/>
    <cellStyle name="Normal 2 3 2 3 2 2 5" xfId="17153"/>
    <cellStyle name="Normal 2 3 2 3 2 2 6" xfId="32196"/>
    <cellStyle name="Normal 2 3 2 3 2 3" xfId="2994"/>
    <cellStyle name="Normal 2 3 2 3 2 3 2" xfId="6789"/>
    <cellStyle name="Normal 2 3 2 3 2 3 2 2" xfId="14312"/>
    <cellStyle name="Normal 2 3 2 3 2 3 2 2 2" xfId="29356"/>
    <cellStyle name="Normal 2 3 2 3 2 3 2 2 3" xfId="44399"/>
    <cellStyle name="Normal 2 3 2 3 2 3 2 3" xfId="21835"/>
    <cellStyle name="Normal 2 3 2 3 2 3 2 4" xfId="36878"/>
    <cellStyle name="Normal 2 3 2 3 2 3 3" xfId="10563"/>
    <cellStyle name="Normal 2 3 2 3 2 3 3 2" xfId="25607"/>
    <cellStyle name="Normal 2 3 2 3 2 3 3 3" xfId="40650"/>
    <cellStyle name="Normal 2 3 2 3 2 3 4" xfId="18086"/>
    <cellStyle name="Normal 2 3 2 3 2 3 5" xfId="33129"/>
    <cellStyle name="Normal 2 3 2 3 2 4" xfId="4924"/>
    <cellStyle name="Normal 2 3 2 3 2 4 2" xfId="12447"/>
    <cellStyle name="Normal 2 3 2 3 2 4 2 2" xfId="27491"/>
    <cellStyle name="Normal 2 3 2 3 2 4 2 3" xfId="42534"/>
    <cellStyle name="Normal 2 3 2 3 2 4 3" xfId="19970"/>
    <cellStyle name="Normal 2 3 2 3 2 4 4" xfId="35013"/>
    <cellStyle name="Normal 2 3 2 3 2 5" xfId="8698"/>
    <cellStyle name="Normal 2 3 2 3 2 5 2" xfId="23742"/>
    <cellStyle name="Normal 2 3 2 3 2 5 3" xfId="38785"/>
    <cellStyle name="Normal 2 3 2 3 2 6" xfId="16221"/>
    <cellStyle name="Normal 2 3 2 3 2 7" xfId="31264"/>
    <cellStyle name="Normal 2 3 2 3 3" xfId="1603"/>
    <cellStyle name="Normal 2 3 2 3 3 2" xfId="3474"/>
    <cellStyle name="Normal 2 3 2 3 3 2 2" xfId="7269"/>
    <cellStyle name="Normal 2 3 2 3 3 2 2 2" xfId="14792"/>
    <cellStyle name="Normal 2 3 2 3 3 2 2 2 2" xfId="29836"/>
    <cellStyle name="Normal 2 3 2 3 3 2 2 2 3" xfId="44879"/>
    <cellStyle name="Normal 2 3 2 3 3 2 2 3" xfId="22315"/>
    <cellStyle name="Normal 2 3 2 3 3 2 2 4" xfId="37358"/>
    <cellStyle name="Normal 2 3 2 3 3 2 3" xfId="11043"/>
    <cellStyle name="Normal 2 3 2 3 3 2 3 2" xfId="26087"/>
    <cellStyle name="Normal 2 3 2 3 3 2 3 3" xfId="41130"/>
    <cellStyle name="Normal 2 3 2 3 3 2 4" xfId="18566"/>
    <cellStyle name="Normal 2 3 2 3 3 2 5" xfId="33609"/>
    <cellStyle name="Normal 2 3 2 3 3 3" xfId="5404"/>
    <cellStyle name="Normal 2 3 2 3 3 3 2" xfId="12927"/>
    <cellStyle name="Normal 2 3 2 3 3 3 2 2" xfId="27971"/>
    <cellStyle name="Normal 2 3 2 3 3 3 2 3" xfId="43014"/>
    <cellStyle name="Normal 2 3 2 3 3 3 3" xfId="20450"/>
    <cellStyle name="Normal 2 3 2 3 3 3 4" xfId="35493"/>
    <cellStyle name="Normal 2 3 2 3 3 4" xfId="9178"/>
    <cellStyle name="Normal 2 3 2 3 3 4 2" xfId="24222"/>
    <cellStyle name="Normal 2 3 2 3 3 4 3" xfId="39265"/>
    <cellStyle name="Normal 2 3 2 3 3 5" xfId="16701"/>
    <cellStyle name="Normal 2 3 2 3 3 6" xfId="31744"/>
    <cellStyle name="Normal 2 3 2 3 4" xfId="2541"/>
    <cellStyle name="Normal 2 3 2 3 4 2" xfId="6337"/>
    <cellStyle name="Normal 2 3 2 3 4 2 2" xfId="13860"/>
    <cellStyle name="Normal 2 3 2 3 4 2 2 2" xfId="28904"/>
    <cellStyle name="Normal 2 3 2 3 4 2 2 3" xfId="43947"/>
    <cellStyle name="Normal 2 3 2 3 4 2 3" xfId="21383"/>
    <cellStyle name="Normal 2 3 2 3 4 2 4" xfId="36426"/>
    <cellStyle name="Normal 2 3 2 3 4 3" xfId="10111"/>
    <cellStyle name="Normal 2 3 2 3 4 3 2" xfId="25155"/>
    <cellStyle name="Normal 2 3 2 3 4 3 3" xfId="40198"/>
    <cellStyle name="Normal 2 3 2 3 4 4" xfId="17634"/>
    <cellStyle name="Normal 2 3 2 3 4 5" xfId="32677"/>
    <cellStyle name="Normal 2 3 2 3 5" xfId="4469"/>
    <cellStyle name="Normal 2 3 2 3 5 2" xfId="11993"/>
    <cellStyle name="Normal 2 3 2 3 5 2 2" xfId="27037"/>
    <cellStyle name="Normal 2 3 2 3 5 2 3" xfId="42080"/>
    <cellStyle name="Normal 2 3 2 3 5 3" xfId="19516"/>
    <cellStyle name="Normal 2 3 2 3 5 4" xfId="34559"/>
    <cellStyle name="Normal 2 3 2 3 6" xfId="8232"/>
    <cellStyle name="Normal 2 3 2 3 6 2" xfId="23276"/>
    <cellStyle name="Normal 2 3 2 3 6 3" xfId="38319"/>
    <cellStyle name="Normal 2 3 2 3 7" xfId="15755"/>
    <cellStyle name="Normal 2 3 2 3 8" xfId="30798"/>
    <cellStyle name="Normal 2 3 2 4" xfId="662"/>
    <cellStyle name="Normal 2 3 2 4 2" xfId="1621"/>
    <cellStyle name="Normal 2 3 2 4 2 2" xfId="3492"/>
    <cellStyle name="Normal 2 3 2 4 2 2 2" xfId="7287"/>
    <cellStyle name="Normal 2 3 2 4 2 2 2 2" xfId="14810"/>
    <cellStyle name="Normal 2 3 2 4 2 2 2 2 2" xfId="29854"/>
    <cellStyle name="Normal 2 3 2 4 2 2 2 2 3" xfId="44897"/>
    <cellStyle name="Normal 2 3 2 4 2 2 2 3" xfId="22333"/>
    <cellStyle name="Normal 2 3 2 4 2 2 2 4" xfId="37376"/>
    <cellStyle name="Normal 2 3 2 4 2 2 3" xfId="11061"/>
    <cellStyle name="Normal 2 3 2 4 2 2 3 2" xfId="26105"/>
    <cellStyle name="Normal 2 3 2 4 2 2 3 3" xfId="41148"/>
    <cellStyle name="Normal 2 3 2 4 2 2 4" xfId="18584"/>
    <cellStyle name="Normal 2 3 2 4 2 2 5" xfId="33627"/>
    <cellStyle name="Normal 2 3 2 4 2 3" xfId="5422"/>
    <cellStyle name="Normal 2 3 2 4 2 3 2" xfId="12945"/>
    <cellStyle name="Normal 2 3 2 4 2 3 2 2" xfId="27989"/>
    <cellStyle name="Normal 2 3 2 4 2 3 2 3" xfId="43032"/>
    <cellStyle name="Normal 2 3 2 4 2 3 3" xfId="20468"/>
    <cellStyle name="Normal 2 3 2 4 2 3 4" xfId="35511"/>
    <cellStyle name="Normal 2 3 2 4 2 4" xfId="9196"/>
    <cellStyle name="Normal 2 3 2 4 2 4 2" xfId="24240"/>
    <cellStyle name="Normal 2 3 2 4 2 4 3" xfId="39283"/>
    <cellStyle name="Normal 2 3 2 4 2 5" xfId="16719"/>
    <cellStyle name="Normal 2 3 2 4 2 6" xfId="31762"/>
    <cellStyle name="Normal 2 3 2 4 3" xfId="2560"/>
    <cellStyle name="Normal 2 3 2 4 3 2" xfId="6355"/>
    <cellStyle name="Normal 2 3 2 4 3 2 2" xfId="13878"/>
    <cellStyle name="Normal 2 3 2 4 3 2 2 2" xfId="28922"/>
    <cellStyle name="Normal 2 3 2 4 3 2 2 3" xfId="43965"/>
    <cellStyle name="Normal 2 3 2 4 3 2 3" xfId="21401"/>
    <cellStyle name="Normal 2 3 2 4 3 2 4" xfId="36444"/>
    <cellStyle name="Normal 2 3 2 4 3 3" xfId="10129"/>
    <cellStyle name="Normal 2 3 2 4 3 3 2" xfId="25173"/>
    <cellStyle name="Normal 2 3 2 4 3 3 3" xfId="40216"/>
    <cellStyle name="Normal 2 3 2 4 3 4" xfId="17652"/>
    <cellStyle name="Normal 2 3 2 4 3 5" xfId="32695"/>
    <cellStyle name="Normal 2 3 2 4 4" xfId="4490"/>
    <cellStyle name="Normal 2 3 2 4 4 2" xfId="12013"/>
    <cellStyle name="Normal 2 3 2 4 4 2 2" xfId="27057"/>
    <cellStyle name="Normal 2 3 2 4 4 2 3" xfId="42100"/>
    <cellStyle name="Normal 2 3 2 4 4 3" xfId="19536"/>
    <cellStyle name="Normal 2 3 2 4 4 4" xfId="34579"/>
    <cellStyle name="Normal 2 3 2 4 5" xfId="8264"/>
    <cellStyle name="Normal 2 3 2 4 5 2" xfId="23308"/>
    <cellStyle name="Normal 2 3 2 4 5 3" xfId="38351"/>
    <cellStyle name="Normal 2 3 2 4 6" xfId="15787"/>
    <cellStyle name="Normal 2 3 2 4 7" xfId="30830"/>
    <cellStyle name="Normal 2 3 2 5" xfId="1169"/>
    <cellStyle name="Normal 2 3 2 5 2" xfId="3040"/>
    <cellStyle name="Normal 2 3 2 5 2 2" xfId="6835"/>
    <cellStyle name="Normal 2 3 2 5 2 2 2" xfId="14358"/>
    <cellStyle name="Normal 2 3 2 5 2 2 2 2" xfId="29402"/>
    <cellStyle name="Normal 2 3 2 5 2 2 2 3" xfId="44445"/>
    <cellStyle name="Normal 2 3 2 5 2 2 3" xfId="21881"/>
    <cellStyle name="Normal 2 3 2 5 2 2 4" xfId="36924"/>
    <cellStyle name="Normal 2 3 2 5 2 3" xfId="10609"/>
    <cellStyle name="Normal 2 3 2 5 2 3 2" xfId="25653"/>
    <cellStyle name="Normal 2 3 2 5 2 3 3" xfId="40696"/>
    <cellStyle name="Normal 2 3 2 5 2 4" xfId="18132"/>
    <cellStyle name="Normal 2 3 2 5 2 5" xfId="33175"/>
    <cellStyle name="Normal 2 3 2 5 3" xfId="4970"/>
    <cellStyle name="Normal 2 3 2 5 3 2" xfId="12493"/>
    <cellStyle name="Normal 2 3 2 5 3 2 2" xfId="27537"/>
    <cellStyle name="Normal 2 3 2 5 3 2 3" xfId="42580"/>
    <cellStyle name="Normal 2 3 2 5 3 3" xfId="20016"/>
    <cellStyle name="Normal 2 3 2 5 3 4" xfId="35059"/>
    <cellStyle name="Normal 2 3 2 5 4" xfId="8744"/>
    <cellStyle name="Normal 2 3 2 5 4 2" xfId="23788"/>
    <cellStyle name="Normal 2 3 2 5 4 3" xfId="38831"/>
    <cellStyle name="Normal 2 3 2 5 5" xfId="16267"/>
    <cellStyle name="Normal 2 3 2 5 6" xfId="31310"/>
    <cellStyle name="Normal 2 3 2 6" xfId="2107"/>
    <cellStyle name="Normal 2 3 2 6 2" xfId="5903"/>
    <cellStyle name="Normal 2 3 2 6 2 2" xfId="13426"/>
    <cellStyle name="Normal 2 3 2 6 2 2 2" xfId="28470"/>
    <cellStyle name="Normal 2 3 2 6 2 2 3" xfId="43513"/>
    <cellStyle name="Normal 2 3 2 6 2 3" xfId="20949"/>
    <cellStyle name="Normal 2 3 2 6 2 4" xfId="35992"/>
    <cellStyle name="Normal 2 3 2 6 3" xfId="9677"/>
    <cellStyle name="Normal 2 3 2 6 3 2" xfId="24721"/>
    <cellStyle name="Normal 2 3 2 6 3 3" xfId="39764"/>
    <cellStyle name="Normal 2 3 2 6 4" xfId="17200"/>
    <cellStyle name="Normal 2 3 2 6 5" xfId="32243"/>
    <cellStyle name="Normal 2 3 2 7" xfId="4033"/>
    <cellStyle name="Normal 2 3 2 7 2" xfId="11557"/>
    <cellStyle name="Normal 2 3 2 7 2 2" xfId="26601"/>
    <cellStyle name="Normal 2 3 2 7 2 3" xfId="41644"/>
    <cellStyle name="Normal 2 3 2 7 3" xfId="19080"/>
    <cellStyle name="Normal 2 3 2 7 4" xfId="34123"/>
    <cellStyle name="Normal 2 3 2 8" xfId="7796"/>
    <cellStyle name="Normal 2 3 2 8 2" xfId="22840"/>
    <cellStyle name="Normal 2 3 2 8 3" xfId="37883"/>
    <cellStyle name="Normal 2 3 2 9" xfId="15319"/>
    <cellStyle name="Normal 2 3 3" xfId="203"/>
    <cellStyle name="Normal 2 3 4" xfId="33"/>
    <cellStyle name="Normal 2 3 4 2" xfId="670"/>
    <cellStyle name="Normal 2 3 4 2 2" xfId="1629"/>
    <cellStyle name="Normal 2 3 4 2 2 2" xfId="3500"/>
    <cellStyle name="Normal 2 3 4 2 2 2 2" xfId="7295"/>
    <cellStyle name="Normal 2 3 4 2 2 2 2 2" xfId="14818"/>
    <cellStyle name="Normal 2 3 4 2 2 2 2 2 2" xfId="29862"/>
    <cellStyle name="Normal 2 3 4 2 2 2 2 2 3" xfId="44905"/>
    <cellStyle name="Normal 2 3 4 2 2 2 2 3" xfId="22341"/>
    <cellStyle name="Normal 2 3 4 2 2 2 2 4" xfId="37384"/>
    <cellStyle name="Normal 2 3 4 2 2 2 3" xfId="11069"/>
    <cellStyle name="Normal 2 3 4 2 2 2 3 2" xfId="26113"/>
    <cellStyle name="Normal 2 3 4 2 2 2 3 3" xfId="41156"/>
    <cellStyle name="Normal 2 3 4 2 2 2 4" xfId="18592"/>
    <cellStyle name="Normal 2 3 4 2 2 2 5" xfId="33635"/>
    <cellStyle name="Normal 2 3 4 2 2 3" xfId="5430"/>
    <cellStyle name="Normal 2 3 4 2 2 3 2" xfId="12953"/>
    <cellStyle name="Normal 2 3 4 2 2 3 2 2" xfId="27997"/>
    <cellStyle name="Normal 2 3 4 2 2 3 2 3" xfId="43040"/>
    <cellStyle name="Normal 2 3 4 2 2 3 3" xfId="20476"/>
    <cellStyle name="Normal 2 3 4 2 2 3 4" xfId="35519"/>
    <cellStyle name="Normal 2 3 4 2 2 4" xfId="9204"/>
    <cellStyle name="Normal 2 3 4 2 2 4 2" xfId="24248"/>
    <cellStyle name="Normal 2 3 4 2 2 4 3" xfId="39291"/>
    <cellStyle name="Normal 2 3 4 2 2 5" xfId="16727"/>
    <cellStyle name="Normal 2 3 4 2 2 6" xfId="31770"/>
    <cellStyle name="Normal 2 3 4 2 3" xfId="2568"/>
    <cellStyle name="Normal 2 3 4 2 3 2" xfId="6363"/>
    <cellStyle name="Normal 2 3 4 2 3 2 2" xfId="13886"/>
    <cellStyle name="Normal 2 3 4 2 3 2 2 2" xfId="28930"/>
    <cellStyle name="Normal 2 3 4 2 3 2 2 3" xfId="43973"/>
    <cellStyle name="Normal 2 3 4 2 3 2 3" xfId="21409"/>
    <cellStyle name="Normal 2 3 4 2 3 2 4" xfId="36452"/>
    <cellStyle name="Normal 2 3 4 2 3 3" xfId="10137"/>
    <cellStyle name="Normal 2 3 4 2 3 3 2" xfId="25181"/>
    <cellStyle name="Normal 2 3 4 2 3 3 3" xfId="40224"/>
    <cellStyle name="Normal 2 3 4 2 3 4" xfId="17660"/>
    <cellStyle name="Normal 2 3 4 2 3 5" xfId="32703"/>
    <cellStyle name="Normal 2 3 4 2 4" xfId="4498"/>
    <cellStyle name="Normal 2 3 4 2 4 2" xfId="12021"/>
    <cellStyle name="Normal 2 3 4 2 4 2 2" xfId="27065"/>
    <cellStyle name="Normal 2 3 4 2 4 2 3" xfId="42108"/>
    <cellStyle name="Normal 2 3 4 2 4 3" xfId="19544"/>
    <cellStyle name="Normal 2 3 4 2 4 4" xfId="34587"/>
    <cellStyle name="Normal 2 3 4 2 5" xfId="8272"/>
    <cellStyle name="Normal 2 3 4 2 5 2" xfId="23316"/>
    <cellStyle name="Normal 2 3 4 2 5 3" xfId="38359"/>
    <cellStyle name="Normal 2 3 4 2 6" xfId="15795"/>
    <cellStyle name="Normal 2 3 4 2 7" xfId="30838"/>
    <cellStyle name="Normal 2 3 4 3" xfId="1177"/>
    <cellStyle name="Normal 2 3 4 3 2" xfId="3048"/>
    <cellStyle name="Normal 2 3 4 3 2 2" xfId="6843"/>
    <cellStyle name="Normal 2 3 4 3 2 2 2" xfId="14366"/>
    <cellStyle name="Normal 2 3 4 3 2 2 2 2" xfId="29410"/>
    <cellStyle name="Normal 2 3 4 3 2 2 2 3" xfId="44453"/>
    <cellStyle name="Normal 2 3 4 3 2 2 3" xfId="21889"/>
    <cellStyle name="Normal 2 3 4 3 2 2 4" xfId="36932"/>
    <cellStyle name="Normal 2 3 4 3 2 3" xfId="10617"/>
    <cellStyle name="Normal 2 3 4 3 2 3 2" xfId="25661"/>
    <cellStyle name="Normal 2 3 4 3 2 3 3" xfId="40704"/>
    <cellStyle name="Normal 2 3 4 3 2 4" xfId="18140"/>
    <cellStyle name="Normal 2 3 4 3 2 5" xfId="33183"/>
    <cellStyle name="Normal 2 3 4 3 3" xfId="4978"/>
    <cellStyle name="Normal 2 3 4 3 3 2" xfId="12501"/>
    <cellStyle name="Normal 2 3 4 3 3 2 2" xfId="27545"/>
    <cellStyle name="Normal 2 3 4 3 3 2 3" xfId="42588"/>
    <cellStyle name="Normal 2 3 4 3 3 3" xfId="20024"/>
    <cellStyle name="Normal 2 3 4 3 3 4" xfId="35067"/>
    <cellStyle name="Normal 2 3 4 3 4" xfId="8752"/>
    <cellStyle name="Normal 2 3 4 3 4 2" xfId="23796"/>
    <cellStyle name="Normal 2 3 4 3 4 3" xfId="38839"/>
    <cellStyle name="Normal 2 3 4 3 5" xfId="16275"/>
    <cellStyle name="Normal 2 3 4 3 6" xfId="31318"/>
    <cellStyle name="Normal 2 3 4 4" xfId="2115"/>
    <cellStyle name="Normal 2 3 4 4 2" xfId="5911"/>
    <cellStyle name="Normal 2 3 4 4 2 2" xfId="13434"/>
    <cellStyle name="Normal 2 3 4 4 2 2 2" xfId="28478"/>
    <cellStyle name="Normal 2 3 4 4 2 2 3" xfId="43521"/>
    <cellStyle name="Normal 2 3 4 4 2 3" xfId="20957"/>
    <cellStyle name="Normal 2 3 4 4 2 4" xfId="36000"/>
    <cellStyle name="Normal 2 3 4 4 3" xfId="9685"/>
    <cellStyle name="Normal 2 3 4 4 3 2" xfId="24729"/>
    <cellStyle name="Normal 2 3 4 4 3 3" xfId="39772"/>
    <cellStyle name="Normal 2 3 4 4 4" xfId="17208"/>
    <cellStyle name="Normal 2 3 4 4 5" xfId="32251"/>
    <cellStyle name="Normal 2 3 4 5" xfId="4041"/>
    <cellStyle name="Normal 2 3 4 5 2" xfId="11565"/>
    <cellStyle name="Normal 2 3 4 5 2 2" xfId="26609"/>
    <cellStyle name="Normal 2 3 4 5 2 3" xfId="41652"/>
    <cellStyle name="Normal 2 3 4 5 3" xfId="19088"/>
    <cellStyle name="Normal 2 3 4 5 4" xfId="34131"/>
    <cellStyle name="Normal 2 3 4 6" xfId="7804"/>
    <cellStyle name="Normal 2 3 4 6 2" xfId="22848"/>
    <cellStyle name="Normal 2 3 4 6 3" xfId="37891"/>
    <cellStyle name="Normal 2 3 4 7" xfId="15327"/>
    <cellStyle name="Normal 2 3 4 8" xfId="30370"/>
    <cellStyle name="Normal 2 3 5" xfId="592"/>
    <cellStyle name="Normal 2 3 5 2" xfId="1090"/>
    <cellStyle name="Normal 2 3 5 2 2" xfId="2049"/>
    <cellStyle name="Normal 2 3 5 2 2 2" xfId="3920"/>
    <cellStyle name="Normal 2 3 5 2 2 2 2" xfId="7715"/>
    <cellStyle name="Normal 2 3 5 2 2 2 2 2" xfId="15238"/>
    <cellStyle name="Normal 2 3 5 2 2 2 2 2 2" xfId="30282"/>
    <cellStyle name="Normal 2 3 5 2 2 2 2 2 3" xfId="45325"/>
    <cellStyle name="Normal 2 3 5 2 2 2 2 3" xfId="22761"/>
    <cellStyle name="Normal 2 3 5 2 2 2 2 4" xfId="37804"/>
    <cellStyle name="Normal 2 3 5 2 2 2 3" xfId="11489"/>
    <cellStyle name="Normal 2 3 5 2 2 2 3 2" xfId="26533"/>
    <cellStyle name="Normal 2 3 5 2 2 2 3 3" xfId="41576"/>
    <cellStyle name="Normal 2 3 5 2 2 2 4" xfId="19012"/>
    <cellStyle name="Normal 2 3 5 2 2 2 5" xfId="34055"/>
    <cellStyle name="Normal 2 3 5 2 2 3" xfId="5850"/>
    <cellStyle name="Normal 2 3 5 2 2 3 2" xfId="13373"/>
    <cellStyle name="Normal 2 3 5 2 2 3 2 2" xfId="28417"/>
    <cellStyle name="Normal 2 3 5 2 2 3 2 3" xfId="43460"/>
    <cellStyle name="Normal 2 3 5 2 2 3 3" xfId="20896"/>
    <cellStyle name="Normal 2 3 5 2 2 3 4" xfId="35939"/>
    <cellStyle name="Normal 2 3 5 2 2 4" xfId="9624"/>
    <cellStyle name="Normal 2 3 5 2 2 4 2" xfId="24668"/>
    <cellStyle name="Normal 2 3 5 2 2 4 3" xfId="39711"/>
    <cellStyle name="Normal 2 3 5 2 2 5" xfId="17147"/>
    <cellStyle name="Normal 2 3 5 2 2 6" xfId="32190"/>
    <cellStyle name="Normal 2 3 5 2 3" xfId="2988"/>
    <cellStyle name="Normal 2 3 5 2 3 2" xfId="6783"/>
    <cellStyle name="Normal 2 3 5 2 3 2 2" xfId="14306"/>
    <cellStyle name="Normal 2 3 5 2 3 2 2 2" xfId="29350"/>
    <cellStyle name="Normal 2 3 5 2 3 2 2 3" xfId="44393"/>
    <cellStyle name="Normal 2 3 5 2 3 2 3" xfId="21829"/>
    <cellStyle name="Normal 2 3 5 2 3 2 4" xfId="36872"/>
    <cellStyle name="Normal 2 3 5 2 3 3" xfId="10557"/>
    <cellStyle name="Normal 2 3 5 2 3 3 2" xfId="25601"/>
    <cellStyle name="Normal 2 3 5 2 3 3 3" xfId="40644"/>
    <cellStyle name="Normal 2 3 5 2 3 4" xfId="18080"/>
    <cellStyle name="Normal 2 3 5 2 3 5" xfId="33123"/>
    <cellStyle name="Normal 2 3 5 2 4" xfId="4918"/>
    <cellStyle name="Normal 2 3 5 2 4 2" xfId="12441"/>
    <cellStyle name="Normal 2 3 5 2 4 2 2" xfId="27485"/>
    <cellStyle name="Normal 2 3 5 2 4 2 3" xfId="42528"/>
    <cellStyle name="Normal 2 3 5 2 4 3" xfId="19964"/>
    <cellStyle name="Normal 2 3 5 2 4 4" xfId="35007"/>
    <cellStyle name="Normal 2 3 5 2 5" xfId="8692"/>
    <cellStyle name="Normal 2 3 5 2 5 2" xfId="23736"/>
    <cellStyle name="Normal 2 3 5 2 5 3" xfId="38779"/>
    <cellStyle name="Normal 2 3 5 2 6" xfId="16215"/>
    <cellStyle name="Normal 2 3 5 2 7" xfId="31258"/>
    <cellStyle name="Normal 2 3 5 3" xfId="1597"/>
    <cellStyle name="Normal 2 3 5 3 2" xfId="3468"/>
    <cellStyle name="Normal 2 3 5 3 2 2" xfId="7263"/>
    <cellStyle name="Normal 2 3 5 3 2 2 2" xfId="14786"/>
    <cellStyle name="Normal 2 3 5 3 2 2 2 2" xfId="29830"/>
    <cellStyle name="Normal 2 3 5 3 2 2 2 3" xfId="44873"/>
    <cellStyle name="Normal 2 3 5 3 2 2 3" xfId="22309"/>
    <cellStyle name="Normal 2 3 5 3 2 2 4" xfId="37352"/>
    <cellStyle name="Normal 2 3 5 3 2 3" xfId="11037"/>
    <cellStyle name="Normal 2 3 5 3 2 3 2" xfId="26081"/>
    <cellStyle name="Normal 2 3 5 3 2 3 3" xfId="41124"/>
    <cellStyle name="Normal 2 3 5 3 2 4" xfId="18560"/>
    <cellStyle name="Normal 2 3 5 3 2 5" xfId="33603"/>
    <cellStyle name="Normal 2 3 5 3 3" xfId="5398"/>
    <cellStyle name="Normal 2 3 5 3 3 2" xfId="12921"/>
    <cellStyle name="Normal 2 3 5 3 3 2 2" xfId="27965"/>
    <cellStyle name="Normal 2 3 5 3 3 2 3" xfId="43008"/>
    <cellStyle name="Normal 2 3 5 3 3 3" xfId="20444"/>
    <cellStyle name="Normal 2 3 5 3 3 4" xfId="35487"/>
    <cellStyle name="Normal 2 3 5 3 4" xfId="9172"/>
    <cellStyle name="Normal 2 3 5 3 4 2" xfId="24216"/>
    <cellStyle name="Normal 2 3 5 3 4 3" xfId="39259"/>
    <cellStyle name="Normal 2 3 5 3 5" xfId="16695"/>
    <cellStyle name="Normal 2 3 5 3 6" xfId="31738"/>
    <cellStyle name="Normal 2 3 5 4" xfId="2535"/>
    <cellStyle name="Normal 2 3 5 4 2" xfId="6331"/>
    <cellStyle name="Normal 2 3 5 4 2 2" xfId="13854"/>
    <cellStyle name="Normal 2 3 5 4 2 2 2" xfId="28898"/>
    <cellStyle name="Normal 2 3 5 4 2 2 3" xfId="43941"/>
    <cellStyle name="Normal 2 3 5 4 2 3" xfId="21377"/>
    <cellStyle name="Normal 2 3 5 4 2 4" xfId="36420"/>
    <cellStyle name="Normal 2 3 5 4 3" xfId="10105"/>
    <cellStyle name="Normal 2 3 5 4 3 2" xfId="25149"/>
    <cellStyle name="Normal 2 3 5 4 3 3" xfId="40192"/>
    <cellStyle name="Normal 2 3 5 4 4" xfId="17628"/>
    <cellStyle name="Normal 2 3 5 4 5" xfId="32671"/>
    <cellStyle name="Normal 2 3 5 5" xfId="4463"/>
    <cellStyle name="Normal 2 3 5 5 2" xfId="11987"/>
    <cellStyle name="Normal 2 3 5 5 2 2" xfId="27031"/>
    <cellStyle name="Normal 2 3 5 5 2 3" xfId="42074"/>
    <cellStyle name="Normal 2 3 5 5 3" xfId="19510"/>
    <cellStyle name="Normal 2 3 5 5 4" xfId="34553"/>
    <cellStyle name="Normal 2 3 5 6" xfId="8226"/>
    <cellStyle name="Normal 2 3 5 6 2" xfId="23270"/>
    <cellStyle name="Normal 2 3 5 6 3" xfId="38313"/>
    <cellStyle name="Normal 2 3 5 7" xfId="15749"/>
    <cellStyle name="Normal 2 3 5 8" xfId="30792"/>
    <cellStyle name="Normal 2 3 6" xfId="652"/>
    <cellStyle name="Normal 2 3 6 2" xfId="1612"/>
    <cellStyle name="Normal 2 3 6 2 2" xfId="3483"/>
    <cellStyle name="Normal 2 3 6 2 2 2" xfId="7278"/>
    <cellStyle name="Normal 2 3 6 2 2 2 2" xfId="14801"/>
    <cellStyle name="Normal 2 3 6 2 2 2 2 2" xfId="29845"/>
    <cellStyle name="Normal 2 3 6 2 2 2 2 3" xfId="44888"/>
    <cellStyle name="Normal 2 3 6 2 2 2 3" xfId="22324"/>
    <cellStyle name="Normal 2 3 6 2 2 2 4" xfId="37367"/>
    <cellStyle name="Normal 2 3 6 2 2 3" xfId="11052"/>
    <cellStyle name="Normal 2 3 6 2 2 3 2" xfId="26096"/>
    <cellStyle name="Normal 2 3 6 2 2 3 3" xfId="41139"/>
    <cellStyle name="Normal 2 3 6 2 2 4" xfId="18575"/>
    <cellStyle name="Normal 2 3 6 2 2 5" xfId="33618"/>
    <cellStyle name="Normal 2 3 6 2 3" xfId="5413"/>
    <cellStyle name="Normal 2 3 6 2 3 2" xfId="12936"/>
    <cellStyle name="Normal 2 3 6 2 3 2 2" xfId="27980"/>
    <cellStyle name="Normal 2 3 6 2 3 2 3" xfId="43023"/>
    <cellStyle name="Normal 2 3 6 2 3 3" xfId="20459"/>
    <cellStyle name="Normal 2 3 6 2 3 4" xfId="35502"/>
    <cellStyle name="Normal 2 3 6 2 4" xfId="9187"/>
    <cellStyle name="Normal 2 3 6 2 4 2" xfId="24231"/>
    <cellStyle name="Normal 2 3 6 2 4 3" xfId="39274"/>
    <cellStyle name="Normal 2 3 6 2 5" xfId="16710"/>
    <cellStyle name="Normal 2 3 6 2 6" xfId="31753"/>
    <cellStyle name="Normal 2 3 6 3" xfId="2551"/>
    <cellStyle name="Normal 2 3 6 3 2" xfId="6346"/>
    <cellStyle name="Normal 2 3 6 3 2 2" xfId="13869"/>
    <cellStyle name="Normal 2 3 6 3 2 2 2" xfId="28913"/>
    <cellStyle name="Normal 2 3 6 3 2 2 3" xfId="43956"/>
    <cellStyle name="Normal 2 3 6 3 2 3" xfId="21392"/>
    <cellStyle name="Normal 2 3 6 3 2 4" xfId="36435"/>
    <cellStyle name="Normal 2 3 6 3 3" xfId="10120"/>
    <cellStyle name="Normal 2 3 6 3 3 2" xfId="25164"/>
    <cellStyle name="Normal 2 3 6 3 3 3" xfId="40207"/>
    <cellStyle name="Normal 2 3 6 3 4" xfId="17643"/>
    <cellStyle name="Normal 2 3 6 3 5" xfId="32686"/>
    <cellStyle name="Normal 2 3 6 4" xfId="4481"/>
    <cellStyle name="Normal 2 3 6 4 2" xfId="12004"/>
    <cellStyle name="Normal 2 3 6 4 2 2" xfId="27048"/>
    <cellStyle name="Normal 2 3 6 4 2 3" xfId="42091"/>
    <cellStyle name="Normal 2 3 6 4 3" xfId="19527"/>
    <cellStyle name="Normal 2 3 6 4 4" xfId="34570"/>
    <cellStyle name="Normal 2 3 6 5" xfId="8255"/>
    <cellStyle name="Normal 2 3 6 5 2" xfId="23299"/>
    <cellStyle name="Normal 2 3 6 5 3" xfId="38342"/>
    <cellStyle name="Normal 2 3 6 6" xfId="15778"/>
    <cellStyle name="Normal 2 3 6 7" xfId="30821"/>
    <cellStyle name="Normal 2 3 7" xfId="1160"/>
    <cellStyle name="Normal 2 3 7 2" xfId="3031"/>
    <cellStyle name="Normal 2 3 7 2 2" xfId="6826"/>
    <cellStyle name="Normal 2 3 7 2 2 2" xfId="14349"/>
    <cellStyle name="Normal 2 3 7 2 2 2 2" xfId="29393"/>
    <cellStyle name="Normal 2 3 7 2 2 2 3" xfId="44436"/>
    <cellStyle name="Normal 2 3 7 2 2 3" xfId="21872"/>
    <cellStyle name="Normal 2 3 7 2 2 4" xfId="36915"/>
    <cellStyle name="Normal 2 3 7 2 3" xfId="10600"/>
    <cellStyle name="Normal 2 3 7 2 3 2" xfId="25644"/>
    <cellStyle name="Normal 2 3 7 2 3 3" xfId="40687"/>
    <cellStyle name="Normal 2 3 7 2 4" xfId="18123"/>
    <cellStyle name="Normal 2 3 7 2 5" xfId="33166"/>
    <cellStyle name="Normal 2 3 7 3" xfId="4961"/>
    <cellStyle name="Normal 2 3 7 3 2" xfId="12484"/>
    <cellStyle name="Normal 2 3 7 3 2 2" xfId="27528"/>
    <cellStyle name="Normal 2 3 7 3 2 3" xfId="42571"/>
    <cellStyle name="Normal 2 3 7 3 3" xfId="20007"/>
    <cellStyle name="Normal 2 3 7 3 4" xfId="35050"/>
    <cellStyle name="Normal 2 3 7 4" xfId="8735"/>
    <cellStyle name="Normal 2 3 7 4 2" xfId="23779"/>
    <cellStyle name="Normal 2 3 7 4 3" xfId="38822"/>
    <cellStyle name="Normal 2 3 7 5" xfId="16258"/>
    <cellStyle name="Normal 2 3 7 6" xfId="31301"/>
    <cellStyle name="Normal 2 3 8" xfId="2098"/>
    <cellStyle name="Normal 2 3 8 2" xfId="5894"/>
    <cellStyle name="Normal 2 3 8 2 2" xfId="13417"/>
    <cellStyle name="Normal 2 3 8 2 2 2" xfId="28461"/>
    <cellStyle name="Normal 2 3 8 2 2 3" xfId="43504"/>
    <cellStyle name="Normal 2 3 8 2 3" xfId="20940"/>
    <cellStyle name="Normal 2 3 8 2 4" xfId="35983"/>
    <cellStyle name="Normal 2 3 8 3" xfId="9668"/>
    <cellStyle name="Normal 2 3 8 3 2" xfId="24712"/>
    <cellStyle name="Normal 2 3 8 3 3" xfId="39755"/>
    <cellStyle name="Normal 2 3 8 4" xfId="17191"/>
    <cellStyle name="Normal 2 3 8 5" xfId="32234"/>
    <cellStyle name="Normal 2 3 9" xfId="4024"/>
    <cellStyle name="Normal 2 3 9 2" xfId="11548"/>
    <cellStyle name="Normal 2 3 9 2 2" xfId="26592"/>
    <cellStyle name="Normal 2 3 9 2 3" xfId="41635"/>
    <cellStyle name="Normal 2 3 9 3" xfId="19071"/>
    <cellStyle name="Normal 2 3 9 4" xfId="34114"/>
    <cellStyle name="Normal 2 4" xfId="11"/>
    <cellStyle name="Normal 2 4 10" xfId="15313"/>
    <cellStyle name="Normal 2 4 11" xfId="30356"/>
    <cellStyle name="Normal 2 4 2" xfId="26"/>
    <cellStyle name="Normal 2 4 2 10" xfId="30365"/>
    <cellStyle name="Normal 2 4 2 2" xfId="45"/>
    <cellStyle name="Normal 2 4 2 2 2" xfId="682"/>
    <cellStyle name="Normal 2 4 2 2 2 2" xfId="1641"/>
    <cellStyle name="Normal 2 4 2 2 2 2 2" xfId="3512"/>
    <cellStyle name="Normal 2 4 2 2 2 2 2 2" xfId="7307"/>
    <cellStyle name="Normal 2 4 2 2 2 2 2 2 2" xfId="14830"/>
    <cellStyle name="Normal 2 4 2 2 2 2 2 2 2 2" xfId="29874"/>
    <cellStyle name="Normal 2 4 2 2 2 2 2 2 2 3" xfId="44917"/>
    <cellStyle name="Normal 2 4 2 2 2 2 2 2 3" xfId="22353"/>
    <cellStyle name="Normal 2 4 2 2 2 2 2 2 4" xfId="37396"/>
    <cellStyle name="Normal 2 4 2 2 2 2 2 3" xfId="11081"/>
    <cellStyle name="Normal 2 4 2 2 2 2 2 3 2" xfId="26125"/>
    <cellStyle name="Normal 2 4 2 2 2 2 2 3 3" xfId="41168"/>
    <cellStyle name="Normal 2 4 2 2 2 2 2 4" xfId="18604"/>
    <cellStyle name="Normal 2 4 2 2 2 2 2 5" xfId="33647"/>
    <cellStyle name="Normal 2 4 2 2 2 2 3" xfId="5442"/>
    <cellStyle name="Normal 2 4 2 2 2 2 3 2" xfId="12965"/>
    <cellStyle name="Normal 2 4 2 2 2 2 3 2 2" xfId="28009"/>
    <cellStyle name="Normal 2 4 2 2 2 2 3 2 3" xfId="43052"/>
    <cellStyle name="Normal 2 4 2 2 2 2 3 3" xfId="20488"/>
    <cellStyle name="Normal 2 4 2 2 2 2 3 4" xfId="35531"/>
    <cellStyle name="Normal 2 4 2 2 2 2 4" xfId="9216"/>
    <cellStyle name="Normal 2 4 2 2 2 2 4 2" xfId="24260"/>
    <cellStyle name="Normal 2 4 2 2 2 2 4 3" xfId="39303"/>
    <cellStyle name="Normal 2 4 2 2 2 2 5" xfId="16739"/>
    <cellStyle name="Normal 2 4 2 2 2 2 6" xfId="31782"/>
    <cellStyle name="Normal 2 4 2 2 2 3" xfId="2580"/>
    <cellStyle name="Normal 2 4 2 2 2 3 2" xfId="6375"/>
    <cellStyle name="Normal 2 4 2 2 2 3 2 2" xfId="13898"/>
    <cellStyle name="Normal 2 4 2 2 2 3 2 2 2" xfId="28942"/>
    <cellStyle name="Normal 2 4 2 2 2 3 2 2 3" xfId="43985"/>
    <cellStyle name="Normal 2 4 2 2 2 3 2 3" xfId="21421"/>
    <cellStyle name="Normal 2 4 2 2 2 3 2 4" xfId="36464"/>
    <cellStyle name="Normal 2 4 2 2 2 3 3" xfId="10149"/>
    <cellStyle name="Normal 2 4 2 2 2 3 3 2" xfId="25193"/>
    <cellStyle name="Normal 2 4 2 2 2 3 3 3" xfId="40236"/>
    <cellStyle name="Normal 2 4 2 2 2 3 4" xfId="17672"/>
    <cellStyle name="Normal 2 4 2 2 2 3 5" xfId="32715"/>
    <cellStyle name="Normal 2 4 2 2 2 4" xfId="4510"/>
    <cellStyle name="Normal 2 4 2 2 2 4 2" xfId="12033"/>
    <cellStyle name="Normal 2 4 2 2 2 4 2 2" xfId="27077"/>
    <cellStyle name="Normal 2 4 2 2 2 4 2 3" xfId="42120"/>
    <cellStyle name="Normal 2 4 2 2 2 4 3" xfId="19556"/>
    <cellStyle name="Normal 2 4 2 2 2 4 4" xfId="34599"/>
    <cellStyle name="Normal 2 4 2 2 2 5" xfId="8284"/>
    <cellStyle name="Normal 2 4 2 2 2 5 2" xfId="23328"/>
    <cellStyle name="Normal 2 4 2 2 2 5 3" xfId="38371"/>
    <cellStyle name="Normal 2 4 2 2 2 6" xfId="15807"/>
    <cellStyle name="Normal 2 4 2 2 2 7" xfId="30850"/>
    <cellStyle name="Normal 2 4 2 2 3" xfId="1189"/>
    <cellStyle name="Normal 2 4 2 2 3 2" xfId="3060"/>
    <cellStyle name="Normal 2 4 2 2 3 2 2" xfId="6855"/>
    <cellStyle name="Normal 2 4 2 2 3 2 2 2" xfId="14378"/>
    <cellStyle name="Normal 2 4 2 2 3 2 2 2 2" xfId="29422"/>
    <cellStyle name="Normal 2 4 2 2 3 2 2 2 3" xfId="44465"/>
    <cellStyle name="Normal 2 4 2 2 3 2 2 3" xfId="21901"/>
    <cellStyle name="Normal 2 4 2 2 3 2 2 4" xfId="36944"/>
    <cellStyle name="Normal 2 4 2 2 3 2 3" xfId="10629"/>
    <cellStyle name="Normal 2 4 2 2 3 2 3 2" xfId="25673"/>
    <cellStyle name="Normal 2 4 2 2 3 2 3 3" xfId="40716"/>
    <cellStyle name="Normal 2 4 2 2 3 2 4" xfId="18152"/>
    <cellStyle name="Normal 2 4 2 2 3 2 5" xfId="33195"/>
    <cellStyle name="Normal 2 4 2 2 3 3" xfId="4990"/>
    <cellStyle name="Normal 2 4 2 2 3 3 2" xfId="12513"/>
    <cellStyle name="Normal 2 4 2 2 3 3 2 2" xfId="27557"/>
    <cellStyle name="Normal 2 4 2 2 3 3 2 3" xfId="42600"/>
    <cellStyle name="Normal 2 4 2 2 3 3 3" xfId="20036"/>
    <cellStyle name="Normal 2 4 2 2 3 3 4" xfId="35079"/>
    <cellStyle name="Normal 2 4 2 2 3 4" xfId="8764"/>
    <cellStyle name="Normal 2 4 2 2 3 4 2" xfId="23808"/>
    <cellStyle name="Normal 2 4 2 2 3 4 3" xfId="38851"/>
    <cellStyle name="Normal 2 4 2 2 3 5" xfId="16287"/>
    <cellStyle name="Normal 2 4 2 2 3 6" xfId="31330"/>
    <cellStyle name="Normal 2 4 2 2 4" xfId="2127"/>
    <cellStyle name="Normal 2 4 2 2 4 2" xfId="5923"/>
    <cellStyle name="Normal 2 4 2 2 4 2 2" xfId="13446"/>
    <cellStyle name="Normal 2 4 2 2 4 2 2 2" xfId="28490"/>
    <cellStyle name="Normal 2 4 2 2 4 2 2 3" xfId="43533"/>
    <cellStyle name="Normal 2 4 2 2 4 2 3" xfId="20969"/>
    <cellStyle name="Normal 2 4 2 2 4 2 4" xfId="36012"/>
    <cellStyle name="Normal 2 4 2 2 4 3" xfId="9697"/>
    <cellStyle name="Normal 2 4 2 2 4 3 2" xfId="24741"/>
    <cellStyle name="Normal 2 4 2 2 4 3 3" xfId="39784"/>
    <cellStyle name="Normal 2 4 2 2 4 4" xfId="17220"/>
    <cellStyle name="Normal 2 4 2 2 4 5" xfId="32263"/>
    <cellStyle name="Normal 2 4 2 2 5" xfId="4053"/>
    <cellStyle name="Normal 2 4 2 2 5 2" xfId="11577"/>
    <cellStyle name="Normal 2 4 2 2 5 2 2" xfId="26621"/>
    <cellStyle name="Normal 2 4 2 2 5 2 3" xfId="41664"/>
    <cellStyle name="Normal 2 4 2 2 5 3" xfId="19100"/>
    <cellStyle name="Normal 2 4 2 2 5 4" xfId="34143"/>
    <cellStyle name="Normal 2 4 2 2 6" xfId="7816"/>
    <cellStyle name="Normal 2 4 2 2 6 2" xfId="22860"/>
    <cellStyle name="Normal 2 4 2 2 6 3" xfId="37903"/>
    <cellStyle name="Normal 2 4 2 2 7" xfId="15339"/>
    <cellStyle name="Normal 2 4 2 2 8" xfId="30382"/>
    <cellStyle name="Normal 2 4 2 3" xfId="601"/>
    <cellStyle name="Normal 2 4 2 3 2" xfId="1099"/>
    <cellStyle name="Normal 2 4 2 3 2 2" xfId="2058"/>
    <cellStyle name="Normal 2 4 2 3 2 2 2" xfId="3929"/>
    <cellStyle name="Normal 2 4 2 3 2 2 2 2" xfId="7724"/>
    <cellStyle name="Normal 2 4 2 3 2 2 2 2 2" xfId="15247"/>
    <cellStyle name="Normal 2 4 2 3 2 2 2 2 2 2" xfId="30291"/>
    <cellStyle name="Normal 2 4 2 3 2 2 2 2 2 3" xfId="45334"/>
    <cellStyle name="Normal 2 4 2 3 2 2 2 2 3" xfId="22770"/>
    <cellStyle name="Normal 2 4 2 3 2 2 2 2 4" xfId="37813"/>
    <cellStyle name="Normal 2 4 2 3 2 2 2 3" xfId="11498"/>
    <cellStyle name="Normal 2 4 2 3 2 2 2 3 2" xfId="26542"/>
    <cellStyle name="Normal 2 4 2 3 2 2 2 3 3" xfId="41585"/>
    <cellStyle name="Normal 2 4 2 3 2 2 2 4" xfId="19021"/>
    <cellStyle name="Normal 2 4 2 3 2 2 2 5" xfId="34064"/>
    <cellStyle name="Normal 2 4 2 3 2 2 3" xfId="5859"/>
    <cellStyle name="Normal 2 4 2 3 2 2 3 2" xfId="13382"/>
    <cellStyle name="Normal 2 4 2 3 2 2 3 2 2" xfId="28426"/>
    <cellStyle name="Normal 2 4 2 3 2 2 3 2 3" xfId="43469"/>
    <cellStyle name="Normal 2 4 2 3 2 2 3 3" xfId="20905"/>
    <cellStyle name="Normal 2 4 2 3 2 2 3 4" xfId="35948"/>
    <cellStyle name="Normal 2 4 2 3 2 2 4" xfId="9633"/>
    <cellStyle name="Normal 2 4 2 3 2 2 4 2" xfId="24677"/>
    <cellStyle name="Normal 2 4 2 3 2 2 4 3" xfId="39720"/>
    <cellStyle name="Normal 2 4 2 3 2 2 5" xfId="17156"/>
    <cellStyle name="Normal 2 4 2 3 2 2 6" xfId="32199"/>
    <cellStyle name="Normal 2 4 2 3 2 3" xfId="2997"/>
    <cellStyle name="Normal 2 4 2 3 2 3 2" xfId="6792"/>
    <cellStyle name="Normal 2 4 2 3 2 3 2 2" xfId="14315"/>
    <cellStyle name="Normal 2 4 2 3 2 3 2 2 2" xfId="29359"/>
    <cellStyle name="Normal 2 4 2 3 2 3 2 2 3" xfId="44402"/>
    <cellStyle name="Normal 2 4 2 3 2 3 2 3" xfId="21838"/>
    <cellStyle name="Normal 2 4 2 3 2 3 2 4" xfId="36881"/>
    <cellStyle name="Normal 2 4 2 3 2 3 3" xfId="10566"/>
    <cellStyle name="Normal 2 4 2 3 2 3 3 2" xfId="25610"/>
    <cellStyle name="Normal 2 4 2 3 2 3 3 3" xfId="40653"/>
    <cellStyle name="Normal 2 4 2 3 2 3 4" xfId="18089"/>
    <cellStyle name="Normal 2 4 2 3 2 3 5" xfId="33132"/>
    <cellStyle name="Normal 2 4 2 3 2 4" xfId="4927"/>
    <cellStyle name="Normal 2 4 2 3 2 4 2" xfId="12450"/>
    <cellStyle name="Normal 2 4 2 3 2 4 2 2" xfId="27494"/>
    <cellStyle name="Normal 2 4 2 3 2 4 2 3" xfId="42537"/>
    <cellStyle name="Normal 2 4 2 3 2 4 3" xfId="19973"/>
    <cellStyle name="Normal 2 4 2 3 2 4 4" xfId="35016"/>
    <cellStyle name="Normal 2 4 2 3 2 5" xfId="8701"/>
    <cellStyle name="Normal 2 4 2 3 2 5 2" xfId="23745"/>
    <cellStyle name="Normal 2 4 2 3 2 5 3" xfId="38788"/>
    <cellStyle name="Normal 2 4 2 3 2 6" xfId="16224"/>
    <cellStyle name="Normal 2 4 2 3 2 7" xfId="31267"/>
    <cellStyle name="Normal 2 4 2 3 3" xfId="1606"/>
    <cellStyle name="Normal 2 4 2 3 3 2" xfId="3477"/>
    <cellStyle name="Normal 2 4 2 3 3 2 2" xfId="7272"/>
    <cellStyle name="Normal 2 4 2 3 3 2 2 2" xfId="14795"/>
    <cellStyle name="Normal 2 4 2 3 3 2 2 2 2" xfId="29839"/>
    <cellStyle name="Normal 2 4 2 3 3 2 2 2 3" xfId="44882"/>
    <cellStyle name="Normal 2 4 2 3 3 2 2 3" xfId="22318"/>
    <cellStyle name="Normal 2 4 2 3 3 2 2 4" xfId="37361"/>
    <cellStyle name="Normal 2 4 2 3 3 2 3" xfId="11046"/>
    <cellStyle name="Normal 2 4 2 3 3 2 3 2" xfId="26090"/>
    <cellStyle name="Normal 2 4 2 3 3 2 3 3" xfId="41133"/>
    <cellStyle name="Normal 2 4 2 3 3 2 4" xfId="18569"/>
    <cellStyle name="Normal 2 4 2 3 3 2 5" xfId="33612"/>
    <cellStyle name="Normal 2 4 2 3 3 3" xfId="5407"/>
    <cellStyle name="Normal 2 4 2 3 3 3 2" xfId="12930"/>
    <cellStyle name="Normal 2 4 2 3 3 3 2 2" xfId="27974"/>
    <cellStyle name="Normal 2 4 2 3 3 3 2 3" xfId="43017"/>
    <cellStyle name="Normal 2 4 2 3 3 3 3" xfId="20453"/>
    <cellStyle name="Normal 2 4 2 3 3 3 4" xfId="35496"/>
    <cellStyle name="Normal 2 4 2 3 3 4" xfId="9181"/>
    <cellStyle name="Normal 2 4 2 3 3 4 2" xfId="24225"/>
    <cellStyle name="Normal 2 4 2 3 3 4 3" xfId="39268"/>
    <cellStyle name="Normal 2 4 2 3 3 5" xfId="16704"/>
    <cellStyle name="Normal 2 4 2 3 3 6" xfId="31747"/>
    <cellStyle name="Normal 2 4 2 3 4" xfId="2544"/>
    <cellStyle name="Normal 2 4 2 3 4 2" xfId="6340"/>
    <cellStyle name="Normal 2 4 2 3 4 2 2" xfId="13863"/>
    <cellStyle name="Normal 2 4 2 3 4 2 2 2" xfId="28907"/>
    <cellStyle name="Normal 2 4 2 3 4 2 2 3" xfId="43950"/>
    <cellStyle name="Normal 2 4 2 3 4 2 3" xfId="21386"/>
    <cellStyle name="Normal 2 4 2 3 4 2 4" xfId="36429"/>
    <cellStyle name="Normal 2 4 2 3 4 3" xfId="10114"/>
    <cellStyle name="Normal 2 4 2 3 4 3 2" xfId="25158"/>
    <cellStyle name="Normal 2 4 2 3 4 3 3" xfId="40201"/>
    <cellStyle name="Normal 2 4 2 3 4 4" xfId="17637"/>
    <cellStyle name="Normal 2 4 2 3 4 5" xfId="32680"/>
    <cellStyle name="Normal 2 4 2 3 5" xfId="4472"/>
    <cellStyle name="Normal 2 4 2 3 5 2" xfId="11996"/>
    <cellStyle name="Normal 2 4 2 3 5 2 2" xfId="27040"/>
    <cellStyle name="Normal 2 4 2 3 5 2 3" xfId="42083"/>
    <cellStyle name="Normal 2 4 2 3 5 3" xfId="19519"/>
    <cellStyle name="Normal 2 4 2 3 5 4" xfId="34562"/>
    <cellStyle name="Normal 2 4 2 3 6" xfId="8235"/>
    <cellStyle name="Normal 2 4 2 3 6 2" xfId="23279"/>
    <cellStyle name="Normal 2 4 2 3 6 3" xfId="38322"/>
    <cellStyle name="Normal 2 4 2 3 7" xfId="15758"/>
    <cellStyle name="Normal 2 4 2 3 8" xfId="30801"/>
    <cellStyle name="Normal 2 4 2 4" xfId="665"/>
    <cellStyle name="Normal 2 4 2 4 2" xfId="1624"/>
    <cellStyle name="Normal 2 4 2 4 2 2" xfId="3495"/>
    <cellStyle name="Normal 2 4 2 4 2 2 2" xfId="7290"/>
    <cellStyle name="Normal 2 4 2 4 2 2 2 2" xfId="14813"/>
    <cellStyle name="Normal 2 4 2 4 2 2 2 2 2" xfId="29857"/>
    <cellStyle name="Normal 2 4 2 4 2 2 2 2 3" xfId="44900"/>
    <cellStyle name="Normal 2 4 2 4 2 2 2 3" xfId="22336"/>
    <cellStyle name="Normal 2 4 2 4 2 2 2 4" xfId="37379"/>
    <cellStyle name="Normal 2 4 2 4 2 2 3" xfId="11064"/>
    <cellStyle name="Normal 2 4 2 4 2 2 3 2" xfId="26108"/>
    <cellStyle name="Normal 2 4 2 4 2 2 3 3" xfId="41151"/>
    <cellStyle name="Normal 2 4 2 4 2 2 4" xfId="18587"/>
    <cellStyle name="Normal 2 4 2 4 2 2 5" xfId="33630"/>
    <cellStyle name="Normal 2 4 2 4 2 3" xfId="5425"/>
    <cellStyle name="Normal 2 4 2 4 2 3 2" xfId="12948"/>
    <cellStyle name="Normal 2 4 2 4 2 3 2 2" xfId="27992"/>
    <cellStyle name="Normal 2 4 2 4 2 3 2 3" xfId="43035"/>
    <cellStyle name="Normal 2 4 2 4 2 3 3" xfId="20471"/>
    <cellStyle name="Normal 2 4 2 4 2 3 4" xfId="35514"/>
    <cellStyle name="Normal 2 4 2 4 2 4" xfId="9199"/>
    <cellStyle name="Normal 2 4 2 4 2 4 2" xfId="24243"/>
    <cellStyle name="Normal 2 4 2 4 2 4 3" xfId="39286"/>
    <cellStyle name="Normal 2 4 2 4 2 5" xfId="16722"/>
    <cellStyle name="Normal 2 4 2 4 2 6" xfId="31765"/>
    <cellStyle name="Normal 2 4 2 4 3" xfId="2563"/>
    <cellStyle name="Normal 2 4 2 4 3 2" xfId="6358"/>
    <cellStyle name="Normal 2 4 2 4 3 2 2" xfId="13881"/>
    <cellStyle name="Normal 2 4 2 4 3 2 2 2" xfId="28925"/>
    <cellStyle name="Normal 2 4 2 4 3 2 2 3" xfId="43968"/>
    <cellStyle name="Normal 2 4 2 4 3 2 3" xfId="21404"/>
    <cellStyle name="Normal 2 4 2 4 3 2 4" xfId="36447"/>
    <cellStyle name="Normal 2 4 2 4 3 3" xfId="10132"/>
    <cellStyle name="Normal 2 4 2 4 3 3 2" xfId="25176"/>
    <cellStyle name="Normal 2 4 2 4 3 3 3" xfId="40219"/>
    <cellStyle name="Normal 2 4 2 4 3 4" xfId="17655"/>
    <cellStyle name="Normal 2 4 2 4 3 5" xfId="32698"/>
    <cellStyle name="Normal 2 4 2 4 4" xfId="4493"/>
    <cellStyle name="Normal 2 4 2 4 4 2" xfId="12016"/>
    <cellStyle name="Normal 2 4 2 4 4 2 2" xfId="27060"/>
    <cellStyle name="Normal 2 4 2 4 4 2 3" xfId="42103"/>
    <cellStyle name="Normal 2 4 2 4 4 3" xfId="19539"/>
    <cellStyle name="Normal 2 4 2 4 4 4" xfId="34582"/>
    <cellStyle name="Normal 2 4 2 4 5" xfId="8267"/>
    <cellStyle name="Normal 2 4 2 4 5 2" xfId="23311"/>
    <cellStyle name="Normal 2 4 2 4 5 3" xfId="38354"/>
    <cellStyle name="Normal 2 4 2 4 6" xfId="15790"/>
    <cellStyle name="Normal 2 4 2 4 7" xfId="30833"/>
    <cellStyle name="Normal 2 4 2 5" xfId="1172"/>
    <cellStyle name="Normal 2 4 2 5 2" xfId="3043"/>
    <cellStyle name="Normal 2 4 2 5 2 2" xfId="6838"/>
    <cellStyle name="Normal 2 4 2 5 2 2 2" xfId="14361"/>
    <cellStyle name="Normal 2 4 2 5 2 2 2 2" xfId="29405"/>
    <cellStyle name="Normal 2 4 2 5 2 2 2 3" xfId="44448"/>
    <cellStyle name="Normal 2 4 2 5 2 2 3" xfId="21884"/>
    <cellStyle name="Normal 2 4 2 5 2 2 4" xfId="36927"/>
    <cellStyle name="Normal 2 4 2 5 2 3" xfId="10612"/>
    <cellStyle name="Normal 2 4 2 5 2 3 2" xfId="25656"/>
    <cellStyle name="Normal 2 4 2 5 2 3 3" xfId="40699"/>
    <cellStyle name="Normal 2 4 2 5 2 4" xfId="18135"/>
    <cellStyle name="Normal 2 4 2 5 2 5" xfId="33178"/>
    <cellStyle name="Normal 2 4 2 5 3" xfId="4973"/>
    <cellStyle name="Normal 2 4 2 5 3 2" xfId="12496"/>
    <cellStyle name="Normal 2 4 2 5 3 2 2" xfId="27540"/>
    <cellStyle name="Normal 2 4 2 5 3 2 3" xfId="42583"/>
    <cellStyle name="Normal 2 4 2 5 3 3" xfId="20019"/>
    <cellStyle name="Normal 2 4 2 5 3 4" xfId="35062"/>
    <cellStyle name="Normal 2 4 2 5 4" xfId="8747"/>
    <cellStyle name="Normal 2 4 2 5 4 2" xfId="23791"/>
    <cellStyle name="Normal 2 4 2 5 4 3" xfId="38834"/>
    <cellStyle name="Normal 2 4 2 5 5" xfId="16270"/>
    <cellStyle name="Normal 2 4 2 5 6" xfId="31313"/>
    <cellStyle name="Normal 2 4 2 6" xfId="2110"/>
    <cellStyle name="Normal 2 4 2 6 2" xfId="5906"/>
    <cellStyle name="Normal 2 4 2 6 2 2" xfId="13429"/>
    <cellStyle name="Normal 2 4 2 6 2 2 2" xfId="28473"/>
    <cellStyle name="Normal 2 4 2 6 2 2 3" xfId="43516"/>
    <cellStyle name="Normal 2 4 2 6 2 3" xfId="20952"/>
    <cellStyle name="Normal 2 4 2 6 2 4" xfId="35995"/>
    <cellStyle name="Normal 2 4 2 6 3" xfId="9680"/>
    <cellStyle name="Normal 2 4 2 6 3 2" xfId="24724"/>
    <cellStyle name="Normal 2 4 2 6 3 3" xfId="39767"/>
    <cellStyle name="Normal 2 4 2 6 4" xfId="17203"/>
    <cellStyle name="Normal 2 4 2 6 5" xfId="32246"/>
    <cellStyle name="Normal 2 4 2 7" xfId="4036"/>
    <cellStyle name="Normal 2 4 2 7 2" xfId="11560"/>
    <cellStyle name="Normal 2 4 2 7 2 2" xfId="26604"/>
    <cellStyle name="Normal 2 4 2 7 2 3" xfId="41647"/>
    <cellStyle name="Normal 2 4 2 7 3" xfId="19083"/>
    <cellStyle name="Normal 2 4 2 7 4" xfId="34126"/>
    <cellStyle name="Normal 2 4 2 8" xfId="7799"/>
    <cellStyle name="Normal 2 4 2 8 2" xfId="22843"/>
    <cellStyle name="Normal 2 4 2 8 3" xfId="37886"/>
    <cellStyle name="Normal 2 4 2 9" xfId="15322"/>
    <cellStyle name="Normal 2 4 3" xfId="36"/>
    <cellStyle name="Normal 2 4 3 2" xfId="673"/>
    <cellStyle name="Normal 2 4 3 2 2" xfId="1632"/>
    <cellStyle name="Normal 2 4 3 2 2 2" xfId="3503"/>
    <cellStyle name="Normal 2 4 3 2 2 2 2" xfId="7298"/>
    <cellStyle name="Normal 2 4 3 2 2 2 2 2" xfId="14821"/>
    <cellStyle name="Normal 2 4 3 2 2 2 2 2 2" xfId="29865"/>
    <cellStyle name="Normal 2 4 3 2 2 2 2 2 3" xfId="44908"/>
    <cellStyle name="Normal 2 4 3 2 2 2 2 3" xfId="22344"/>
    <cellStyle name="Normal 2 4 3 2 2 2 2 4" xfId="37387"/>
    <cellStyle name="Normal 2 4 3 2 2 2 3" xfId="11072"/>
    <cellStyle name="Normal 2 4 3 2 2 2 3 2" xfId="26116"/>
    <cellStyle name="Normal 2 4 3 2 2 2 3 3" xfId="41159"/>
    <cellStyle name="Normal 2 4 3 2 2 2 4" xfId="18595"/>
    <cellStyle name="Normal 2 4 3 2 2 2 5" xfId="33638"/>
    <cellStyle name="Normal 2 4 3 2 2 3" xfId="5433"/>
    <cellStyle name="Normal 2 4 3 2 2 3 2" xfId="12956"/>
    <cellStyle name="Normal 2 4 3 2 2 3 2 2" xfId="28000"/>
    <cellStyle name="Normal 2 4 3 2 2 3 2 3" xfId="43043"/>
    <cellStyle name="Normal 2 4 3 2 2 3 3" xfId="20479"/>
    <cellStyle name="Normal 2 4 3 2 2 3 4" xfId="35522"/>
    <cellStyle name="Normal 2 4 3 2 2 4" xfId="9207"/>
    <cellStyle name="Normal 2 4 3 2 2 4 2" xfId="24251"/>
    <cellStyle name="Normal 2 4 3 2 2 4 3" xfId="39294"/>
    <cellStyle name="Normal 2 4 3 2 2 5" xfId="16730"/>
    <cellStyle name="Normal 2 4 3 2 2 6" xfId="31773"/>
    <cellStyle name="Normal 2 4 3 2 3" xfId="2571"/>
    <cellStyle name="Normal 2 4 3 2 3 2" xfId="6366"/>
    <cellStyle name="Normal 2 4 3 2 3 2 2" xfId="13889"/>
    <cellStyle name="Normal 2 4 3 2 3 2 2 2" xfId="28933"/>
    <cellStyle name="Normal 2 4 3 2 3 2 2 3" xfId="43976"/>
    <cellStyle name="Normal 2 4 3 2 3 2 3" xfId="21412"/>
    <cellStyle name="Normal 2 4 3 2 3 2 4" xfId="36455"/>
    <cellStyle name="Normal 2 4 3 2 3 3" xfId="10140"/>
    <cellStyle name="Normal 2 4 3 2 3 3 2" xfId="25184"/>
    <cellStyle name="Normal 2 4 3 2 3 3 3" xfId="40227"/>
    <cellStyle name="Normal 2 4 3 2 3 4" xfId="17663"/>
    <cellStyle name="Normal 2 4 3 2 3 5" xfId="32706"/>
    <cellStyle name="Normal 2 4 3 2 4" xfId="4501"/>
    <cellStyle name="Normal 2 4 3 2 4 2" xfId="12024"/>
    <cellStyle name="Normal 2 4 3 2 4 2 2" xfId="27068"/>
    <cellStyle name="Normal 2 4 3 2 4 2 3" xfId="42111"/>
    <cellStyle name="Normal 2 4 3 2 4 3" xfId="19547"/>
    <cellStyle name="Normal 2 4 3 2 4 4" xfId="34590"/>
    <cellStyle name="Normal 2 4 3 2 5" xfId="8275"/>
    <cellStyle name="Normal 2 4 3 2 5 2" xfId="23319"/>
    <cellStyle name="Normal 2 4 3 2 5 3" xfId="38362"/>
    <cellStyle name="Normal 2 4 3 2 6" xfId="15798"/>
    <cellStyle name="Normal 2 4 3 2 7" xfId="30841"/>
    <cellStyle name="Normal 2 4 3 3" xfId="1180"/>
    <cellStyle name="Normal 2 4 3 3 2" xfId="3051"/>
    <cellStyle name="Normal 2 4 3 3 2 2" xfId="6846"/>
    <cellStyle name="Normal 2 4 3 3 2 2 2" xfId="14369"/>
    <cellStyle name="Normal 2 4 3 3 2 2 2 2" xfId="29413"/>
    <cellStyle name="Normal 2 4 3 3 2 2 2 3" xfId="44456"/>
    <cellStyle name="Normal 2 4 3 3 2 2 3" xfId="21892"/>
    <cellStyle name="Normal 2 4 3 3 2 2 4" xfId="36935"/>
    <cellStyle name="Normal 2 4 3 3 2 3" xfId="10620"/>
    <cellStyle name="Normal 2 4 3 3 2 3 2" xfId="25664"/>
    <cellStyle name="Normal 2 4 3 3 2 3 3" xfId="40707"/>
    <cellStyle name="Normal 2 4 3 3 2 4" xfId="18143"/>
    <cellStyle name="Normal 2 4 3 3 2 5" xfId="33186"/>
    <cellStyle name="Normal 2 4 3 3 3" xfId="4981"/>
    <cellStyle name="Normal 2 4 3 3 3 2" xfId="12504"/>
    <cellStyle name="Normal 2 4 3 3 3 2 2" xfId="27548"/>
    <cellStyle name="Normal 2 4 3 3 3 2 3" xfId="42591"/>
    <cellStyle name="Normal 2 4 3 3 3 3" xfId="20027"/>
    <cellStyle name="Normal 2 4 3 3 3 4" xfId="35070"/>
    <cellStyle name="Normal 2 4 3 3 4" xfId="8755"/>
    <cellStyle name="Normal 2 4 3 3 4 2" xfId="23799"/>
    <cellStyle name="Normal 2 4 3 3 4 3" xfId="38842"/>
    <cellStyle name="Normal 2 4 3 3 5" xfId="16278"/>
    <cellStyle name="Normal 2 4 3 3 6" xfId="31321"/>
    <cellStyle name="Normal 2 4 3 4" xfId="2118"/>
    <cellStyle name="Normal 2 4 3 4 2" xfId="5914"/>
    <cellStyle name="Normal 2 4 3 4 2 2" xfId="13437"/>
    <cellStyle name="Normal 2 4 3 4 2 2 2" xfId="28481"/>
    <cellStyle name="Normal 2 4 3 4 2 2 3" xfId="43524"/>
    <cellStyle name="Normal 2 4 3 4 2 3" xfId="20960"/>
    <cellStyle name="Normal 2 4 3 4 2 4" xfId="36003"/>
    <cellStyle name="Normal 2 4 3 4 3" xfId="9688"/>
    <cellStyle name="Normal 2 4 3 4 3 2" xfId="24732"/>
    <cellStyle name="Normal 2 4 3 4 3 3" xfId="39775"/>
    <cellStyle name="Normal 2 4 3 4 4" xfId="17211"/>
    <cellStyle name="Normal 2 4 3 4 5" xfId="32254"/>
    <cellStyle name="Normal 2 4 3 5" xfId="4044"/>
    <cellStyle name="Normal 2 4 3 5 2" xfId="11568"/>
    <cellStyle name="Normal 2 4 3 5 2 2" xfId="26612"/>
    <cellStyle name="Normal 2 4 3 5 2 3" xfId="41655"/>
    <cellStyle name="Normal 2 4 3 5 3" xfId="19091"/>
    <cellStyle name="Normal 2 4 3 5 4" xfId="34134"/>
    <cellStyle name="Normal 2 4 3 6" xfId="7807"/>
    <cellStyle name="Normal 2 4 3 6 2" xfId="22851"/>
    <cellStyle name="Normal 2 4 3 6 3" xfId="37894"/>
    <cellStyle name="Normal 2 4 3 7" xfId="15330"/>
    <cellStyle name="Normal 2 4 3 8" xfId="30373"/>
    <cellStyle name="Normal 2 4 4" xfId="594"/>
    <cellStyle name="Normal 2 4 4 2" xfId="1092"/>
    <cellStyle name="Normal 2 4 4 2 2" xfId="2051"/>
    <cellStyle name="Normal 2 4 4 2 2 2" xfId="3922"/>
    <cellStyle name="Normal 2 4 4 2 2 2 2" xfId="7717"/>
    <cellStyle name="Normal 2 4 4 2 2 2 2 2" xfId="15240"/>
    <cellStyle name="Normal 2 4 4 2 2 2 2 2 2" xfId="30284"/>
    <cellStyle name="Normal 2 4 4 2 2 2 2 2 3" xfId="45327"/>
    <cellStyle name="Normal 2 4 4 2 2 2 2 3" xfId="22763"/>
    <cellStyle name="Normal 2 4 4 2 2 2 2 4" xfId="37806"/>
    <cellStyle name="Normal 2 4 4 2 2 2 3" xfId="11491"/>
    <cellStyle name="Normal 2 4 4 2 2 2 3 2" xfId="26535"/>
    <cellStyle name="Normal 2 4 4 2 2 2 3 3" xfId="41578"/>
    <cellStyle name="Normal 2 4 4 2 2 2 4" xfId="19014"/>
    <cellStyle name="Normal 2 4 4 2 2 2 5" xfId="34057"/>
    <cellStyle name="Normal 2 4 4 2 2 3" xfId="5852"/>
    <cellStyle name="Normal 2 4 4 2 2 3 2" xfId="13375"/>
    <cellStyle name="Normal 2 4 4 2 2 3 2 2" xfId="28419"/>
    <cellStyle name="Normal 2 4 4 2 2 3 2 3" xfId="43462"/>
    <cellStyle name="Normal 2 4 4 2 2 3 3" xfId="20898"/>
    <cellStyle name="Normal 2 4 4 2 2 3 4" xfId="35941"/>
    <cellStyle name="Normal 2 4 4 2 2 4" xfId="9626"/>
    <cellStyle name="Normal 2 4 4 2 2 4 2" xfId="24670"/>
    <cellStyle name="Normal 2 4 4 2 2 4 3" xfId="39713"/>
    <cellStyle name="Normal 2 4 4 2 2 5" xfId="17149"/>
    <cellStyle name="Normal 2 4 4 2 2 6" xfId="32192"/>
    <cellStyle name="Normal 2 4 4 2 3" xfId="2990"/>
    <cellStyle name="Normal 2 4 4 2 3 2" xfId="6785"/>
    <cellStyle name="Normal 2 4 4 2 3 2 2" xfId="14308"/>
    <cellStyle name="Normal 2 4 4 2 3 2 2 2" xfId="29352"/>
    <cellStyle name="Normal 2 4 4 2 3 2 2 3" xfId="44395"/>
    <cellStyle name="Normal 2 4 4 2 3 2 3" xfId="21831"/>
    <cellStyle name="Normal 2 4 4 2 3 2 4" xfId="36874"/>
    <cellStyle name="Normal 2 4 4 2 3 3" xfId="10559"/>
    <cellStyle name="Normal 2 4 4 2 3 3 2" xfId="25603"/>
    <cellStyle name="Normal 2 4 4 2 3 3 3" xfId="40646"/>
    <cellStyle name="Normal 2 4 4 2 3 4" xfId="18082"/>
    <cellStyle name="Normal 2 4 4 2 3 5" xfId="33125"/>
    <cellStyle name="Normal 2 4 4 2 4" xfId="4920"/>
    <cellStyle name="Normal 2 4 4 2 4 2" xfId="12443"/>
    <cellStyle name="Normal 2 4 4 2 4 2 2" xfId="27487"/>
    <cellStyle name="Normal 2 4 4 2 4 2 3" xfId="42530"/>
    <cellStyle name="Normal 2 4 4 2 4 3" xfId="19966"/>
    <cellStyle name="Normal 2 4 4 2 4 4" xfId="35009"/>
    <cellStyle name="Normal 2 4 4 2 5" xfId="8694"/>
    <cellStyle name="Normal 2 4 4 2 5 2" xfId="23738"/>
    <cellStyle name="Normal 2 4 4 2 5 3" xfId="38781"/>
    <cellStyle name="Normal 2 4 4 2 6" xfId="16217"/>
    <cellStyle name="Normal 2 4 4 2 7" xfId="31260"/>
    <cellStyle name="Normal 2 4 4 3" xfId="1599"/>
    <cellStyle name="Normal 2 4 4 3 2" xfId="3470"/>
    <cellStyle name="Normal 2 4 4 3 2 2" xfId="7265"/>
    <cellStyle name="Normal 2 4 4 3 2 2 2" xfId="14788"/>
    <cellStyle name="Normal 2 4 4 3 2 2 2 2" xfId="29832"/>
    <cellStyle name="Normal 2 4 4 3 2 2 2 3" xfId="44875"/>
    <cellStyle name="Normal 2 4 4 3 2 2 3" xfId="22311"/>
    <cellStyle name="Normal 2 4 4 3 2 2 4" xfId="37354"/>
    <cellStyle name="Normal 2 4 4 3 2 3" xfId="11039"/>
    <cellStyle name="Normal 2 4 4 3 2 3 2" xfId="26083"/>
    <cellStyle name="Normal 2 4 4 3 2 3 3" xfId="41126"/>
    <cellStyle name="Normal 2 4 4 3 2 4" xfId="18562"/>
    <cellStyle name="Normal 2 4 4 3 2 5" xfId="33605"/>
    <cellStyle name="Normal 2 4 4 3 3" xfId="5400"/>
    <cellStyle name="Normal 2 4 4 3 3 2" xfId="12923"/>
    <cellStyle name="Normal 2 4 4 3 3 2 2" xfId="27967"/>
    <cellStyle name="Normal 2 4 4 3 3 2 3" xfId="43010"/>
    <cellStyle name="Normal 2 4 4 3 3 3" xfId="20446"/>
    <cellStyle name="Normal 2 4 4 3 3 4" xfId="35489"/>
    <cellStyle name="Normal 2 4 4 3 4" xfId="9174"/>
    <cellStyle name="Normal 2 4 4 3 4 2" xfId="24218"/>
    <cellStyle name="Normal 2 4 4 3 4 3" xfId="39261"/>
    <cellStyle name="Normal 2 4 4 3 5" xfId="16697"/>
    <cellStyle name="Normal 2 4 4 3 6" xfId="31740"/>
    <cellStyle name="Normal 2 4 4 4" xfId="2537"/>
    <cellStyle name="Normal 2 4 4 4 2" xfId="6333"/>
    <cellStyle name="Normal 2 4 4 4 2 2" xfId="13856"/>
    <cellStyle name="Normal 2 4 4 4 2 2 2" xfId="28900"/>
    <cellStyle name="Normal 2 4 4 4 2 2 3" xfId="43943"/>
    <cellStyle name="Normal 2 4 4 4 2 3" xfId="21379"/>
    <cellStyle name="Normal 2 4 4 4 2 4" xfId="36422"/>
    <cellStyle name="Normal 2 4 4 4 3" xfId="10107"/>
    <cellStyle name="Normal 2 4 4 4 3 2" xfId="25151"/>
    <cellStyle name="Normal 2 4 4 4 3 3" xfId="40194"/>
    <cellStyle name="Normal 2 4 4 4 4" xfId="17630"/>
    <cellStyle name="Normal 2 4 4 4 5" xfId="32673"/>
    <cellStyle name="Normal 2 4 4 5" xfId="4465"/>
    <cellStyle name="Normal 2 4 4 5 2" xfId="11989"/>
    <cellStyle name="Normal 2 4 4 5 2 2" xfId="27033"/>
    <cellStyle name="Normal 2 4 4 5 2 3" xfId="42076"/>
    <cellStyle name="Normal 2 4 4 5 3" xfId="19512"/>
    <cellStyle name="Normal 2 4 4 5 4" xfId="34555"/>
    <cellStyle name="Normal 2 4 4 6" xfId="8228"/>
    <cellStyle name="Normal 2 4 4 6 2" xfId="23272"/>
    <cellStyle name="Normal 2 4 4 6 3" xfId="38315"/>
    <cellStyle name="Normal 2 4 4 7" xfId="15751"/>
    <cellStyle name="Normal 2 4 4 8" xfId="30794"/>
    <cellStyle name="Normal 2 4 5" xfId="656"/>
    <cellStyle name="Normal 2 4 5 2" xfId="1615"/>
    <cellStyle name="Normal 2 4 5 2 2" xfId="3486"/>
    <cellStyle name="Normal 2 4 5 2 2 2" xfId="7281"/>
    <cellStyle name="Normal 2 4 5 2 2 2 2" xfId="14804"/>
    <cellStyle name="Normal 2 4 5 2 2 2 2 2" xfId="29848"/>
    <cellStyle name="Normal 2 4 5 2 2 2 2 3" xfId="44891"/>
    <cellStyle name="Normal 2 4 5 2 2 2 3" xfId="22327"/>
    <cellStyle name="Normal 2 4 5 2 2 2 4" xfId="37370"/>
    <cellStyle name="Normal 2 4 5 2 2 3" xfId="11055"/>
    <cellStyle name="Normal 2 4 5 2 2 3 2" xfId="26099"/>
    <cellStyle name="Normal 2 4 5 2 2 3 3" xfId="41142"/>
    <cellStyle name="Normal 2 4 5 2 2 4" xfId="18578"/>
    <cellStyle name="Normal 2 4 5 2 2 5" xfId="33621"/>
    <cellStyle name="Normal 2 4 5 2 3" xfId="5416"/>
    <cellStyle name="Normal 2 4 5 2 3 2" xfId="12939"/>
    <cellStyle name="Normal 2 4 5 2 3 2 2" xfId="27983"/>
    <cellStyle name="Normal 2 4 5 2 3 2 3" xfId="43026"/>
    <cellStyle name="Normal 2 4 5 2 3 3" xfId="20462"/>
    <cellStyle name="Normal 2 4 5 2 3 4" xfId="35505"/>
    <cellStyle name="Normal 2 4 5 2 4" xfId="9190"/>
    <cellStyle name="Normal 2 4 5 2 4 2" xfId="24234"/>
    <cellStyle name="Normal 2 4 5 2 4 3" xfId="39277"/>
    <cellStyle name="Normal 2 4 5 2 5" xfId="16713"/>
    <cellStyle name="Normal 2 4 5 2 6" xfId="31756"/>
    <cellStyle name="Normal 2 4 5 3" xfId="2554"/>
    <cellStyle name="Normal 2 4 5 3 2" xfId="6349"/>
    <cellStyle name="Normal 2 4 5 3 2 2" xfId="13872"/>
    <cellStyle name="Normal 2 4 5 3 2 2 2" xfId="28916"/>
    <cellStyle name="Normal 2 4 5 3 2 2 3" xfId="43959"/>
    <cellStyle name="Normal 2 4 5 3 2 3" xfId="21395"/>
    <cellStyle name="Normal 2 4 5 3 2 4" xfId="36438"/>
    <cellStyle name="Normal 2 4 5 3 3" xfId="10123"/>
    <cellStyle name="Normal 2 4 5 3 3 2" xfId="25167"/>
    <cellStyle name="Normal 2 4 5 3 3 3" xfId="40210"/>
    <cellStyle name="Normal 2 4 5 3 4" xfId="17646"/>
    <cellStyle name="Normal 2 4 5 3 5" xfId="32689"/>
    <cellStyle name="Normal 2 4 5 4" xfId="4484"/>
    <cellStyle name="Normal 2 4 5 4 2" xfId="12007"/>
    <cellStyle name="Normal 2 4 5 4 2 2" xfId="27051"/>
    <cellStyle name="Normal 2 4 5 4 2 3" xfId="42094"/>
    <cellStyle name="Normal 2 4 5 4 3" xfId="19530"/>
    <cellStyle name="Normal 2 4 5 4 4" xfId="34573"/>
    <cellStyle name="Normal 2 4 5 5" xfId="8258"/>
    <cellStyle name="Normal 2 4 5 5 2" xfId="23302"/>
    <cellStyle name="Normal 2 4 5 5 3" xfId="38345"/>
    <cellStyle name="Normal 2 4 5 6" xfId="15781"/>
    <cellStyle name="Normal 2 4 5 7" xfId="30824"/>
    <cellStyle name="Normal 2 4 6" xfId="1163"/>
    <cellStyle name="Normal 2 4 6 2" xfId="3034"/>
    <cellStyle name="Normal 2 4 6 2 2" xfId="6829"/>
    <cellStyle name="Normal 2 4 6 2 2 2" xfId="14352"/>
    <cellStyle name="Normal 2 4 6 2 2 2 2" xfId="29396"/>
    <cellStyle name="Normal 2 4 6 2 2 2 3" xfId="44439"/>
    <cellStyle name="Normal 2 4 6 2 2 3" xfId="21875"/>
    <cellStyle name="Normal 2 4 6 2 2 4" xfId="36918"/>
    <cellStyle name="Normal 2 4 6 2 3" xfId="10603"/>
    <cellStyle name="Normal 2 4 6 2 3 2" xfId="25647"/>
    <cellStyle name="Normal 2 4 6 2 3 3" xfId="40690"/>
    <cellStyle name="Normal 2 4 6 2 4" xfId="18126"/>
    <cellStyle name="Normal 2 4 6 2 5" xfId="33169"/>
    <cellStyle name="Normal 2 4 6 3" xfId="4964"/>
    <cellStyle name="Normal 2 4 6 3 2" xfId="12487"/>
    <cellStyle name="Normal 2 4 6 3 2 2" xfId="27531"/>
    <cellStyle name="Normal 2 4 6 3 2 3" xfId="42574"/>
    <cellStyle name="Normal 2 4 6 3 3" xfId="20010"/>
    <cellStyle name="Normal 2 4 6 3 4" xfId="35053"/>
    <cellStyle name="Normal 2 4 6 4" xfId="8738"/>
    <cellStyle name="Normal 2 4 6 4 2" xfId="23782"/>
    <cellStyle name="Normal 2 4 6 4 3" xfId="38825"/>
    <cellStyle name="Normal 2 4 6 5" xfId="16261"/>
    <cellStyle name="Normal 2 4 6 6" xfId="31304"/>
    <cellStyle name="Normal 2 4 7" xfId="2101"/>
    <cellStyle name="Normal 2 4 7 2" xfId="5897"/>
    <cellStyle name="Normal 2 4 7 2 2" xfId="13420"/>
    <cellStyle name="Normal 2 4 7 2 2 2" xfId="28464"/>
    <cellStyle name="Normal 2 4 7 2 2 3" xfId="43507"/>
    <cellStyle name="Normal 2 4 7 2 3" xfId="20943"/>
    <cellStyle name="Normal 2 4 7 2 4" xfId="35986"/>
    <cellStyle name="Normal 2 4 7 3" xfId="9671"/>
    <cellStyle name="Normal 2 4 7 3 2" xfId="24715"/>
    <cellStyle name="Normal 2 4 7 3 3" xfId="39758"/>
    <cellStyle name="Normal 2 4 7 4" xfId="17194"/>
    <cellStyle name="Normal 2 4 7 5" xfId="32237"/>
    <cellStyle name="Normal 2 4 8" xfId="4027"/>
    <cellStyle name="Normal 2 4 8 2" xfId="11551"/>
    <cellStyle name="Normal 2 4 8 2 2" xfId="26595"/>
    <cellStyle name="Normal 2 4 8 2 3" xfId="41638"/>
    <cellStyle name="Normal 2 4 8 3" xfId="19074"/>
    <cellStyle name="Normal 2 4 8 4" xfId="34117"/>
    <cellStyle name="Normal 2 4 9" xfId="7790"/>
    <cellStyle name="Normal 2 4 9 2" xfId="22834"/>
    <cellStyle name="Normal 2 4 9 3" xfId="37877"/>
    <cellStyle name="Normal 2 5" xfId="19"/>
    <cellStyle name="Normal 2 5 10" xfId="30358"/>
    <cellStyle name="Normal 2 5 11" xfId="45403"/>
    <cellStyle name="Normal 2 5 2" xfId="38"/>
    <cellStyle name="Normal 2 5 2 2" xfId="675"/>
    <cellStyle name="Normal 2 5 2 2 2" xfId="1634"/>
    <cellStyle name="Normal 2 5 2 2 2 2" xfId="3505"/>
    <cellStyle name="Normal 2 5 2 2 2 2 2" xfId="7300"/>
    <cellStyle name="Normal 2 5 2 2 2 2 2 2" xfId="14823"/>
    <cellStyle name="Normal 2 5 2 2 2 2 2 2 2" xfId="29867"/>
    <cellStyle name="Normal 2 5 2 2 2 2 2 2 3" xfId="44910"/>
    <cellStyle name="Normal 2 5 2 2 2 2 2 3" xfId="22346"/>
    <cellStyle name="Normal 2 5 2 2 2 2 2 4" xfId="37389"/>
    <cellStyle name="Normal 2 5 2 2 2 2 3" xfId="11074"/>
    <cellStyle name="Normal 2 5 2 2 2 2 3 2" xfId="26118"/>
    <cellStyle name="Normal 2 5 2 2 2 2 3 3" xfId="41161"/>
    <cellStyle name="Normal 2 5 2 2 2 2 4" xfId="18597"/>
    <cellStyle name="Normal 2 5 2 2 2 2 5" xfId="33640"/>
    <cellStyle name="Normal 2 5 2 2 2 3" xfId="5435"/>
    <cellStyle name="Normal 2 5 2 2 2 3 2" xfId="12958"/>
    <cellStyle name="Normal 2 5 2 2 2 3 2 2" xfId="28002"/>
    <cellStyle name="Normal 2 5 2 2 2 3 2 3" xfId="43045"/>
    <cellStyle name="Normal 2 5 2 2 2 3 3" xfId="20481"/>
    <cellStyle name="Normal 2 5 2 2 2 3 4" xfId="35524"/>
    <cellStyle name="Normal 2 5 2 2 2 4" xfId="9209"/>
    <cellStyle name="Normal 2 5 2 2 2 4 2" xfId="24253"/>
    <cellStyle name="Normal 2 5 2 2 2 4 3" xfId="39296"/>
    <cellStyle name="Normal 2 5 2 2 2 5" xfId="16732"/>
    <cellStyle name="Normal 2 5 2 2 2 6" xfId="31775"/>
    <cellStyle name="Normal 2 5 2 2 3" xfId="2573"/>
    <cellStyle name="Normal 2 5 2 2 3 2" xfId="6368"/>
    <cellStyle name="Normal 2 5 2 2 3 2 2" xfId="13891"/>
    <cellStyle name="Normal 2 5 2 2 3 2 2 2" xfId="28935"/>
    <cellStyle name="Normal 2 5 2 2 3 2 2 3" xfId="43978"/>
    <cellStyle name="Normal 2 5 2 2 3 2 3" xfId="21414"/>
    <cellStyle name="Normal 2 5 2 2 3 2 4" xfId="36457"/>
    <cellStyle name="Normal 2 5 2 2 3 3" xfId="10142"/>
    <cellStyle name="Normal 2 5 2 2 3 3 2" xfId="25186"/>
    <cellStyle name="Normal 2 5 2 2 3 3 3" xfId="40229"/>
    <cellStyle name="Normal 2 5 2 2 3 4" xfId="17665"/>
    <cellStyle name="Normal 2 5 2 2 3 5" xfId="32708"/>
    <cellStyle name="Normal 2 5 2 2 4" xfId="4503"/>
    <cellStyle name="Normal 2 5 2 2 4 2" xfId="12026"/>
    <cellStyle name="Normal 2 5 2 2 4 2 2" xfId="27070"/>
    <cellStyle name="Normal 2 5 2 2 4 2 3" xfId="42113"/>
    <cellStyle name="Normal 2 5 2 2 4 3" xfId="19549"/>
    <cellStyle name="Normal 2 5 2 2 4 4" xfId="34592"/>
    <cellStyle name="Normal 2 5 2 2 5" xfId="8277"/>
    <cellStyle name="Normal 2 5 2 2 5 2" xfId="23321"/>
    <cellStyle name="Normal 2 5 2 2 5 3" xfId="38364"/>
    <cellStyle name="Normal 2 5 2 2 6" xfId="15800"/>
    <cellStyle name="Normal 2 5 2 2 7" xfId="30843"/>
    <cellStyle name="Normal 2 5 2 3" xfId="1182"/>
    <cellStyle name="Normal 2 5 2 3 2" xfId="3053"/>
    <cellStyle name="Normal 2 5 2 3 2 2" xfId="6848"/>
    <cellStyle name="Normal 2 5 2 3 2 2 2" xfId="14371"/>
    <cellStyle name="Normal 2 5 2 3 2 2 2 2" xfId="29415"/>
    <cellStyle name="Normal 2 5 2 3 2 2 2 3" xfId="44458"/>
    <cellStyle name="Normal 2 5 2 3 2 2 3" xfId="21894"/>
    <cellStyle name="Normal 2 5 2 3 2 2 4" xfId="36937"/>
    <cellStyle name="Normal 2 5 2 3 2 3" xfId="10622"/>
    <cellStyle name="Normal 2 5 2 3 2 3 2" xfId="25666"/>
    <cellStyle name="Normal 2 5 2 3 2 3 3" xfId="40709"/>
    <cellStyle name="Normal 2 5 2 3 2 4" xfId="18145"/>
    <cellStyle name="Normal 2 5 2 3 2 5" xfId="33188"/>
    <cellStyle name="Normal 2 5 2 3 3" xfId="4983"/>
    <cellStyle name="Normal 2 5 2 3 3 2" xfId="12506"/>
    <cellStyle name="Normal 2 5 2 3 3 2 2" xfId="27550"/>
    <cellStyle name="Normal 2 5 2 3 3 2 3" xfId="42593"/>
    <cellStyle name="Normal 2 5 2 3 3 3" xfId="20029"/>
    <cellStyle name="Normal 2 5 2 3 3 4" xfId="35072"/>
    <cellStyle name="Normal 2 5 2 3 4" xfId="8757"/>
    <cellStyle name="Normal 2 5 2 3 4 2" xfId="23801"/>
    <cellStyle name="Normal 2 5 2 3 4 3" xfId="38844"/>
    <cellStyle name="Normal 2 5 2 3 5" xfId="16280"/>
    <cellStyle name="Normal 2 5 2 3 6" xfId="31323"/>
    <cellStyle name="Normal 2 5 2 4" xfId="2120"/>
    <cellStyle name="Normal 2 5 2 4 2" xfId="5916"/>
    <cellStyle name="Normal 2 5 2 4 2 2" xfId="13439"/>
    <cellStyle name="Normal 2 5 2 4 2 2 2" xfId="28483"/>
    <cellStyle name="Normal 2 5 2 4 2 2 3" xfId="43526"/>
    <cellStyle name="Normal 2 5 2 4 2 3" xfId="20962"/>
    <cellStyle name="Normal 2 5 2 4 2 4" xfId="36005"/>
    <cellStyle name="Normal 2 5 2 4 3" xfId="9690"/>
    <cellStyle name="Normal 2 5 2 4 3 2" xfId="24734"/>
    <cellStyle name="Normal 2 5 2 4 3 3" xfId="39777"/>
    <cellStyle name="Normal 2 5 2 4 4" xfId="17213"/>
    <cellStyle name="Normal 2 5 2 4 5" xfId="32256"/>
    <cellStyle name="Normal 2 5 2 5" xfId="4046"/>
    <cellStyle name="Normal 2 5 2 5 2" xfId="11570"/>
    <cellStyle name="Normal 2 5 2 5 2 2" xfId="26614"/>
    <cellStyle name="Normal 2 5 2 5 2 3" xfId="41657"/>
    <cellStyle name="Normal 2 5 2 5 3" xfId="19093"/>
    <cellStyle name="Normal 2 5 2 5 4" xfId="34136"/>
    <cellStyle name="Normal 2 5 2 6" xfId="7809"/>
    <cellStyle name="Normal 2 5 2 6 2" xfId="22853"/>
    <cellStyle name="Normal 2 5 2 6 3" xfId="37896"/>
    <cellStyle name="Normal 2 5 2 7" xfId="15332"/>
    <cellStyle name="Normal 2 5 2 8" xfId="30375"/>
    <cellStyle name="Normal 2 5 3" xfId="595"/>
    <cellStyle name="Normal 2 5 3 2" xfId="1093"/>
    <cellStyle name="Normal 2 5 3 2 2" xfId="2052"/>
    <cellStyle name="Normal 2 5 3 2 2 2" xfId="3923"/>
    <cellStyle name="Normal 2 5 3 2 2 2 2" xfId="7718"/>
    <cellStyle name="Normal 2 5 3 2 2 2 2 2" xfId="15241"/>
    <cellStyle name="Normal 2 5 3 2 2 2 2 2 2" xfId="30285"/>
    <cellStyle name="Normal 2 5 3 2 2 2 2 2 3" xfId="45328"/>
    <cellStyle name="Normal 2 5 3 2 2 2 2 3" xfId="22764"/>
    <cellStyle name="Normal 2 5 3 2 2 2 2 4" xfId="37807"/>
    <cellStyle name="Normal 2 5 3 2 2 2 3" xfId="11492"/>
    <cellStyle name="Normal 2 5 3 2 2 2 3 2" xfId="26536"/>
    <cellStyle name="Normal 2 5 3 2 2 2 3 3" xfId="41579"/>
    <cellStyle name="Normal 2 5 3 2 2 2 4" xfId="19015"/>
    <cellStyle name="Normal 2 5 3 2 2 2 5" xfId="34058"/>
    <cellStyle name="Normal 2 5 3 2 2 3" xfId="5853"/>
    <cellStyle name="Normal 2 5 3 2 2 3 2" xfId="13376"/>
    <cellStyle name="Normal 2 5 3 2 2 3 2 2" xfId="28420"/>
    <cellStyle name="Normal 2 5 3 2 2 3 2 3" xfId="43463"/>
    <cellStyle name="Normal 2 5 3 2 2 3 3" xfId="20899"/>
    <cellStyle name="Normal 2 5 3 2 2 3 4" xfId="35942"/>
    <cellStyle name="Normal 2 5 3 2 2 4" xfId="9627"/>
    <cellStyle name="Normal 2 5 3 2 2 4 2" xfId="24671"/>
    <cellStyle name="Normal 2 5 3 2 2 4 3" xfId="39714"/>
    <cellStyle name="Normal 2 5 3 2 2 5" xfId="17150"/>
    <cellStyle name="Normal 2 5 3 2 2 6" xfId="32193"/>
    <cellStyle name="Normal 2 5 3 2 3" xfId="2991"/>
    <cellStyle name="Normal 2 5 3 2 3 2" xfId="6786"/>
    <cellStyle name="Normal 2 5 3 2 3 2 2" xfId="14309"/>
    <cellStyle name="Normal 2 5 3 2 3 2 2 2" xfId="29353"/>
    <cellStyle name="Normal 2 5 3 2 3 2 2 3" xfId="44396"/>
    <cellStyle name="Normal 2 5 3 2 3 2 3" xfId="21832"/>
    <cellStyle name="Normal 2 5 3 2 3 2 4" xfId="36875"/>
    <cellStyle name="Normal 2 5 3 2 3 3" xfId="10560"/>
    <cellStyle name="Normal 2 5 3 2 3 3 2" xfId="25604"/>
    <cellStyle name="Normal 2 5 3 2 3 3 3" xfId="40647"/>
    <cellStyle name="Normal 2 5 3 2 3 4" xfId="18083"/>
    <cellStyle name="Normal 2 5 3 2 3 5" xfId="33126"/>
    <cellStyle name="Normal 2 5 3 2 4" xfId="4921"/>
    <cellStyle name="Normal 2 5 3 2 4 2" xfId="12444"/>
    <cellStyle name="Normal 2 5 3 2 4 2 2" xfId="27488"/>
    <cellStyle name="Normal 2 5 3 2 4 2 3" xfId="42531"/>
    <cellStyle name="Normal 2 5 3 2 4 3" xfId="19967"/>
    <cellStyle name="Normal 2 5 3 2 4 4" xfId="35010"/>
    <cellStyle name="Normal 2 5 3 2 5" xfId="8695"/>
    <cellStyle name="Normal 2 5 3 2 5 2" xfId="23739"/>
    <cellStyle name="Normal 2 5 3 2 5 3" xfId="38782"/>
    <cellStyle name="Normal 2 5 3 2 6" xfId="16218"/>
    <cellStyle name="Normal 2 5 3 2 7" xfId="31261"/>
    <cellStyle name="Normal 2 5 3 3" xfId="1600"/>
    <cellStyle name="Normal 2 5 3 3 2" xfId="3471"/>
    <cellStyle name="Normal 2 5 3 3 2 2" xfId="7266"/>
    <cellStyle name="Normal 2 5 3 3 2 2 2" xfId="14789"/>
    <cellStyle name="Normal 2 5 3 3 2 2 2 2" xfId="29833"/>
    <cellStyle name="Normal 2 5 3 3 2 2 2 3" xfId="44876"/>
    <cellStyle name="Normal 2 5 3 3 2 2 3" xfId="22312"/>
    <cellStyle name="Normal 2 5 3 3 2 2 4" xfId="37355"/>
    <cellStyle name="Normal 2 5 3 3 2 3" xfId="11040"/>
    <cellStyle name="Normal 2 5 3 3 2 3 2" xfId="26084"/>
    <cellStyle name="Normal 2 5 3 3 2 3 3" xfId="41127"/>
    <cellStyle name="Normal 2 5 3 3 2 4" xfId="18563"/>
    <cellStyle name="Normal 2 5 3 3 2 5" xfId="33606"/>
    <cellStyle name="Normal 2 5 3 3 3" xfId="5401"/>
    <cellStyle name="Normal 2 5 3 3 3 2" xfId="12924"/>
    <cellStyle name="Normal 2 5 3 3 3 2 2" xfId="27968"/>
    <cellStyle name="Normal 2 5 3 3 3 2 3" xfId="43011"/>
    <cellStyle name="Normal 2 5 3 3 3 3" xfId="20447"/>
    <cellStyle name="Normal 2 5 3 3 3 4" xfId="35490"/>
    <cellStyle name="Normal 2 5 3 3 4" xfId="9175"/>
    <cellStyle name="Normal 2 5 3 3 4 2" xfId="24219"/>
    <cellStyle name="Normal 2 5 3 3 4 3" xfId="39262"/>
    <cellStyle name="Normal 2 5 3 3 5" xfId="16698"/>
    <cellStyle name="Normal 2 5 3 3 6" xfId="31741"/>
    <cellStyle name="Normal 2 5 3 4" xfId="2538"/>
    <cellStyle name="Normal 2 5 3 4 2" xfId="6334"/>
    <cellStyle name="Normal 2 5 3 4 2 2" xfId="13857"/>
    <cellStyle name="Normal 2 5 3 4 2 2 2" xfId="28901"/>
    <cellStyle name="Normal 2 5 3 4 2 2 3" xfId="43944"/>
    <cellStyle name="Normal 2 5 3 4 2 3" xfId="21380"/>
    <cellStyle name="Normal 2 5 3 4 2 4" xfId="36423"/>
    <cellStyle name="Normal 2 5 3 4 3" xfId="10108"/>
    <cellStyle name="Normal 2 5 3 4 3 2" xfId="25152"/>
    <cellStyle name="Normal 2 5 3 4 3 3" xfId="40195"/>
    <cellStyle name="Normal 2 5 3 4 4" xfId="17631"/>
    <cellStyle name="Normal 2 5 3 4 5" xfId="32674"/>
    <cellStyle name="Normal 2 5 3 5" xfId="4466"/>
    <cellStyle name="Normal 2 5 3 5 2" xfId="11990"/>
    <cellStyle name="Normal 2 5 3 5 2 2" xfId="27034"/>
    <cellStyle name="Normal 2 5 3 5 2 3" xfId="42077"/>
    <cellStyle name="Normal 2 5 3 5 3" xfId="19513"/>
    <cellStyle name="Normal 2 5 3 5 4" xfId="34556"/>
    <cellStyle name="Normal 2 5 3 6" xfId="8229"/>
    <cellStyle name="Normal 2 5 3 6 2" xfId="23273"/>
    <cellStyle name="Normal 2 5 3 6 3" xfId="38316"/>
    <cellStyle name="Normal 2 5 3 7" xfId="15752"/>
    <cellStyle name="Normal 2 5 3 8" xfId="30795"/>
    <cellStyle name="Normal 2 5 4" xfId="658"/>
    <cellStyle name="Normal 2 5 4 2" xfId="1617"/>
    <cellStyle name="Normal 2 5 4 2 2" xfId="3488"/>
    <cellStyle name="Normal 2 5 4 2 2 2" xfId="7283"/>
    <cellStyle name="Normal 2 5 4 2 2 2 2" xfId="14806"/>
    <cellStyle name="Normal 2 5 4 2 2 2 2 2" xfId="29850"/>
    <cellStyle name="Normal 2 5 4 2 2 2 2 3" xfId="44893"/>
    <cellStyle name="Normal 2 5 4 2 2 2 3" xfId="22329"/>
    <cellStyle name="Normal 2 5 4 2 2 2 4" xfId="37372"/>
    <cellStyle name="Normal 2 5 4 2 2 3" xfId="11057"/>
    <cellStyle name="Normal 2 5 4 2 2 3 2" xfId="26101"/>
    <cellStyle name="Normal 2 5 4 2 2 3 3" xfId="41144"/>
    <cellStyle name="Normal 2 5 4 2 2 4" xfId="18580"/>
    <cellStyle name="Normal 2 5 4 2 2 5" xfId="33623"/>
    <cellStyle name="Normal 2 5 4 2 3" xfId="5418"/>
    <cellStyle name="Normal 2 5 4 2 3 2" xfId="12941"/>
    <cellStyle name="Normal 2 5 4 2 3 2 2" xfId="27985"/>
    <cellStyle name="Normal 2 5 4 2 3 2 3" xfId="43028"/>
    <cellStyle name="Normal 2 5 4 2 3 3" xfId="20464"/>
    <cellStyle name="Normal 2 5 4 2 3 4" xfId="35507"/>
    <cellStyle name="Normal 2 5 4 2 4" xfId="9192"/>
    <cellStyle name="Normal 2 5 4 2 4 2" xfId="24236"/>
    <cellStyle name="Normal 2 5 4 2 4 3" xfId="39279"/>
    <cellStyle name="Normal 2 5 4 2 5" xfId="16715"/>
    <cellStyle name="Normal 2 5 4 2 6" xfId="31758"/>
    <cellStyle name="Normal 2 5 4 3" xfId="2556"/>
    <cellStyle name="Normal 2 5 4 3 2" xfId="6351"/>
    <cellStyle name="Normal 2 5 4 3 2 2" xfId="13874"/>
    <cellStyle name="Normal 2 5 4 3 2 2 2" xfId="28918"/>
    <cellStyle name="Normal 2 5 4 3 2 2 3" xfId="43961"/>
    <cellStyle name="Normal 2 5 4 3 2 3" xfId="21397"/>
    <cellStyle name="Normal 2 5 4 3 2 4" xfId="36440"/>
    <cellStyle name="Normal 2 5 4 3 3" xfId="10125"/>
    <cellStyle name="Normal 2 5 4 3 3 2" xfId="25169"/>
    <cellStyle name="Normal 2 5 4 3 3 3" xfId="40212"/>
    <cellStyle name="Normal 2 5 4 3 4" xfId="17648"/>
    <cellStyle name="Normal 2 5 4 3 5" xfId="32691"/>
    <cellStyle name="Normal 2 5 4 4" xfId="4486"/>
    <cellStyle name="Normal 2 5 4 4 2" xfId="12009"/>
    <cellStyle name="Normal 2 5 4 4 2 2" xfId="27053"/>
    <cellStyle name="Normal 2 5 4 4 2 3" xfId="42096"/>
    <cellStyle name="Normal 2 5 4 4 3" xfId="19532"/>
    <cellStyle name="Normal 2 5 4 4 4" xfId="34575"/>
    <cellStyle name="Normal 2 5 4 5" xfId="8260"/>
    <cellStyle name="Normal 2 5 4 5 2" xfId="23304"/>
    <cellStyle name="Normal 2 5 4 5 3" xfId="38347"/>
    <cellStyle name="Normal 2 5 4 6" xfId="15783"/>
    <cellStyle name="Normal 2 5 4 7" xfId="30826"/>
    <cellStyle name="Normal 2 5 5" xfId="1165"/>
    <cellStyle name="Normal 2 5 5 2" xfId="3036"/>
    <cellStyle name="Normal 2 5 5 2 2" xfId="6831"/>
    <cellStyle name="Normal 2 5 5 2 2 2" xfId="14354"/>
    <cellStyle name="Normal 2 5 5 2 2 2 2" xfId="29398"/>
    <cellStyle name="Normal 2 5 5 2 2 2 3" xfId="44441"/>
    <cellStyle name="Normal 2 5 5 2 2 3" xfId="21877"/>
    <cellStyle name="Normal 2 5 5 2 2 4" xfId="36920"/>
    <cellStyle name="Normal 2 5 5 2 3" xfId="10605"/>
    <cellStyle name="Normal 2 5 5 2 3 2" xfId="25649"/>
    <cellStyle name="Normal 2 5 5 2 3 3" xfId="40692"/>
    <cellStyle name="Normal 2 5 5 2 4" xfId="18128"/>
    <cellStyle name="Normal 2 5 5 2 5" xfId="33171"/>
    <cellStyle name="Normal 2 5 5 3" xfId="4966"/>
    <cellStyle name="Normal 2 5 5 3 2" xfId="12489"/>
    <cellStyle name="Normal 2 5 5 3 2 2" xfId="27533"/>
    <cellStyle name="Normal 2 5 5 3 2 3" xfId="42576"/>
    <cellStyle name="Normal 2 5 5 3 3" xfId="20012"/>
    <cellStyle name="Normal 2 5 5 3 4" xfId="35055"/>
    <cellStyle name="Normal 2 5 5 4" xfId="8740"/>
    <cellStyle name="Normal 2 5 5 4 2" xfId="23784"/>
    <cellStyle name="Normal 2 5 5 4 3" xfId="38827"/>
    <cellStyle name="Normal 2 5 5 5" xfId="16263"/>
    <cellStyle name="Normal 2 5 5 6" xfId="31306"/>
    <cellStyle name="Normal 2 5 6" xfId="2103"/>
    <cellStyle name="Normal 2 5 6 2" xfId="5899"/>
    <cellStyle name="Normal 2 5 6 2 2" xfId="13422"/>
    <cellStyle name="Normal 2 5 6 2 2 2" xfId="28466"/>
    <cellStyle name="Normal 2 5 6 2 2 3" xfId="43509"/>
    <cellStyle name="Normal 2 5 6 2 3" xfId="20945"/>
    <cellStyle name="Normal 2 5 6 2 4" xfId="35988"/>
    <cellStyle name="Normal 2 5 6 3" xfId="9673"/>
    <cellStyle name="Normal 2 5 6 3 2" xfId="24717"/>
    <cellStyle name="Normal 2 5 6 3 3" xfId="39760"/>
    <cellStyle name="Normal 2 5 6 4" xfId="17196"/>
    <cellStyle name="Normal 2 5 6 5" xfId="32239"/>
    <cellStyle name="Normal 2 5 7" xfId="4029"/>
    <cellStyle name="Normal 2 5 7 2" xfId="11553"/>
    <cellStyle name="Normal 2 5 7 2 2" xfId="26597"/>
    <cellStyle name="Normal 2 5 7 2 3" xfId="41640"/>
    <cellStyle name="Normal 2 5 7 3" xfId="19076"/>
    <cellStyle name="Normal 2 5 7 4" xfId="34119"/>
    <cellStyle name="Normal 2 5 8" xfId="7792"/>
    <cellStyle name="Normal 2 5 8 2" xfId="22836"/>
    <cellStyle name="Normal 2 5 8 3" xfId="37879"/>
    <cellStyle name="Normal 2 5 9" xfId="15315"/>
    <cellStyle name="Normal 2 6" xfId="29"/>
    <cellStyle name="Normal 2 6 2" xfId="666"/>
    <cellStyle name="Normal 2 6 2 2" xfId="1625"/>
    <cellStyle name="Normal 2 6 2 2 2" xfId="3496"/>
    <cellStyle name="Normal 2 6 2 2 2 2" xfId="7291"/>
    <cellStyle name="Normal 2 6 2 2 2 2 2" xfId="14814"/>
    <cellStyle name="Normal 2 6 2 2 2 2 2 2" xfId="29858"/>
    <cellStyle name="Normal 2 6 2 2 2 2 2 3" xfId="44901"/>
    <cellStyle name="Normal 2 6 2 2 2 2 3" xfId="22337"/>
    <cellStyle name="Normal 2 6 2 2 2 2 4" xfId="37380"/>
    <cellStyle name="Normal 2 6 2 2 2 3" xfId="11065"/>
    <cellStyle name="Normal 2 6 2 2 2 3 2" xfId="26109"/>
    <cellStyle name="Normal 2 6 2 2 2 3 3" xfId="41152"/>
    <cellStyle name="Normal 2 6 2 2 2 4" xfId="18588"/>
    <cellStyle name="Normal 2 6 2 2 2 5" xfId="33631"/>
    <cellStyle name="Normal 2 6 2 2 3" xfId="5426"/>
    <cellStyle name="Normal 2 6 2 2 3 2" xfId="12949"/>
    <cellStyle name="Normal 2 6 2 2 3 2 2" xfId="27993"/>
    <cellStyle name="Normal 2 6 2 2 3 2 3" xfId="43036"/>
    <cellStyle name="Normal 2 6 2 2 3 3" xfId="20472"/>
    <cellStyle name="Normal 2 6 2 2 3 4" xfId="35515"/>
    <cellStyle name="Normal 2 6 2 2 4" xfId="9200"/>
    <cellStyle name="Normal 2 6 2 2 4 2" xfId="24244"/>
    <cellStyle name="Normal 2 6 2 2 4 3" xfId="39287"/>
    <cellStyle name="Normal 2 6 2 2 5" xfId="16723"/>
    <cellStyle name="Normal 2 6 2 2 6" xfId="31766"/>
    <cellStyle name="Normal 2 6 2 3" xfId="2564"/>
    <cellStyle name="Normal 2 6 2 3 2" xfId="6359"/>
    <cellStyle name="Normal 2 6 2 3 2 2" xfId="13882"/>
    <cellStyle name="Normal 2 6 2 3 2 2 2" xfId="28926"/>
    <cellStyle name="Normal 2 6 2 3 2 2 3" xfId="43969"/>
    <cellStyle name="Normal 2 6 2 3 2 3" xfId="21405"/>
    <cellStyle name="Normal 2 6 2 3 2 4" xfId="36448"/>
    <cellStyle name="Normal 2 6 2 3 3" xfId="10133"/>
    <cellStyle name="Normal 2 6 2 3 3 2" xfId="25177"/>
    <cellStyle name="Normal 2 6 2 3 3 3" xfId="40220"/>
    <cellStyle name="Normal 2 6 2 3 4" xfId="17656"/>
    <cellStyle name="Normal 2 6 2 3 5" xfId="32699"/>
    <cellStyle name="Normal 2 6 2 4" xfId="4494"/>
    <cellStyle name="Normal 2 6 2 4 2" xfId="12017"/>
    <cellStyle name="Normal 2 6 2 4 2 2" xfId="27061"/>
    <cellStyle name="Normal 2 6 2 4 2 3" xfId="42104"/>
    <cellStyle name="Normal 2 6 2 4 3" xfId="19540"/>
    <cellStyle name="Normal 2 6 2 4 4" xfId="34583"/>
    <cellStyle name="Normal 2 6 2 5" xfId="8268"/>
    <cellStyle name="Normal 2 6 2 5 2" xfId="23312"/>
    <cellStyle name="Normal 2 6 2 5 3" xfId="38355"/>
    <cellStyle name="Normal 2 6 2 6" xfId="15791"/>
    <cellStyle name="Normal 2 6 2 7" xfId="30834"/>
    <cellStyle name="Normal 2 6 3" xfId="1173"/>
    <cellStyle name="Normal 2 6 3 2" xfId="3044"/>
    <cellStyle name="Normal 2 6 3 2 2" xfId="6839"/>
    <cellStyle name="Normal 2 6 3 2 2 2" xfId="14362"/>
    <cellStyle name="Normal 2 6 3 2 2 2 2" xfId="29406"/>
    <cellStyle name="Normal 2 6 3 2 2 2 3" xfId="44449"/>
    <cellStyle name="Normal 2 6 3 2 2 3" xfId="21885"/>
    <cellStyle name="Normal 2 6 3 2 2 4" xfId="36928"/>
    <cellStyle name="Normal 2 6 3 2 3" xfId="10613"/>
    <cellStyle name="Normal 2 6 3 2 3 2" xfId="25657"/>
    <cellStyle name="Normal 2 6 3 2 3 3" xfId="40700"/>
    <cellStyle name="Normal 2 6 3 2 4" xfId="18136"/>
    <cellStyle name="Normal 2 6 3 2 5" xfId="33179"/>
    <cellStyle name="Normal 2 6 3 3" xfId="4974"/>
    <cellStyle name="Normal 2 6 3 3 2" xfId="12497"/>
    <cellStyle name="Normal 2 6 3 3 2 2" xfId="27541"/>
    <cellStyle name="Normal 2 6 3 3 2 3" xfId="42584"/>
    <cellStyle name="Normal 2 6 3 3 3" xfId="20020"/>
    <cellStyle name="Normal 2 6 3 3 4" xfId="35063"/>
    <cellStyle name="Normal 2 6 3 4" xfId="8748"/>
    <cellStyle name="Normal 2 6 3 4 2" xfId="23792"/>
    <cellStyle name="Normal 2 6 3 4 3" xfId="38835"/>
    <cellStyle name="Normal 2 6 3 5" xfId="16271"/>
    <cellStyle name="Normal 2 6 3 6" xfId="31314"/>
    <cellStyle name="Normal 2 6 4" xfId="2111"/>
    <cellStyle name="Normal 2 6 4 2" xfId="5907"/>
    <cellStyle name="Normal 2 6 4 2 2" xfId="13430"/>
    <cellStyle name="Normal 2 6 4 2 2 2" xfId="28474"/>
    <cellStyle name="Normal 2 6 4 2 2 3" xfId="43517"/>
    <cellStyle name="Normal 2 6 4 2 3" xfId="20953"/>
    <cellStyle name="Normal 2 6 4 2 4" xfId="35996"/>
    <cellStyle name="Normal 2 6 4 3" xfId="9681"/>
    <cellStyle name="Normal 2 6 4 3 2" xfId="24725"/>
    <cellStyle name="Normal 2 6 4 3 3" xfId="39768"/>
    <cellStyle name="Normal 2 6 4 4" xfId="17204"/>
    <cellStyle name="Normal 2 6 4 5" xfId="32247"/>
    <cellStyle name="Normal 2 6 5" xfId="4037"/>
    <cellStyle name="Normal 2 6 5 2" xfId="11561"/>
    <cellStyle name="Normal 2 6 5 2 2" xfId="26605"/>
    <cellStyle name="Normal 2 6 5 2 3" xfId="41648"/>
    <cellStyle name="Normal 2 6 5 3" xfId="19084"/>
    <cellStyle name="Normal 2 6 5 4" xfId="34127"/>
    <cellStyle name="Normal 2 6 6" xfId="7800"/>
    <cellStyle name="Normal 2 6 6 2" xfId="22844"/>
    <cellStyle name="Normal 2 6 6 3" xfId="37887"/>
    <cellStyle name="Normal 2 6 7" xfId="15323"/>
    <cellStyle name="Normal 2 6 8" xfId="30366"/>
    <cellStyle name="Normal 2 7" xfId="590"/>
    <cellStyle name="Normal 2 7 2" xfId="1088"/>
    <cellStyle name="Normal 2 7 2 2" xfId="2047"/>
    <cellStyle name="Normal 2 7 2 2 2" xfId="3918"/>
    <cellStyle name="Normal 2 7 2 2 2 2" xfId="7713"/>
    <cellStyle name="Normal 2 7 2 2 2 2 2" xfId="15236"/>
    <cellStyle name="Normal 2 7 2 2 2 2 2 2" xfId="30280"/>
    <cellStyle name="Normal 2 7 2 2 2 2 2 3" xfId="45323"/>
    <cellStyle name="Normal 2 7 2 2 2 2 3" xfId="22759"/>
    <cellStyle name="Normal 2 7 2 2 2 2 4" xfId="37802"/>
    <cellStyle name="Normal 2 7 2 2 2 3" xfId="11487"/>
    <cellStyle name="Normal 2 7 2 2 2 3 2" xfId="26531"/>
    <cellStyle name="Normal 2 7 2 2 2 3 3" xfId="41574"/>
    <cellStyle name="Normal 2 7 2 2 2 4" xfId="19010"/>
    <cellStyle name="Normal 2 7 2 2 2 5" xfId="34053"/>
    <cellStyle name="Normal 2 7 2 2 3" xfId="5848"/>
    <cellStyle name="Normal 2 7 2 2 3 2" xfId="13371"/>
    <cellStyle name="Normal 2 7 2 2 3 2 2" xfId="28415"/>
    <cellStyle name="Normal 2 7 2 2 3 2 3" xfId="43458"/>
    <cellStyle name="Normal 2 7 2 2 3 3" xfId="20894"/>
    <cellStyle name="Normal 2 7 2 2 3 4" xfId="35937"/>
    <cellStyle name="Normal 2 7 2 2 4" xfId="9622"/>
    <cellStyle name="Normal 2 7 2 2 4 2" xfId="24666"/>
    <cellStyle name="Normal 2 7 2 2 4 3" xfId="39709"/>
    <cellStyle name="Normal 2 7 2 2 5" xfId="17145"/>
    <cellStyle name="Normal 2 7 2 2 6" xfId="32188"/>
    <cellStyle name="Normal 2 7 2 3" xfId="2986"/>
    <cellStyle name="Normal 2 7 2 3 2" xfId="6781"/>
    <cellStyle name="Normal 2 7 2 3 2 2" xfId="14304"/>
    <cellStyle name="Normal 2 7 2 3 2 2 2" xfId="29348"/>
    <cellStyle name="Normal 2 7 2 3 2 2 3" xfId="44391"/>
    <cellStyle name="Normal 2 7 2 3 2 3" xfId="21827"/>
    <cellStyle name="Normal 2 7 2 3 2 4" xfId="36870"/>
    <cellStyle name="Normal 2 7 2 3 3" xfId="10555"/>
    <cellStyle name="Normal 2 7 2 3 3 2" xfId="25599"/>
    <cellStyle name="Normal 2 7 2 3 3 3" xfId="40642"/>
    <cellStyle name="Normal 2 7 2 3 4" xfId="18078"/>
    <cellStyle name="Normal 2 7 2 3 5" xfId="33121"/>
    <cellStyle name="Normal 2 7 2 4" xfId="4916"/>
    <cellStyle name="Normal 2 7 2 4 2" xfId="12439"/>
    <cellStyle name="Normal 2 7 2 4 2 2" xfId="27483"/>
    <cellStyle name="Normal 2 7 2 4 2 3" xfId="42526"/>
    <cellStyle name="Normal 2 7 2 4 3" xfId="19962"/>
    <cellStyle name="Normal 2 7 2 4 4" xfId="35005"/>
    <cellStyle name="Normal 2 7 2 5" xfId="8690"/>
    <cellStyle name="Normal 2 7 2 5 2" xfId="23734"/>
    <cellStyle name="Normal 2 7 2 5 3" xfId="38777"/>
    <cellStyle name="Normal 2 7 2 6" xfId="16213"/>
    <cellStyle name="Normal 2 7 2 7" xfId="31256"/>
    <cellStyle name="Normal 2 7 3" xfId="1595"/>
    <cellStyle name="Normal 2 7 3 2" xfId="3466"/>
    <cellStyle name="Normal 2 7 3 2 2" xfId="7261"/>
    <cellStyle name="Normal 2 7 3 2 2 2" xfId="14784"/>
    <cellStyle name="Normal 2 7 3 2 2 2 2" xfId="29828"/>
    <cellStyle name="Normal 2 7 3 2 2 2 3" xfId="44871"/>
    <cellStyle name="Normal 2 7 3 2 2 3" xfId="22307"/>
    <cellStyle name="Normal 2 7 3 2 2 4" xfId="37350"/>
    <cellStyle name="Normal 2 7 3 2 3" xfId="11035"/>
    <cellStyle name="Normal 2 7 3 2 3 2" xfId="26079"/>
    <cellStyle name="Normal 2 7 3 2 3 3" xfId="41122"/>
    <cellStyle name="Normal 2 7 3 2 4" xfId="18558"/>
    <cellStyle name="Normal 2 7 3 2 5" xfId="33601"/>
    <cellStyle name="Normal 2 7 3 3" xfId="5396"/>
    <cellStyle name="Normal 2 7 3 3 2" xfId="12919"/>
    <cellStyle name="Normal 2 7 3 3 2 2" xfId="27963"/>
    <cellStyle name="Normal 2 7 3 3 2 3" xfId="43006"/>
    <cellStyle name="Normal 2 7 3 3 3" xfId="20442"/>
    <cellStyle name="Normal 2 7 3 3 4" xfId="35485"/>
    <cellStyle name="Normal 2 7 3 4" xfId="9170"/>
    <cellStyle name="Normal 2 7 3 4 2" xfId="24214"/>
    <cellStyle name="Normal 2 7 3 4 3" xfId="39257"/>
    <cellStyle name="Normal 2 7 3 5" xfId="16693"/>
    <cellStyle name="Normal 2 7 3 6" xfId="31736"/>
    <cellStyle name="Normal 2 7 4" xfId="2533"/>
    <cellStyle name="Normal 2 7 4 2" xfId="6329"/>
    <cellStyle name="Normal 2 7 4 2 2" xfId="13852"/>
    <cellStyle name="Normal 2 7 4 2 2 2" xfId="28896"/>
    <cellStyle name="Normal 2 7 4 2 2 3" xfId="43939"/>
    <cellStyle name="Normal 2 7 4 2 3" xfId="21375"/>
    <cellStyle name="Normal 2 7 4 2 4" xfId="36418"/>
    <cellStyle name="Normal 2 7 4 3" xfId="10103"/>
    <cellStyle name="Normal 2 7 4 3 2" xfId="25147"/>
    <cellStyle name="Normal 2 7 4 3 3" xfId="40190"/>
    <cellStyle name="Normal 2 7 4 4" xfId="17626"/>
    <cellStyle name="Normal 2 7 4 5" xfId="32669"/>
    <cellStyle name="Normal 2 7 5" xfId="4461"/>
    <cellStyle name="Normal 2 7 5 2" xfId="11985"/>
    <cellStyle name="Normal 2 7 5 2 2" xfId="27029"/>
    <cellStyle name="Normal 2 7 5 2 3" xfId="42072"/>
    <cellStyle name="Normal 2 7 5 3" xfId="19508"/>
    <cellStyle name="Normal 2 7 5 4" xfId="34551"/>
    <cellStyle name="Normal 2 7 6" xfId="8224"/>
    <cellStyle name="Normal 2 7 6 2" xfId="23268"/>
    <cellStyle name="Normal 2 7 6 3" xfId="38311"/>
    <cellStyle name="Normal 2 7 7" xfId="15747"/>
    <cellStyle name="Normal 2 7 8" xfId="30790"/>
    <cellStyle name="Normal 2 8" xfId="648"/>
    <cellStyle name="Normal 2 8 2" xfId="1608"/>
    <cellStyle name="Normal 2 8 2 2" xfId="3479"/>
    <cellStyle name="Normal 2 8 2 2 2" xfId="7274"/>
    <cellStyle name="Normal 2 8 2 2 2 2" xfId="14797"/>
    <cellStyle name="Normal 2 8 2 2 2 2 2" xfId="29841"/>
    <cellStyle name="Normal 2 8 2 2 2 2 3" xfId="44884"/>
    <cellStyle name="Normal 2 8 2 2 2 3" xfId="22320"/>
    <cellStyle name="Normal 2 8 2 2 2 4" xfId="37363"/>
    <cellStyle name="Normal 2 8 2 2 3" xfId="11048"/>
    <cellStyle name="Normal 2 8 2 2 3 2" xfId="26092"/>
    <cellStyle name="Normal 2 8 2 2 3 3" xfId="41135"/>
    <cellStyle name="Normal 2 8 2 2 4" xfId="18571"/>
    <cellStyle name="Normal 2 8 2 2 5" xfId="33614"/>
    <cellStyle name="Normal 2 8 2 3" xfId="5409"/>
    <cellStyle name="Normal 2 8 2 3 2" xfId="12932"/>
    <cellStyle name="Normal 2 8 2 3 2 2" xfId="27976"/>
    <cellStyle name="Normal 2 8 2 3 2 3" xfId="43019"/>
    <cellStyle name="Normal 2 8 2 3 3" xfId="20455"/>
    <cellStyle name="Normal 2 8 2 3 4" xfId="35498"/>
    <cellStyle name="Normal 2 8 2 4" xfId="9183"/>
    <cellStyle name="Normal 2 8 2 4 2" xfId="24227"/>
    <cellStyle name="Normal 2 8 2 4 3" xfId="39270"/>
    <cellStyle name="Normal 2 8 2 5" xfId="16706"/>
    <cellStyle name="Normal 2 8 2 6" xfId="31749"/>
    <cellStyle name="Normal 2 8 3" xfId="2547"/>
    <cellStyle name="Normal 2 8 3 2" xfId="6342"/>
    <cellStyle name="Normal 2 8 3 2 2" xfId="13865"/>
    <cellStyle name="Normal 2 8 3 2 2 2" xfId="28909"/>
    <cellStyle name="Normal 2 8 3 2 2 3" xfId="43952"/>
    <cellStyle name="Normal 2 8 3 2 3" xfId="21388"/>
    <cellStyle name="Normal 2 8 3 2 4" xfId="36431"/>
    <cellStyle name="Normal 2 8 3 3" xfId="10116"/>
    <cellStyle name="Normal 2 8 3 3 2" xfId="25160"/>
    <cellStyle name="Normal 2 8 3 3 3" xfId="40203"/>
    <cellStyle name="Normal 2 8 3 4" xfId="17639"/>
    <cellStyle name="Normal 2 8 3 5" xfId="32682"/>
    <cellStyle name="Normal 2 8 4" xfId="4477"/>
    <cellStyle name="Normal 2 8 4 2" xfId="12000"/>
    <cellStyle name="Normal 2 8 4 2 2" xfId="27044"/>
    <cellStyle name="Normal 2 8 4 2 3" xfId="42087"/>
    <cellStyle name="Normal 2 8 4 3" xfId="19523"/>
    <cellStyle name="Normal 2 8 4 4" xfId="34566"/>
    <cellStyle name="Normal 2 8 5" xfId="8251"/>
    <cellStyle name="Normal 2 8 5 2" xfId="23295"/>
    <cellStyle name="Normal 2 8 5 3" xfId="38338"/>
    <cellStyle name="Normal 2 8 6" xfId="15774"/>
    <cellStyle name="Normal 2 8 7" xfId="30817"/>
    <cellStyle name="Normal 2 9" xfId="1144"/>
    <cellStyle name="Normal 2 9 2" xfId="3015"/>
    <cellStyle name="Normal 2 9 2 2" xfId="6810"/>
    <cellStyle name="Normal 2 9 2 2 2" xfId="14333"/>
    <cellStyle name="Normal 2 9 2 2 2 2" xfId="29377"/>
    <cellStyle name="Normal 2 9 2 2 2 3" xfId="44420"/>
    <cellStyle name="Normal 2 9 2 2 3" xfId="21856"/>
    <cellStyle name="Normal 2 9 2 2 4" xfId="36899"/>
    <cellStyle name="Normal 2 9 2 3" xfId="10584"/>
    <cellStyle name="Normal 2 9 2 3 2" xfId="25628"/>
    <cellStyle name="Normal 2 9 2 3 3" xfId="40671"/>
    <cellStyle name="Normal 2 9 2 4" xfId="18107"/>
    <cellStyle name="Normal 2 9 2 5" xfId="33150"/>
    <cellStyle name="Normal 2 9 3" xfId="4945"/>
    <cellStyle name="Normal 2 9 3 2" xfId="12468"/>
    <cellStyle name="Normal 2 9 3 2 2" xfId="27512"/>
    <cellStyle name="Normal 2 9 3 2 3" xfId="42555"/>
    <cellStyle name="Normal 2 9 3 3" xfId="19991"/>
    <cellStyle name="Normal 2 9 3 4" xfId="35034"/>
    <cellStyle name="Normal 2 9 4" xfId="8719"/>
    <cellStyle name="Normal 2 9 4 2" xfId="23763"/>
    <cellStyle name="Normal 2 9 4 3" xfId="38806"/>
    <cellStyle name="Normal 2 9 5" xfId="16242"/>
    <cellStyle name="Normal 2 9 6" xfId="31285"/>
    <cellStyle name="Normal 20" xfId="204"/>
    <cellStyle name="Normal 20 2" xfId="205"/>
    <cellStyle name="Normal 20 2 2" xfId="732"/>
    <cellStyle name="Normal 20 2 2 2" xfId="1691"/>
    <cellStyle name="Normal 20 2 2 2 2" xfId="3562"/>
    <cellStyle name="Normal 20 2 2 2 2 2" xfId="7357"/>
    <cellStyle name="Normal 20 2 2 2 2 2 2" xfId="14880"/>
    <cellStyle name="Normal 20 2 2 2 2 2 2 2" xfId="29924"/>
    <cellStyle name="Normal 20 2 2 2 2 2 2 3" xfId="44967"/>
    <cellStyle name="Normal 20 2 2 2 2 2 3" xfId="22403"/>
    <cellStyle name="Normal 20 2 2 2 2 2 4" xfId="37446"/>
    <cellStyle name="Normal 20 2 2 2 2 3" xfId="11131"/>
    <cellStyle name="Normal 20 2 2 2 2 3 2" xfId="26175"/>
    <cellStyle name="Normal 20 2 2 2 2 3 3" xfId="41218"/>
    <cellStyle name="Normal 20 2 2 2 2 4" xfId="18654"/>
    <cellStyle name="Normal 20 2 2 2 2 5" xfId="33697"/>
    <cellStyle name="Normal 20 2 2 2 3" xfId="5492"/>
    <cellStyle name="Normal 20 2 2 2 3 2" xfId="13015"/>
    <cellStyle name="Normal 20 2 2 2 3 2 2" xfId="28059"/>
    <cellStyle name="Normal 20 2 2 2 3 2 3" xfId="43102"/>
    <cellStyle name="Normal 20 2 2 2 3 3" xfId="20538"/>
    <cellStyle name="Normal 20 2 2 2 3 4" xfId="35581"/>
    <cellStyle name="Normal 20 2 2 2 4" xfId="9266"/>
    <cellStyle name="Normal 20 2 2 2 4 2" xfId="24310"/>
    <cellStyle name="Normal 20 2 2 2 4 3" xfId="39353"/>
    <cellStyle name="Normal 20 2 2 2 5" xfId="16789"/>
    <cellStyle name="Normal 20 2 2 2 6" xfId="31832"/>
    <cellStyle name="Normal 20 2 2 3" xfId="2630"/>
    <cellStyle name="Normal 20 2 2 3 2" xfId="6425"/>
    <cellStyle name="Normal 20 2 2 3 2 2" xfId="13948"/>
    <cellStyle name="Normal 20 2 2 3 2 2 2" xfId="28992"/>
    <cellStyle name="Normal 20 2 2 3 2 2 3" xfId="44035"/>
    <cellStyle name="Normal 20 2 2 3 2 3" xfId="21471"/>
    <cellStyle name="Normal 20 2 2 3 2 4" xfId="36514"/>
    <cellStyle name="Normal 20 2 2 3 3" xfId="10199"/>
    <cellStyle name="Normal 20 2 2 3 3 2" xfId="25243"/>
    <cellStyle name="Normal 20 2 2 3 3 3" xfId="40286"/>
    <cellStyle name="Normal 20 2 2 3 4" xfId="17722"/>
    <cellStyle name="Normal 20 2 2 3 5" xfId="32765"/>
    <cellStyle name="Normal 20 2 2 4" xfId="4560"/>
    <cellStyle name="Normal 20 2 2 4 2" xfId="12083"/>
    <cellStyle name="Normal 20 2 2 4 2 2" xfId="27127"/>
    <cellStyle name="Normal 20 2 2 4 2 3" xfId="42170"/>
    <cellStyle name="Normal 20 2 2 4 3" xfId="19606"/>
    <cellStyle name="Normal 20 2 2 4 4" xfId="34649"/>
    <cellStyle name="Normal 20 2 2 5" xfId="8334"/>
    <cellStyle name="Normal 20 2 2 5 2" xfId="23378"/>
    <cellStyle name="Normal 20 2 2 5 3" xfId="38421"/>
    <cellStyle name="Normal 20 2 2 6" xfId="15857"/>
    <cellStyle name="Normal 20 2 2 7" xfId="30900"/>
    <cellStyle name="Normal 20 2 3" xfId="1239"/>
    <cellStyle name="Normal 20 2 3 2" xfId="3110"/>
    <cellStyle name="Normal 20 2 3 2 2" xfId="6905"/>
    <cellStyle name="Normal 20 2 3 2 2 2" xfId="14428"/>
    <cellStyle name="Normal 20 2 3 2 2 2 2" xfId="29472"/>
    <cellStyle name="Normal 20 2 3 2 2 2 3" xfId="44515"/>
    <cellStyle name="Normal 20 2 3 2 2 3" xfId="21951"/>
    <cellStyle name="Normal 20 2 3 2 2 4" xfId="36994"/>
    <cellStyle name="Normal 20 2 3 2 3" xfId="10679"/>
    <cellStyle name="Normal 20 2 3 2 3 2" xfId="25723"/>
    <cellStyle name="Normal 20 2 3 2 3 3" xfId="40766"/>
    <cellStyle name="Normal 20 2 3 2 4" xfId="18202"/>
    <cellStyle name="Normal 20 2 3 2 5" xfId="33245"/>
    <cellStyle name="Normal 20 2 3 3" xfId="5040"/>
    <cellStyle name="Normal 20 2 3 3 2" xfId="12563"/>
    <cellStyle name="Normal 20 2 3 3 2 2" xfId="27607"/>
    <cellStyle name="Normal 20 2 3 3 2 3" xfId="42650"/>
    <cellStyle name="Normal 20 2 3 3 3" xfId="20086"/>
    <cellStyle name="Normal 20 2 3 3 4" xfId="35129"/>
    <cellStyle name="Normal 20 2 3 4" xfId="8814"/>
    <cellStyle name="Normal 20 2 3 4 2" xfId="23858"/>
    <cellStyle name="Normal 20 2 3 4 3" xfId="38901"/>
    <cellStyle name="Normal 20 2 3 5" xfId="16337"/>
    <cellStyle name="Normal 20 2 3 6" xfId="31380"/>
    <cellStyle name="Normal 20 2 4" xfId="2177"/>
    <cellStyle name="Normal 20 2 4 2" xfId="5973"/>
    <cellStyle name="Normal 20 2 4 2 2" xfId="13496"/>
    <cellStyle name="Normal 20 2 4 2 2 2" xfId="28540"/>
    <cellStyle name="Normal 20 2 4 2 2 3" xfId="43583"/>
    <cellStyle name="Normal 20 2 4 2 3" xfId="21019"/>
    <cellStyle name="Normal 20 2 4 2 4" xfId="36062"/>
    <cellStyle name="Normal 20 2 4 3" xfId="9747"/>
    <cellStyle name="Normal 20 2 4 3 2" xfId="24791"/>
    <cellStyle name="Normal 20 2 4 3 3" xfId="39834"/>
    <cellStyle name="Normal 20 2 4 4" xfId="17270"/>
    <cellStyle name="Normal 20 2 4 5" xfId="32313"/>
    <cellStyle name="Normal 20 2 5" xfId="4105"/>
    <cellStyle name="Normal 20 2 5 2" xfId="11629"/>
    <cellStyle name="Normal 20 2 5 2 2" xfId="26673"/>
    <cellStyle name="Normal 20 2 5 2 3" xfId="41716"/>
    <cellStyle name="Normal 20 2 5 3" xfId="19152"/>
    <cellStyle name="Normal 20 2 5 4" xfId="34195"/>
    <cellStyle name="Normal 20 2 6" xfId="7868"/>
    <cellStyle name="Normal 20 2 6 2" xfId="22912"/>
    <cellStyle name="Normal 20 2 6 3" xfId="37955"/>
    <cellStyle name="Normal 20 2 7" xfId="15391"/>
    <cellStyle name="Normal 20 2 8" xfId="30434"/>
    <cellStyle name="Normal 20 3" xfId="731"/>
    <cellStyle name="Normal 20 3 2" xfId="1690"/>
    <cellStyle name="Normal 20 3 2 2" xfId="3561"/>
    <cellStyle name="Normal 20 3 2 2 2" xfId="7356"/>
    <cellStyle name="Normal 20 3 2 2 2 2" xfId="14879"/>
    <cellStyle name="Normal 20 3 2 2 2 2 2" xfId="29923"/>
    <cellStyle name="Normal 20 3 2 2 2 2 3" xfId="44966"/>
    <cellStyle name="Normal 20 3 2 2 2 3" xfId="22402"/>
    <cellStyle name="Normal 20 3 2 2 2 4" xfId="37445"/>
    <cellStyle name="Normal 20 3 2 2 3" xfId="11130"/>
    <cellStyle name="Normal 20 3 2 2 3 2" xfId="26174"/>
    <cellStyle name="Normal 20 3 2 2 3 3" xfId="41217"/>
    <cellStyle name="Normal 20 3 2 2 4" xfId="18653"/>
    <cellStyle name="Normal 20 3 2 2 5" xfId="33696"/>
    <cellStyle name="Normal 20 3 2 3" xfId="5491"/>
    <cellStyle name="Normal 20 3 2 3 2" xfId="13014"/>
    <cellStyle name="Normal 20 3 2 3 2 2" xfId="28058"/>
    <cellStyle name="Normal 20 3 2 3 2 3" xfId="43101"/>
    <cellStyle name="Normal 20 3 2 3 3" xfId="20537"/>
    <cellStyle name="Normal 20 3 2 3 4" xfId="35580"/>
    <cellStyle name="Normal 20 3 2 4" xfId="9265"/>
    <cellStyle name="Normal 20 3 2 4 2" xfId="24309"/>
    <cellStyle name="Normal 20 3 2 4 3" xfId="39352"/>
    <cellStyle name="Normal 20 3 2 5" xfId="16788"/>
    <cellStyle name="Normal 20 3 2 6" xfId="31831"/>
    <cellStyle name="Normal 20 3 3" xfId="2629"/>
    <cellStyle name="Normal 20 3 3 2" xfId="6424"/>
    <cellStyle name="Normal 20 3 3 2 2" xfId="13947"/>
    <cellStyle name="Normal 20 3 3 2 2 2" xfId="28991"/>
    <cellStyle name="Normal 20 3 3 2 2 3" xfId="44034"/>
    <cellStyle name="Normal 20 3 3 2 3" xfId="21470"/>
    <cellStyle name="Normal 20 3 3 2 4" xfId="36513"/>
    <cellStyle name="Normal 20 3 3 3" xfId="10198"/>
    <cellStyle name="Normal 20 3 3 3 2" xfId="25242"/>
    <cellStyle name="Normal 20 3 3 3 3" xfId="40285"/>
    <cellStyle name="Normal 20 3 3 4" xfId="17721"/>
    <cellStyle name="Normal 20 3 3 5" xfId="32764"/>
    <cellStyle name="Normal 20 3 4" xfId="4559"/>
    <cellStyle name="Normal 20 3 4 2" xfId="12082"/>
    <cellStyle name="Normal 20 3 4 2 2" xfId="27126"/>
    <cellStyle name="Normal 20 3 4 2 3" xfId="42169"/>
    <cellStyle name="Normal 20 3 4 3" xfId="19605"/>
    <cellStyle name="Normal 20 3 4 4" xfId="34648"/>
    <cellStyle name="Normal 20 3 5" xfId="8333"/>
    <cellStyle name="Normal 20 3 5 2" xfId="23377"/>
    <cellStyle name="Normal 20 3 5 3" xfId="38420"/>
    <cellStyle name="Normal 20 3 6" xfId="15856"/>
    <cellStyle name="Normal 20 3 7" xfId="30899"/>
    <cellStyle name="Normal 20 4" xfId="1238"/>
    <cellStyle name="Normal 20 4 2" xfId="3109"/>
    <cellStyle name="Normal 20 4 2 2" xfId="6904"/>
    <cellStyle name="Normal 20 4 2 2 2" xfId="14427"/>
    <cellStyle name="Normal 20 4 2 2 2 2" xfId="29471"/>
    <cellStyle name="Normal 20 4 2 2 2 3" xfId="44514"/>
    <cellStyle name="Normal 20 4 2 2 3" xfId="21950"/>
    <cellStyle name="Normal 20 4 2 2 4" xfId="36993"/>
    <cellStyle name="Normal 20 4 2 3" xfId="10678"/>
    <cellStyle name="Normal 20 4 2 3 2" xfId="25722"/>
    <cellStyle name="Normal 20 4 2 3 3" xfId="40765"/>
    <cellStyle name="Normal 20 4 2 4" xfId="18201"/>
    <cellStyle name="Normal 20 4 2 5" xfId="33244"/>
    <cellStyle name="Normal 20 4 3" xfId="5039"/>
    <cellStyle name="Normal 20 4 3 2" xfId="12562"/>
    <cellStyle name="Normal 20 4 3 2 2" xfId="27606"/>
    <cellStyle name="Normal 20 4 3 2 3" xfId="42649"/>
    <cellStyle name="Normal 20 4 3 3" xfId="20085"/>
    <cellStyle name="Normal 20 4 3 4" xfId="35128"/>
    <cellStyle name="Normal 20 4 4" xfId="8813"/>
    <cellStyle name="Normal 20 4 4 2" xfId="23857"/>
    <cellStyle name="Normal 20 4 4 3" xfId="38900"/>
    <cellStyle name="Normal 20 4 5" xfId="16336"/>
    <cellStyle name="Normal 20 4 6" xfId="31379"/>
    <cellStyle name="Normal 20 5" xfId="2176"/>
    <cellStyle name="Normal 20 5 2" xfId="5972"/>
    <cellStyle name="Normal 20 5 2 2" xfId="13495"/>
    <cellStyle name="Normal 20 5 2 2 2" xfId="28539"/>
    <cellStyle name="Normal 20 5 2 2 3" xfId="43582"/>
    <cellStyle name="Normal 20 5 2 3" xfId="21018"/>
    <cellStyle name="Normal 20 5 2 4" xfId="36061"/>
    <cellStyle name="Normal 20 5 3" xfId="9746"/>
    <cellStyle name="Normal 20 5 3 2" xfId="24790"/>
    <cellStyle name="Normal 20 5 3 3" xfId="39833"/>
    <cellStyle name="Normal 20 5 4" xfId="17269"/>
    <cellStyle name="Normal 20 5 5" xfId="32312"/>
    <cellStyle name="Normal 20 6" xfId="4104"/>
    <cellStyle name="Normal 20 6 2" xfId="11628"/>
    <cellStyle name="Normal 20 6 2 2" xfId="26672"/>
    <cellStyle name="Normal 20 6 2 3" xfId="41715"/>
    <cellStyle name="Normal 20 6 3" xfId="19151"/>
    <cellStyle name="Normal 20 6 4" xfId="34194"/>
    <cellStyle name="Normal 20 7" xfId="7867"/>
    <cellStyle name="Normal 20 7 2" xfId="22911"/>
    <cellStyle name="Normal 20 7 3" xfId="37954"/>
    <cellStyle name="Normal 20 8" xfId="15390"/>
    <cellStyle name="Normal 20 9" xfId="30433"/>
    <cellStyle name="Normal 21" xfId="206"/>
    <cellStyle name="Normal 21 2" xfId="207"/>
    <cellStyle name="Normal 21 2 2" xfId="734"/>
    <cellStyle name="Normal 21 2 2 2" xfId="1693"/>
    <cellStyle name="Normal 21 2 2 2 2" xfId="3564"/>
    <cellStyle name="Normal 21 2 2 2 2 2" xfId="7359"/>
    <cellStyle name="Normal 21 2 2 2 2 2 2" xfId="14882"/>
    <cellStyle name="Normal 21 2 2 2 2 2 2 2" xfId="29926"/>
    <cellStyle name="Normal 21 2 2 2 2 2 2 3" xfId="44969"/>
    <cellStyle name="Normal 21 2 2 2 2 2 3" xfId="22405"/>
    <cellStyle name="Normal 21 2 2 2 2 2 4" xfId="37448"/>
    <cellStyle name="Normal 21 2 2 2 2 3" xfId="11133"/>
    <cellStyle name="Normal 21 2 2 2 2 3 2" xfId="26177"/>
    <cellStyle name="Normal 21 2 2 2 2 3 3" xfId="41220"/>
    <cellStyle name="Normal 21 2 2 2 2 4" xfId="18656"/>
    <cellStyle name="Normal 21 2 2 2 2 5" xfId="33699"/>
    <cellStyle name="Normal 21 2 2 2 3" xfId="5494"/>
    <cellStyle name="Normal 21 2 2 2 3 2" xfId="13017"/>
    <cellStyle name="Normal 21 2 2 2 3 2 2" xfId="28061"/>
    <cellStyle name="Normal 21 2 2 2 3 2 3" xfId="43104"/>
    <cellStyle name="Normal 21 2 2 2 3 3" xfId="20540"/>
    <cellStyle name="Normal 21 2 2 2 3 4" xfId="35583"/>
    <cellStyle name="Normal 21 2 2 2 4" xfId="9268"/>
    <cellStyle name="Normal 21 2 2 2 4 2" xfId="24312"/>
    <cellStyle name="Normal 21 2 2 2 4 3" xfId="39355"/>
    <cellStyle name="Normal 21 2 2 2 5" xfId="16791"/>
    <cellStyle name="Normal 21 2 2 2 6" xfId="31834"/>
    <cellStyle name="Normal 21 2 2 3" xfId="2632"/>
    <cellStyle name="Normal 21 2 2 3 2" xfId="6427"/>
    <cellStyle name="Normal 21 2 2 3 2 2" xfId="13950"/>
    <cellStyle name="Normal 21 2 2 3 2 2 2" xfId="28994"/>
    <cellStyle name="Normal 21 2 2 3 2 2 3" xfId="44037"/>
    <cellStyle name="Normal 21 2 2 3 2 3" xfId="21473"/>
    <cellStyle name="Normal 21 2 2 3 2 4" xfId="36516"/>
    <cellStyle name="Normal 21 2 2 3 3" xfId="10201"/>
    <cellStyle name="Normal 21 2 2 3 3 2" xfId="25245"/>
    <cellStyle name="Normal 21 2 2 3 3 3" xfId="40288"/>
    <cellStyle name="Normal 21 2 2 3 4" xfId="17724"/>
    <cellStyle name="Normal 21 2 2 3 5" xfId="32767"/>
    <cellStyle name="Normal 21 2 2 4" xfId="4562"/>
    <cellStyle name="Normal 21 2 2 4 2" xfId="12085"/>
    <cellStyle name="Normal 21 2 2 4 2 2" xfId="27129"/>
    <cellStyle name="Normal 21 2 2 4 2 3" xfId="42172"/>
    <cellStyle name="Normal 21 2 2 4 3" xfId="19608"/>
    <cellStyle name="Normal 21 2 2 4 4" xfId="34651"/>
    <cellStyle name="Normal 21 2 2 5" xfId="8336"/>
    <cellStyle name="Normal 21 2 2 5 2" xfId="23380"/>
    <cellStyle name="Normal 21 2 2 5 3" xfId="38423"/>
    <cellStyle name="Normal 21 2 2 6" xfId="15859"/>
    <cellStyle name="Normal 21 2 2 7" xfId="30902"/>
    <cellStyle name="Normal 21 2 3" xfId="1241"/>
    <cellStyle name="Normal 21 2 3 2" xfId="3112"/>
    <cellStyle name="Normal 21 2 3 2 2" xfId="6907"/>
    <cellStyle name="Normal 21 2 3 2 2 2" xfId="14430"/>
    <cellStyle name="Normal 21 2 3 2 2 2 2" xfId="29474"/>
    <cellStyle name="Normal 21 2 3 2 2 2 3" xfId="44517"/>
    <cellStyle name="Normal 21 2 3 2 2 3" xfId="21953"/>
    <cellStyle name="Normal 21 2 3 2 2 4" xfId="36996"/>
    <cellStyle name="Normal 21 2 3 2 3" xfId="10681"/>
    <cellStyle name="Normal 21 2 3 2 3 2" xfId="25725"/>
    <cellStyle name="Normal 21 2 3 2 3 3" xfId="40768"/>
    <cellStyle name="Normal 21 2 3 2 4" xfId="18204"/>
    <cellStyle name="Normal 21 2 3 2 5" xfId="33247"/>
    <cellStyle name="Normal 21 2 3 3" xfId="5042"/>
    <cellStyle name="Normal 21 2 3 3 2" xfId="12565"/>
    <cellStyle name="Normal 21 2 3 3 2 2" xfId="27609"/>
    <cellStyle name="Normal 21 2 3 3 2 3" xfId="42652"/>
    <cellStyle name="Normal 21 2 3 3 3" xfId="20088"/>
    <cellStyle name="Normal 21 2 3 3 4" xfId="35131"/>
    <cellStyle name="Normal 21 2 3 4" xfId="8816"/>
    <cellStyle name="Normal 21 2 3 4 2" xfId="23860"/>
    <cellStyle name="Normal 21 2 3 4 3" xfId="38903"/>
    <cellStyle name="Normal 21 2 3 5" xfId="16339"/>
    <cellStyle name="Normal 21 2 3 6" xfId="31382"/>
    <cellStyle name="Normal 21 2 4" xfId="2179"/>
    <cellStyle name="Normal 21 2 4 2" xfId="5975"/>
    <cellStyle name="Normal 21 2 4 2 2" xfId="13498"/>
    <cellStyle name="Normal 21 2 4 2 2 2" xfId="28542"/>
    <cellStyle name="Normal 21 2 4 2 2 3" xfId="43585"/>
    <cellStyle name="Normal 21 2 4 2 3" xfId="21021"/>
    <cellStyle name="Normal 21 2 4 2 4" xfId="36064"/>
    <cellStyle name="Normal 21 2 4 3" xfId="9749"/>
    <cellStyle name="Normal 21 2 4 3 2" xfId="24793"/>
    <cellStyle name="Normal 21 2 4 3 3" xfId="39836"/>
    <cellStyle name="Normal 21 2 4 4" xfId="17272"/>
    <cellStyle name="Normal 21 2 4 5" xfId="32315"/>
    <cellStyle name="Normal 21 2 5" xfId="4107"/>
    <cellStyle name="Normal 21 2 5 2" xfId="11631"/>
    <cellStyle name="Normal 21 2 5 2 2" xfId="26675"/>
    <cellStyle name="Normal 21 2 5 2 3" xfId="41718"/>
    <cellStyle name="Normal 21 2 5 3" xfId="19154"/>
    <cellStyle name="Normal 21 2 5 4" xfId="34197"/>
    <cellStyle name="Normal 21 2 6" xfId="7870"/>
    <cellStyle name="Normal 21 2 6 2" xfId="22914"/>
    <cellStyle name="Normal 21 2 6 3" xfId="37957"/>
    <cellStyle name="Normal 21 2 7" xfId="15393"/>
    <cellStyle name="Normal 21 2 8" xfId="30436"/>
    <cellStyle name="Normal 21 3" xfId="733"/>
    <cellStyle name="Normal 21 3 2" xfId="1692"/>
    <cellStyle name="Normal 21 3 2 2" xfId="3563"/>
    <cellStyle name="Normal 21 3 2 2 2" xfId="7358"/>
    <cellStyle name="Normal 21 3 2 2 2 2" xfId="14881"/>
    <cellStyle name="Normal 21 3 2 2 2 2 2" xfId="29925"/>
    <cellStyle name="Normal 21 3 2 2 2 2 3" xfId="44968"/>
    <cellStyle name="Normal 21 3 2 2 2 3" xfId="22404"/>
    <cellStyle name="Normal 21 3 2 2 2 4" xfId="37447"/>
    <cellStyle name="Normal 21 3 2 2 3" xfId="11132"/>
    <cellStyle name="Normal 21 3 2 2 3 2" xfId="26176"/>
    <cellStyle name="Normal 21 3 2 2 3 3" xfId="41219"/>
    <cellStyle name="Normal 21 3 2 2 4" xfId="18655"/>
    <cellStyle name="Normal 21 3 2 2 5" xfId="33698"/>
    <cellStyle name="Normal 21 3 2 3" xfId="5493"/>
    <cellStyle name="Normal 21 3 2 3 2" xfId="13016"/>
    <cellStyle name="Normal 21 3 2 3 2 2" xfId="28060"/>
    <cellStyle name="Normal 21 3 2 3 2 3" xfId="43103"/>
    <cellStyle name="Normal 21 3 2 3 3" xfId="20539"/>
    <cellStyle name="Normal 21 3 2 3 4" xfId="35582"/>
    <cellStyle name="Normal 21 3 2 4" xfId="9267"/>
    <cellStyle name="Normal 21 3 2 4 2" xfId="24311"/>
    <cellStyle name="Normal 21 3 2 4 3" xfId="39354"/>
    <cellStyle name="Normal 21 3 2 5" xfId="16790"/>
    <cellStyle name="Normal 21 3 2 6" xfId="31833"/>
    <cellStyle name="Normal 21 3 3" xfId="2631"/>
    <cellStyle name="Normal 21 3 3 2" xfId="6426"/>
    <cellStyle name="Normal 21 3 3 2 2" xfId="13949"/>
    <cellStyle name="Normal 21 3 3 2 2 2" xfId="28993"/>
    <cellStyle name="Normal 21 3 3 2 2 3" xfId="44036"/>
    <cellStyle name="Normal 21 3 3 2 3" xfId="21472"/>
    <cellStyle name="Normal 21 3 3 2 4" xfId="36515"/>
    <cellStyle name="Normal 21 3 3 3" xfId="10200"/>
    <cellStyle name="Normal 21 3 3 3 2" xfId="25244"/>
    <cellStyle name="Normal 21 3 3 3 3" xfId="40287"/>
    <cellStyle name="Normal 21 3 3 4" xfId="17723"/>
    <cellStyle name="Normal 21 3 3 5" xfId="32766"/>
    <cellStyle name="Normal 21 3 4" xfId="4561"/>
    <cellStyle name="Normal 21 3 4 2" xfId="12084"/>
    <cellStyle name="Normal 21 3 4 2 2" xfId="27128"/>
    <cellStyle name="Normal 21 3 4 2 3" xfId="42171"/>
    <cellStyle name="Normal 21 3 4 3" xfId="19607"/>
    <cellStyle name="Normal 21 3 4 4" xfId="34650"/>
    <cellStyle name="Normal 21 3 5" xfId="8335"/>
    <cellStyle name="Normal 21 3 5 2" xfId="23379"/>
    <cellStyle name="Normal 21 3 5 3" xfId="38422"/>
    <cellStyle name="Normal 21 3 6" xfId="15858"/>
    <cellStyle name="Normal 21 3 7" xfId="30901"/>
    <cellStyle name="Normal 21 4" xfId="1240"/>
    <cellStyle name="Normal 21 4 2" xfId="3111"/>
    <cellStyle name="Normal 21 4 2 2" xfId="6906"/>
    <cellStyle name="Normal 21 4 2 2 2" xfId="14429"/>
    <cellStyle name="Normal 21 4 2 2 2 2" xfId="29473"/>
    <cellStyle name="Normal 21 4 2 2 2 3" xfId="44516"/>
    <cellStyle name="Normal 21 4 2 2 3" xfId="21952"/>
    <cellStyle name="Normal 21 4 2 2 4" xfId="36995"/>
    <cellStyle name="Normal 21 4 2 3" xfId="10680"/>
    <cellStyle name="Normal 21 4 2 3 2" xfId="25724"/>
    <cellStyle name="Normal 21 4 2 3 3" xfId="40767"/>
    <cellStyle name="Normal 21 4 2 4" xfId="18203"/>
    <cellStyle name="Normal 21 4 2 5" xfId="33246"/>
    <cellStyle name="Normal 21 4 3" xfId="5041"/>
    <cellStyle name="Normal 21 4 3 2" xfId="12564"/>
    <cellStyle name="Normal 21 4 3 2 2" xfId="27608"/>
    <cellStyle name="Normal 21 4 3 2 3" xfId="42651"/>
    <cellStyle name="Normal 21 4 3 3" xfId="20087"/>
    <cellStyle name="Normal 21 4 3 4" xfId="35130"/>
    <cellStyle name="Normal 21 4 4" xfId="8815"/>
    <cellStyle name="Normal 21 4 4 2" xfId="23859"/>
    <cellStyle name="Normal 21 4 4 3" xfId="38902"/>
    <cellStyle name="Normal 21 4 5" xfId="16338"/>
    <cellStyle name="Normal 21 4 6" xfId="31381"/>
    <cellStyle name="Normal 21 5" xfId="2178"/>
    <cellStyle name="Normal 21 5 2" xfId="5974"/>
    <cellStyle name="Normal 21 5 2 2" xfId="13497"/>
    <cellStyle name="Normal 21 5 2 2 2" xfId="28541"/>
    <cellStyle name="Normal 21 5 2 2 3" xfId="43584"/>
    <cellStyle name="Normal 21 5 2 3" xfId="21020"/>
    <cellStyle name="Normal 21 5 2 4" xfId="36063"/>
    <cellStyle name="Normal 21 5 3" xfId="9748"/>
    <cellStyle name="Normal 21 5 3 2" xfId="24792"/>
    <cellStyle name="Normal 21 5 3 3" xfId="39835"/>
    <cellStyle name="Normal 21 5 4" xfId="17271"/>
    <cellStyle name="Normal 21 5 5" xfId="32314"/>
    <cellStyle name="Normal 21 6" xfId="4106"/>
    <cellStyle name="Normal 21 6 2" xfId="11630"/>
    <cellStyle name="Normal 21 6 2 2" xfId="26674"/>
    <cellStyle name="Normal 21 6 2 3" xfId="41717"/>
    <cellStyle name="Normal 21 6 3" xfId="19153"/>
    <cellStyle name="Normal 21 6 4" xfId="34196"/>
    <cellStyle name="Normal 21 7" xfId="7869"/>
    <cellStyle name="Normal 21 7 2" xfId="22913"/>
    <cellStyle name="Normal 21 7 3" xfId="37956"/>
    <cellStyle name="Normal 21 8" xfId="15392"/>
    <cellStyle name="Normal 21 9" xfId="30435"/>
    <cellStyle name="Normal 22" xfId="208"/>
    <cellStyle name="Normal 22 2" xfId="209"/>
    <cellStyle name="Normal 22 2 2" xfId="736"/>
    <cellStyle name="Normal 22 2 2 2" xfId="1695"/>
    <cellStyle name="Normal 22 2 2 2 2" xfId="3566"/>
    <cellStyle name="Normal 22 2 2 2 2 2" xfId="7361"/>
    <cellStyle name="Normal 22 2 2 2 2 2 2" xfId="14884"/>
    <cellStyle name="Normal 22 2 2 2 2 2 2 2" xfId="29928"/>
    <cellStyle name="Normal 22 2 2 2 2 2 2 3" xfId="44971"/>
    <cellStyle name="Normal 22 2 2 2 2 2 3" xfId="22407"/>
    <cellStyle name="Normal 22 2 2 2 2 2 4" xfId="37450"/>
    <cellStyle name="Normal 22 2 2 2 2 3" xfId="11135"/>
    <cellStyle name="Normal 22 2 2 2 2 3 2" xfId="26179"/>
    <cellStyle name="Normal 22 2 2 2 2 3 3" xfId="41222"/>
    <cellStyle name="Normal 22 2 2 2 2 4" xfId="18658"/>
    <cellStyle name="Normal 22 2 2 2 2 5" xfId="33701"/>
    <cellStyle name="Normal 22 2 2 2 3" xfId="5496"/>
    <cellStyle name="Normal 22 2 2 2 3 2" xfId="13019"/>
    <cellStyle name="Normal 22 2 2 2 3 2 2" xfId="28063"/>
    <cellStyle name="Normal 22 2 2 2 3 2 3" xfId="43106"/>
    <cellStyle name="Normal 22 2 2 2 3 3" xfId="20542"/>
    <cellStyle name="Normal 22 2 2 2 3 4" xfId="35585"/>
    <cellStyle name="Normal 22 2 2 2 4" xfId="9270"/>
    <cellStyle name="Normal 22 2 2 2 4 2" xfId="24314"/>
    <cellStyle name="Normal 22 2 2 2 4 3" xfId="39357"/>
    <cellStyle name="Normal 22 2 2 2 5" xfId="16793"/>
    <cellStyle name="Normal 22 2 2 2 6" xfId="31836"/>
    <cellStyle name="Normal 22 2 2 3" xfId="2634"/>
    <cellStyle name="Normal 22 2 2 3 2" xfId="6429"/>
    <cellStyle name="Normal 22 2 2 3 2 2" xfId="13952"/>
    <cellStyle name="Normal 22 2 2 3 2 2 2" xfId="28996"/>
    <cellStyle name="Normal 22 2 2 3 2 2 3" xfId="44039"/>
    <cellStyle name="Normal 22 2 2 3 2 3" xfId="21475"/>
    <cellStyle name="Normal 22 2 2 3 2 4" xfId="36518"/>
    <cellStyle name="Normal 22 2 2 3 3" xfId="10203"/>
    <cellStyle name="Normal 22 2 2 3 3 2" xfId="25247"/>
    <cellStyle name="Normal 22 2 2 3 3 3" xfId="40290"/>
    <cellStyle name="Normal 22 2 2 3 4" xfId="17726"/>
    <cellStyle name="Normal 22 2 2 3 5" xfId="32769"/>
    <cellStyle name="Normal 22 2 2 4" xfId="4564"/>
    <cellStyle name="Normal 22 2 2 4 2" xfId="12087"/>
    <cellStyle name="Normal 22 2 2 4 2 2" xfId="27131"/>
    <cellStyle name="Normal 22 2 2 4 2 3" xfId="42174"/>
    <cellStyle name="Normal 22 2 2 4 3" xfId="19610"/>
    <cellStyle name="Normal 22 2 2 4 4" xfId="34653"/>
    <cellStyle name="Normal 22 2 2 5" xfId="8338"/>
    <cellStyle name="Normal 22 2 2 5 2" xfId="23382"/>
    <cellStyle name="Normal 22 2 2 5 3" xfId="38425"/>
    <cellStyle name="Normal 22 2 2 6" xfId="15861"/>
    <cellStyle name="Normal 22 2 2 7" xfId="30904"/>
    <cellStyle name="Normal 22 2 3" xfId="1243"/>
    <cellStyle name="Normal 22 2 3 2" xfId="3114"/>
    <cellStyle name="Normal 22 2 3 2 2" xfId="6909"/>
    <cellStyle name="Normal 22 2 3 2 2 2" xfId="14432"/>
    <cellStyle name="Normal 22 2 3 2 2 2 2" xfId="29476"/>
    <cellStyle name="Normal 22 2 3 2 2 2 3" xfId="44519"/>
    <cellStyle name="Normal 22 2 3 2 2 3" xfId="21955"/>
    <cellStyle name="Normal 22 2 3 2 2 4" xfId="36998"/>
    <cellStyle name="Normal 22 2 3 2 3" xfId="10683"/>
    <cellStyle name="Normal 22 2 3 2 3 2" xfId="25727"/>
    <cellStyle name="Normal 22 2 3 2 3 3" xfId="40770"/>
    <cellStyle name="Normal 22 2 3 2 4" xfId="18206"/>
    <cellStyle name="Normal 22 2 3 2 5" xfId="33249"/>
    <cellStyle name="Normal 22 2 3 3" xfId="5044"/>
    <cellStyle name="Normal 22 2 3 3 2" xfId="12567"/>
    <cellStyle name="Normal 22 2 3 3 2 2" xfId="27611"/>
    <cellStyle name="Normal 22 2 3 3 2 3" xfId="42654"/>
    <cellStyle name="Normal 22 2 3 3 3" xfId="20090"/>
    <cellStyle name="Normal 22 2 3 3 4" xfId="35133"/>
    <cellStyle name="Normal 22 2 3 4" xfId="8818"/>
    <cellStyle name="Normal 22 2 3 4 2" xfId="23862"/>
    <cellStyle name="Normal 22 2 3 4 3" xfId="38905"/>
    <cellStyle name="Normal 22 2 3 5" xfId="16341"/>
    <cellStyle name="Normal 22 2 3 6" xfId="31384"/>
    <cellStyle name="Normal 22 2 4" xfId="2181"/>
    <cellStyle name="Normal 22 2 4 2" xfId="5977"/>
    <cellStyle name="Normal 22 2 4 2 2" xfId="13500"/>
    <cellStyle name="Normal 22 2 4 2 2 2" xfId="28544"/>
    <cellStyle name="Normal 22 2 4 2 2 3" xfId="43587"/>
    <cellStyle name="Normal 22 2 4 2 3" xfId="21023"/>
    <cellStyle name="Normal 22 2 4 2 4" xfId="36066"/>
    <cellStyle name="Normal 22 2 4 3" xfId="9751"/>
    <cellStyle name="Normal 22 2 4 3 2" xfId="24795"/>
    <cellStyle name="Normal 22 2 4 3 3" xfId="39838"/>
    <cellStyle name="Normal 22 2 4 4" xfId="17274"/>
    <cellStyle name="Normal 22 2 4 5" xfId="32317"/>
    <cellStyle name="Normal 22 2 5" xfId="4109"/>
    <cellStyle name="Normal 22 2 5 2" xfId="11633"/>
    <cellStyle name="Normal 22 2 5 2 2" xfId="26677"/>
    <cellStyle name="Normal 22 2 5 2 3" xfId="41720"/>
    <cellStyle name="Normal 22 2 5 3" xfId="19156"/>
    <cellStyle name="Normal 22 2 5 4" xfId="34199"/>
    <cellStyle name="Normal 22 2 6" xfId="7872"/>
    <cellStyle name="Normal 22 2 6 2" xfId="22916"/>
    <cellStyle name="Normal 22 2 6 3" xfId="37959"/>
    <cellStyle name="Normal 22 2 7" xfId="15395"/>
    <cellStyle name="Normal 22 2 8" xfId="30438"/>
    <cellStyle name="Normal 22 3" xfId="735"/>
    <cellStyle name="Normal 22 3 2" xfId="1694"/>
    <cellStyle name="Normal 22 3 2 2" xfId="3565"/>
    <cellStyle name="Normal 22 3 2 2 2" xfId="7360"/>
    <cellStyle name="Normal 22 3 2 2 2 2" xfId="14883"/>
    <cellStyle name="Normal 22 3 2 2 2 2 2" xfId="29927"/>
    <cellStyle name="Normal 22 3 2 2 2 2 3" xfId="44970"/>
    <cellStyle name="Normal 22 3 2 2 2 3" xfId="22406"/>
    <cellStyle name="Normal 22 3 2 2 2 4" xfId="37449"/>
    <cellStyle name="Normal 22 3 2 2 3" xfId="11134"/>
    <cellStyle name="Normal 22 3 2 2 3 2" xfId="26178"/>
    <cellStyle name="Normal 22 3 2 2 3 3" xfId="41221"/>
    <cellStyle name="Normal 22 3 2 2 4" xfId="18657"/>
    <cellStyle name="Normal 22 3 2 2 5" xfId="33700"/>
    <cellStyle name="Normal 22 3 2 3" xfId="5495"/>
    <cellStyle name="Normal 22 3 2 3 2" xfId="13018"/>
    <cellStyle name="Normal 22 3 2 3 2 2" xfId="28062"/>
    <cellStyle name="Normal 22 3 2 3 2 3" xfId="43105"/>
    <cellStyle name="Normal 22 3 2 3 3" xfId="20541"/>
    <cellStyle name="Normal 22 3 2 3 4" xfId="35584"/>
    <cellStyle name="Normal 22 3 2 4" xfId="9269"/>
    <cellStyle name="Normal 22 3 2 4 2" xfId="24313"/>
    <cellStyle name="Normal 22 3 2 4 3" xfId="39356"/>
    <cellStyle name="Normal 22 3 2 5" xfId="16792"/>
    <cellStyle name="Normal 22 3 2 6" xfId="31835"/>
    <cellStyle name="Normal 22 3 3" xfId="2633"/>
    <cellStyle name="Normal 22 3 3 2" xfId="6428"/>
    <cellStyle name="Normal 22 3 3 2 2" xfId="13951"/>
    <cellStyle name="Normal 22 3 3 2 2 2" xfId="28995"/>
    <cellStyle name="Normal 22 3 3 2 2 3" xfId="44038"/>
    <cellStyle name="Normal 22 3 3 2 3" xfId="21474"/>
    <cellStyle name="Normal 22 3 3 2 4" xfId="36517"/>
    <cellStyle name="Normal 22 3 3 3" xfId="10202"/>
    <cellStyle name="Normal 22 3 3 3 2" xfId="25246"/>
    <cellStyle name="Normal 22 3 3 3 3" xfId="40289"/>
    <cellStyle name="Normal 22 3 3 4" xfId="17725"/>
    <cellStyle name="Normal 22 3 3 5" xfId="32768"/>
    <cellStyle name="Normal 22 3 4" xfId="4563"/>
    <cellStyle name="Normal 22 3 4 2" xfId="12086"/>
    <cellStyle name="Normal 22 3 4 2 2" xfId="27130"/>
    <cellStyle name="Normal 22 3 4 2 3" xfId="42173"/>
    <cellStyle name="Normal 22 3 4 3" xfId="19609"/>
    <cellStyle name="Normal 22 3 4 4" xfId="34652"/>
    <cellStyle name="Normal 22 3 5" xfId="8337"/>
    <cellStyle name="Normal 22 3 5 2" xfId="23381"/>
    <cellStyle name="Normal 22 3 5 3" xfId="38424"/>
    <cellStyle name="Normal 22 3 6" xfId="15860"/>
    <cellStyle name="Normal 22 3 7" xfId="30903"/>
    <cellStyle name="Normal 22 4" xfId="1242"/>
    <cellStyle name="Normal 22 4 2" xfId="3113"/>
    <cellStyle name="Normal 22 4 2 2" xfId="6908"/>
    <cellStyle name="Normal 22 4 2 2 2" xfId="14431"/>
    <cellStyle name="Normal 22 4 2 2 2 2" xfId="29475"/>
    <cellStyle name="Normal 22 4 2 2 2 3" xfId="44518"/>
    <cellStyle name="Normal 22 4 2 2 3" xfId="21954"/>
    <cellStyle name="Normal 22 4 2 2 4" xfId="36997"/>
    <cellStyle name="Normal 22 4 2 3" xfId="10682"/>
    <cellStyle name="Normal 22 4 2 3 2" xfId="25726"/>
    <cellStyle name="Normal 22 4 2 3 3" xfId="40769"/>
    <cellStyle name="Normal 22 4 2 4" xfId="18205"/>
    <cellStyle name="Normal 22 4 2 5" xfId="33248"/>
    <cellStyle name="Normal 22 4 3" xfId="5043"/>
    <cellStyle name="Normal 22 4 3 2" xfId="12566"/>
    <cellStyle name="Normal 22 4 3 2 2" xfId="27610"/>
    <cellStyle name="Normal 22 4 3 2 3" xfId="42653"/>
    <cellStyle name="Normal 22 4 3 3" xfId="20089"/>
    <cellStyle name="Normal 22 4 3 4" xfId="35132"/>
    <cellStyle name="Normal 22 4 4" xfId="8817"/>
    <cellStyle name="Normal 22 4 4 2" xfId="23861"/>
    <cellStyle name="Normal 22 4 4 3" xfId="38904"/>
    <cellStyle name="Normal 22 4 5" xfId="16340"/>
    <cellStyle name="Normal 22 4 6" xfId="31383"/>
    <cellStyle name="Normal 22 5" xfId="2180"/>
    <cellStyle name="Normal 22 5 2" xfId="5976"/>
    <cellStyle name="Normal 22 5 2 2" xfId="13499"/>
    <cellStyle name="Normal 22 5 2 2 2" xfId="28543"/>
    <cellStyle name="Normal 22 5 2 2 3" xfId="43586"/>
    <cellStyle name="Normal 22 5 2 3" xfId="21022"/>
    <cellStyle name="Normal 22 5 2 4" xfId="36065"/>
    <cellStyle name="Normal 22 5 3" xfId="9750"/>
    <cellStyle name="Normal 22 5 3 2" xfId="24794"/>
    <cellStyle name="Normal 22 5 3 3" xfId="39837"/>
    <cellStyle name="Normal 22 5 4" xfId="17273"/>
    <cellStyle name="Normal 22 5 5" xfId="32316"/>
    <cellStyle name="Normal 22 6" xfId="4108"/>
    <cellStyle name="Normal 22 6 2" xfId="11632"/>
    <cellStyle name="Normal 22 6 2 2" xfId="26676"/>
    <cellStyle name="Normal 22 6 2 3" xfId="41719"/>
    <cellStyle name="Normal 22 6 3" xfId="19155"/>
    <cellStyle name="Normal 22 6 4" xfId="34198"/>
    <cellStyle name="Normal 22 7" xfId="7871"/>
    <cellStyle name="Normal 22 7 2" xfId="22915"/>
    <cellStyle name="Normal 22 7 3" xfId="37958"/>
    <cellStyle name="Normal 22 8" xfId="15394"/>
    <cellStyle name="Normal 22 9" xfId="30437"/>
    <cellStyle name="Normal 23" xfId="210"/>
    <cellStyle name="Normal 23 2" xfId="211"/>
    <cellStyle name="Normal 23 2 2" xfId="738"/>
    <cellStyle name="Normal 23 2 2 2" xfId="1697"/>
    <cellStyle name="Normal 23 2 2 2 2" xfId="3568"/>
    <cellStyle name="Normal 23 2 2 2 2 2" xfId="7363"/>
    <cellStyle name="Normal 23 2 2 2 2 2 2" xfId="14886"/>
    <cellStyle name="Normal 23 2 2 2 2 2 2 2" xfId="29930"/>
    <cellStyle name="Normal 23 2 2 2 2 2 2 3" xfId="44973"/>
    <cellStyle name="Normal 23 2 2 2 2 2 3" xfId="22409"/>
    <cellStyle name="Normal 23 2 2 2 2 2 4" xfId="37452"/>
    <cellStyle name="Normal 23 2 2 2 2 3" xfId="11137"/>
    <cellStyle name="Normal 23 2 2 2 2 3 2" xfId="26181"/>
    <cellStyle name="Normal 23 2 2 2 2 3 3" xfId="41224"/>
    <cellStyle name="Normal 23 2 2 2 2 4" xfId="18660"/>
    <cellStyle name="Normal 23 2 2 2 2 5" xfId="33703"/>
    <cellStyle name="Normal 23 2 2 2 3" xfId="5498"/>
    <cellStyle name="Normal 23 2 2 2 3 2" xfId="13021"/>
    <cellStyle name="Normal 23 2 2 2 3 2 2" xfId="28065"/>
    <cellStyle name="Normal 23 2 2 2 3 2 3" xfId="43108"/>
    <cellStyle name="Normal 23 2 2 2 3 3" xfId="20544"/>
    <cellStyle name="Normal 23 2 2 2 3 4" xfId="35587"/>
    <cellStyle name="Normal 23 2 2 2 4" xfId="9272"/>
    <cellStyle name="Normal 23 2 2 2 4 2" xfId="24316"/>
    <cellStyle name="Normal 23 2 2 2 4 3" xfId="39359"/>
    <cellStyle name="Normal 23 2 2 2 5" xfId="16795"/>
    <cellStyle name="Normal 23 2 2 2 6" xfId="31838"/>
    <cellStyle name="Normal 23 2 2 3" xfId="2636"/>
    <cellStyle name="Normal 23 2 2 3 2" xfId="6431"/>
    <cellStyle name="Normal 23 2 2 3 2 2" xfId="13954"/>
    <cellStyle name="Normal 23 2 2 3 2 2 2" xfId="28998"/>
    <cellStyle name="Normal 23 2 2 3 2 2 3" xfId="44041"/>
    <cellStyle name="Normal 23 2 2 3 2 3" xfId="21477"/>
    <cellStyle name="Normal 23 2 2 3 2 4" xfId="36520"/>
    <cellStyle name="Normal 23 2 2 3 3" xfId="10205"/>
    <cellStyle name="Normal 23 2 2 3 3 2" xfId="25249"/>
    <cellStyle name="Normal 23 2 2 3 3 3" xfId="40292"/>
    <cellStyle name="Normal 23 2 2 3 4" xfId="17728"/>
    <cellStyle name="Normal 23 2 2 3 5" xfId="32771"/>
    <cellStyle name="Normal 23 2 2 4" xfId="4566"/>
    <cellStyle name="Normal 23 2 2 4 2" xfId="12089"/>
    <cellStyle name="Normal 23 2 2 4 2 2" xfId="27133"/>
    <cellStyle name="Normal 23 2 2 4 2 3" xfId="42176"/>
    <cellStyle name="Normal 23 2 2 4 3" xfId="19612"/>
    <cellStyle name="Normal 23 2 2 4 4" xfId="34655"/>
    <cellStyle name="Normal 23 2 2 5" xfId="8340"/>
    <cellStyle name="Normal 23 2 2 5 2" xfId="23384"/>
    <cellStyle name="Normal 23 2 2 5 3" xfId="38427"/>
    <cellStyle name="Normal 23 2 2 6" xfId="15863"/>
    <cellStyle name="Normal 23 2 2 7" xfId="30906"/>
    <cellStyle name="Normal 23 2 3" xfId="1245"/>
    <cellStyle name="Normal 23 2 3 2" xfId="3116"/>
    <cellStyle name="Normal 23 2 3 2 2" xfId="6911"/>
    <cellStyle name="Normal 23 2 3 2 2 2" xfId="14434"/>
    <cellStyle name="Normal 23 2 3 2 2 2 2" xfId="29478"/>
    <cellStyle name="Normal 23 2 3 2 2 2 3" xfId="44521"/>
    <cellStyle name="Normal 23 2 3 2 2 3" xfId="21957"/>
    <cellStyle name="Normal 23 2 3 2 2 4" xfId="37000"/>
    <cellStyle name="Normal 23 2 3 2 3" xfId="10685"/>
    <cellStyle name="Normal 23 2 3 2 3 2" xfId="25729"/>
    <cellStyle name="Normal 23 2 3 2 3 3" xfId="40772"/>
    <cellStyle name="Normal 23 2 3 2 4" xfId="18208"/>
    <cellStyle name="Normal 23 2 3 2 5" xfId="33251"/>
    <cellStyle name="Normal 23 2 3 3" xfId="5046"/>
    <cellStyle name="Normal 23 2 3 3 2" xfId="12569"/>
    <cellStyle name="Normal 23 2 3 3 2 2" xfId="27613"/>
    <cellStyle name="Normal 23 2 3 3 2 3" xfId="42656"/>
    <cellStyle name="Normal 23 2 3 3 3" xfId="20092"/>
    <cellStyle name="Normal 23 2 3 3 4" xfId="35135"/>
    <cellStyle name="Normal 23 2 3 4" xfId="8820"/>
    <cellStyle name="Normal 23 2 3 4 2" xfId="23864"/>
    <cellStyle name="Normal 23 2 3 4 3" xfId="38907"/>
    <cellStyle name="Normal 23 2 3 5" xfId="16343"/>
    <cellStyle name="Normal 23 2 3 6" xfId="31386"/>
    <cellStyle name="Normal 23 2 4" xfId="2183"/>
    <cellStyle name="Normal 23 2 4 2" xfId="5979"/>
    <cellStyle name="Normal 23 2 4 2 2" xfId="13502"/>
    <cellStyle name="Normal 23 2 4 2 2 2" xfId="28546"/>
    <cellStyle name="Normal 23 2 4 2 2 3" xfId="43589"/>
    <cellStyle name="Normal 23 2 4 2 3" xfId="21025"/>
    <cellStyle name="Normal 23 2 4 2 4" xfId="36068"/>
    <cellStyle name="Normal 23 2 4 3" xfId="9753"/>
    <cellStyle name="Normal 23 2 4 3 2" xfId="24797"/>
    <cellStyle name="Normal 23 2 4 3 3" xfId="39840"/>
    <cellStyle name="Normal 23 2 4 4" xfId="17276"/>
    <cellStyle name="Normal 23 2 4 5" xfId="32319"/>
    <cellStyle name="Normal 23 2 5" xfId="4111"/>
    <cellStyle name="Normal 23 2 5 2" xfId="11635"/>
    <cellStyle name="Normal 23 2 5 2 2" xfId="26679"/>
    <cellStyle name="Normal 23 2 5 2 3" xfId="41722"/>
    <cellStyle name="Normal 23 2 5 3" xfId="19158"/>
    <cellStyle name="Normal 23 2 5 4" xfId="34201"/>
    <cellStyle name="Normal 23 2 6" xfId="7874"/>
    <cellStyle name="Normal 23 2 6 2" xfId="22918"/>
    <cellStyle name="Normal 23 2 6 3" xfId="37961"/>
    <cellStyle name="Normal 23 2 7" xfId="15397"/>
    <cellStyle name="Normal 23 2 8" xfId="30440"/>
    <cellStyle name="Normal 23 3" xfId="737"/>
    <cellStyle name="Normal 23 3 2" xfId="1696"/>
    <cellStyle name="Normal 23 3 2 2" xfId="3567"/>
    <cellStyle name="Normal 23 3 2 2 2" xfId="7362"/>
    <cellStyle name="Normal 23 3 2 2 2 2" xfId="14885"/>
    <cellStyle name="Normal 23 3 2 2 2 2 2" xfId="29929"/>
    <cellStyle name="Normal 23 3 2 2 2 2 3" xfId="44972"/>
    <cellStyle name="Normal 23 3 2 2 2 3" xfId="22408"/>
    <cellStyle name="Normal 23 3 2 2 2 4" xfId="37451"/>
    <cellStyle name="Normal 23 3 2 2 3" xfId="11136"/>
    <cellStyle name="Normal 23 3 2 2 3 2" xfId="26180"/>
    <cellStyle name="Normal 23 3 2 2 3 3" xfId="41223"/>
    <cellStyle name="Normal 23 3 2 2 4" xfId="18659"/>
    <cellStyle name="Normal 23 3 2 2 5" xfId="33702"/>
    <cellStyle name="Normal 23 3 2 3" xfId="5497"/>
    <cellStyle name="Normal 23 3 2 3 2" xfId="13020"/>
    <cellStyle name="Normal 23 3 2 3 2 2" xfId="28064"/>
    <cellStyle name="Normal 23 3 2 3 2 3" xfId="43107"/>
    <cellStyle name="Normal 23 3 2 3 3" xfId="20543"/>
    <cellStyle name="Normal 23 3 2 3 4" xfId="35586"/>
    <cellStyle name="Normal 23 3 2 4" xfId="9271"/>
    <cellStyle name="Normal 23 3 2 4 2" xfId="24315"/>
    <cellStyle name="Normal 23 3 2 4 3" xfId="39358"/>
    <cellStyle name="Normal 23 3 2 5" xfId="16794"/>
    <cellStyle name="Normal 23 3 2 6" xfId="31837"/>
    <cellStyle name="Normal 23 3 3" xfId="2635"/>
    <cellStyle name="Normal 23 3 3 2" xfId="6430"/>
    <cellStyle name="Normal 23 3 3 2 2" xfId="13953"/>
    <cellStyle name="Normal 23 3 3 2 2 2" xfId="28997"/>
    <cellStyle name="Normal 23 3 3 2 2 3" xfId="44040"/>
    <cellStyle name="Normal 23 3 3 2 3" xfId="21476"/>
    <cellStyle name="Normal 23 3 3 2 4" xfId="36519"/>
    <cellStyle name="Normal 23 3 3 3" xfId="10204"/>
    <cellStyle name="Normal 23 3 3 3 2" xfId="25248"/>
    <cellStyle name="Normal 23 3 3 3 3" xfId="40291"/>
    <cellStyle name="Normal 23 3 3 4" xfId="17727"/>
    <cellStyle name="Normal 23 3 3 5" xfId="32770"/>
    <cellStyle name="Normal 23 3 4" xfId="4565"/>
    <cellStyle name="Normal 23 3 4 2" xfId="12088"/>
    <cellStyle name="Normal 23 3 4 2 2" xfId="27132"/>
    <cellStyle name="Normal 23 3 4 2 3" xfId="42175"/>
    <cellStyle name="Normal 23 3 4 3" xfId="19611"/>
    <cellStyle name="Normal 23 3 4 4" xfId="34654"/>
    <cellStyle name="Normal 23 3 5" xfId="8339"/>
    <cellStyle name="Normal 23 3 5 2" xfId="23383"/>
    <cellStyle name="Normal 23 3 5 3" xfId="38426"/>
    <cellStyle name="Normal 23 3 6" xfId="15862"/>
    <cellStyle name="Normal 23 3 7" xfId="30905"/>
    <cellStyle name="Normal 23 4" xfId="1244"/>
    <cellStyle name="Normal 23 4 2" xfId="3115"/>
    <cellStyle name="Normal 23 4 2 2" xfId="6910"/>
    <cellStyle name="Normal 23 4 2 2 2" xfId="14433"/>
    <cellStyle name="Normal 23 4 2 2 2 2" xfId="29477"/>
    <cellStyle name="Normal 23 4 2 2 2 3" xfId="44520"/>
    <cellStyle name="Normal 23 4 2 2 3" xfId="21956"/>
    <cellStyle name="Normal 23 4 2 2 4" xfId="36999"/>
    <cellStyle name="Normal 23 4 2 3" xfId="10684"/>
    <cellStyle name="Normal 23 4 2 3 2" xfId="25728"/>
    <cellStyle name="Normal 23 4 2 3 3" xfId="40771"/>
    <cellStyle name="Normal 23 4 2 4" xfId="18207"/>
    <cellStyle name="Normal 23 4 2 5" xfId="33250"/>
    <cellStyle name="Normal 23 4 3" xfId="5045"/>
    <cellStyle name="Normal 23 4 3 2" xfId="12568"/>
    <cellStyle name="Normal 23 4 3 2 2" xfId="27612"/>
    <cellStyle name="Normal 23 4 3 2 3" xfId="42655"/>
    <cellStyle name="Normal 23 4 3 3" xfId="20091"/>
    <cellStyle name="Normal 23 4 3 4" xfId="35134"/>
    <cellStyle name="Normal 23 4 4" xfId="8819"/>
    <cellStyle name="Normal 23 4 4 2" xfId="23863"/>
    <cellStyle name="Normal 23 4 4 3" xfId="38906"/>
    <cellStyle name="Normal 23 4 5" xfId="16342"/>
    <cellStyle name="Normal 23 4 6" xfId="31385"/>
    <cellStyle name="Normal 23 5" xfId="2182"/>
    <cellStyle name="Normal 23 5 2" xfId="5978"/>
    <cellStyle name="Normal 23 5 2 2" xfId="13501"/>
    <cellStyle name="Normal 23 5 2 2 2" xfId="28545"/>
    <cellStyle name="Normal 23 5 2 2 3" xfId="43588"/>
    <cellStyle name="Normal 23 5 2 3" xfId="21024"/>
    <cellStyle name="Normal 23 5 2 4" xfId="36067"/>
    <cellStyle name="Normal 23 5 3" xfId="9752"/>
    <cellStyle name="Normal 23 5 3 2" xfId="24796"/>
    <cellStyle name="Normal 23 5 3 3" xfId="39839"/>
    <cellStyle name="Normal 23 5 4" xfId="17275"/>
    <cellStyle name="Normal 23 5 5" xfId="32318"/>
    <cellStyle name="Normal 23 6" xfId="4110"/>
    <cellStyle name="Normal 23 6 2" xfId="11634"/>
    <cellStyle name="Normal 23 6 2 2" xfId="26678"/>
    <cellStyle name="Normal 23 6 2 3" xfId="41721"/>
    <cellStyle name="Normal 23 6 3" xfId="19157"/>
    <cellStyle name="Normal 23 6 4" xfId="34200"/>
    <cellStyle name="Normal 23 7" xfId="7873"/>
    <cellStyle name="Normal 23 7 2" xfId="22917"/>
    <cellStyle name="Normal 23 7 3" xfId="37960"/>
    <cellStyle name="Normal 23 8" xfId="15396"/>
    <cellStyle name="Normal 23 9" xfId="30439"/>
    <cellStyle name="Normal 24" xfId="212"/>
    <cellStyle name="Normal 24 2" xfId="213"/>
    <cellStyle name="Normal 24 2 2" xfId="740"/>
    <cellStyle name="Normal 24 2 2 2" xfId="1699"/>
    <cellStyle name="Normal 24 2 2 2 2" xfId="3570"/>
    <cellStyle name="Normal 24 2 2 2 2 2" xfId="7365"/>
    <cellStyle name="Normal 24 2 2 2 2 2 2" xfId="14888"/>
    <cellStyle name="Normal 24 2 2 2 2 2 2 2" xfId="29932"/>
    <cellStyle name="Normal 24 2 2 2 2 2 2 3" xfId="44975"/>
    <cellStyle name="Normal 24 2 2 2 2 2 3" xfId="22411"/>
    <cellStyle name="Normal 24 2 2 2 2 2 4" xfId="37454"/>
    <cellStyle name="Normal 24 2 2 2 2 3" xfId="11139"/>
    <cellStyle name="Normal 24 2 2 2 2 3 2" xfId="26183"/>
    <cellStyle name="Normal 24 2 2 2 2 3 3" xfId="41226"/>
    <cellStyle name="Normal 24 2 2 2 2 4" xfId="18662"/>
    <cellStyle name="Normal 24 2 2 2 2 5" xfId="33705"/>
    <cellStyle name="Normal 24 2 2 2 3" xfId="5500"/>
    <cellStyle name="Normal 24 2 2 2 3 2" xfId="13023"/>
    <cellStyle name="Normal 24 2 2 2 3 2 2" xfId="28067"/>
    <cellStyle name="Normal 24 2 2 2 3 2 3" xfId="43110"/>
    <cellStyle name="Normal 24 2 2 2 3 3" xfId="20546"/>
    <cellStyle name="Normal 24 2 2 2 3 4" xfId="35589"/>
    <cellStyle name="Normal 24 2 2 2 4" xfId="9274"/>
    <cellStyle name="Normal 24 2 2 2 4 2" xfId="24318"/>
    <cellStyle name="Normal 24 2 2 2 4 3" xfId="39361"/>
    <cellStyle name="Normal 24 2 2 2 5" xfId="16797"/>
    <cellStyle name="Normal 24 2 2 2 6" xfId="31840"/>
    <cellStyle name="Normal 24 2 2 3" xfId="2638"/>
    <cellStyle name="Normal 24 2 2 3 2" xfId="6433"/>
    <cellStyle name="Normal 24 2 2 3 2 2" xfId="13956"/>
    <cellStyle name="Normal 24 2 2 3 2 2 2" xfId="29000"/>
    <cellStyle name="Normal 24 2 2 3 2 2 3" xfId="44043"/>
    <cellStyle name="Normal 24 2 2 3 2 3" xfId="21479"/>
    <cellStyle name="Normal 24 2 2 3 2 4" xfId="36522"/>
    <cellStyle name="Normal 24 2 2 3 3" xfId="10207"/>
    <cellStyle name="Normal 24 2 2 3 3 2" xfId="25251"/>
    <cellStyle name="Normal 24 2 2 3 3 3" xfId="40294"/>
    <cellStyle name="Normal 24 2 2 3 4" xfId="17730"/>
    <cellStyle name="Normal 24 2 2 3 5" xfId="32773"/>
    <cellStyle name="Normal 24 2 2 4" xfId="4568"/>
    <cellStyle name="Normal 24 2 2 4 2" xfId="12091"/>
    <cellStyle name="Normal 24 2 2 4 2 2" xfId="27135"/>
    <cellStyle name="Normal 24 2 2 4 2 3" xfId="42178"/>
    <cellStyle name="Normal 24 2 2 4 3" xfId="19614"/>
    <cellStyle name="Normal 24 2 2 4 4" xfId="34657"/>
    <cellStyle name="Normal 24 2 2 5" xfId="8342"/>
    <cellStyle name="Normal 24 2 2 5 2" xfId="23386"/>
    <cellStyle name="Normal 24 2 2 5 3" xfId="38429"/>
    <cellStyle name="Normal 24 2 2 6" xfId="15865"/>
    <cellStyle name="Normal 24 2 2 7" xfId="30908"/>
    <cellStyle name="Normal 24 2 3" xfId="1247"/>
    <cellStyle name="Normal 24 2 3 2" xfId="3118"/>
    <cellStyle name="Normal 24 2 3 2 2" xfId="6913"/>
    <cellStyle name="Normal 24 2 3 2 2 2" xfId="14436"/>
    <cellStyle name="Normal 24 2 3 2 2 2 2" xfId="29480"/>
    <cellStyle name="Normal 24 2 3 2 2 2 3" xfId="44523"/>
    <cellStyle name="Normal 24 2 3 2 2 3" xfId="21959"/>
    <cellStyle name="Normal 24 2 3 2 2 4" xfId="37002"/>
    <cellStyle name="Normal 24 2 3 2 3" xfId="10687"/>
    <cellStyle name="Normal 24 2 3 2 3 2" xfId="25731"/>
    <cellStyle name="Normal 24 2 3 2 3 3" xfId="40774"/>
    <cellStyle name="Normal 24 2 3 2 4" xfId="18210"/>
    <cellStyle name="Normal 24 2 3 2 5" xfId="33253"/>
    <cellStyle name="Normal 24 2 3 3" xfId="5048"/>
    <cellStyle name="Normal 24 2 3 3 2" xfId="12571"/>
    <cellStyle name="Normal 24 2 3 3 2 2" xfId="27615"/>
    <cellStyle name="Normal 24 2 3 3 2 3" xfId="42658"/>
    <cellStyle name="Normal 24 2 3 3 3" xfId="20094"/>
    <cellStyle name="Normal 24 2 3 3 4" xfId="35137"/>
    <cellStyle name="Normal 24 2 3 4" xfId="8822"/>
    <cellStyle name="Normal 24 2 3 4 2" xfId="23866"/>
    <cellStyle name="Normal 24 2 3 4 3" xfId="38909"/>
    <cellStyle name="Normal 24 2 3 5" xfId="16345"/>
    <cellStyle name="Normal 24 2 3 6" xfId="31388"/>
    <cellStyle name="Normal 24 2 4" xfId="2185"/>
    <cellStyle name="Normal 24 2 4 2" xfId="5981"/>
    <cellStyle name="Normal 24 2 4 2 2" xfId="13504"/>
    <cellStyle name="Normal 24 2 4 2 2 2" xfId="28548"/>
    <cellStyle name="Normal 24 2 4 2 2 3" xfId="43591"/>
    <cellStyle name="Normal 24 2 4 2 3" xfId="21027"/>
    <cellStyle name="Normal 24 2 4 2 4" xfId="36070"/>
    <cellStyle name="Normal 24 2 4 3" xfId="9755"/>
    <cellStyle name="Normal 24 2 4 3 2" xfId="24799"/>
    <cellStyle name="Normal 24 2 4 3 3" xfId="39842"/>
    <cellStyle name="Normal 24 2 4 4" xfId="17278"/>
    <cellStyle name="Normal 24 2 4 5" xfId="32321"/>
    <cellStyle name="Normal 24 2 5" xfId="4113"/>
    <cellStyle name="Normal 24 2 5 2" xfId="11637"/>
    <cellStyle name="Normal 24 2 5 2 2" xfId="26681"/>
    <cellStyle name="Normal 24 2 5 2 3" xfId="41724"/>
    <cellStyle name="Normal 24 2 5 3" xfId="19160"/>
    <cellStyle name="Normal 24 2 5 4" xfId="34203"/>
    <cellStyle name="Normal 24 2 6" xfId="7876"/>
    <cellStyle name="Normal 24 2 6 2" xfId="22920"/>
    <cellStyle name="Normal 24 2 6 3" xfId="37963"/>
    <cellStyle name="Normal 24 2 7" xfId="15399"/>
    <cellStyle name="Normal 24 2 8" xfId="30442"/>
    <cellStyle name="Normal 24 3" xfId="739"/>
    <cellStyle name="Normal 24 3 2" xfId="1698"/>
    <cellStyle name="Normal 24 3 2 2" xfId="3569"/>
    <cellStyle name="Normal 24 3 2 2 2" xfId="7364"/>
    <cellStyle name="Normal 24 3 2 2 2 2" xfId="14887"/>
    <cellStyle name="Normal 24 3 2 2 2 2 2" xfId="29931"/>
    <cellStyle name="Normal 24 3 2 2 2 2 3" xfId="44974"/>
    <cellStyle name="Normal 24 3 2 2 2 3" xfId="22410"/>
    <cellStyle name="Normal 24 3 2 2 2 4" xfId="37453"/>
    <cellStyle name="Normal 24 3 2 2 3" xfId="11138"/>
    <cellStyle name="Normal 24 3 2 2 3 2" xfId="26182"/>
    <cellStyle name="Normal 24 3 2 2 3 3" xfId="41225"/>
    <cellStyle name="Normal 24 3 2 2 4" xfId="18661"/>
    <cellStyle name="Normal 24 3 2 2 5" xfId="33704"/>
    <cellStyle name="Normal 24 3 2 3" xfId="5499"/>
    <cellStyle name="Normal 24 3 2 3 2" xfId="13022"/>
    <cellStyle name="Normal 24 3 2 3 2 2" xfId="28066"/>
    <cellStyle name="Normal 24 3 2 3 2 3" xfId="43109"/>
    <cellStyle name="Normal 24 3 2 3 3" xfId="20545"/>
    <cellStyle name="Normal 24 3 2 3 4" xfId="35588"/>
    <cellStyle name="Normal 24 3 2 4" xfId="9273"/>
    <cellStyle name="Normal 24 3 2 4 2" xfId="24317"/>
    <cellStyle name="Normal 24 3 2 4 3" xfId="39360"/>
    <cellStyle name="Normal 24 3 2 5" xfId="16796"/>
    <cellStyle name="Normal 24 3 2 6" xfId="31839"/>
    <cellStyle name="Normal 24 3 3" xfId="2637"/>
    <cellStyle name="Normal 24 3 3 2" xfId="6432"/>
    <cellStyle name="Normal 24 3 3 2 2" xfId="13955"/>
    <cellStyle name="Normal 24 3 3 2 2 2" xfId="28999"/>
    <cellStyle name="Normal 24 3 3 2 2 3" xfId="44042"/>
    <cellStyle name="Normal 24 3 3 2 3" xfId="21478"/>
    <cellStyle name="Normal 24 3 3 2 4" xfId="36521"/>
    <cellStyle name="Normal 24 3 3 3" xfId="10206"/>
    <cellStyle name="Normal 24 3 3 3 2" xfId="25250"/>
    <cellStyle name="Normal 24 3 3 3 3" xfId="40293"/>
    <cellStyle name="Normal 24 3 3 4" xfId="17729"/>
    <cellStyle name="Normal 24 3 3 5" xfId="32772"/>
    <cellStyle name="Normal 24 3 4" xfId="4567"/>
    <cellStyle name="Normal 24 3 4 2" xfId="12090"/>
    <cellStyle name="Normal 24 3 4 2 2" xfId="27134"/>
    <cellStyle name="Normal 24 3 4 2 3" xfId="42177"/>
    <cellStyle name="Normal 24 3 4 3" xfId="19613"/>
    <cellStyle name="Normal 24 3 4 4" xfId="34656"/>
    <cellStyle name="Normal 24 3 5" xfId="8341"/>
    <cellStyle name="Normal 24 3 5 2" xfId="23385"/>
    <cellStyle name="Normal 24 3 5 3" xfId="38428"/>
    <cellStyle name="Normal 24 3 6" xfId="15864"/>
    <cellStyle name="Normal 24 3 7" xfId="30907"/>
    <cellStyle name="Normal 24 4" xfId="1246"/>
    <cellStyle name="Normal 24 4 2" xfId="3117"/>
    <cellStyle name="Normal 24 4 2 2" xfId="6912"/>
    <cellStyle name="Normal 24 4 2 2 2" xfId="14435"/>
    <cellStyle name="Normal 24 4 2 2 2 2" xfId="29479"/>
    <cellStyle name="Normal 24 4 2 2 2 3" xfId="44522"/>
    <cellStyle name="Normal 24 4 2 2 3" xfId="21958"/>
    <cellStyle name="Normal 24 4 2 2 4" xfId="37001"/>
    <cellStyle name="Normal 24 4 2 3" xfId="10686"/>
    <cellStyle name="Normal 24 4 2 3 2" xfId="25730"/>
    <cellStyle name="Normal 24 4 2 3 3" xfId="40773"/>
    <cellStyle name="Normal 24 4 2 4" xfId="18209"/>
    <cellStyle name="Normal 24 4 2 5" xfId="33252"/>
    <cellStyle name="Normal 24 4 3" xfId="5047"/>
    <cellStyle name="Normal 24 4 3 2" xfId="12570"/>
    <cellStyle name="Normal 24 4 3 2 2" xfId="27614"/>
    <cellStyle name="Normal 24 4 3 2 3" xfId="42657"/>
    <cellStyle name="Normal 24 4 3 3" xfId="20093"/>
    <cellStyle name="Normal 24 4 3 4" xfId="35136"/>
    <cellStyle name="Normal 24 4 4" xfId="8821"/>
    <cellStyle name="Normal 24 4 4 2" xfId="23865"/>
    <cellStyle name="Normal 24 4 4 3" xfId="38908"/>
    <cellStyle name="Normal 24 4 5" xfId="16344"/>
    <cellStyle name="Normal 24 4 6" xfId="31387"/>
    <cellStyle name="Normal 24 5" xfId="2184"/>
    <cellStyle name="Normal 24 5 2" xfId="5980"/>
    <cellStyle name="Normal 24 5 2 2" xfId="13503"/>
    <cellStyle name="Normal 24 5 2 2 2" xfId="28547"/>
    <cellStyle name="Normal 24 5 2 2 3" xfId="43590"/>
    <cellStyle name="Normal 24 5 2 3" xfId="21026"/>
    <cellStyle name="Normal 24 5 2 4" xfId="36069"/>
    <cellStyle name="Normal 24 5 3" xfId="9754"/>
    <cellStyle name="Normal 24 5 3 2" xfId="24798"/>
    <cellStyle name="Normal 24 5 3 3" xfId="39841"/>
    <cellStyle name="Normal 24 5 4" xfId="17277"/>
    <cellStyle name="Normal 24 5 5" xfId="32320"/>
    <cellStyle name="Normal 24 6" xfId="4112"/>
    <cellStyle name="Normal 24 6 2" xfId="11636"/>
    <cellStyle name="Normal 24 6 2 2" xfId="26680"/>
    <cellStyle name="Normal 24 6 2 3" xfId="41723"/>
    <cellStyle name="Normal 24 6 3" xfId="19159"/>
    <cellStyle name="Normal 24 6 4" xfId="34202"/>
    <cellStyle name="Normal 24 7" xfId="7875"/>
    <cellStyle name="Normal 24 7 2" xfId="22919"/>
    <cellStyle name="Normal 24 7 3" xfId="37962"/>
    <cellStyle name="Normal 24 8" xfId="15398"/>
    <cellStyle name="Normal 24 9" xfId="30441"/>
    <cellStyle name="Normal 25" xfId="214"/>
    <cellStyle name="Normal 25 2" xfId="215"/>
    <cellStyle name="Normal 25 2 2" xfId="742"/>
    <cellStyle name="Normal 25 2 2 2" xfId="1701"/>
    <cellStyle name="Normal 25 2 2 2 2" xfId="3572"/>
    <cellStyle name="Normal 25 2 2 2 2 2" xfId="7367"/>
    <cellStyle name="Normal 25 2 2 2 2 2 2" xfId="14890"/>
    <cellStyle name="Normal 25 2 2 2 2 2 2 2" xfId="29934"/>
    <cellStyle name="Normal 25 2 2 2 2 2 2 3" xfId="44977"/>
    <cellStyle name="Normal 25 2 2 2 2 2 3" xfId="22413"/>
    <cellStyle name="Normal 25 2 2 2 2 2 4" xfId="37456"/>
    <cellStyle name="Normal 25 2 2 2 2 3" xfId="11141"/>
    <cellStyle name="Normal 25 2 2 2 2 3 2" xfId="26185"/>
    <cellStyle name="Normal 25 2 2 2 2 3 3" xfId="41228"/>
    <cellStyle name="Normal 25 2 2 2 2 4" xfId="18664"/>
    <cellStyle name="Normal 25 2 2 2 2 5" xfId="33707"/>
    <cellStyle name="Normal 25 2 2 2 3" xfId="5502"/>
    <cellStyle name="Normal 25 2 2 2 3 2" xfId="13025"/>
    <cellStyle name="Normal 25 2 2 2 3 2 2" xfId="28069"/>
    <cellStyle name="Normal 25 2 2 2 3 2 3" xfId="43112"/>
    <cellStyle name="Normal 25 2 2 2 3 3" xfId="20548"/>
    <cellStyle name="Normal 25 2 2 2 3 4" xfId="35591"/>
    <cellStyle name="Normal 25 2 2 2 4" xfId="9276"/>
    <cellStyle name="Normal 25 2 2 2 4 2" xfId="24320"/>
    <cellStyle name="Normal 25 2 2 2 4 3" xfId="39363"/>
    <cellStyle name="Normal 25 2 2 2 5" xfId="16799"/>
    <cellStyle name="Normal 25 2 2 2 6" xfId="31842"/>
    <cellStyle name="Normal 25 2 2 3" xfId="2640"/>
    <cellStyle name="Normal 25 2 2 3 2" xfId="6435"/>
    <cellStyle name="Normal 25 2 2 3 2 2" xfId="13958"/>
    <cellStyle name="Normal 25 2 2 3 2 2 2" xfId="29002"/>
    <cellStyle name="Normal 25 2 2 3 2 2 3" xfId="44045"/>
    <cellStyle name="Normal 25 2 2 3 2 3" xfId="21481"/>
    <cellStyle name="Normal 25 2 2 3 2 4" xfId="36524"/>
    <cellStyle name="Normal 25 2 2 3 3" xfId="10209"/>
    <cellStyle name="Normal 25 2 2 3 3 2" xfId="25253"/>
    <cellStyle name="Normal 25 2 2 3 3 3" xfId="40296"/>
    <cellStyle name="Normal 25 2 2 3 4" xfId="17732"/>
    <cellStyle name="Normal 25 2 2 3 5" xfId="32775"/>
    <cellStyle name="Normal 25 2 2 4" xfId="4570"/>
    <cellStyle name="Normal 25 2 2 4 2" xfId="12093"/>
    <cellStyle name="Normal 25 2 2 4 2 2" xfId="27137"/>
    <cellStyle name="Normal 25 2 2 4 2 3" xfId="42180"/>
    <cellStyle name="Normal 25 2 2 4 3" xfId="19616"/>
    <cellStyle name="Normal 25 2 2 4 4" xfId="34659"/>
    <cellStyle name="Normal 25 2 2 5" xfId="8344"/>
    <cellStyle name="Normal 25 2 2 5 2" xfId="23388"/>
    <cellStyle name="Normal 25 2 2 5 3" xfId="38431"/>
    <cellStyle name="Normal 25 2 2 6" xfId="15867"/>
    <cellStyle name="Normal 25 2 2 7" xfId="30910"/>
    <cellStyle name="Normal 25 2 3" xfId="1249"/>
    <cellStyle name="Normal 25 2 3 2" xfId="3120"/>
    <cellStyle name="Normal 25 2 3 2 2" xfId="6915"/>
    <cellStyle name="Normal 25 2 3 2 2 2" xfId="14438"/>
    <cellStyle name="Normal 25 2 3 2 2 2 2" xfId="29482"/>
    <cellStyle name="Normal 25 2 3 2 2 2 3" xfId="44525"/>
    <cellStyle name="Normal 25 2 3 2 2 3" xfId="21961"/>
    <cellStyle name="Normal 25 2 3 2 2 4" xfId="37004"/>
    <cellStyle name="Normal 25 2 3 2 3" xfId="10689"/>
    <cellStyle name="Normal 25 2 3 2 3 2" xfId="25733"/>
    <cellStyle name="Normal 25 2 3 2 3 3" xfId="40776"/>
    <cellStyle name="Normal 25 2 3 2 4" xfId="18212"/>
    <cellStyle name="Normal 25 2 3 2 5" xfId="33255"/>
    <cellStyle name="Normal 25 2 3 3" xfId="5050"/>
    <cellStyle name="Normal 25 2 3 3 2" xfId="12573"/>
    <cellStyle name="Normal 25 2 3 3 2 2" xfId="27617"/>
    <cellStyle name="Normal 25 2 3 3 2 3" xfId="42660"/>
    <cellStyle name="Normal 25 2 3 3 3" xfId="20096"/>
    <cellStyle name="Normal 25 2 3 3 4" xfId="35139"/>
    <cellStyle name="Normal 25 2 3 4" xfId="8824"/>
    <cellStyle name="Normal 25 2 3 4 2" xfId="23868"/>
    <cellStyle name="Normal 25 2 3 4 3" xfId="38911"/>
    <cellStyle name="Normal 25 2 3 5" xfId="16347"/>
    <cellStyle name="Normal 25 2 3 6" xfId="31390"/>
    <cellStyle name="Normal 25 2 4" xfId="2187"/>
    <cellStyle name="Normal 25 2 4 2" xfId="5983"/>
    <cellStyle name="Normal 25 2 4 2 2" xfId="13506"/>
    <cellStyle name="Normal 25 2 4 2 2 2" xfId="28550"/>
    <cellStyle name="Normal 25 2 4 2 2 3" xfId="43593"/>
    <cellStyle name="Normal 25 2 4 2 3" xfId="21029"/>
    <cellStyle name="Normal 25 2 4 2 4" xfId="36072"/>
    <cellStyle name="Normal 25 2 4 3" xfId="9757"/>
    <cellStyle name="Normal 25 2 4 3 2" xfId="24801"/>
    <cellStyle name="Normal 25 2 4 3 3" xfId="39844"/>
    <cellStyle name="Normal 25 2 4 4" xfId="17280"/>
    <cellStyle name="Normal 25 2 4 5" xfId="32323"/>
    <cellStyle name="Normal 25 2 5" xfId="4115"/>
    <cellStyle name="Normal 25 2 5 2" xfId="11639"/>
    <cellStyle name="Normal 25 2 5 2 2" xfId="26683"/>
    <cellStyle name="Normal 25 2 5 2 3" xfId="41726"/>
    <cellStyle name="Normal 25 2 5 3" xfId="19162"/>
    <cellStyle name="Normal 25 2 5 4" xfId="34205"/>
    <cellStyle name="Normal 25 2 6" xfId="7878"/>
    <cellStyle name="Normal 25 2 6 2" xfId="22922"/>
    <cellStyle name="Normal 25 2 6 3" xfId="37965"/>
    <cellStyle name="Normal 25 2 7" xfId="15401"/>
    <cellStyle name="Normal 25 2 8" xfId="30444"/>
    <cellStyle name="Normal 25 3" xfId="741"/>
    <cellStyle name="Normal 25 3 2" xfId="1700"/>
    <cellStyle name="Normal 25 3 2 2" xfId="3571"/>
    <cellStyle name="Normal 25 3 2 2 2" xfId="7366"/>
    <cellStyle name="Normal 25 3 2 2 2 2" xfId="14889"/>
    <cellStyle name="Normal 25 3 2 2 2 2 2" xfId="29933"/>
    <cellStyle name="Normal 25 3 2 2 2 2 3" xfId="44976"/>
    <cellStyle name="Normal 25 3 2 2 2 3" xfId="22412"/>
    <cellStyle name="Normal 25 3 2 2 2 4" xfId="37455"/>
    <cellStyle name="Normal 25 3 2 2 3" xfId="11140"/>
    <cellStyle name="Normal 25 3 2 2 3 2" xfId="26184"/>
    <cellStyle name="Normal 25 3 2 2 3 3" xfId="41227"/>
    <cellStyle name="Normal 25 3 2 2 4" xfId="18663"/>
    <cellStyle name="Normal 25 3 2 2 5" xfId="33706"/>
    <cellStyle name="Normal 25 3 2 3" xfId="5501"/>
    <cellStyle name="Normal 25 3 2 3 2" xfId="13024"/>
    <cellStyle name="Normal 25 3 2 3 2 2" xfId="28068"/>
    <cellStyle name="Normal 25 3 2 3 2 3" xfId="43111"/>
    <cellStyle name="Normal 25 3 2 3 3" xfId="20547"/>
    <cellStyle name="Normal 25 3 2 3 4" xfId="35590"/>
    <cellStyle name="Normal 25 3 2 4" xfId="9275"/>
    <cellStyle name="Normal 25 3 2 4 2" xfId="24319"/>
    <cellStyle name="Normal 25 3 2 4 3" xfId="39362"/>
    <cellStyle name="Normal 25 3 2 5" xfId="16798"/>
    <cellStyle name="Normal 25 3 2 6" xfId="31841"/>
    <cellStyle name="Normal 25 3 3" xfId="2639"/>
    <cellStyle name="Normal 25 3 3 2" xfId="6434"/>
    <cellStyle name="Normal 25 3 3 2 2" xfId="13957"/>
    <cellStyle name="Normal 25 3 3 2 2 2" xfId="29001"/>
    <cellStyle name="Normal 25 3 3 2 2 3" xfId="44044"/>
    <cellStyle name="Normal 25 3 3 2 3" xfId="21480"/>
    <cellStyle name="Normal 25 3 3 2 4" xfId="36523"/>
    <cellStyle name="Normal 25 3 3 3" xfId="10208"/>
    <cellStyle name="Normal 25 3 3 3 2" xfId="25252"/>
    <cellStyle name="Normal 25 3 3 3 3" xfId="40295"/>
    <cellStyle name="Normal 25 3 3 4" xfId="17731"/>
    <cellStyle name="Normal 25 3 3 5" xfId="32774"/>
    <cellStyle name="Normal 25 3 4" xfId="4569"/>
    <cellStyle name="Normal 25 3 4 2" xfId="12092"/>
    <cellStyle name="Normal 25 3 4 2 2" xfId="27136"/>
    <cellStyle name="Normal 25 3 4 2 3" xfId="42179"/>
    <cellStyle name="Normal 25 3 4 3" xfId="19615"/>
    <cellStyle name="Normal 25 3 4 4" xfId="34658"/>
    <cellStyle name="Normal 25 3 5" xfId="8343"/>
    <cellStyle name="Normal 25 3 5 2" xfId="23387"/>
    <cellStyle name="Normal 25 3 5 3" xfId="38430"/>
    <cellStyle name="Normal 25 3 6" xfId="15866"/>
    <cellStyle name="Normal 25 3 7" xfId="30909"/>
    <cellStyle name="Normal 25 4" xfId="1248"/>
    <cellStyle name="Normal 25 4 2" xfId="3119"/>
    <cellStyle name="Normal 25 4 2 2" xfId="6914"/>
    <cellStyle name="Normal 25 4 2 2 2" xfId="14437"/>
    <cellStyle name="Normal 25 4 2 2 2 2" xfId="29481"/>
    <cellStyle name="Normal 25 4 2 2 2 3" xfId="44524"/>
    <cellStyle name="Normal 25 4 2 2 3" xfId="21960"/>
    <cellStyle name="Normal 25 4 2 2 4" xfId="37003"/>
    <cellStyle name="Normal 25 4 2 3" xfId="10688"/>
    <cellStyle name="Normal 25 4 2 3 2" xfId="25732"/>
    <cellStyle name="Normal 25 4 2 3 3" xfId="40775"/>
    <cellStyle name="Normal 25 4 2 4" xfId="18211"/>
    <cellStyle name="Normal 25 4 2 5" xfId="33254"/>
    <cellStyle name="Normal 25 4 3" xfId="5049"/>
    <cellStyle name="Normal 25 4 3 2" xfId="12572"/>
    <cellStyle name="Normal 25 4 3 2 2" xfId="27616"/>
    <cellStyle name="Normal 25 4 3 2 3" xfId="42659"/>
    <cellStyle name="Normal 25 4 3 3" xfId="20095"/>
    <cellStyle name="Normal 25 4 3 4" xfId="35138"/>
    <cellStyle name="Normal 25 4 4" xfId="8823"/>
    <cellStyle name="Normal 25 4 4 2" xfId="23867"/>
    <cellStyle name="Normal 25 4 4 3" xfId="38910"/>
    <cellStyle name="Normal 25 4 5" xfId="16346"/>
    <cellStyle name="Normal 25 4 6" xfId="31389"/>
    <cellStyle name="Normal 25 5" xfId="2186"/>
    <cellStyle name="Normal 25 5 2" xfId="5982"/>
    <cellStyle name="Normal 25 5 2 2" xfId="13505"/>
    <cellStyle name="Normal 25 5 2 2 2" xfId="28549"/>
    <cellStyle name="Normal 25 5 2 2 3" xfId="43592"/>
    <cellStyle name="Normal 25 5 2 3" xfId="21028"/>
    <cellStyle name="Normal 25 5 2 4" xfId="36071"/>
    <cellStyle name="Normal 25 5 3" xfId="9756"/>
    <cellStyle name="Normal 25 5 3 2" xfId="24800"/>
    <cellStyle name="Normal 25 5 3 3" xfId="39843"/>
    <cellStyle name="Normal 25 5 4" xfId="17279"/>
    <cellStyle name="Normal 25 5 5" xfId="32322"/>
    <cellStyle name="Normal 25 6" xfId="4114"/>
    <cellStyle name="Normal 25 6 2" xfId="11638"/>
    <cellStyle name="Normal 25 6 2 2" xfId="26682"/>
    <cellStyle name="Normal 25 6 2 3" xfId="41725"/>
    <cellStyle name="Normal 25 6 3" xfId="19161"/>
    <cellStyle name="Normal 25 6 4" xfId="34204"/>
    <cellStyle name="Normal 25 7" xfId="7877"/>
    <cellStyle name="Normal 25 7 2" xfId="22921"/>
    <cellStyle name="Normal 25 7 3" xfId="37964"/>
    <cellStyle name="Normal 25 8" xfId="15400"/>
    <cellStyle name="Normal 25 9" xfId="30443"/>
    <cellStyle name="Normal 26" xfId="216"/>
    <cellStyle name="Normal 27" xfId="217"/>
    <cellStyle name="Normal 27 2" xfId="605"/>
    <cellStyle name="Normal 28" xfId="218"/>
    <cellStyle name="Normal 28 2" xfId="219"/>
    <cellStyle name="Normal 28 2 2" xfId="744"/>
    <cellStyle name="Normal 28 2 2 2" xfId="1703"/>
    <cellStyle name="Normal 28 2 2 2 2" xfId="3574"/>
    <cellStyle name="Normal 28 2 2 2 2 2" xfId="7369"/>
    <cellStyle name="Normal 28 2 2 2 2 2 2" xfId="14892"/>
    <cellStyle name="Normal 28 2 2 2 2 2 2 2" xfId="29936"/>
    <cellStyle name="Normal 28 2 2 2 2 2 2 3" xfId="44979"/>
    <cellStyle name="Normal 28 2 2 2 2 2 3" xfId="22415"/>
    <cellStyle name="Normal 28 2 2 2 2 2 4" xfId="37458"/>
    <cellStyle name="Normal 28 2 2 2 2 3" xfId="11143"/>
    <cellStyle name="Normal 28 2 2 2 2 3 2" xfId="26187"/>
    <cellStyle name="Normal 28 2 2 2 2 3 3" xfId="41230"/>
    <cellStyle name="Normal 28 2 2 2 2 4" xfId="18666"/>
    <cellStyle name="Normal 28 2 2 2 2 5" xfId="33709"/>
    <cellStyle name="Normal 28 2 2 2 3" xfId="5504"/>
    <cellStyle name="Normal 28 2 2 2 3 2" xfId="13027"/>
    <cellStyle name="Normal 28 2 2 2 3 2 2" xfId="28071"/>
    <cellStyle name="Normal 28 2 2 2 3 2 3" xfId="43114"/>
    <cellStyle name="Normal 28 2 2 2 3 3" xfId="20550"/>
    <cellStyle name="Normal 28 2 2 2 3 4" xfId="35593"/>
    <cellStyle name="Normal 28 2 2 2 4" xfId="9278"/>
    <cellStyle name="Normal 28 2 2 2 4 2" xfId="24322"/>
    <cellStyle name="Normal 28 2 2 2 4 3" xfId="39365"/>
    <cellStyle name="Normal 28 2 2 2 5" xfId="16801"/>
    <cellStyle name="Normal 28 2 2 2 6" xfId="31844"/>
    <cellStyle name="Normal 28 2 2 3" xfId="2642"/>
    <cellStyle name="Normal 28 2 2 3 2" xfId="6437"/>
    <cellStyle name="Normal 28 2 2 3 2 2" xfId="13960"/>
    <cellStyle name="Normal 28 2 2 3 2 2 2" xfId="29004"/>
    <cellStyle name="Normal 28 2 2 3 2 2 3" xfId="44047"/>
    <cellStyle name="Normal 28 2 2 3 2 3" xfId="21483"/>
    <cellStyle name="Normal 28 2 2 3 2 4" xfId="36526"/>
    <cellStyle name="Normal 28 2 2 3 3" xfId="10211"/>
    <cellStyle name="Normal 28 2 2 3 3 2" xfId="25255"/>
    <cellStyle name="Normal 28 2 2 3 3 3" xfId="40298"/>
    <cellStyle name="Normal 28 2 2 3 4" xfId="17734"/>
    <cellStyle name="Normal 28 2 2 3 5" xfId="32777"/>
    <cellStyle name="Normal 28 2 2 4" xfId="4572"/>
    <cellStyle name="Normal 28 2 2 4 2" xfId="12095"/>
    <cellStyle name="Normal 28 2 2 4 2 2" xfId="27139"/>
    <cellStyle name="Normal 28 2 2 4 2 3" xfId="42182"/>
    <cellStyle name="Normal 28 2 2 4 3" xfId="19618"/>
    <cellStyle name="Normal 28 2 2 4 4" xfId="34661"/>
    <cellStyle name="Normal 28 2 2 5" xfId="8346"/>
    <cellStyle name="Normal 28 2 2 5 2" xfId="23390"/>
    <cellStyle name="Normal 28 2 2 5 3" xfId="38433"/>
    <cellStyle name="Normal 28 2 2 6" xfId="15869"/>
    <cellStyle name="Normal 28 2 2 7" xfId="30912"/>
    <cellStyle name="Normal 28 2 3" xfId="1251"/>
    <cellStyle name="Normal 28 2 3 2" xfId="3122"/>
    <cellStyle name="Normal 28 2 3 2 2" xfId="6917"/>
    <cellStyle name="Normal 28 2 3 2 2 2" xfId="14440"/>
    <cellStyle name="Normal 28 2 3 2 2 2 2" xfId="29484"/>
    <cellStyle name="Normal 28 2 3 2 2 2 3" xfId="44527"/>
    <cellStyle name="Normal 28 2 3 2 2 3" xfId="21963"/>
    <cellStyle name="Normal 28 2 3 2 2 4" xfId="37006"/>
    <cellStyle name="Normal 28 2 3 2 3" xfId="10691"/>
    <cellStyle name="Normal 28 2 3 2 3 2" xfId="25735"/>
    <cellStyle name="Normal 28 2 3 2 3 3" xfId="40778"/>
    <cellStyle name="Normal 28 2 3 2 4" xfId="18214"/>
    <cellStyle name="Normal 28 2 3 2 5" xfId="33257"/>
    <cellStyle name="Normal 28 2 3 3" xfId="5052"/>
    <cellStyle name="Normal 28 2 3 3 2" xfId="12575"/>
    <cellStyle name="Normal 28 2 3 3 2 2" xfId="27619"/>
    <cellStyle name="Normal 28 2 3 3 2 3" xfId="42662"/>
    <cellStyle name="Normal 28 2 3 3 3" xfId="20098"/>
    <cellStyle name="Normal 28 2 3 3 4" xfId="35141"/>
    <cellStyle name="Normal 28 2 3 4" xfId="8826"/>
    <cellStyle name="Normal 28 2 3 4 2" xfId="23870"/>
    <cellStyle name="Normal 28 2 3 4 3" xfId="38913"/>
    <cellStyle name="Normal 28 2 3 5" xfId="16349"/>
    <cellStyle name="Normal 28 2 3 6" xfId="31392"/>
    <cellStyle name="Normal 28 2 4" xfId="2189"/>
    <cellStyle name="Normal 28 2 4 2" xfId="5985"/>
    <cellStyle name="Normal 28 2 4 2 2" xfId="13508"/>
    <cellStyle name="Normal 28 2 4 2 2 2" xfId="28552"/>
    <cellStyle name="Normal 28 2 4 2 2 3" xfId="43595"/>
    <cellStyle name="Normal 28 2 4 2 3" xfId="21031"/>
    <cellStyle name="Normal 28 2 4 2 4" xfId="36074"/>
    <cellStyle name="Normal 28 2 4 3" xfId="9759"/>
    <cellStyle name="Normal 28 2 4 3 2" xfId="24803"/>
    <cellStyle name="Normal 28 2 4 3 3" xfId="39846"/>
    <cellStyle name="Normal 28 2 4 4" xfId="17282"/>
    <cellStyle name="Normal 28 2 4 5" xfId="32325"/>
    <cellStyle name="Normal 28 2 5" xfId="4117"/>
    <cellStyle name="Normal 28 2 5 2" xfId="11641"/>
    <cellStyle name="Normal 28 2 5 2 2" xfId="26685"/>
    <cellStyle name="Normal 28 2 5 2 3" xfId="41728"/>
    <cellStyle name="Normal 28 2 5 3" xfId="19164"/>
    <cellStyle name="Normal 28 2 5 4" xfId="34207"/>
    <cellStyle name="Normal 28 2 6" xfId="7880"/>
    <cellStyle name="Normal 28 2 6 2" xfId="22924"/>
    <cellStyle name="Normal 28 2 6 3" xfId="37967"/>
    <cellStyle name="Normal 28 2 7" xfId="15403"/>
    <cellStyle name="Normal 28 2 8" xfId="30446"/>
    <cellStyle name="Normal 28 3" xfId="743"/>
    <cellStyle name="Normal 28 3 2" xfId="1702"/>
    <cellStyle name="Normal 28 3 2 2" xfId="3573"/>
    <cellStyle name="Normal 28 3 2 2 2" xfId="7368"/>
    <cellStyle name="Normal 28 3 2 2 2 2" xfId="14891"/>
    <cellStyle name="Normal 28 3 2 2 2 2 2" xfId="29935"/>
    <cellStyle name="Normal 28 3 2 2 2 2 3" xfId="44978"/>
    <cellStyle name="Normal 28 3 2 2 2 3" xfId="22414"/>
    <cellStyle name="Normal 28 3 2 2 2 4" xfId="37457"/>
    <cellStyle name="Normal 28 3 2 2 3" xfId="11142"/>
    <cellStyle name="Normal 28 3 2 2 3 2" xfId="26186"/>
    <cellStyle name="Normal 28 3 2 2 3 3" xfId="41229"/>
    <cellStyle name="Normal 28 3 2 2 4" xfId="18665"/>
    <cellStyle name="Normal 28 3 2 2 5" xfId="33708"/>
    <cellStyle name="Normal 28 3 2 3" xfId="5503"/>
    <cellStyle name="Normal 28 3 2 3 2" xfId="13026"/>
    <cellStyle name="Normal 28 3 2 3 2 2" xfId="28070"/>
    <cellStyle name="Normal 28 3 2 3 2 3" xfId="43113"/>
    <cellStyle name="Normal 28 3 2 3 3" xfId="20549"/>
    <cellStyle name="Normal 28 3 2 3 4" xfId="35592"/>
    <cellStyle name="Normal 28 3 2 4" xfId="9277"/>
    <cellStyle name="Normal 28 3 2 4 2" xfId="24321"/>
    <cellStyle name="Normal 28 3 2 4 3" xfId="39364"/>
    <cellStyle name="Normal 28 3 2 5" xfId="16800"/>
    <cellStyle name="Normal 28 3 2 6" xfId="31843"/>
    <cellStyle name="Normal 28 3 3" xfId="2641"/>
    <cellStyle name="Normal 28 3 3 2" xfId="6436"/>
    <cellStyle name="Normal 28 3 3 2 2" xfId="13959"/>
    <cellStyle name="Normal 28 3 3 2 2 2" xfId="29003"/>
    <cellStyle name="Normal 28 3 3 2 2 3" xfId="44046"/>
    <cellStyle name="Normal 28 3 3 2 3" xfId="21482"/>
    <cellStyle name="Normal 28 3 3 2 4" xfId="36525"/>
    <cellStyle name="Normal 28 3 3 3" xfId="10210"/>
    <cellStyle name="Normal 28 3 3 3 2" xfId="25254"/>
    <cellStyle name="Normal 28 3 3 3 3" xfId="40297"/>
    <cellStyle name="Normal 28 3 3 4" xfId="17733"/>
    <cellStyle name="Normal 28 3 3 5" xfId="32776"/>
    <cellStyle name="Normal 28 3 4" xfId="4571"/>
    <cellStyle name="Normal 28 3 4 2" xfId="12094"/>
    <cellStyle name="Normal 28 3 4 2 2" xfId="27138"/>
    <cellStyle name="Normal 28 3 4 2 3" xfId="42181"/>
    <cellStyle name="Normal 28 3 4 3" xfId="19617"/>
    <cellStyle name="Normal 28 3 4 4" xfId="34660"/>
    <cellStyle name="Normal 28 3 5" xfId="8345"/>
    <cellStyle name="Normal 28 3 5 2" xfId="23389"/>
    <cellStyle name="Normal 28 3 5 3" xfId="38432"/>
    <cellStyle name="Normal 28 3 6" xfId="15868"/>
    <cellStyle name="Normal 28 3 7" xfId="30911"/>
    <cellStyle name="Normal 28 4" xfId="1250"/>
    <cellStyle name="Normal 28 4 2" xfId="3121"/>
    <cellStyle name="Normal 28 4 2 2" xfId="6916"/>
    <cellStyle name="Normal 28 4 2 2 2" xfId="14439"/>
    <cellStyle name="Normal 28 4 2 2 2 2" xfId="29483"/>
    <cellStyle name="Normal 28 4 2 2 2 3" xfId="44526"/>
    <cellStyle name="Normal 28 4 2 2 3" xfId="21962"/>
    <cellStyle name="Normal 28 4 2 2 4" xfId="37005"/>
    <cellStyle name="Normal 28 4 2 3" xfId="10690"/>
    <cellStyle name="Normal 28 4 2 3 2" xfId="25734"/>
    <cellStyle name="Normal 28 4 2 3 3" xfId="40777"/>
    <cellStyle name="Normal 28 4 2 4" xfId="18213"/>
    <cellStyle name="Normal 28 4 2 5" xfId="33256"/>
    <cellStyle name="Normal 28 4 3" xfId="5051"/>
    <cellStyle name="Normal 28 4 3 2" xfId="12574"/>
    <cellStyle name="Normal 28 4 3 2 2" xfId="27618"/>
    <cellStyle name="Normal 28 4 3 2 3" xfId="42661"/>
    <cellStyle name="Normal 28 4 3 3" xfId="20097"/>
    <cellStyle name="Normal 28 4 3 4" xfId="35140"/>
    <cellStyle name="Normal 28 4 4" xfId="8825"/>
    <cellStyle name="Normal 28 4 4 2" xfId="23869"/>
    <cellStyle name="Normal 28 4 4 3" xfId="38912"/>
    <cellStyle name="Normal 28 4 5" xfId="16348"/>
    <cellStyle name="Normal 28 4 6" xfId="31391"/>
    <cellStyle name="Normal 28 5" xfId="2188"/>
    <cellStyle name="Normal 28 5 2" xfId="5984"/>
    <cellStyle name="Normal 28 5 2 2" xfId="13507"/>
    <cellStyle name="Normal 28 5 2 2 2" xfId="28551"/>
    <cellStyle name="Normal 28 5 2 2 3" xfId="43594"/>
    <cellStyle name="Normal 28 5 2 3" xfId="21030"/>
    <cellStyle name="Normal 28 5 2 4" xfId="36073"/>
    <cellStyle name="Normal 28 5 3" xfId="9758"/>
    <cellStyle name="Normal 28 5 3 2" xfId="24802"/>
    <cellStyle name="Normal 28 5 3 3" xfId="39845"/>
    <cellStyle name="Normal 28 5 4" xfId="17281"/>
    <cellStyle name="Normal 28 5 5" xfId="32324"/>
    <cellStyle name="Normal 28 6" xfId="4116"/>
    <cellStyle name="Normal 28 6 2" xfId="11640"/>
    <cellStyle name="Normal 28 6 2 2" xfId="26684"/>
    <cellStyle name="Normal 28 6 2 3" xfId="41727"/>
    <cellStyle name="Normal 28 6 3" xfId="19163"/>
    <cellStyle name="Normal 28 6 4" xfId="34206"/>
    <cellStyle name="Normal 28 7" xfId="7879"/>
    <cellStyle name="Normal 28 7 2" xfId="22923"/>
    <cellStyle name="Normal 28 7 3" xfId="37966"/>
    <cellStyle name="Normal 28 8" xfId="15402"/>
    <cellStyle name="Normal 28 9" xfId="30445"/>
    <cellStyle name="Normal 29" xfId="606"/>
    <cellStyle name="Normal 3" xfId="5"/>
    <cellStyle name="Normal 3 10" xfId="4022"/>
    <cellStyle name="Normal 3 10 2" xfId="11546"/>
    <cellStyle name="Normal 3 10 2 2" xfId="26590"/>
    <cellStyle name="Normal 3 10 2 3" xfId="41633"/>
    <cellStyle name="Normal 3 10 3" xfId="19069"/>
    <cellStyle name="Normal 3 10 4" xfId="34112"/>
    <cellStyle name="Normal 3 11" xfId="7785"/>
    <cellStyle name="Normal 3 11 2" xfId="22829"/>
    <cellStyle name="Normal 3 11 3" xfId="37872"/>
    <cellStyle name="Normal 3 12" xfId="15308"/>
    <cellStyle name="Normal 3 13" xfId="30351"/>
    <cellStyle name="Normal 3 2" xfId="9"/>
    <cellStyle name="Normal 3 2 10" xfId="15312"/>
    <cellStyle name="Normal 3 2 11" xfId="30355"/>
    <cellStyle name="Normal 3 2 2" xfId="25"/>
    <cellStyle name="Normal 3 2 2 10" xfId="30364"/>
    <cellStyle name="Normal 3 2 2 2" xfId="44"/>
    <cellStyle name="Normal 3 2 2 2 2" xfId="681"/>
    <cellStyle name="Normal 3 2 2 2 2 2" xfId="1640"/>
    <cellStyle name="Normal 3 2 2 2 2 2 2" xfId="3511"/>
    <cellStyle name="Normal 3 2 2 2 2 2 2 2" xfId="7306"/>
    <cellStyle name="Normal 3 2 2 2 2 2 2 2 2" xfId="14829"/>
    <cellStyle name="Normal 3 2 2 2 2 2 2 2 2 2" xfId="29873"/>
    <cellStyle name="Normal 3 2 2 2 2 2 2 2 2 3" xfId="44916"/>
    <cellStyle name="Normal 3 2 2 2 2 2 2 2 3" xfId="22352"/>
    <cellStyle name="Normal 3 2 2 2 2 2 2 2 4" xfId="37395"/>
    <cellStyle name="Normal 3 2 2 2 2 2 2 3" xfId="11080"/>
    <cellStyle name="Normal 3 2 2 2 2 2 2 3 2" xfId="26124"/>
    <cellStyle name="Normal 3 2 2 2 2 2 2 3 3" xfId="41167"/>
    <cellStyle name="Normal 3 2 2 2 2 2 2 4" xfId="18603"/>
    <cellStyle name="Normal 3 2 2 2 2 2 2 5" xfId="33646"/>
    <cellStyle name="Normal 3 2 2 2 2 2 3" xfId="5441"/>
    <cellStyle name="Normal 3 2 2 2 2 2 3 2" xfId="12964"/>
    <cellStyle name="Normal 3 2 2 2 2 2 3 2 2" xfId="28008"/>
    <cellStyle name="Normal 3 2 2 2 2 2 3 2 3" xfId="43051"/>
    <cellStyle name="Normal 3 2 2 2 2 2 3 3" xfId="20487"/>
    <cellStyle name="Normal 3 2 2 2 2 2 3 4" xfId="35530"/>
    <cellStyle name="Normal 3 2 2 2 2 2 4" xfId="9215"/>
    <cellStyle name="Normal 3 2 2 2 2 2 4 2" xfId="24259"/>
    <cellStyle name="Normal 3 2 2 2 2 2 4 3" xfId="39302"/>
    <cellStyle name="Normal 3 2 2 2 2 2 5" xfId="16738"/>
    <cellStyle name="Normal 3 2 2 2 2 2 6" xfId="31781"/>
    <cellStyle name="Normal 3 2 2 2 2 3" xfId="2579"/>
    <cellStyle name="Normal 3 2 2 2 2 3 2" xfId="6374"/>
    <cellStyle name="Normal 3 2 2 2 2 3 2 2" xfId="13897"/>
    <cellStyle name="Normal 3 2 2 2 2 3 2 2 2" xfId="28941"/>
    <cellStyle name="Normal 3 2 2 2 2 3 2 2 3" xfId="43984"/>
    <cellStyle name="Normal 3 2 2 2 2 3 2 3" xfId="21420"/>
    <cellStyle name="Normal 3 2 2 2 2 3 2 4" xfId="36463"/>
    <cellStyle name="Normal 3 2 2 2 2 3 3" xfId="10148"/>
    <cellStyle name="Normal 3 2 2 2 2 3 3 2" xfId="25192"/>
    <cellStyle name="Normal 3 2 2 2 2 3 3 3" xfId="40235"/>
    <cellStyle name="Normal 3 2 2 2 2 3 4" xfId="17671"/>
    <cellStyle name="Normal 3 2 2 2 2 3 5" xfId="32714"/>
    <cellStyle name="Normal 3 2 2 2 2 4" xfId="4509"/>
    <cellStyle name="Normal 3 2 2 2 2 4 2" xfId="12032"/>
    <cellStyle name="Normal 3 2 2 2 2 4 2 2" xfId="27076"/>
    <cellStyle name="Normal 3 2 2 2 2 4 2 3" xfId="42119"/>
    <cellStyle name="Normal 3 2 2 2 2 4 3" xfId="19555"/>
    <cellStyle name="Normal 3 2 2 2 2 4 4" xfId="34598"/>
    <cellStyle name="Normal 3 2 2 2 2 5" xfId="8283"/>
    <cellStyle name="Normal 3 2 2 2 2 5 2" xfId="23327"/>
    <cellStyle name="Normal 3 2 2 2 2 5 3" xfId="38370"/>
    <cellStyle name="Normal 3 2 2 2 2 6" xfId="15806"/>
    <cellStyle name="Normal 3 2 2 2 2 7" xfId="30849"/>
    <cellStyle name="Normal 3 2 2 2 3" xfId="1188"/>
    <cellStyle name="Normal 3 2 2 2 3 2" xfId="3059"/>
    <cellStyle name="Normal 3 2 2 2 3 2 2" xfId="6854"/>
    <cellStyle name="Normal 3 2 2 2 3 2 2 2" xfId="14377"/>
    <cellStyle name="Normal 3 2 2 2 3 2 2 2 2" xfId="29421"/>
    <cellStyle name="Normal 3 2 2 2 3 2 2 2 3" xfId="44464"/>
    <cellStyle name="Normal 3 2 2 2 3 2 2 3" xfId="21900"/>
    <cellStyle name="Normal 3 2 2 2 3 2 2 4" xfId="36943"/>
    <cellStyle name="Normal 3 2 2 2 3 2 3" xfId="10628"/>
    <cellStyle name="Normal 3 2 2 2 3 2 3 2" xfId="25672"/>
    <cellStyle name="Normal 3 2 2 2 3 2 3 3" xfId="40715"/>
    <cellStyle name="Normal 3 2 2 2 3 2 4" xfId="18151"/>
    <cellStyle name="Normal 3 2 2 2 3 2 5" xfId="33194"/>
    <cellStyle name="Normal 3 2 2 2 3 3" xfId="4989"/>
    <cellStyle name="Normal 3 2 2 2 3 3 2" xfId="12512"/>
    <cellStyle name="Normal 3 2 2 2 3 3 2 2" xfId="27556"/>
    <cellStyle name="Normal 3 2 2 2 3 3 2 3" xfId="42599"/>
    <cellStyle name="Normal 3 2 2 2 3 3 3" xfId="20035"/>
    <cellStyle name="Normal 3 2 2 2 3 3 4" xfId="35078"/>
    <cellStyle name="Normal 3 2 2 2 3 4" xfId="8763"/>
    <cellStyle name="Normal 3 2 2 2 3 4 2" xfId="23807"/>
    <cellStyle name="Normal 3 2 2 2 3 4 3" xfId="38850"/>
    <cellStyle name="Normal 3 2 2 2 3 5" xfId="16286"/>
    <cellStyle name="Normal 3 2 2 2 3 6" xfId="31329"/>
    <cellStyle name="Normal 3 2 2 2 4" xfId="2126"/>
    <cellStyle name="Normal 3 2 2 2 4 2" xfId="5922"/>
    <cellStyle name="Normal 3 2 2 2 4 2 2" xfId="13445"/>
    <cellStyle name="Normal 3 2 2 2 4 2 2 2" xfId="28489"/>
    <cellStyle name="Normal 3 2 2 2 4 2 2 3" xfId="43532"/>
    <cellStyle name="Normal 3 2 2 2 4 2 3" xfId="20968"/>
    <cellStyle name="Normal 3 2 2 2 4 2 4" xfId="36011"/>
    <cellStyle name="Normal 3 2 2 2 4 3" xfId="9696"/>
    <cellStyle name="Normal 3 2 2 2 4 3 2" xfId="24740"/>
    <cellStyle name="Normal 3 2 2 2 4 3 3" xfId="39783"/>
    <cellStyle name="Normal 3 2 2 2 4 4" xfId="17219"/>
    <cellStyle name="Normal 3 2 2 2 4 5" xfId="32262"/>
    <cellStyle name="Normal 3 2 2 2 5" xfId="4052"/>
    <cellStyle name="Normal 3 2 2 2 5 2" xfId="11576"/>
    <cellStyle name="Normal 3 2 2 2 5 2 2" xfId="26620"/>
    <cellStyle name="Normal 3 2 2 2 5 2 3" xfId="41663"/>
    <cellStyle name="Normal 3 2 2 2 5 3" xfId="19099"/>
    <cellStyle name="Normal 3 2 2 2 5 4" xfId="34142"/>
    <cellStyle name="Normal 3 2 2 2 6" xfId="7815"/>
    <cellStyle name="Normal 3 2 2 2 6 2" xfId="22859"/>
    <cellStyle name="Normal 3 2 2 2 6 3" xfId="37902"/>
    <cellStyle name="Normal 3 2 2 2 7" xfId="15338"/>
    <cellStyle name="Normal 3 2 2 2 8" xfId="30381"/>
    <cellStyle name="Normal 3 2 2 3" xfId="600"/>
    <cellStyle name="Normal 3 2 2 3 2" xfId="1098"/>
    <cellStyle name="Normal 3 2 2 3 2 2" xfId="2057"/>
    <cellStyle name="Normal 3 2 2 3 2 2 2" xfId="3928"/>
    <cellStyle name="Normal 3 2 2 3 2 2 2 2" xfId="7723"/>
    <cellStyle name="Normal 3 2 2 3 2 2 2 2 2" xfId="15246"/>
    <cellStyle name="Normal 3 2 2 3 2 2 2 2 2 2" xfId="30290"/>
    <cellStyle name="Normal 3 2 2 3 2 2 2 2 2 3" xfId="45333"/>
    <cellStyle name="Normal 3 2 2 3 2 2 2 2 3" xfId="22769"/>
    <cellStyle name="Normal 3 2 2 3 2 2 2 2 4" xfId="37812"/>
    <cellStyle name="Normal 3 2 2 3 2 2 2 3" xfId="11497"/>
    <cellStyle name="Normal 3 2 2 3 2 2 2 3 2" xfId="26541"/>
    <cellStyle name="Normal 3 2 2 3 2 2 2 3 3" xfId="41584"/>
    <cellStyle name="Normal 3 2 2 3 2 2 2 4" xfId="19020"/>
    <cellStyle name="Normal 3 2 2 3 2 2 2 5" xfId="34063"/>
    <cellStyle name="Normal 3 2 2 3 2 2 3" xfId="5858"/>
    <cellStyle name="Normal 3 2 2 3 2 2 3 2" xfId="13381"/>
    <cellStyle name="Normal 3 2 2 3 2 2 3 2 2" xfId="28425"/>
    <cellStyle name="Normal 3 2 2 3 2 2 3 2 3" xfId="43468"/>
    <cellStyle name="Normal 3 2 2 3 2 2 3 3" xfId="20904"/>
    <cellStyle name="Normal 3 2 2 3 2 2 3 4" xfId="35947"/>
    <cellStyle name="Normal 3 2 2 3 2 2 4" xfId="9632"/>
    <cellStyle name="Normal 3 2 2 3 2 2 4 2" xfId="24676"/>
    <cellStyle name="Normal 3 2 2 3 2 2 4 3" xfId="39719"/>
    <cellStyle name="Normal 3 2 2 3 2 2 5" xfId="17155"/>
    <cellStyle name="Normal 3 2 2 3 2 2 6" xfId="32198"/>
    <cellStyle name="Normal 3 2 2 3 2 3" xfId="2996"/>
    <cellStyle name="Normal 3 2 2 3 2 3 2" xfId="6791"/>
    <cellStyle name="Normal 3 2 2 3 2 3 2 2" xfId="14314"/>
    <cellStyle name="Normal 3 2 2 3 2 3 2 2 2" xfId="29358"/>
    <cellStyle name="Normal 3 2 2 3 2 3 2 2 3" xfId="44401"/>
    <cellStyle name="Normal 3 2 2 3 2 3 2 3" xfId="21837"/>
    <cellStyle name="Normal 3 2 2 3 2 3 2 4" xfId="36880"/>
    <cellStyle name="Normal 3 2 2 3 2 3 3" xfId="10565"/>
    <cellStyle name="Normal 3 2 2 3 2 3 3 2" xfId="25609"/>
    <cellStyle name="Normal 3 2 2 3 2 3 3 3" xfId="40652"/>
    <cellStyle name="Normal 3 2 2 3 2 3 4" xfId="18088"/>
    <cellStyle name="Normal 3 2 2 3 2 3 5" xfId="33131"/>
    <cellStyle name="Normal 3 2 2 3 2 4" xfId="4926"/>
    <cellStyle name="Normal 3 2 2 3 2 4 2" xfId="12449"/>
    <cellStyle name="Normal 3 2 2 3 2 4 2 2" xfId="27493"/>
    <cellStyle name="Normal 3 2 2 3 2 4 2 3" xfId="42536"/>
    <cellStyle name="Normal 3 2 2 3 2 4 3" xfId="19972"/>
    <cellStyle name="Normal 3 2 2 3 2 4 4" xfId="35015"/>
    <cellStyle name="Normal 3 2 2 3 2 5" xfId="8700"/>
    <cellStyle name="Normal 3 2 2 3 2 5 2" xfId="23744"/>
    <cellStyle name="Normal 3 2 2 3 2 5 3" xfId="38787"/>
    <cellStyle name="Normal 3 2 2 3 2 6" xfId="16223"/>
    <cellStyle name="Normal 3 2 2 3 2 7" xfId="31266"/>
    <cellStyle name="Normal 3 2 2 3 3" xfId="1605"/>
    <cellStyle name="Normal 3 2 2 3 3 2" xfId="3476"/>
    <cellStyle name="Normal 3 2 2 3 3 2 2" xfId="7271"/>
    <cellStyle name="Normal 3 2 2 3 3 2 2 2" xfId="14794"/>
    <cellStyle name="Normal 3 2 2 3 3 2 2 2 2" xfId="29838"/>
    <cellStyle name="Normal 3 2 2 3 3 2 2 2 3" xfId="44881"/>
    <cellStyle name="Normal 3 2 2 3 3 2 2 3" xfId="22317"/>
    <cellStyle name="Normal 3 2 2 3 3 2 2 4" xfId="37360"/>
    <cellStyle name="Normal 3 2 2 3 3 2 3" xfId="11045"/>
    <cellStyle name="Normal 3 2 2 3 3 2 3 2" xfId="26089"/>
    <cellStyle name="Normal 3 2 2 3 3 2 3 3" xfId="41132"/>
    <cellStyle name="Normal 3 2 2 3 3 2 4" xfId="18568"/>
    <cellStyle name="Normal 3 2 2 3 3 2 5" xfId="33611"/>
    <cellStyle name="Normal 3 2 2 3 3 3" xfId="5406"/>
    <cellStyle name="Normal 3 2 2 3 3 3 2" xfId="12929"/>
    <cellStyle name="Normal 3 2 2 3 3 3 2 2" xfId="27973"/>
    <cellStyle name="Normal 3 2 2 3 3 3 2 3" xfId="43016"/>
    <cellStyle name="Normal 3 2 2 3 3 3 3" xfId="20452"/>
    <cellStyle name="Normal 3 2 2 3 3 3 4" xfId="35495"/>
    <cellStyle name="Normal 3 2 2 3 3 4" xfId="9180"/>
    <cellStyle name="Normal 3 2 2 3 3 4 2" xfId="24224"/>
    <cellStyle name="Normal 3 2 2 3 3 4 3" xfId="39267"/>
    <cellStyle name="Normal 3 2 2 3 3 5" xfId="16703"/>
    <cellStyle name="Normal 3 2 2 3 3 6" xfId="31746"/>
    <cellStyle name="Normal 3 2 2 3 4" xfId="2543"/>
    <cellStyle name="Normal 3 2 2 3 4 2" xfId="6339"/>
    <cellStyle name="Normal 3 2 2 3 4 2 2" xfId="13862"/>
    <cellStyle name="Normal 3 2 2 3 4 2 2 2" xfId="28906"/>
    <cellStyle name="Normal 3 2 2 3 4 2 2 3" xfId="43949"/>
    <cellStyle name="Normal 3 2 2 3 4 2 3" xfId="21385"/>
    <cellStyle name="Normal 3 2 2 3 4 2 4" xfId="36428"/>
    <cellStyle name="Normal 3 2 2 3 4 3" xfId="10113"/>
    <cellStyle name="Normal 3 2 2 3 4 3 2" xfId="25157"/>
    <cellStyle name="Normal 3 2 2 3 4 3 3" xfId="40200"/>
    <cellStyle name="Normal 3 2 2 3 4 4" xfId="17636"/>
    <cellStyle name="Normal 3 2 2 3 4 5" xfId="32679"/>
    <cellStyle name="Normal 3 2 2 3 5" xfId="4471"/>
    <cellStyle name="Normal 3 2 2 3 5 2" xfId="11995"/>
    <cellStyle name="Normal 3 2 2 3 5 2 2" xfId="27039"/>
    <cellStyle name="Normal 3 2 2 3 5 2 3" xfId="42082"/>
    <cellStyle name="Normal 3 2 2 3 5 3" xfId="19518"/>
    <cellStyle name="Normal 3 2 2 3 5 4" xfId="34561"/>
    <cellStyle name="Normal 3 2 2 3 6" xfId="8234"/>
    <cellStyle name="Normal 3 2 2 3 6 2" xfId="23278"/>
    <cellStyle name="Normal 3 2 2 3 6 3" xfId="38321"/>
    <cellStyle name="Normal 3 2 2 3 7" xfId="15757"/>
    <cellStyle name="Normal 3 2 2 3 8" xfId="30800"/>
    <cellStyle name="Normal 3 2 2 4" xfId="664"/>
    <cellStyle name="Normal 3 2 2 4 2" xfId="1623"/>
    <cellStyle name="Normal 3 2 2 4 2 2" xfId="3494"/>
    <cellStyle name="Normal 3 2 2 4 2 2 2" xfId="7289"/>
    <cellStyle name="Normal 3 2 2 4 2 2 2 2" xfId="14812"/>
    <cellStyle name="Normal 3 2 2 4 2 2 2 2 2" xfId="29856"/>
    <cellStyle name="Normal 3 2 2 4 2 2 2 2 3" xfId="44899"/>
    <cellStyle name="Normal 3 2 2 4 2 2 2 3" xfId="22335"/>
    <cellStyle name="Normal 3 2 2 4 2 2 2 4" xfId="37378"/>
    <cellStyle name="Normal 3 2 2 4 2 2 3" xfId="11063"/>
    <cellStyle name="Normal 3 2 2 4 2 2 3 2" xfId="26107"/>
    <cellStyle name="Normal 3 2 2 4 2 2 3 3" xfId="41150"/>
    <cellStyle name="Normal 3 2 2 4 2 2 4" xfId="18586"/>
    <cellStyle name="Normal 3 2 2 4 2 2 5" xfId="33629"/>
    <cellStyle name="Normal 3 2 2 4 2 3" xfId="5424"/>
    <cellStyle name="Normal 3 2 2 4 2 3 2" xfId="12947"/>
    <cellStyle name="Normal 3 2 2 4 2 3 2 2" xfId="27991"/>
    <cellStyle name="Normal 3 2 2 4 2 3 2 3" xfId="43034"/>
    <cellStyle name="Normal 3 2 2 4 2 3 3" xfId="20470"/>
    <cellStyle name="Normal 3 2 2 4 2 3 4" xfId="35513"/>
    <cellStyle name="Normal 3 2 2 4 2 4" xfId="9198"/>
    <cellStyle name="Normal 3 2 2 4 2 4 2" xfId="24242"/>
    <cellStyle name="Normal 3 2 2 4 2 4 3" xfId="39285"/>
    <cellStyle name="Normal 3 2 2 4 2 5" xfId="16721"/>
    <cellStyle name="Normal 3 2 2 4 2 6" xfId="31764"/>
    <cellStyle name="Normal 3 2 2 4 3" xfId="2562"/>
    <cellStyle name="Normal 3 2 2 4 3 2" xfId="6357"/>
    <cellStyle name="Normal 3 2 2 4 3 2 2" xfId="13880"/>
    <cellStyle name="Normal 3 2 2 4 3 2 2 2" xfId="28924"/>
    <cellStyle name="Normal 3 2 2 4 3 2 2 3" xfId="43967"/>
    <cellStyle name="Normal 3 2 2 4 3 2 3" xfId="21403"/>
    <cellStyle name="Normal 3 2 2 4 3 2 4" xfId="36446"/>
    <cellStyle name="Normal 3 2 2 4 3 3" xfId="10131"/>
    <cellStyle name="Normal 3 2 2 4 3 3 2" xfId="25175"/>
    <cellStyle name="Normal 3 2 2 4 3 3 3" xfId="40218"/>
    <cellStyle name="Normal 3 2 2 4 3 4" xfId="17654"/>
    <cellStyle name="Normal 3 2 2 4 3 5" xfId="32697"/>
    <cellStyle name="Normal 3 2 2 4 4" xfId="4492"/>
    <cellStyle name="Normal 3 2 2 4 4 2" xfId="12015"/>
    <cellStyle name="Normal 3 2 2 4 4 2 2" xfId="27059"/>
    <cellStyle name="Normal 3 2 2 4 4 2 3" xfId="42102"/>
    <cellStyle name="Normal 3 2 2 4 4 3" xfId="19538"/>
    <cellStyle name="Normal 3 2 2 4 4 4" xfId="34581"/>
    <cellStyle name="Normal 3 2 2 4 5" xfId="8266"/>
    <cellStyle name="Normal 3 2 2 4 5 2" xfId="23310"/>
    <cellStyle name="Normal 3 2 2 4 5 3" xfId="38353"/>
    <cellStyle name="Normal 3 2 2 4 6" xfId="15789"/>
    <cellStyle name="Normal 3 2 2 4 7" xfId="30832"/>
    <cellStyle name="Normal 3 2 2 5" xfId="1171"/>
    <cellStyle name="Normal 3 2 2 5 2" xfId="3042"/>
    <cellStyle name="Normal 3 2 2 5 2 2" xfId="6837"/>
    <cellStyle name="Normal 3 2 2 5 2 2 2" xfId="14360"/>
    <cellStyle name="Normal 3 2 2 5 2 2 2 2" xfId="29404"/>
    <cellStyle name="Normal 3 2 2 5 2 2 2 3" xfId="44447"/>
    <cellStyle name="Normal 3 2 2 5 2 2 3" xfId="21883"/>
    <cellStyle name="Normal 3 2 2 5 2 2 4" xfId="36926"/>
    <cellStyle name="Normal 3 2 2 5 2 3" xfId="10611"/>
    <cellStyle name="Normal 3 2 2 5 2 3 2" xfId="25655"/>
    <cellStyle name="Normal 3 2 2 5 2 3 3" xfId="40698"/>
    <cellStyle name="Normal 3 2 2 5 2 4" xfId="18134"/>
    <cellStyle name="Normal 3 2 2 5 2 5" xfId="33177"/>
    <cellStyle name="Normal 3 2 2 5 3" xfId="4972"/>
    <cellStyle name="Normal 3 2 2 5 3 2" xfId="12495"/>
    <cellStyle name="Normal 3 2 2 5 3 2 2" xfId="27539"/>
    <cellStyle name="Normal 3 2 2 5 3 2 3" xfId="42582"/>
    <cellStyle name="Normal 3 2 2 5 3 3" xfId="20018"/>
    <cellStyle name="Normal 3 2 2 5 3 4" xfId="35061"/>
    <cellStyle name="Normal 3 2 2 5 4" xfId="8746"/>
    <cellStyle name="Normal 3 2 2 5 4 2" xfId="23790"/>
    <cellStyle name="Normal 3 2 2 5 4 3" xfId="38833"/>
    <cellStyle name="Normal 3 2 2 5 5" xfId="16269"/>
    <cellStyle name="Normal 3 2 2 5 6" xfId="31312"/>
    <cellStyle name="Normal 3 2 2 6" xfId="2109"/>
    <cellStyle name="Normal 3 2 2 6 2" xfId="5905"/>
    <cellStyle name="Normal 3 2 2 6 2 2" xfId="13428"/>
    <cellStyle name="Normal 3 2 2 6 2 2 2" xfId="28472"/>
    <cellStyle name="Normal 3 2 2 6 2 2 3" xfId="43515"/>
    <cellStyle name="Normal 3 2 2 6 2 3" xfId="20951"/>
    <cellStyle name="Normal 3 2 2 6 2 4" xfId="35994"/>
    <cellStyle name="Normal 3 2 2 6 3" xfId="9679"/>
    <cellStyle name="Normal 3 2 2 6 3 2" xfId="24723"/>
    <cellStyle name="Normal 3 2 2 6 3 3" xfId="39766"/>
    <cellStyle name="Normal 3 2 2 6 4" xfId="17202"/>
    <cellStyle name="Normal 3 2 2 6 5" xfId="32245"/>
    <cellStyle name="Normal 3 2 2 7" xfId="4035"/>
    <cellStyle name="Normal 3 2 2 7 2" xfId="11559"/>
    <cellStyle name="Normal 3 2 2 7 2 2" xfId="26603"/>
    <cellStyle name="Normal 3 2 2 7 2 3" xfId="41646"/>
    <cellStyle name="Normal 3 2 2 7 3" xfId="19082"/>
    <cellStyle name="Normal 3 2 2 7 4" xfId="34125"/>
    <cellStyle name="Normal 3 2 2 8" xfId="7798"/>
    <cellStyle name="Normal 3 2 2 8 2" xfId="22842"/>
    <cellStyle name="Normal 3 2 2 8 3" xfId="37885"/>
    <cellStyle name="Normal 3 2 2 9" xfId="15321"/>
    <cellStyle name="Normal 3 2 3" xfId="220"/>
    <cellStyle name="Normal 3 2 3 2" xfId="745"/>
    <cellStyle name="Normal 3 2 3 2 2" xfId="1704"/>
    <cellStyle name="Normal 3 2 3 2 2 2" xfId="3575"/>
    <cellStyle name="Normal 3 2 3 2 2 2 2" xfId="7370"/>
    <cellStyle name="Normal 3 2 3 2 2 2 2 2" xfId="14893"/>
    <cellStyle name="Normal 3 2 3 2 2 2 2 2 2" xfId="29937"/>
    <cellStyle name="Normal 3 2 3 2 2 2 2 2 3" xfId="44980"/>
    <cellStyle name="Normal 3 2 3 2 2 2 2 3" xfId="22416"/>
    <cellStyle name="Normal 3 2 3 2 2 2 2 4" xfId="37459"/>
    <cellStyle name="Normal 3 2 3 2 2 2 3" xfId="11144"/>
    <cellStyle name="Normal 3 2 3 2 2 2 3 2" xfId="26188"/>
    <cellStyle name="Normal 3 2 3 2 2 2 3 3" xfId="41231"/>
    <cellStyle name="Normal 3 2 3 2 2 2 4" xfId="18667"/>
    <cellStyle name="Normal 3 2 3 2 2 2 5" xfId="33710"/>
    <cellStyle name="Normal 3 2 3 2 2 3" xfId="5505"/>
    <cellStyle name="Normal 3 2 3 2 2 3 2" xfId="13028"/>
    <cellStyle name="Normal 3 2 3 2 2 3 2 2" xfId="28072"/>
    <cellStyle name="Normal 3 2 3 2 2 3 2 3" xfId="43115"/>
    <cellStyle name="Normal 3 2 3 2 2 3 3" xfId="20551"/>
    <cellStyle name="Normal 3 2 3 2 2 3 4" xfId="35594"/>
    <cellStyle name="Normal 3 2 3 2 2 4" xfId="9279"/>
    <cellStyle name="Normal 3 2 3 2 2 4 2" xfId="24323"/>
    <cellStyle name="Normal 3 2 3 2 2 4 3" xfId="39366"/>
    <cellStyle name="Normal 3 2 3 2 2 5" xfId="16802"/>
    <cellStyle name="Normal 3 2 3 2 2 6" xfId="31845"/>
    <cellStyle name="Normal 3 2 3 2 3" xfId="2643"/>
    <cellStyle name="Normal 3 2 3 2 3 2" xfId="6438"/>
    <cellStyle name="Normal 3 2 3 2 3 2 2" xfId="13961"/>
    <cellStyle name="Normal 3 2 3 2 3 2 2 2" xfId="29005"/>
    <cellStyle name="Normal 3 2 3 2 3 2 2 3" xfId="44048"/>
    <cellStyle name="Normal 3 2 3 2 3 2 3" xfId="21484"/>
    <cellStyle name="Normal 3 2 3 2 3 2 4" xfId="36527"/>
    <cellStyle name="Normal 3 2 3 2 3 3" xfId="10212"/>
    <cellStyle name="Normal 3 2 3 2 3 3 2" xfId="25256"/>
    <cellStyle name="Normal 3 2 3 2 3 3 3" xfId="40299"/>
    <cellStyle name="Normal 3 2 3 2 3 4" xfId="17735"/>
    <cellStyle name="Normal 3 2 3 2 3 5" xfId="32778"/>
    <cellStyle name="Normal 3 2 3 2 4" xfId="4573"/>
    <cellStyle name="Normal 3 2 3 2 4 2" xfId="12096"/>
    <cellStyle name="Normal 3 2 3 2 4 2 2" xfId="27140"/>
    <cellStyle name="Normal 3 2 3 2 4 2 3" xfId="42183"/>
    <cellStyle name="Normal 3 2 3 2 4 3" xfId="19619"/>
    <cellStyle name="Normal 3 2 3 2 4 4" xfId="34662"/>
    <cellStyle name="Normal 3 2 3 2 5" xfId="8347"/>
    <cellStyle name="Normal 3 2 3 2 5 2" xfId="23391"/>
    <cellStyle name="Normal 3 2 3 2 5 3" xfId="38434"/>
    <cellStyle name="Normal 3 2 3 2 6" xfId="15870"/>
    <cellStyle name="Normal 3 2 3 2 7" xfId="30913"/>
    <cellStyle name="Normal 3 2 3 3" xfId="1252"/>
    <cellStyle name="Normal 3 2 3 3 2" xfId="3123"/>
    <cellStyle name="Normal 3 2 3 3 2 2" xfId="6918"/>
    <cellStyle name="Normal 3 2 3 3 2 2 2" xfId="14441"/>
    <cellStyle name="Normal 3 2 3 3 2 2 2 2" xfId="29485"/>
    <cellStyle name="Normal 3 2 3 3 2 2 2 3" xfId="44528"/>
    <cellStyle name="Normal 3 2 3 3 2 2 3" xfId="21964"/>
    <cellStyle name="Normal 3 2 3 3 2 2 4" xfId="37007"/>
    <cellStyle name="Normal 3 2 3 3 2 3" xfId="10692"/>
    <cellStyle name="Normal 3 2 3 3 2 3 2" xfId="25736"/>
    <cellStyle name="Normal 3 2 3 3 2 3 3" xfId="40779"/>
    <cellStyle name="Normal 3 2 3 3 2 4" xfId="18215"/>
    <cellStyle name="Normal 3 2 3 3 2 5" xfId="33258"/>
    <cellStyle name="Normal 3 2 3 3 3" xfId="5053"/>
    <cellStyle name="Normal 3 2 3 3 3 2" xfId="12576"/>
    <cellStyle name="Normal 3 2 3 3 3 2 2" xfId="27620"/>
    <cellStyle name="Normal 3 2 3 3 3 2 3" xfId="42663"/>
    <cellStyle name="Normal 3 2 3 3 3 3" xfId="20099"/>
    <cellStyle name="Normal 3 2 3 3 3 4" xfId="35142"/>
    <cellStyle name="Normal 3 2 3 3 4" xfId="8827"/>
    <cellStyle name="Normal 3 2 3 3 4 2" xfId="23871"/>
    <cellStyle name="Normal 3 2 3 3 4 3" xfId="38914"/>
    <cellStyle name="Normal 3 2 3 3 5" xfId="16350"/>
    <cellStyle name="Normal 3 2 3 3 6" xfId="31393"/>
    <cellStyle name="Normal 3 2 3 4" xfId="2190"/>
    <cellStyle name="Normal 3 2 3 4 2" xfId="5986"/>
    <cellStyle name="Normal 3 2 3 4 2 2" xfId="13509"/>
    <cellStyle name="Normal 3 2 3 4 2 2 2" xfId="28553"/>
    <cellStyle name="Normal 3 2 3 4 2 2 3" xfId="43596"/>
    <cellStyle name="Normal 3 2 3 4 2 3" xfId="21032"/>
    <cellStyle name="Normal 3 2 3 4 2 4" xfId="36075"/>
    <cellStyle name="Normal 3 2 3 4 3" xfId="9760"/>
    <cellStyle name="Normal 3 2 3 4 3 2" xfId="24804"/>
    <cellStyle name="Normal 3 2 3 4 3 3" xfId="39847"/>
    <cellStyle name="Normal 3 2 3 4 4" xfId="17283"/>
    <cellStyle name="Normal 3 2 3 4 5" xfId="32326"/>
    <cellStyle name="Normal 3 2 3 5" xfId="4118"/>
    <cellStyle name="Normal 3 2 3 5 2" xfId="11642"/>
    <cellStyle name="Normal 3 2 3 5 2 2" xfId="26686"/>
    <cellStyle name="Normal 3 2 3 5 2 3" xfId="41729"/>
    <cellStyle name="Normal 3 2 3 5 3" xfId="19165"/>
    <cellStyle name="Normal 3 2 3 5 4" xfId="34208"/>
    <cellStyle name="Normal 3 2 3 6" xfId="7881"/>
    <cellStyle name="Normal 3 2 3 6 2" xfId="22925"/>
    <cellStyle name="Normal 3 2 3 6 3" xfId="37968"/>
    <cellStyle name="Normal 3 2 3 7" xfId="15404"/>
    <cellStyle name="Normal 3 2 3 8" xfId="30447"/>
    <cellStyle name="Normal 3 2 4" xfId="35"/>
    <cellStyle name="Normal 3 2 4 2" xfId="672"/>
    <cellStyle name="Normal 3 2 4 2 2" xfId="1631"/>
    <cellStyle name="Normal 3 2 4 2 2 2" xfId="3502"/>
    <cellStyle name="Normal 3 2 4 2 2 2 2" xfId="7297"/>
    <cellStyle name="Normal 3 2 4 2 2 2 2 2" xfId="14820"/>
    <cellStyle name="Normal 3 2 4 2 2 2 2 2 2" xfId="29864"/>
    <cellStyle name="Normal 3 2 4 2 2 2 2 2 3" xfId="44907"/>
    <cellStyle name="Normal 3 2 4 2 2 2 2 3" xfId="22343"/>
    <cellStyle name="Normal 3 2 4 2 2 2 2 4" xfId="37386"/>
    <cellStyle name="Normal 3 2 4 2 2 2 3" xfId="11071"/>
    <cellStyle name="Normal 3 2 4 2 2 2 3 2" xfId="26115"/>
    <cellStyle name="Normal 3 2 4 2 2 2 3 3" xfId="41158"/>
    <cellStyle name="Normal 3 2 4 2 2 2 4" xfId="18594"/>
    <cellStyle name="Normal 3 2 4 2 2 2 5" xfId="33637"/>
    <cellStyle name="Normal 3 2 4 2 2 3" xfId="5432"/>
    <cellStyle name="Normal 3 2 4 2 2 3 2" xfId="12955"/>
    <cellStyle name="Normal 3 2 4 2 2 3 2 2" xfId="27999"/>
    <cellStyle name="Normal 3 2 4 2 2 3 2 3" xfId="43042"/>
    <cellStyle name="Normal 3 2 4 2 2 3 3" xfId="20478"/>
    <cellStyle name="Normal 3 2 4 2 2 3 4" xfId="35521"/>
    <cellStyle name="Normal 3 2 4 2 2 4" xfId="9206"/>
    <cellStyle name="Normal 3 2 4 2 2 4 2" xfId="24250"/>
    <cellStyle name="Normal 3 2 4 2 2 4 3" xfId="39293"/>
    <cellStyle name="Normal 3 2 4 2 2 5" xfId="16729"/>
    <cellStyle name="Normal 3 2 4 2 2 6" xfId="31772"/>
    <cellStyle name="Normal 3 2 4 2 3" xfId="2570"/>
    <cellStyle name="Normal 3 2 4 2 3 2" xfId="6365"/>
    <cellStyle name="Normal 3 2 4 2 3 2 2" xfId="13888"/>
    <cellStyle name="Normal 3 2 4 2 3 2 2 2" xfId="28932"/>
    <cellStyle name="Normal 3 2 4 2 3 2 2 3" xfId="43975"/>
    <cellStyle name="Normal 3 2 4 2 3 2 3" xfId="21411"/>
    <cellStyle name="Normal 3 2 4 2 3 2 4" xfId="36454"/>
    <cellStyle name="Normal 3 2 4 2 3 3" xfId="10139"/>
    <cellStyle name="Normal 3 2 4 2 3 3 2" xfId="25183"/>
    <cellStyle name="Normal 3 2 4 2 3 3 3" xfId="40226"/>
    <cellStyle name="Normal 3 2 4 2 3 4" xfId="17662"/>
    <cellStyle name="Normal 3 2 4 2 3 5" xfId="32705"/>
    <cellStyle name="Normal 3 2 4 2 4" xfId="4500"/>
    <cellStyle name="Normal 3 2 4 2 4 2" xfId="12023"/>
    <cellStyle name="Normal 3 2 4 2 4 2 2" xfId="27067"/>
    <cellStyle name="Normal 3 2 4 2 4 2 3" xfId="42110"/>
    <cellStyle name="Normal 3 2 4 2 4 3" xfId="19546"/>
    <cellStyle name="Normal 3 2 4 2 4 4" xfId="34589"/>
    <cellStyle name="Normal 3 2 4 2 5" xfId="8274"/>
    <cellStyle name="Normal 3 2 4 2 5 2" xfId="23318"/>
    <cellStyle name="Normal 3 2 4 2 5 3" xfId="38361"/>
    <cellStyle name="Normal 3 2 4 2 6" xfId="15797"/>
    <cellStyle name="Normal 3 2 4 2 7" xfId="30840"/>
    <cellStyle name="Normal 3 2 4 3" xfId="1179"/>
    <cellStyle name="Normal 3 2 4 3 2" xfId="3050"/>
    <cellStyle name="Normal 3 2 4 3 2 2" xfId="6845"/>
    <cellStyle name="Normal 3 2 4 3 2 2 2" xfId="14368"/>
    <cellStyle name="Normal 3 2 4 3 2 2 2 2" xfId="29412"/>
    <cellStyle name="Normal 3 2 4 3 2 2 2 3" xfId="44455"/>
    <cellStyle name="Normal 3 2 4 3 2 2 3" xfId="21891"/>
    <cellStyle name="Normal 3 2 4 3 2 2 4" xfId="36934"/>
    <cellStyle name="Normal 3 2 4 3 2 3" xfId="10619"/>
    <cellStyle name="Normal 3 2 4 3 2 3 2" xfId="25663"/>
    <cellStyle name="Normal 3 2 4 3 2 3 3" xfId="40706"/>
    <cellStyle name="Normal 3 2 4 3 2 4" xfId="18142"/>
    <cellStyle name="Normal 3 2 4 3 2 5" xfId="33185"/>
    <cellStyle name="Normal 3 2 4 3 3" xfId="4980"/>
    <cellStyle name="Normal 3 2 4 3 3 2" xfId="12503"/>
    <cellStyle name="Normal 3 2 4 3 3 2 2" xfId="27547"/>
    <cellStyle name="Normal 3 2 4 3 3 2 3" xfId="42590"/>
    <cellStyle name="Normal 3 2 4 3 3 3" xfId="20026"/>
    <cellStyle name="Normal 3 2 4 3 3 4" xfId="35069"/>
    <cellStyle name="Normal 3 2 4 3 4" xfId="8754"/>
    <cellStyle name="Normal 3 2 4 3 4 2" xfId="23798"/>
    <cellStyle name="Normal 3 2 4 3 4 3" xfId="38841"/>
    <cellStyle name="Normal 3 2 4 3 5" xfId="16277"/>
    <cellStyle name="Normal 3 2 4 3 6" xfId="31320"/>
    <cellStyle name="Normal 3 2 4 4" xfId="2117"/>
    <cellStyle name="Normal 3 2 4 4 2" xfId="5913"/>
    <cellStyle name="Normal 3 2 4 4 2 2" xfId="13436"/>
    <cellStyle name="Normal 3 2 4 4 2 2 2" xfId="28480"/>
    <cellStyle name="Normal 3 2 4 4 2 2 3" xfId="43523"/>
    <cellStyle name="Normal 3 2 4 4 2 3" xfId="20959"/>
    <cellStyle name="Normal 3 2 4 4 2 4" xfId="36002"/>
    <cellStyle name="Normal 3 2 4 4 3" xfId="9687"/>
    <cellStyle name="Normal 3 2 4 4 3 2" xfId="24731"/>
    <cellStyle name="Normal 3 2 4 4 3 3" xfId="39774"/>
    <cellStyle name="Normal 3 2 4 4 4" xfId="17210"/>
    <cellStyle name="Normal 3 2 4 4 5" xfId="32253"/>
    <cellStyle name="Normal 3 2 4 5" xfId="4043"/>
    <cellStyle name="Normal 3 2 4 5 2" xfId="11567"/>
    <cellStyle name="Normal 3 2 4 5 2 2" xfId="26611"/>
    <cellStyle name="Normal 3 2 4 5 2 3" xfId="41654"/>
    <cellStyle name="Normal 3 2 4 5 3" xfId="19090"/>
    <cellStyle name="Normal 3 2 4 5 4" xfId="34133"/>
    <cellStyle name="Normal 3 2 4 6" xfId="7806"/>
    <cellStyle name="Normal 3 2 4 6 2" xfId="22850"/>
    <cellStyle name="Normal 3 2 4 6 3" xfId="37893"/>
    <cellStyle name="Normal 3 2 4 7" xfId="15329"/>
    <cellStyle name="Normal 3 2 4 8" xfId="30372"/>
    <cellStyle name="Normal 3 2 5" xfId="654"/>
    <cellStyle name="Normal 3 2 5 2" xfId="1614"/>
    <cellStyle name="Normal 3 2 5 2 2" xfId="3485"/>
    <cellStyle name="Normal 3 2 5 2 2 2" xfId="7280"/>
    <cellStyle name="Normal 3 2 5 2 2 2 2" xfId="14803"/>
    <cellStyle name="Normal 3 2 5 2 2 2 2 2" xfId="29847"/>
    <cellStyle name="Normal 3 2 5 2 2 2 2 3" xfId="44890"/>
    <cellStyle name="Normal 3 2 5 2 2 2 3" xfId="22326"/>
    <cellStyle name="Normal 3 2 5 2 2 2 4" xfId="37369"/>
    <cellStyle name="Normal 3 2 5 2 2 3" xfId="11054"/>
    <cellStyle name="Normal 3 2 5 2 2 3 2" xfId="26098"/>
    <cellStyle name="Normal 3 2 5 2 2 3 3" xfId="41141"/>
    <cellStyle name="Normal 3 2 5 2 2 4" xfId="18577"/>
    <cellStyle name="Normal 3 2 5 2 2 5" xfId="33620"/>
    <cellStyle name="Normal 3 2 5 2 3" xfId="5415"/>
    <cellStyle name="Normal 3 2 5 2 3 2" xfId="12938"/>
    <cellStyle name="Normal 3 2 5 2 3 2 2" xfId="27982"/>
    <cellStyle name="Normal 3 2 5 2 3 2 3" xfId="43025"/>
    <cellStyle name="Normal 3 2 5 2 3 3" xfId="20461"/>
    <cellStyle name="Normal 3 2 5 2 3 4" xfId="35504"/>
    <cellStyle name="Normal 3 2 5 2 4" xfId="9189"/>
    <cellStyle name="Normal 3 2 5 2 4 2" xfId="24233"/>
    <cellStyle name="Normal 3 2 5 2 4 3" xfId="39276"/>
    <cellStyle name="Normal 3 2 5 2 5" xfId="16712"/>
    <cellStyle name="Normal 3 2 5 2 6" xfId="31755"/>
    <cellStyle name="Normal 3 2 5 3" xfId="2553"/>
    <cellStyle name="Normal 3 2 5 3 2" xfId="6348"/>
    <cellStyle name="Normal 3 2 5 3 2 2" xfId="13871"/>
    <cellStyle name="Normal 3 2 5 3 2 2 2" xfId="28915"/>
    <cellStyle name="Normal 3 2 5 3 2 2 3" xfId="43958"/>
    <cellStyle name="Normal 3 2 5 3 2 3" xfId="21394"/>
    <cellStyle name="Normal 3 2 5 3 2 4" xfId="36437"/>
    <cellStyle name="Normal 3 2 5 3 3" xfId="10122"/>
    <cellStyle name="Normal 3 2 5 3 3 2" xfId="25166"/>
    <cellStyle name="Normal 3 2 5 3 3 3" xfId="40209"/>
    <cellStyle name="Normal 3 2 5 3 4" xfId="17645"/>
    <cellStyle name="Normal 3 2 5 3 5" xfId="32688"/>
    <cellStyle name="Normal 3 2 5 4" xfId="4483"/>
    <cellStyle name="Normal 3 2 5 4 2" xfId="12006"/>
    <cellStyle name="Normal 3 2 5 4 2 2" xfId="27050"/>
    <cellStyle name="Normal 3 2 5 4 2 3" xfId="42093"/>
    <cellStyle name="Normal 3 2 5 4 3" xfId="19529"/>
    <cellStyle name="Normal 3 2 5 4 4" xfId="34572"/>
    <cellStyle name="Normal 3 2 5 5" xfId="8257"/>
    <cellStyle name="Normal 3 2 5 5 2" xfId="23301"/>
    <cellStyle name="Normal 3 2 5 5 3" xfId="38344"/>
    <cellStyle name="Normal 3 2 5 6" xfId="15780"/>
    <cellStyle name="Normal 3 2 5 7" xfId="30823"/>
    <cellStyle name="Normal 3 2 6" xfId="1162"/>
    <cellStyle name="Normal 3 2 6 2" xfId="3033"/>
    <cellStyle name="Normal 3 2 6 2 2" xfId="6828"/>
    <cellStyle name="Normal 3 2 6 2 2 2" xfId="14351"/>
    <cellStyle name="Normal 3 2 6 2 2 2 2" xfId="29395"/>
    <cellStyle name="Normal 3 2 6 2 2 2 3" xfId="44438"/>
    <cellStyle name="Normal 3 2 6 2 2 3" xfId="21874"/>
    <cellStyle name="Normal 3 2 6 2 2 4" xfId="36917"/>
    <cellStyle name="Normal 3 2 6 2 3" xfId="10602"/>
    <cellStyle name="Normal 3 2 6 2 3 2" xfId="25646"/>
    <cellStyle name="Normal 3 2 6 2 3 3" xfId="40689"/>
    <cellStyle name="Normal 3 2 6 2 4" xfId="18125"/>
    <cellStyle name="Normal 3 2 6 2 5" xfId="33168"/>
    <cellStyle name="Normal 3 2 6 3" xfId="4963"/>
    <cellStyle name="Normal 3 2 6 3 2" xfId="12486"/>
    <cellStyle name="Normal 3 2 6 3 2 2" xfId="27530"/>
    <cellStyle name="Normal 3 2 6 3 2 3" xfId="42573"/>
    <cellStyle name="Normal 3 2 6 3 3" xfId="20009"/>
    <cellStyle name="Normal 3 2 6 3 4" xfId="35052"/>
    <cellStyle name="Normal 3 2 6 4" xfId="8737"/>
    <cellStyle name="Normal 3 2 6 4 2" xfId="23781"/>
    <cellStyle name="Normal 3 2 6 4 3" xfId="38824"/>
    <cellStyle name="Normal 3 2 6 5" xfId="16260"/>
    <cellStyle name="Normal 3 2 6 6" xfId="31303"/>
    <cellStyle name="Normal 3 2 7" xfId="2100"/>
    <cellStyle name="Normal 3 2 7 2" xfId="5896"/>
    <cellStyle name="Normal 3 2 7 2 2" xfId="13419"/>
    <cellStyle name="Normal 3 2 7 2 2 2" xfId="28463"/>
    <cellStyle name="Normal 3 2 7 2 2 3" xfId="43506"/>
    <cellStyle name="Normal 3 2 7 2 3" xfId="20942"/>
    <cellStyle name="Normal 3 2 7 2 4" xfId="35985"/>
    <cellStyle name="Normal 3 2 7 3" xfId="9670"/>
    <cellStyle name="Normal 3 2 7 3 2" xfId="24714"/>
    <cellStyle name="Normal 3 2 7 3 3" xfId="39757"/>
    <cellStyle name="Normal 3 2 7 4" xfId="17193"/>
    <cellStyle name="Normal 3 2 7 5" xfId="32236"/>
    <cellStyle name="Normal 3 2 8" xfId="4026"/>
    <cellStyle name="Normal 3 2 8 2" xfId="11550"/>
    <cellStyle name="Normal 3 2 8 2 2" xfId="26594"/>
    <cellStyle name="Normal 3 2 8 2 3" xfId="41637"/>
    <cellStyle name="Normal 3 2 8 3" xfId="19073"/>
    <cellStyle name="Normal 3 2 8 4" xfId="34116"/>
    <cellStyle name="Normal 3 2 9" xfId="7789"/>
    <cellStyle name="Normal 3 2 9 2" xfId="22833"/>
    <cellStyle name="Normal 3 2 9 3" xfId="37876"/>
    <cellStyle name="Normal 3 3" xfId="21"/>
    <cellStyle name="Normal 3 3 10" xfId="15317"/>
    <cellStyle name="Normal 3 3 11" xfId="30360"/>
    <cellStyle name="Normal 3 3 2" xfId="28"/>
    <cellStyle name="Normal 3 3 3" xfId="40"/>
    <cellStyle name="Normal 3 3 3 2" xfId="677"/>
    <cellStyle name="Normal 3 3 3 2 2" xfId="1636"/>
    <cellStyle name="Normal 3 3 3 2 2 2" xfId="3507"/>
    <cellStyle name="Normal 3 3 3 2 2 2 2" xfId="7302"/>
    <cellStyle name="Normal 3 3 3 2 2 2 2 2" xfId="14825"/>
    <cellStyle name="Normal 3 3 3 2 2 2 2 2 2" xfId="29869"/>
    <cellStyle name="Normal 3 3 3 2 2 2 2 2 3" xfId="44912"/>
    <cellStyle name="Normal 3 3 3 2 2 2 2 3" xfId="22348"/>
    <cellStyle name="Normal 3 3 3 2 2 2 2 4" xfId="37391"/>
    <cellStyle name="Normal 3 3 3 2 2 2 3" xfId="11076"/>
    <cellStyle name="Normal 3 3 3 2 2 2 3 2" xfId="26120"/>
    <cellStyle name="Normal 3 3 3 2 2 2 3 3" xfId="41163"/>
    <cellStyle name="Normal 3 3 3 2 2 2 4" xfId="18599"/>
    <cellStyle name="Normal 3 3 3 2 2 2 5" xfId="33642"/>
    <cellStyle name="Normal 3 3 3 2 2 3" xfId="5437"/>
    <cellStyle name="Normal 3 3 3 2 2 3 2" xfId="12960"/>
    <cellStyle name="Normal 3 3 3 2 2 3 2 2" xfId="28004"/>
    <cellStyle name="Normal 3 3 3 2 2 3 2 3" xfId="43047"/>
    <cellStyle name="Normal 3 3 3 2 2 3 3" xfId="20483"/>
    <cellStyle name="Normal 3 3 3 2 2 3 4" xfId="35526"/>
    <cellStyle name="Normal 3 3 3 2 2 4" xfId="9211"/>
    <cellStyle name="Normal 3 3 3 2 2 4 2" xfId="24255"/>
    <cellStyle name="Normal 3 3 3 2 2 4 3" xfId="39298"/>
    <cellStyle name="Normal 3 3 3 2 2 5" xfId="16734"/>
    <cellStyle name="Normal 3 3 3 2 2 6" xfId="31777"/>
    <cellStyle name="Normal 3 3 3 2 3" xfId="2575"/>
    <cellStyle name="Normal 3 3 3 2 3 2" xfId="6370"/>
    <cellStyle name="Normal 3 3 3 2 3 2 2" xfId="13893"/>
    <cellStyle name="Normal 3 3 3 2 3 2 2 2" xfId="28937"/>
    <cellStyle name="Normal 3 3 3 2 3 2 2 3" xfId="43980"/>
    <cellStyle name="Normal 3 3 3 2 3 2 3" xfId="21416"/>
    <cellStyle name="Normal 3 3 3 2 3 2 4" xfId="36459"/>
    <cellStyle name="Normal 3 3 3 2 3 3" xfId="10144"/>
    <cellStyle name="Normal 3 3 3 2 3 3 2" xfId="25188"/>
    <cellStyle name="Normal 3 3 3 2 3 3 3" xfId="40231"/>
    <cellStyle name="Normal 3 3 3 2 3 4" xfId="17667"/>
    <cellStyle name="Normal 3 3 3 2 3 5" xfId="32710"/>
    <cellStyle name="Normal 3 3 3 2 4" xfId="4505"/>
    <cellStyle name="Normal 3 3 3 2 4 2" xfId="12028"/>
    <cellStyle name="Normal 3 3 3 2 4 2 2" xfId="27072"/>
    <cellStyle name="Normal 3 3 3 2 4 2 3" xfId="42115"/>
    <cellStyle name="Normal 3 3 3 2 4 3" xfId="19551"/>
    <cellStyle name="Normal 3 3 3 2 4 4" xfId="34594"/>
    <cellStyle name="Normal 3 3 3 2 5" xfId="8279"/>
    <cellStyle name="Normal 3 3 3 2 5 2" xfId="23323"/>
    <cellStyle name="Normal 3 3 3 2 5 3" xfId="38366"/>
    <cellStyle name="Normal 3 3 3 2 6" xfId="15802"/>
    <cellStyle name="Normal 3 3 3 2 7" xfId="30845"/>
    <cellStyle name="Normal 3 3 3 3" xfId="1184"/>
    <cellStyle name="Normal 3 3 3 3 2" xfId="3055"/>
    <cellStyle name="Normal 3 3 3 3 2 2" xfId="6850"/>
    <cellStyle name="Normal 3 3 3 3 2 2 2" xfId="14373"/>
    <cellStyle name="Normal 3 3 3 3 2 2 2 2" xfId="29417"/>
    <cellStyle name="Normal 3 3 3 3 2 2 2 3" xfId="44460"/>
    <cellStyle name="Normal 3 3 3 3 2 2 3" xfId="21896"/>
    <cellStyle name="Normal 3 3 3 3 2 2 4" xfId="36939"/>
    <cellStyle name="Normal 3 3 3 3 2 3" xfId="10624"/>
    <cellStyle name="Normal 3 3 3 3 2 3 2" xfId="25668"/>
    <cellStyle name="Normal 3 3 3 3 2 3 3" xfId="40711"/>
    <cellStyle name="Normal 3 3 3 3 2 4" xfId="18147"/>
    <cellStyle name="Normal 3 3 3 3 2 5" xfId="33190"/>
    <cellStyle name="Normal 3 3 3 3 3" xfId="4985"/>
    <cellStyle name="Normal 3 3 3 3 3 2" xfId="12508"/>
    <cellStyle name="Normal 3 3 3 3 3 2 2" xfId="27552"/>
    <cellStyle name="Normal 3 3 3 3 3 2 3" xfId="42595"/>
    <cellStyle name="Normal 3 3 3 3 3 3" xfId="20031"/>
    <cellStyle name="Normal 3 3 3 3 3 4" xfId="35074"/>
    <cellStyle name="Normal 3 3 3 3 4" xfId="8759"/>
    <cellStyle name="Normal 3 3 3 3 4 2" xfId="23803"/>
    <cellStyle name="Normal 3 3 3 3 4 3" xfId="38846"/>
    <cellStyle name="Normal 3 3 3 3 5" xfId="16282"/>
    <cellStyle name="Normal 3 3 3 3 6" xfId="31325"/>
    <cellStyle name="Normal 3 3 3 4" xfId="2122"/>
    <cellStyle name="Normal 3 3 3 4 2" xfId="5918"/>
    <cellStyle name="Normal 3 3 3 4 2 2" xfId="13441"/>
    <cellStyle name="Normal 3 3 3 4 2 2 2" xfId="28485"/>
    <cellStyle name="Normal 3 3 3 4 2 2 3" xfId="43528"/>
    <cellStyle name="Normal 3 3 3 4 2 3" xfId="20964"/>
    <cellStyle name="Normal 3 3 3 4 2 4" xfId="36007"/>
    <cellStyle name="Normal 3 3 3 4 3" xfId="9692"/>
    <cellStyle name="Normal 3 3 3 4 3 2" xfId="24736"/>
    <cellStyle name="Normal 3 3 3 4 3 3" xfId="39779"/>
    <cellStyle name="Normal 3 3 3 4 4" xfId="17215"/>
    <cellStyle name="Normal 3 3 3 4 5" xfId="32258"/>
    <cellStyle name="Normal 3 3 3 5" xfId="4048"/>
    <cellStyle name="Normal 3 3 3 5 2" xfId="11572"/>
    <cellStyle name="Normal 3 3 3 5 2 2" xfId="26616"/>
    <cellStyle name="Normal 3 3 3 5 2 3" xfId="41659"/>
    <cellStyle name="Normal 3 3 3 5 3" xfId="19095"/>
    <cellStyle name="Normal 3 3 3 5 4" xfId="34138"/>
    <cellStyle name="Normal 3 3 3 6" xfId="7811"/>
    <cellStyle name="Normal 3 3 3 6 2" xfId="22855"/>
    <cellStyle name="Normal 3 3 3 6 3" xfId="37898"/>
    <cellStyle name="Normal 3 3 3 7" xfId="15334"/>
    <cellStyle name="Normal 3 3 3 8" xfId="30377"/>
    <cellStyle name="Normal 3 3 4" xfId="597"/>
    <cellStyle name="Normal 3 3 4 2" xfId="1095"/>
    <cellStyle name="Normal 3 3 4 2 2" xfId="2054"/>
    <cellStyle name="Normal 3 3 4 2 2 2" xfId="3925"/>
    <cellStyle name="Normal 3 3 4 2 2 2 2" xfId="7720"/>
    <cellStyle name="Normal 3 3 4 2 2 2 2 2" xfId="15243"/>
    <cellStyle name="Normal 3 3 4 2 2 2 2 2 2" xfId="30287"/>
    <cellStyle name="Normal 3 3 4 2 2 2 2 2 3" xfId="45330"/>
    <cellStyle name="Normal 3 3 4 2 2 2 2 3" xfId="22766"/>
    <cellStyle name="Normal 3 3 4 2 2 2 2 4" xfId="37809"/>
    <cellStyle name="Normal 3 3 4 2 2 2 3" xfId="11494"/>
    <cellStyle name="Normal 3 3 4 2 2 2 3 2" xfId="26538"/>
    <cellStyle name="Normal 3 3 4 2 2 2 3 3" xfId="41581"/>
    <cellStyle name="Normal 3 3 4 2 2 2 4" xfId="19017"/>
    <cellStyle name="Normal 3 3 4 2 2 2 5" xfId="34060"/>
    <cellStyle name="Normal 3 3 4 2 2 3" xfId="5855"/>
    <cellStyle name="Normal 3 3 4 2 2 3 2" xfId="13378"/>
    <cellStyle name="Normal 3 3 4 2 2 3 2 2" xfId="28422"/>
    <cellStyle name="Normal 3 3 4 2 2 3 2 3" xfId="43465"/>
    <cellStyle name="Normal 3 3 4 2 2 3 3" xfId="20901"/>
    <cellStyle name="Normal 3 3 4 2 2 3 4" xfId="35944"/>
    <cellStyle name="Normal 3 3 4 2 2 4" xfId="9629"/>
    <cellStyle name="Normal 3 3 4 2 2 4 2" xfId="24673"/>
    <cellStyle name="Normal 3 3 4 2 2 4 3" xfId="39716"/>
    <cellStyle name="Normal 3 3 4 2 2 5" xfId="17152"/>
    <cellStyle name="Normal 3 3 4 2 2 6" xfId="32195"/>
    <cellStyle name="Normal 3 3 4 2 3" xfId="2993"/>
    <cellStyle name="Normal 3 3 4 2 3 2" xfId="6788"/>
    <cellStyle name="Normal 3 3 4 2 3 2 2" xfId="14311"/>
    <cellStyle name="Normal 3 3 4 2 3 2 2 2" xfId="29355"/>
    <cellStyle name="Normal 3 3 4 2 3 2 2 3" xfId="44398"/>
    <cellStyle name="Normal 3 3 4 2 3 2 3" xfId="21834"/>
    <cellStyle name="Normal 3 3 4 2 3 2 4" xfId="36877"/>
    <cellStyle name="Normal 3 3 4 2 3 3" xfId="10562"/>
    <cellStyle name="Normal 3 3 4 2 3 3 2" xfId="25606"/>
    <cellStyle name="Normal 3 3 4 2 3 3 3" xfId="40649"/>
    <cellStyle name="Normal 3 3 4 2 3 4" xfId="18085"/>
    <cellStyle name="Normal 3 3 4 2 3 5" xfId="33128"/>
    <cellStyle name="Normal 3 3 4 2 4" xfId="4923"/>
    <cellStyle name="Normal 3 3 4 2 4 2" xfId="12446"/>
    <cellStyle name="Normal 3 3 4 2 4 2 2" xfId="27490"/>
    <cellStyle name="Normal 3 3 4 2 4 2 3" xfId="42533"/>
    <cellStyle name="Normal 3 3 4 2 4 3" xfId="19969"/>
    <cellStyle name="Normal 3 3 4 2 4 4" xfId="35012"/>
    <cellStyle name="Normal 3 3 4 2 5" xfId="8697"/>
    <cellStyle name="Normal 3 3 4 2 5 2" xfId="23741"/>
    <cellStyle name="Normal 3 3 4 2 5 3" xfId="38784"/>
    <cellStyle name="Normal 3 3 4 2 6" xfId="16220"/>
    <cellStyle name="Normal 3 3 4 2 7" xfId="31263"/>
    <cellStyle name="Normal 3 3 4 3" xfId="1602"/>
    <cellStyle name="Normal 3 3 4 3 2" xfId="3473"/>
    <cellStyle name="Normal 3 3 4 3 2 2" xfId="7268"/>
    <cellStyle name="Normal 3 3 4 3 2 2 2" xfId="14791"/>
    <cellStyle name="Normal 3 3 4 3 2 2 2 2" xfId="29835"/>
    <cellStyle name="Normal 3 3 4 3 2 2 2 3" xfId="44878"/>
    <cellStyle name="Normal 3 3 4 3 2 2 3" xfId="22314"/>
    <cellStyle name="Normal 3 3 4 3 2 2 4" xfId="37357"/>
    <cellStyle name="Normal 3 3 4 3 2 3" xfId="11042"/>
    <cellStyle name="Normal 3 3 4 3 2 3 2" xfId="26086"/>
    <cellStyle name="Normal 3 3 4 3 2 3 3" xfId="41129"/>
    <cellStyle name="Normal 3 3 4 3 2 4" xfId="18565"/>
    <cellStyle name="Normal 3 3 4 3 2 5" xfId="33608"/>
    <cellStyle name="Normal 3 3 4 3 3" xfId="5403"/>
    <cellStyle name="Normal 3 3 4 3 3 2" xfId="12926"/>
    <cellStyle name="Normal 3 3 4 3 3 2 2" xfId="27970"/>
    <cellStyle name="Normal 3 3 4 3 3 2 3" xfId="43013"/>
    <cellStyle name="Normal 3 3 4 3 3 3" xfId="20449"/>
    <cellStyle name="Normal 3 3 4 3 3 4" xfId="35492"/>
    <cellStyle name="Normal 3 3 4 3 4" xfId="9177"/>
    <cellStyle name="Normal 3 3 4 3 4 2" xfId="24221"/>
    <cellStyle name="Normal 3 3 4 3 4 3" xfId="39264"/>
    <cellStyle name="Normal 3 3 4 3 5" xfId="16700"/>
    <cellStyle name="Normal 3 3 4 3 6" xfId="31743"/>
    <cellStyle name="Normal 3 3 4 4" xfId="2540"/>
    <cellStyle name="Normal 3 3 4 4 2" xfId="6336"/>
    <cellStyle name="Normal 3 3 4 4 2 2" xfId="13859"/>
    <cellStyle name="Normal 3 3 4 4 2 2 2" xfId="28903"/>
    <cellStyle name="Normal 3 3 4 4 2 2 3" xfId="43946"/>
    <cellStyle name="Normal 3 3 4 4 2 3" xfId="21382"/>
    <cellStyle name="Normal 3 3 4 4 2 4" xfId="36425"/>
    <cellStyle name="Normal 3 3 4 4 3" xfId="10110"/>
    <cellStyle name="Normal 3 3 4 4 3 2" xfId="25154"/>
    <cellStyle name="Normal 3 3 4 4 3 3" xfId="40197"/>
    <cellStyle name="Normal 3 3 4 4 4" xfId="17633"/>
    <cellStyle name="Normal 3 3 4 4 5" xfId="32676"/>
    <cellStyle name="Normal 3 3 4 5" xfId="4468"/>
    <cellStyle name="Normal 3 3 4 5 2" xfId="11992"/>
    <cellStyle name="Normal 3 3 4 5 2 2" xfId="27036"/>
    <cellStyle name="Normal 3 3 4 5 2 3" xfId="42079"/>
    <cellStyle name="Normal 3 3 4 5 3" xfId="19515"/>
    <cellStyle name="Normal 3 3 4 5 4" xfId="34558"/>
    <cellStyle name="Normal 3 3 4 6" xfId="8231"/>
    <cellStyle name="Normal 3 3 4 6 2" xfId="23275"/>
    <cellStyle name="Normal 3 3 4 6 3" xfId="38318"/>
    <cellStyle name="Normal 3 3 4 7" xfId="15754"/>
    <cellStyle name="Normal 3 3 4 8" xfId="30797"/>
    <cellStyle name="Normal 3 3 5" xfId="660"/>
    <cellStyle name="Normal 3 3 5 2" xfId="1619"/>
    <cellStyle name="Normal 3 3 5 2 2" xfId="3490"/>
    <cellStyle name="Normal 3 3 5 2 2 2" xfId="7285"/>
    <cellStyle name="Normal 3 3 5 2 2 2 2" xfId="14808"/>
    <cellStyle name="Normal 3 3 5 2 2 2 2 2" xfId="29852"/>
    <cellStyle name="Normal 3 3 5 2 2 2 2 3" xfId="44895"/>
    <cellStyle name="Normal 3 3 5 2 2 2 3" xfId="22331"/>
    <cellStyle name="Normal 3 3 5 2 2 2 4" xfId="37374"/>
    <cellStyle name="Normal 3 3 5 2 2 3" xfId="11059"/>
    <cellStyle name="Normal 3 3 5 2 2 3 2" xfId="26103"/>
    <cellStyle name="Normal 3 3 5 2 2 3 3" xfId="41146"/>
    <cellStyle name="Normal 3 3 5 2 2 4" xfId="18582"/>
    <cellStyle name="Normal 3 3 5 2 2 5" xfId="33625"/>
    <cellStyle name="Normal 3 3 5 2 3" xfId="5420"/>
    <cellStyle name="Normal 3 3 5 2 3 2" xfId="12943"/>
    <cellStyle name="Normal 3 3 5 2 3 2 2" xfId="27987"/>
    <cellStyle name="Normal 3 3 5 2 3 2 3" xfId="43030"/>
    <cellStyle name="Normal 3 3 5 2 3 3" xfId="20466"/>
    <cellStyle name="Normal 3 3 5 2 3 4" xfId="35509"/>
    <cellStyle name="Normal 3 3 5 2 4" xfId="9194"/>
    <cellStyle name="Normal 3 3 5 2 4 2" xfId="24238"/>
    <cellStyle name="Normal 3 3 5 2 4 3" xfId="39281"/>
    <cellStyle name="Normal 3 3 5 2 5" xfId="16717"/>
    <cellStyle name="Normal 3 3 5 2 6" xfId="31760"/>
    <cellStyle name="Normal 3 3 5 3" xfId="2558"/>
    <cellStyle name="Normal 3 3 5 3 2" xfId="6353"/>
    <cellStyle name="Normal 3 3 5 3 2 2" xfId="13876"/>
    <cellStyle name="Normal 3 3 5 3 2 2 2" xfId="28920"/>
    <cellStyle name="Normal 3 3 5 3 2 2 3" xfId="43963"/>
    <cellStyle name="Normal 3 3 5 3 2 3" xfId="21399"/>
    <cellStyle name="Normal 3 3 5 3 2 4" xfId="36442"/>
    <cellStyle name="Normal 3 3 5 3 3" xfId="10127"/>
    <cellStyle name="Normal 3 3 5 3 3 2" xfId="25171"/>
    <cellStyle name="Normal 3 3 5 3 3 3" xfId="40214"/>
    <cellStyle name="Normal 3 3 5 3 4" xfId="17650"/>
    <cellStyle name="Normal 3 3 5 3 5" xfId="32693"/>
    <cellStyle name="Normal 3 3 5 4" xfId="4488"/>
    <cellStyle name="Normal 3 3 5 4 2" xfId="12011"/>
    <cellStyle name="Normal 3 3 5 4 2 2" xfId="27055"/>
    <cellStyle name="Normal 3 3 5 4 2 3" xfId="42098"/>
    <cellStyle name="Normal 3 3 5 4 3" xfId="19534"/>
    <cellStyle name="Normal 3 3 5 4 4" xfId="34577"/>
    <cellStyle name="Normal 3 3 5 5" xfId="8262"/>
    <cellStyle name="Normal 3 3 5 5 2" xfId="23306"/>
    <cellStyle name="Normal 3 3 5 5 3" xfId="38349"/>
    <cellStyle name="Normal 3 3 5 6" xfId="15785"/>
    <cellStyle name="Normal 3 3 5 7" xfId="30828"/>
    <cellStyle name="Normal 3 3 6" xfId="1167"/>
    <cellStyle name="Normal 3 3 6 2" xfId="3038"/>
    <cellStyle name="Normal 3 3 6 2 2" xfId="6833"/>
    <cellStyle name="Normal 3 3 6 2 2 2" xfId="14356"/>
    <cellStyle name="Normal 3 3 6 2 2 2 2" xfId="29400"/>
    <cellStyle name="Normal 3 3 6 2 2 2 3" xfId="44443"/>
    <cellStyle name="Normal 3 3 6 2 2 3" xfId="21879"/>
    <cellStyle name="Normal 3 3 6 2 2 4" xfId="36922"/>
    <cellStyle name="Normal 3 3 6 2 3" xfId="10607"/>
    <cellStyle name="Normal 3 3 6 2 3 2" xfId="25651"/>
    <cellStyle name="Normal 3 3 6 2 3 3" xfId="40694"/>
    <cellStyle name="Normal 3 3 6 2 4" xfId="18130"/>
    <cellStyle name="Normal 3 3 6 2 5" xfId="33173"/>
    <cellStyle name="Normal 3 3 6 3" xfId="4968"/>
    <cellStyle name="Normal 3 3 6 3 2" xfId="12491"/>
    <cellStyle name="Normal 3 3 6 3 2 2" xfId="27535"/>
    <cellStyle name="Normal 3 3 6 3 2 3" xfId="42578"/>
    <cellStyle name="Normal 3 3 6 3 3" xfId="20014"/>
    <cellStyle name="Normal 3 3 6 3 4" xfId="35057"/>
    <cellStyle name="Normal 3 3 6 4" xfId="8742"/>
    <cellStyle name="Normal 3 3 6 4 2" xfId="23786"/>
    <cellStyle name="Normal 3 3 6 4 3" xfId="38829"/>
    <cellStyle name="Normal 3 3 6 5" xfId="16265"/>
    <cellStyle name="Normal 3 3 6 6" xfId="31308"/>
    <cellStyle name="Normal 3 3 7" xfId="2105"/>
    <cellStyle name="Normal 3 3 7 2" xfId="5901"/>
    <cellStyle name="Normal 3 3 7 2 2" xfId="13424"/>
    <cellStyle name="Normal 3 3 7 2 2 2" xfId="28468"/>
    <cellStyle name="Normal 3 3 7 2 2 3" xfId="43511"/>
    <cellStyle name="Normal 3 3 7 2 3" xfId="20947"/>
    <cellStyle name="Normal 3 3 7 2 4" xfId="35990"/>
    <cellStyle name="Normal 3 3 7 3" xfId="9675"/>
    <cellStyle name="Normal 3 3 7 3 2" xfId="24719"/>
    <cellStyle name="Normal 3 3 7 3 3" xfId="39762"/>
    <cellStyle name="Normal 3 3 7 4" xfId="17198"/>
    <cellStyle name="Normal 3 3 7 5" xfId="32241"/>
    <cellStyle name="Normal 3 3 8" xfId="4031"/>
    <cellStyle name="Normal 3 3 8 2" xfId="11555"/>
    <cellStyle name="Normal 3 3 8 2 2" xfId="26599"/>
    <cellStyle name="Normal 3 3 8 2 3" xfId="41642"/>
    <cellStyle name="Normal 3 3 8 3" xfId="19078"/>
    <cellStyle name="Normal 3 3 8 4" xfId="34121"/>
    <cellStyle name="Normal 3 3 9" xfId="7794"/>
    <cellStyle name="Normal 3 3 9 2" xfId="22838"/>
    <cellStyle name="Normal 3 3 9 3" xfId="37881"/>
    <cellStyle name="Normal 3 4" xfId="221"/>
    <cellStyle name="Normal 3 4 2" xfId="222"/>
    <cellStyle name="Normal 3 4 2 2" xfId="747"/>
    <cellStyle name="Normal 3 4 2 2 2" xfId="1706"/>
    <cellStyle name="Normal 3 4 2 2 2 2" xfId="3577"/>
    <cellStyle name="Normal 3 4 2 2 2 2 2" xfId="7372"/>
    <cellStyle name="Normal 3 4 2 2 2 2 2 2" xfId="14895"/>
    <cellStyle name="Normal 3 4 2 2 2 2 2 2 2" xfId="29939"/>
    <cellStyle name="Normal 3 4 2 2 2 2 2 2 3" xfId="44982"/>
    <cellStyle name="Normal 3 4 2 2 2 2 2 3" xfId="22418"/>
    <cellStyle name="Normal 3 4 2 2 2 2 2 4" xfId="37461"/>
    <cellStyle name="Normal 3 4 2 2 2 2 3" xfId="11146"/>
    <cellStyle name="Normal 3 4 2 2 2 2 3 2" xfId="26190"/>
    <cellStyle name="Normal 3 4 2 2 2 2 3 3" xfId="41233"/>
    <cellStyle name="Normal 3 4 2 2 2 2 4" xfId="18669"/>
    <cellStyle name="Normal 3 4 2 2 2 2 5" xfId="33712"/>
    <cellStyle name="Normal 3 4 2 2 2 3" xfId="5507"/>
    <cellStyle name="Normal 3 4 2 2 2 3 2" xfId="13030"/>
    <cellStyle name="Normal 3 4 2 2 2 3 2 2" xfId="28074"/>
    <cellStyle name="Normal 3 4 2 2 2 3 2 3" xfId="43117"/>
    <cellStyle name="Normal 3 4 2 2 2 3 3" xfId="20553"/>
    <cellStyle name="Normal 3 4 2 2 2 3 4" xfId="35596"/>
    <cellStyle name="Normal 3 4 2 2 2 4" xfId="9281"/>
    <cellStyle name="Normal 3 4 2 2 2 4 2" xfId="24325"/>
    <cellStyle name="Normal 3 4 2 2 2 4 3" xfId="39368"/>
    <cellStyle name="Normal 3 4 2 2 2 5" xfId="16804"/>
    <cellStyle name="Normal 3 4 2 2 2 6" xfId="31847"/>
    <cellStyle name="Normal 3 4 2 2 3" xfId="2645"/>
    <cellStyle name="Normal 3 4 2 2 3 2" xfId="6440"/>
    <cellStyle name="Normal 3 4 2 2 3 2 2" xfId="13963"/>
    <cellStyle name="Normal 3 4 2 2 3 2 2 2" xfId="29007"/>
    <cellStyle name="Normal 3 4 2 2 3 2 2 3" xfId="44050"/>
    <cellStyle name="Normal 3 4 2 2 3 2 3" xfId="21486"/>
    <cellStyle name="Normal 3 4 2 2 3 2 4" xfId="36529"/>
    <cellStyle name="Normal 3 4 2 2 3 3" xfId="10214"/>
    <cellStyle name="Normal 3 4 2 2 3 3 2" xfId="25258"/>
    <cellStyle name="Normal 3 4 2 2 3 3 3" xfId="40301"/>
    <cellStyle name="Normal 3 4 2 2 3 4" xfId="17737"/>
    <cellStyle name="Normal 3 4 2 2 3 5" xfId="32780"/>
    <cellStyle name="Normal 3 4 2 2 4" xfId="4575"/>
    <cellStyle name="Normal 3 4 2 2 4 2" xfId="12098"/>
    <cellStyle name="Normal 3 4 2 2 4 2 2" xfId="27142"/>
    <cellStyle name="Normal 3 4 2 2 4 2 3" xfId="42185"/>
    <cellStyle name="Normal 3 4 2 2 4 3" xfId="19621"/>
    <cellStyle name="Normal 3 4 2 2 4 4" xfId="34664"/>
    <cellStyle name="Normal 3 4 2 2 5" xfId="8349"/>
    <cellStyle name="Normal 3 4 2 2 5 2" xfId="23393"/>
    <cellStyle name="Normal 3 4 2 2 5 3" xfId="38436"/>
    <cellStyle name="Normal 3 4 2 2 6" xfId="15872"/>
    <cellStyle name="Normal 3 4 2 2 7" xfId="30915"/>
    <cellStyle name="Normal 3 4 2 3" xfId="1254"/>
    <cellStyle name="Normal 3 4 2 3 2" xfId="3125"/>
    <cellStyle name="Normal 3 4 2 3 2 2" xfId="6920"/>
    <cellStyle name="Normal 3 4 2 3 2 2 2" xfId="14443"/>
    <cellStyle name="Normal 3 4 2 3 2 2 2 2" xfId="29487"/>
    <cellStyle name="Normal 3 4 2 3 2 2 2 3" xfId="44530"/>
    <cellStyle name="Normal 3 4 2 3 2 2 3" xfId="21966"/>
    <cellStyle name="Normal 3 4 2 3 2 2 4" xfId="37009"/>
    <cellStyle name="Normal 3 4 2 3 2 3" xfId="10694"/>
    <cellStyle name="Normal 3 4 2 3 2 3 2" xfId="25738"/>
    <cellStyle name="Normal 3 4 2 3 2 3 3" xfId="40781"/>
    <cellStyle name="Normal 3 4 2 3 2 4" xfId="18217"/>
    <cellStyle name="Normal 3 4 2 3 2 5" xfId="33260"/>
    <cellStyle name="Normal 3 4 2 3 3" xfId="5055"/>
    <cellStyle name="Normal 3 4 2 3 3 2" xfId="12578"/>
    <cellStyle name="Normal 3 4 2 3 3 2 2" xfId="27622"/>
    <cellStyle name="Normal 3 4 2 3 3 2 3" xfId="42665"/>
    <cellStyle name="Normal 3 4 2 3 3 3" xfId="20101"/>
    <cellStyle name="Normal 3 4 2 3 3 4" xfId="35144"/>
    <cellStyle name="Normal 3 4 2 3 4" xfId="8829"/>
    <cellStyle name="Normal 3 4 2 3 4 2" xfId="23873"/>
    <cellStyle name="Normal 3 4 2 3 4 3" xfId="38916"/>
    <cellStyle name="Normal 3 4 2 3 5" xfId="16352"/>
    <cellStyle name="Normal 3 4 2 3 6" xfId="31395"/>
    <cellStyle name="Normal 3 4 2 4" xfId="2192"/>
    <cellStyle name="Normal 3 4 2 4 2" xfId="5988"/>
    <cellStyle name="Normal 3 4 2 4 2 2" xfId="13511"/>
    <cellStyle name="Normal 3 4 2 4 2 2 2" xfId="28555"/>
    <cellStyle name="Normal 3 4 2 4 2 2 3" xfId="43598"/>
    <cellStyle name="Normal 3 4 2 4 2 3" xfId="21034"/>
    <cellStyle name="Normal 3 4 2 4 2 4" xfId="36077"/>
    <cellStyle name="Normal 3 4 2 4 3" xfId="9762"/>
    <cellStyle name="Normal 3 4 2 4 3 2" xfId="24806"/>
    <cellStyle name="Normal 3 4 2 4 3 3" xfId="39849"/>
    <cellStyle name="Normal 3 4 2 4 4" xfId="17285"/>
    <cellStyle name="Normal 3 4 2 4 5" xfId="32328"/>
    <cellStyle name="Normal 3 4 2 5" xfId="4120"/>
    <cellStyle name="Normal 3 4 2 5 2" xfId="11644"/>
    <cellStyle name="Normal 3 4 2 5 2 2" xfId="26688"/>
    <cellStyle name="Normal 3 4 2 5 2 3" xfId="41731"/>
    <cellStyle name="Normal 3 4 2 5 3" xfId="19167"/>
    <cellStyle name="Normal 3 4 2 5 4" xfId="34210"/>
    <cellStyle name="Normal 3 4 2 6" xfId="7883"/>
    <cellStyle name="Normal 3 4 2 6 2" xfId="22927"/>
    <cellStyle name="Normal 3 4 2 6 3" xfId="37970"/>
    <cellStyle name="Normal 3 4 2 7" xfId="15406"/>
    <cellStyle name="Normal 3 4 2 8" xfId="30449"/>
    <cellStyle name="Normal 3 4 3" xfId="746"/>
    <cellStyle name="Normal 3 4 3 2" xfId="1705"/>
    <cellStyle name="Normal 3 4 3 2 2" xfId="3576"/>
    <cellStyle name="Normal 3 4 3 2 2 2" xfId="7371"/>
    <cellStyle name="Normal 3 4 3 2 2 2 2" xfId="14894"/>
    <cellStyle name="Normal 3 4 3 2 2 2 2 2" xfId="29938"/>
    <cellStyle name="Normal 3 4 3 2 2 2 2 3" xfId="44981"/>
    <cellStyle name="Normal 3 4 3 2 2 2 3" xfId="22417"/>
    <cellStyle name="Normal 3 4 3 2 2 2 4" xfId="37460"/>
    <cellStyle name="Normal 3 4 3 2 2 3" xfId="11145"/>
    <cellStyle name="Normal 3 4 3 2 2 3 2" xfId="26189"/>
    <cellStyle name="Normal 3 4 3 2 2 3 3" xfId="41232"/>
    <cellStyle name="Normal 3 4 3 2 2 4" xfId="18668"/>
    <cellStyle name="Normal 3 4 3 2 2 5" xfId="33711"/>
    <cellStyle name="Normal 3 4 3 2 3" xfId="5506"/>
    <cellStyle name="Normal 3 4 3 2 3 2" xfId="13029"/>
    <cellStyle name="Normal 3 4 3 2 3 2 2" xfId="28073"/>
    <cellStyle name="Normal 3 4 3 2 3 2 3" xfId="43116"/>
    <cellStyle name="Normal 3 4 3 2 3 3" xfId="20552"/>
    <cellStyle name="Normal 3 4 3 2 3 4" xfId="35595"/>
    <cellStyle name="Normal 3 4 3 2 4" xfId="9280"/>
    <cellStyle name="Normal 3 4 3 2 4 2" xfId="24324"/>
    <cellStyle name="Normal 3 4 3 2 4 3" xfId="39367"/>
    <cellStyle name="Normal 3 4 3 2 5" xfId="16803"/>
    <cellStyle name="Normal 3 4 3 2 6" xfId="31846"/>
    <cellStyle name="Normal 3 4 3 3" xfId="2644"/>
    <cellStyle name="Normal 3 4 3 3 2" xfId="6439"/>
    <cellStyle name="Normal 3 4 3 3 2 2" xfId="13962"/>
    <cellStyle name="Normal 3 4 3 3 2 2 2" xfId="29006"/>
    <cellStyle name="Normal 3 4 3 3 2 2 3" xfId="44049"/>
    <cellStyle name="Normal 3 4 3 3 2 3" xfId="21485"/>
    <cellStyle name="Normal 3 4 3 3 2 4" xfId="36528"/>
    <cellStyle name="Normal 3 4 3 3 3" xfId="10213"/>
    <cellStyle name="Normal 3 4 3 3 3 2" xfId="25257"/>
    <cellStyle name="Normal 3 4 3 3 3 3" xfId="40300"/>
    <cellStyle name="Normal 3 4 3 3 4" xfId="17736"/>
    <cellStyle name="Normal 3 4 3 3 5" xfId="32779"/>
    <cellStyle name="Normal 3 4 3 4" xfId="4574"/>
    <cellStyle name="Normal 3 4 3 4 2" xfId="12097"/>
    <cellStyle name="Normal 3 4 3 4 2 2" xfId="27141"/>
    <cellStyle name="Normal 3 4 3 4 2 3" xfId="42184"/>
    <cellStyle name="Normal 3 4 3 4 3" xfId="19620"/>
    <cellStyle name="Normal 3 4 3 4 4" xfId="34663"/>
    <cellStyle name="Normal 3 4 3 5" xfId="8348"/>
    <cellStyle name="Normal 3 4 3 5 2" xfId="23392"/>
    <cellStyle name="Normal 3 4 3 5 3" xfId="38435"/>
    <cellStyle name="Normal 3 4 3 6" xfId="15871"/>
    <cellStyle name="Normal 3 4 3 7" xfId="30914"/>
    <cellStyle name="Normal 3 4 4" xfId="1253"/>
    <cellStyle name="Normal 3 4 4 2" xfId="3124"/>
    <cellStyle name="Normal 3 4 4 2 2" xfId="6919"/>
    <cellStyle name="Normal 3 4 4 2 2 2" xfId="14442"/>
    <cellStyle name="Normal 3 4 4 2 2 2 2" xfId="29486"/>
    <cellStyle name="Normal 3 4 4 2 2 2 3" xfId="44529"/>
    <cellStyle name="Normal 3 4 4 2 2 3" xfId="21965"/>
    <cellStyle name="Normal 3 4 4 2 2 4" xfId="37008"/>
    <cellStyle name="Normal 3 4 4 2 3" xfId="10693"/>
    <cellStyle name="Normal 3 4 4 2 3 2" xfId="25737"/>
    <cellStyle name="Normal 3 4 4 2 3 3" xfId="40780"/>
    <cellStyle name="Normal 3 4 4 2 4" xfId="18216"/>
    <cellStyle name="Normal 3 4 4 2 5" xfId="33259"/>
    <cellStyle name="Normal 3 4 4 3" xfId="5054"/>
    <cellStyle name="Normal 3 4 4 3 2" xfId="12577"/>
    <cellStyle name="Normal 3 4 4 3 2 2" xfId="27621"/>
    <cellStyle name="Normal 3 4 4 3 2 3" xfId="42664"/>
    <cellStyle name="Normal 3 4 4 3 3" xfId="20100"/>
    <cellStyle name="Normal 3 4 4 3 4" xfId="35143"/>
    <cellStyle name="Normal 3 4 4 4" xfId="8828"/>
    <cellStyle name="Normal 3 4 4 4 2" xfId="23872"/>
    <cellStyle name="Normal 3 4 4 4 3" xfId="38915"/>
    <cellStyle name="Normal 3 4 4 5" xfId="16351"/>
    <cellStyle name="Normal 3 4 4 6" xfId="31394"/>
    <cellStyle name="Normal 3 4 5" xfId="2191"/>
    <cellStyle name="Normal 3 4 5 2" xfId="5987"/>
    <cellStyle name="Normal 3 4 5 2 2" xfId="13510"/>
    <cellStyle name="Normal 3 4 5 2 2 2" xfId="28554"/>
    <cellStyle name="Normal 3 4 5 2 2 3" xfId="43597"/>
    <cellStyle name="Normal 3 4 5 2 3" xfId="21033"/>
    <cellStyle name="Normal 3 4 5 2 4" xfId="36076"/>
    <cellStyle name="Normal 3 4 5 3" xfId="9761"/>
    <cellStyle name="Normal 3 4 5 3 2" xfId="24805"/>
    <cellStyle name="Normal 3 4 5 3 3" xfId="39848"/>
    <cellStyle name="Normal 3 4 5 4" xfId="17284"/>
    <cellStyle name="Normal 3 4 5 5" xfId="32327"/>
    <cellStyle name="Normal 3 4 6" xfId="4119"/>
    <cellStyle name="Normal 3 4 6 2" xfId="11643"/>
    <cellStyle name="Normal 3 4 6 2 2" xfId="26687"/>
    <cellStyle name="Normal 3 4 6 2 3" xfId="41730"/>
    <cellStyle name="Normal 3 4 6 3" xfId="19166"/>
    <cellStyle name="Normal 3 4 6 4" xfId="34209"/>
    <cellStyle name="Normal 3 4 7" xfId="7882"/>
    <cellStyle name="Normal 3 4 7 2" xfId="22926"/>
    <cellStyle name="Normal 3 4 7 3" xfId="37969"/>
    <cellStyle name="Normal 3 4 8" xfId="15405"/>
    <cellStyle name="Normal 3 4 9" xfId="30448"/>
    <cellStyle name="Normal 3 5" xfId="223"/>
    <cellStyle name="Normal 3 6" xfId="31"/>
    <cellStyle name="Normal 3 6 2" xfId="668"/>
    <cellStyle name="Normal 3 6 2 2" xfId="1627"/>
    <cellStyle name="Normal 3 6 2 2 2" xfId="3498"/>
    <cellStyle name="Normal 3 6 2 2 2 2" xfId="7293"/>
    <cellStyle name="Normal 3 6 2 2 2 2 2" xfId="14816"/>
    <cellStyle name="Normal 3 6 2 2 2 2 2 2" xfId="29860"/>
    <cellStyle name="Normal 3 6 2 2 2 2 2 3" xfId="44903"/>
    <cellStyle name="Normal 3 6 2 2 2 2 3" xfId="22339"/>
    <cellStyle name="Normal 3 6 2 2 2 2 4" xfId="37382"/>
    <cellStyle name="Normal 3 6 2 2 2 3" xfId="11067"/>
    <cellStyle name="Normal 3 6 2 2 2 3 2" xfId="26111"/>
    <cellStyle name="Normal 3 6 2 2 2 3 3" xfId="41154"/>
    <cellStyle name="Normal 3 6 2 2 2 4" xfId="18590"/>
    <cellStyle name="Normal 3 6 2 2 2 5" xfId="33633"/>
    <cellStyle name="Normal 3 6 2 2 3" xfId="5428"/>
    <cellStyle name="Normal 3 6 2 2 3 2" xfId="12951"/>
    <cellStyle name="Normal 3 6 2 2 3 2 2" xfId="27995"/>
    <cellStyle name="Normal 3 6 2 2 3 2 3" xfId="43038"/>
    <cellStyle name="Normal 3 6 2 2 3 3" xfId="20474"/>
    <cellStyle name="Normal 3 6 2 2 3 4" xfId="35517"/>
    <cellStyle name="Normal 3 6 2 2 4" xfId="9202"/>
    <cellStyle name="Normal 3 6 2 2 4 2" xfId="24246"/>
    <cellStyle name="Normal 3 6 2 2 4 3" xfId="39289"/>
    <cellStyle name="Normal 3 6 2 2 5" xfId="16725"/>
    <cellStyle name="Normal 3 6 2 2 6" xfId="31768"/>
    <cellStyle name="Normal 3 6 2 3" xfId="2566"/>
    <cellStyle name="Normal 3 6 2 3 2" xfId="6361"/>
    <cellStyle name="Normal 3 6 2 3 2 2" xfId="13884"/>
    <cellStyle name="Normal 3 6 2 3 2 2 2" xfId="28928"/>
    <cellStyle name="Normal 3 6 2 3 2 2 3" xfId="43971"/>
    <cellStyle name="Normal 3 6 2 3 2 3" xfId="21407"/>
    <cellStyle name="Normal 3 6 2 3 2 4" xfId="36450"/>
    <cellStyle name="Normal 3 6 2 3 3" xfId="10135"/>
    <cellStyle name="Normal 3 6 2 3 3 2" xfId="25179"/>
    <cellStyle name="Normal 3 6 2 3 3 3" xfId="40222"/>
    <cellStyle name="Normal 3 6 2 3 4" xfId="17658"/>
    <cellStyle name="Normal 3 6 2 3 5" xfId="32701"/>
    <cellStyle name="Normal 3 6 2 4" xfId="4496"/>
    <cellStyle name="Normal 3 6 2 4 2" xfId="12019"/>
    <cellStyle name="Normal 3 6 2 4 2 2" xfId="27063"/>
    <cellStyle name="Normal 3 6 2 4 2 3" xfId="42106"/>
    <cellStyle name="Normal 3 6 2 4 3" xfId="19542"/>
    <cellStyle name="Normal 3 6 2 4 4" xfId="34585"/>
    <cellStyle name="Normal 3 6 2 5" xfId="8270"/>
    <cellStyle name="Normal 3 6 2 5 2" xfId="23314"/>
    <cellStyle name="Normal 3 6 2 5 3" xfId="38357"/>
    <cellStyle name="Normal 3 6 2 6" xfId="15793"/>
    <cellStyle name="Normal 3 6 2 7" xfId="30836"/>
    <cellStyle name="Normal 3 6 3" xfId="1175"/>
    <cellStyle name="Normal 3 6 3 2" xfId="3046"/>
    <cellStyle name="Normal 3 6 3 2 2" xfId="6841"/>
    <cellStyle name="Normal 3 6 3 2 2 2" xfId="14364"/>
    <cellStyle name="Normal 3 6 3 2 2 2 2" xfId="29408"/>
    <cellStyle name="Normal 3 6 3 2 2 2 3" xfId="44451"/>
    <cellStyle name="Normal 3 6 3 2 2 3" xfId="21887"/>
    <cellStyle name="Normal 3 6 3 2 2 4" xfId="36930"/>
    <cellStyle name="Normal 3 6 3 2 3" xfId="10615"/>
    <cellStyle name="Normal 3 6 3 2 3 2" xfId="25659"/>
    <cellStyle name="Normal 3 6 3 2 3 3" xfId="40702"/>
    <cellStyle name="Normal 3 6 3 2 4" xfId="18138"/>
    <cellStyle name="Normal 3 6 3 2 5" xfId="33181"/>
    <cellStyle name="Normal 3 6 3 3" xfId="4976"/>
    <cellStyle name="Normal 3 6 3 3 2" xfId="12499"/>
    <cellStyle name="Normal 3 6 3 3 2 2" xfId="27543"/>
    <cellStyle name="Normal 3 6 3 3 2 3" xfId="42586"/>
    <cellStyle name="Normal 3 6 3 3 3" xfId="20022"/>
    <cellStyle name="Normal 3 6 3 3 4" xfId="35065"/>
    <cellStyle name="Normal 3 6 3 4" xfId="8750"/>
    <cellStyle name="Normal 3 6 3 4 2" xfId="23794"/>
    <cellStyle name="Normal 3 6 3 4 3" xfId="38837"/>
    <cellStyle name="Normal 3 6 3 5" xfId="16273"/>
    <cellStyle name="Normal 3 6 3 6" xfId="31316"/>
    <cellStyle name="Normal 3 6 4" xfId="2113"/>
    <cellStyle name="Normal 3 6 4 2" xfId="5909"/>
    <cellStyle name="Normal 3 6 4 2 2" xfId="13432"/>
    <cellStyle name="Normal 3 6 4 2 2 2" xfId="28476"/>
    <cellStyle name="Normal 3 6 4 2 2 3" xfId="43519"/>
    <cellStyle name="Normal 3 6 4 2 3" xfId="20955"/>
    <cellStyle name="Normal 3 6 4 2 4" xfId="35998"/>
    <cellStyle name="Normal 3 6 4 3" xfId="9683"/>
    <cellStyle name="Normal 3 6 4 3 2" xfId="24727"/>
    <cellStyle name="Normal 3 6 4 3 3" xfId="39770"/>
    <cellStyle name="Normal 3 6 4 4" xfId="17206"/>
    <cellStyle name="Normal 3 6 4 5" xfId="32249"/>
    <cellStyle name="Normal 3 6 5" xfId="4039"/>
    <cellStyle name="Normal 3 6 5 2" xfId="11563"/>
    <cellStyle name="Normal 3 6 5 2 2" xfId="26607"/>
    <cellStyle name="Normal 3 6 5 2 3" xfId="41650"/>
    <cellStyle name="Normal 3 6 5 3" xfId="19086"/>
    <cellStyle name="Normal 3 6 5 4" xfId="34129"/>
    <cellStyle name="Normal 3 6 6" xfId="7802"/>
    <cellStyle name="Normal 3 6 6 2" xfId="22846"/>
    <cellStyle name="Normal 3 6 6 3" xfId="37889"/>
    <cellStyle name="Normal 3 6 7" xfId="15325"/>
    <cellStyle name="Normal 3 6 8" xfId="30368"/>
    <cellStyle name="Normal 3 7" xfId="650"/>
    <cellStyle name="Normal 3 7 2" xfId="1610"/>
    <cellStyle name="Normal 3 7 2 2" xfId="3481"/>
    <cellStyle name="Normal 3 7 2 2 2" xfId="7276"/>
    <cellStyle name="Normal 3 7 2 2 2 2" xfId="14799"/>
    <cellStyle name="Normal 3 7 2 2 2 2 2" xfId="29843"/>
    <cellStyle name="Normal 3 7 2 2 2 2 3" xfId="44886"/>
    <cellStyle name="Normal 3 7 2 2 2 3" xfId="22322"/>
    <cellStyle name="Normal 3 7 2 2 2 4" xfId="37365"/>
    <cellStyle name="Normal 3 7 2 2 3" xfId="11050"/>
    <cellStyle name="Normal 3 7 2 2 3 2" xfId="26094"/>
    <cellStyle name="Normal 3 7 2 2 3 3" xfId="41137"/>
    <cellStyle name="Normal 3 7 2 2 4" xfId="18573"/>
    <cellStyle name="Normal 3 7 2 2 5" xfId="33616"/>
    <cellStyle name="Normal 3 7 2 3" xfId="5411"/>
    <cellStyle name="Normal 3 7 2 3 2" xfId="12934"/>
    <cellStyle name="Normal 3 7 2 3 2 2" xfId="27978"/>
    <cellStyle name="Normal 3 7 2 3 2 3" xfId="43021"/>
    <cellStyle name="Normal 3 7 2 3 3" xfId="20457"/>
    <cellStyle name="Normal 3 7 2 3 4" xfId="35500"/>
    <cellStyle name="Normal 3 7 2 4" xfId="9185"/>
    <cellStyle name="Normal 3 7 2 4 2" xfId="24229"/>
    <cellStyle name="Normal 3 7 2 4 3" xfId="39272"/>
    <cellStyle name="Normal 3 7 2 5" xfId="16708"/>
    <cellStyle name="Normal 3 7 2 6" xfId="31751"/>
    <cellStyle name="Normal 3 7 3" xfId="2549"/>
    <cellStyle name="Normal 3 7 3 2" xfId="6344"/>
    <cellStyle name="Normal 3 7 3 2 2" xfId="13867"/>
    <cellStyle name="Normal 3 7 3 2 2 2" xfId="28911"/>
    <cellStyle name="Normal 3 7 3 2 2 3" xfId="43954"/>
    <cellStyle name="Normal 3 7 3 2 3" xfId="21390"/>
    <cellStyle name="Normal 3 7 3 2 4" xfId="36433"/>
    <cellStyle name="Normal 3 7 3 3" xfId="10118"/>
    <cellStyle name="Normal 3 7 3 3 2" xfId="25162"/>
    <cellStyle name="Normal 3 7 3 3 3" xfId="40205"/>
    <cellStyle name="Normal 3 7 3 4" xfId="17641"/>
    <cellStyle name="Normal 3 7 3 5" xfId="32684"/>
    <cellStyle name="Normal 3 7 4" xfId="4479"/>
    <cellStyle name="Normal 3 7 4 2" xfId="12002"/>
    <cellStyle name="Normal 3 7 4 2 2" xfId="27046"/>
    <cellStyle name="Normal 3 7 4 2 3" xfId="42089"/>
    <cellStyle name="Normal 3 7 4 3" xfId="19525"/>
    <cellStyle name="Normal 3 7 4 4" xfId="34568"/>
    <cellStyle name="Normal 3 7 5" xfId="8253"/>
    <cellStyle name="Normal 3 7 5 2" xfId="23297"/>
    <cellStyle name="Normal 3 7 5 3" xfId="38340"/>
    <cellStyle name="Normal 3 7 6" xfId="15776"/>
    <cellStyle name="Normal 3 7 7" xfId="30819"/>
    <cellStyle name="Normal 3 8" xfId="1158"/>
    <cellStyle name="Normal 3 8 2" xfId="3029"/>
    <cellStyle name="Normal 3 8 2 2" xfId="6824"/>
    <cellStyle name="Normal 3 8 2 2 2" xfId="14347"/>
    <cellStyle name="Normal 3 8 2 2 2 2" xfId="29391"/>
    <cellStyle name="Normal 3 8 2 2 2 3" xfId="44434"/>
    <cellStyle name="Normal 3 8 2 2 3" xfId="21870"/>
    <cellStyle name="Normal 3 8 2 2 4" xfId="36913"/>
    <cellStyle name="Normal 3 8 2 3" xfId="10598"/>
    <cellStyle name="Normal 3 8 2 3 2" xfId="25642"/>
    <cellStyle name="Normal 3 8 2 3 3" xfId="40685"/>
    <cellStyle name="Normal 3 8 2 4" xfId="18121"/>
    <cellStyle name="Normal 3 8 2 5" xfId="33164"/>
    <cellStyle name="Normal 3 8 3" xfId="4959"/>
    <cellStyle name="Normal 3 8 3 2" xfId="12482"/>
    <cellStyle name="Normal 3 8 3 2 2" xfId="27526"/>
    <cellStyle name="Normal 3 8 3 2 3" xfId="42569"/>
    <cellStyle name="Normal 3 8 3 3" xfId="20005"/>
    <cellStyle name="Normal 3 8 3 4" xfId="35048"/>
    <cellStyle name="Normal 3 8 4" xfId="8733"/>
    <cellStyle name="Normal 3 8 4 2" xfId="23777"/>
    <cellStyle name="Normal 3 8 4 3" xfId="38820"/>
    <cellStyle name="Normal 3 8 5" xfId="16256"/>
    <cellStyle name="Normal 3 8 6" xfId="31299"/>
    <cellStyle name="Normal 3 9" xfId="2096"/>
    <cellStyle name="Normal 3 9 2" xfId="5892"/>
    <cellStyle name="Normal 3 9 2 2" xfId="13415"/>
    <cellStyle name="Normal 3 9 2 2 2" xfId="28459"/>
    <cellStyle name="Normal 3 9 2 2 3" xfId="43502"/>
    <cellStyle name="Normal 3 9 2 3" xfId="20938"/>
    <cellStyle name="Normal 3 9 2 4" xfId="35981"/>
    <cellStyle name="Normal 3 9 3" xfId="9666"/>
    <cellStyle name="Normal 3 9 3 2" xfId="24710"/>
    <cellStyle name="Normal 3 9 3 3" xfId="39753"/>
    <cellStyle name="Normal 3 9 4" xfId="17189"/>
    <cellStyle name="Normal 3 9 5" xfId="32232"/>
    <cellStyle name="Normal 30" xfId="1139"/>
    <cellStyle name="Normal 30 2" xfId="2072"/>
    <cellStyle name="Normal 30 2 2" xfId="3943"/>
    <cellStyle name="Normal 30 2 2 2" xfId="7738"/>
    <cellStyle name="Normal 30 2 2 2 2" xfId="15261"/>
    <cellStyle name="Normal 30 2 2 2 2 2" xfId="30305"/>
    <cellStyle name="Normal 30 2 2 2 2 3" xfId="45348"/>
    <cellStyle name="Normal 30 2 2 2 3" xfId="22784"/>
    <cellStyle name="Normal 30 2 2 2 4" xfId="37827"/>
    <cellStyle name="Normal 30 2 2 3" xfId="11512"/>
    <cellStyle name="Normal 30 2 2 3 2" xfId="26556"/>
    <cellStyle name="Normal 30 2 2 3 3" xfId="41599"/>
    <cellStyle name="Normal 30 2 2 4" xfId="19035"/>
    <cellStyle name="Normal 30 2 2 5" xfId="34078"/>
    <cellStyle name="Normal 30 2 3" xfId="5873"/>
    <cellStyle name="Normal 30 2 3 2" xfId="13396"/>
    <cellStyle name="Normal 30 2 3 2 2" xfId="28440"/>
    <cellStyle name="Normal 30 2 3 2 3" xfId="43483"/>
    <cellStyle name="Normal 30 2 3 3" xfId="20919"/>
    <cellStyle name="Normal 30 2 3 4" xfId="35962"/>
    <cellStyle name="Normal 30 2 4" xfId="9647"/>
    <cellStyle name="Normal 30 2 4 2" xfId="24691"/>
    <cellStyle name="Normal 30 2 4 3" xfId="39734"/>
    <cellStyle name="Normal 30 2 5" xfId="17170"/>
    <cellStyle name="Normal 30 2 6" xfId="32213"/>
    <cellStyle name="Normal 30 3" xfId="3011"/>
    <cellStyle name="Normal 30 3 2" xfId="6806"/>
    <cellStyle name="Normal 30 3 2 2" xfId="14329"/>
    <cellStyle name="Normal 30 3 2 2 2" xfId="29373"/>
    <cellStyle name="Normal 30 3 2 2 3" xfId="44416"/>
    <cellStyle name="Normal 30 3 2 3" xfId="21852"/>
    <cellStyle name="Normal 30 3 2 4" xfId="36895"/>
    <cellStyle name="Normal 30 3 3" xfId="10580"/>
    <cellStyle name="Normal 30 3 3 2" xfId="25624"/>
    <cellStyle name="Normal 30 3 3 3" xfId="40667"/>
    <cellStyle name="Normal 30 3 4" xfId="18103"/>
    <cellStyle name="Normal 30 3 5" xfId="33146"/>
    <cellStyle name="Normal 30 4" xfId="4941"/>
    <cellStyle name="Normal 30 4 2" xfId="12464"/>
    <cellStyle name="Normal 30 4 2 2" xfId="27508"/>
    <cellStyle name="Normal 30 4 2 3" xfId="42551"/>
    <cellStyle name="Normal 30 4 3" xfId="19987"/>
    <cellStyle name="Normal 30 4 4" xfId="35030"/>
    <cellStyle name="Normal 30 5" xfId="8715"/>
    <cellStyle name="Normal 30 5 2" xfId="23759"/>
    <cellStyle name="Normal 30 5 3" xfId="38802"/>
    <cellStyle name="Normal 30 6" xfId="16238"/>
    <cellStyle name="Normal 30 7" xfId="31281"/>
    <cellStyle name="Normal 31" xfId="1141"/>
    <cellStyle name="Normal 31 2" xfId="2074"/>
    <cellStyle name="Normal 31 2 2" xfId="3944"/>
    <cellStyle name="Normal 31 2 2 2" xfId="7739"/>
    <cellStyle name="Normal 31 2 2 2 2" xfId="15262"/>
    <cellStyle name="Normal 31 2 2 2 2 2" xfId="30306"/>
    <cellStyle name="Normal 31 2 2 2 2 3" xfId="45349"/>
    <cellStyle name="Normal 31 2 2 2 3" xfId="22785"/>
    <cellStyle name="Normal 31 2 2 2 4" xfId="37828"/>
    <cellStyle name="Normal 31 2 2 3" xfId="11513"/>
    <cellStyle name="Normal 31 2 2 3 2" xfId="26557"/>
    <cellStyle name="Normal 31 2 2 3 3" xfId="41600"/>
    <cellStyle name="Normal 31 2 2 4" xfId="19036"/>
    <cellStyle name="Normal 31 2 2 5" xfId="34079"/>
    <cellStyle name="Normal 31 2 3" xfId="5874"/>
    <cellStyle name="Normal 31 2 3 2" xfId="13397"/>
    <cellStyle name="Normal 31 2 3 2 2" xfId="28441"/>
    <cellStyle name="Normal 31 2 3 2 3" xfId="43484"/>
    <cellStyle name="Normal 31 2 3 3" xfId="20920"/>
    <cellStyle name="Normal 31 2 3 4" xfId="35963"/>
    <cellStyle name="Normal 31 2 4" xfId="9648"/>
    <cellStyle name="Normal 31 2 4 2" xfId="24692"/>
    <cellStyle name="Normal 31 2 4 3" xfId="39735"/>
    <cellStyle name="Normal 31 2 5" xfId="17171"/>
    <cellStyle name="Normal 31 2 6" xfId="32214"/>
    <cellStyle name="Normal 31 3" xfId="3012"/>
    <cellStyle name="Normal 31 3 2" xfId="6807"/>
    <cellStyle name="Normal 31 3 2 2" xfId="14330"/>
    <cellStyle name="Normal 31 3 2 2 2" xfId="29374"/>
    <cellStyle name="Normal 31 3 2 2 3" xfId="44417"/>
    <cellStyle name="Normal 31 3 2 3" xfId="21853"/>
    <cellStyle name="Normal 31 3 2 4" xfId="36896"/>
    <cellStyle name="Normal 31 3 3" xfId="10581"/>
    <cellStyle name="Normal 31 3 3 2" xfId="25625"/>
    <cellStyle name="Normal 31 3 3 3" xfId="40668"/>
    <cellStyle name="Normal 31 3 4" xfId="18104"/>
    <cellStyle name="Normal 31 3 5" xfId="33147"/>
    <cellStyle name="Normal 31 4" xfId="4942"/>
    <cellStyle name="Normal 31 4 2" xfId="12465"/>
    <cellStyle name="Normal 31 4 2 2" xfId="27509"/>
    <cellStyle name="Normal 31 4 2 3" xfId="42552"/>
    <cellStyle name="Normal 31 4 3" xfId="19988"/>
    <cellStyle name="Normal 31 4 4" xfId="35031"/>
    <cellStyle name="Normal 31 5" xfId="8716"/>
    <cellStyle name="Normal 31 5 2" xfId="23760"/>
    <cellStyle name="Normal 31 5 3" xfId="38803"/>
    <cellStyle name="Normal 31 6" xfId="16239"/>
    <cellStyle name="Normal 31 7" xfId="31282"/>
    <cellStyle name="Normal 32" xfId="1142"/>
    <cellStyle name="Normal 32 2" xfId="2075"/>
    <cellStyle name="Normal 32 2 2" xfId="3945"/>
    <cellStyle name="Normal 32 2 2 2" xfId="7740"/>
    <cellStyle name="Normal 32 2 2 2 2" xfId="15263"/>
    <cellStyle name="Normal 32 2 2 2 2 2" xfId="30307"/>
    <cellStyle name="Normal 32 2 2 2 2 3" xfId="45350"/>
    <cellStyle name="Normal 32 2 2 2 3" xfId="22786"/>
    <cellStyle name="Normal 32 2 2 2 4" xfId="37829"/>
    <cellStyle name="Normal 32 2 2 3" xfId="11514"/>
    <cellStyle name="Normal 32 2 2 3 2" xfId="26558"/>
    <cellStyle name="Normal 32 2 2 3 3" xfId="41601"/>
    <cellStyle name="Normal 32 2 2 4" xfId="19037"/>
    <cellStyle name="Normal 32 2 2 5" xfId="34080"/>
    <cellStyle name="Normal 32 2 3" xfId="5875"/>
    <cellStyle name="Normal 32 2 3 2" xfId="13398"/>
    <cellStyle name="Normal 32 2 3 2 2" xfId="28442"/>
    <cellStyle name="Normal 32 2 3 2 3" xfId="43485"/>
    <cellStyle name="Normal 32 2 3 3" xfId="20921"/>
    <cellStyle name="Normal 32 2 3 4" xfId="35964"/>
    <cellStyle name="Normal 32 2 4" xfId="9649"/>
    <cellStyle name="Normal 32 2 4 2" xfId="24693"/>
    <cellStyle name="Normal 32 2 4 3" xfId="39736"/>
    <cellStyle name="Normal 32 2 5" xfId="17172"/>
    <cellStyle name="Normal 32 2 6" xfId="32215"/>
    <cellStyle name="Normal 32 3" xfId="3013"/>
    <cellStyle name="Normal 32 3 2" xfId="6808"/>
    <cellStyle name="Normal 32 3 2 2" xfId="14331"/>
    <cellStyle name="Normal 32 3 2 2 2" xfId="29375"/>
    <cellStyle name="Normal 32 3 2 2 3" xfId="44418"/>
    <cellStyle name="Normal 32 3 2 3" xfId="21854"/>
    <cellStyle name="Normal 32 3 2 4" xfId="36897"/>
    <cellStyle name="Normal 32 3 3" xfId="10582"/>
    <cellStyle name="Normal 32 3 3 2" xfId="25626"/>
    <cellStyle name="Normal 32 3 3 3" xfId="40669"/>
    <cellStyle name="Normal 32 3 4" xfId="18105"/>
    <cellStyle name="Normal 32 3 5" xfId="33148"/>
    <cellStyle name="Normal 32 4" xfId="4943"/>
    <cellStyle name="Normal 32 4 2" xfId="12466"/>
    <cellStyle name="Normal 32 4 2 2" xfId="27510"/>
    <cellStyle name="Normal 32 4 2 3" xfId="42553"/>
    <cellStyle name="Normal 32 4 3" xfId="19989"/>
    <cellStyle name="Normal 32 4 4" xfId="35032"/>
    <cellStyle name="Normal 32 5" xfId="8717"/>
    <cellStyle name="Normal 32 5 2" xfId="23761"/>
    <cellStyle name="Normal 32 5 3" xfId="38804"/>
    <cellStyle name="Normal 32 6" xfId="16240"/>
    <cellStyle name="Normal 32 7" xfId="31283"/>
    <cellStyle name="Normal 33" xfId="1138"/>
    <cellStyle name="Normal 34" xfId="1143"/>
    <cellStyle name="Normal 34 2" xfId="3014"/>
    <cellStyle name="Normal 34 2 2" xfId="6809"/>
    <cellStyle name="Normal 34 2 2 2" xfId="14332"/>
    <cellStyle name="Normal 34 2 2 2 2" xfId="29376"/>
    <cellStyle name="Normal 34 2 2 2 3" xfId="44419"/>
    <cellStyle name="Normal 34 2 2 3" xfId="21855"/>
    <cellStyle name="Normal 34 2 2 4" xfId="36898"/>
    <cellStyle name="Normal 34 2 3" xfId="10583"/>
    <cellStyle name="Normal 34 2 3 2" xfId="25627"/>
    <cellStyle name="Normal 34 2 3 3" xfId="40670"/>
    <cellStyle name="Normal 34 2 4" xfId="18106"/>
    <cellStyle name="Normal 34 2 5" xfId="33149"/>
    <cellStyle name="Normal 34 3" xfId="4944"/>
    <cellStyle name="Normal 34 3 2" xfId="12467"/>
    <cellStyle name="Normal 34 3 2 2" xfId="27511"/>
    <cellStyle name="Normal 34 3 2 3" xfId="42554"/>
    <cellStyle name="Normal 34 3 3" xfId="19990"/>
    <cellStyle name="Normal 34 3 4" xfId="35033"/>
    <cellStyle name="Normal 34 4" xfId="8718"/>
    <cellStyle name="Normal 34 4 2" xfId="23762"/>
    <cellStyle name="Normal 34 4 3" xfId="38805"/>
    <cellStyle name="Normal 34 5" xfId="16241"/>
    <cellStyle name="Normal 34 6" xfId="31284"/>
    <cellStyle name="Normal 35" xfId="2076"/>
    <cellStyle name="Normal 35 2" xfId="3946"/>
    <cellStyle name="Normal 35 2 2" xfId="7741"/>
    <cellStyle name="Normal 35 2 2 2" xfId="15264"/>
    <cellStyle name="Normal 35 2 2 2 2" xfId="30308"/>
    <cellStyle name="Normal 35 2 2 2 3" xfId="45351"/>
    <cellStyle name="Normal 35 2 2 3" xfId="22787"/>
    <cellStyle name="Normal 35 2 2 4" xfId="37830"/>
    <cellStyle name="Normal 35 2 3" xfId="11515"/>
    <cellStyle name="Normal 35 2 3 2" xfId="26559"/>
    <cellStyle name="Normal 35 2 3 3" xfId="41602"/>
    <cellStyle name="Normal 35 2 4" xfId="19038"/>
    <cellStyle name="Normal 35 2 5" xfId="34081"/>
    <cellStyle name="Normal 35 3" xfId="5876"/>
    <cellStyle name="Normal 35 3 2" xfId="13399"/>
    <cellStyle name="Normal 35 3 2 2" xfId="28443"/>
    <cellStyle name="Normal 35 3 2 3" xfId="43486"/>
    <cellStyle name="Normal 35 3 3" xfId="20922"/>
    <cellStyle name="Normal 35 3 4" xfId="35965"/>
    <cellStyle name="Normal 35 4" xfId="9650"/>
    <cellStyle name="Normal 35 4 2" xfId="24694"/>
    <cellStyle name="Normal 35 4 3" xfId="39737"/>
    <cellStyle name="Normal 35 5" xfId="17173"/>
    <cellStyle name="Normal 35 6" xfId="32216"/>
    <cellStyle name="Normal 36" xfId="2091"/>
    <cellStyle name="Normal 37" xfId="2077"/>
    <cellStyle name="Normal 37 2" xfId="5877"/>
    <cellStyle name="Normal 37 2 2" xfId="13400"/>
    <cellStyle name="Normal 37 2 2 2" xfId="28444"/>
    <cellStyle name="Normal 37 2 2 3" xfId="43487"/>
    <cellStyle name="Normal 37 2 3" xfId="20923"/>
    <cellStyle name="Normal 37 2 4" xfId="35966"/>
    <cellStyle name="Normal 37 3" xfId="9651"/>
    <cellStyle name="Normal 37 3 2" xfId="24695"/>
    <cellStyle name="Normal 37 3 3" xfId="39738"/>
    <cellStyle name="Normal 37 4" xfId="17174"/>
    <cellStyle name="Normal 37 5" xfId="32217"/>
    <cellStyle name="Normal 38" xfId="3948"/>
    <cellStyle name="Normal 38 2" xfId="7742"/>
    <cellStyle name="Normal 38 2 2" xfId="15265"/>
    <cellStyle name="Normal 38 2 2 2" xfId="30309"/>
    <cellStyle name="Normal 38 2 2 3" xfId="45352"/>
    <cellStyle name="Normal 38 2 3" xfId="22788"/>
    <cellStyle name="Normal 38 2 4" xfId="37831"/>
    <cellStyle name="Normal 38 3" xfId="11516"/>
    <cellStyle name="Normal 38 3 2" xfId="26560"/>
    <cellStyle name="Normal 38 3 3" xfId="41603"/>
    <cellStyle name="Normal 38 4" xfId="19039"/>
    <cellStyle name="Normal 38 5" xfId="34082"/>
    <cellStyle name="Normal 39" xfId="3949"/>
    <cellStyle name="Normal 39 2" xfId="7743"/>
    <cellStyle name="Normal 39 2 2" xfId="15266"/>
    <cellStyle name="Normal 39 2 2 2" xfId="30310"/>
    <cellStyle name="Normal 39 2 2 3" xfId="45353"/>
    <cellStyle name="Normal 39 2 3" xfId="22789"/>
    <cellStyle name="Normal 39 2 4" xfId="37832"/>
    <cellStyle name="Normal 39 3" xfId="11517"/>
    <cellStyle name="Normal 39 3 2" xfId="26561"/>
    <cellStyle name="Normal 39 3 3" xfId="41604"/>
    <cellStyle name="Normal 39 4" xfId="19040"/>
    <cellStyle name="Normal 39 5" xfId="34083"/>
    <cellStyle name="Normal 4" xfId="6"/>
    <cellStyle name="Normal 4 10" xfId="224"/>
    <cellStyle name="Normal 4 10 2" xfId="748"/>
    <cellStyle name="Normal 4 10 2 2" xfId="1707"/>
    <cellStyle name="Normal 4 10 2 2 2" xfId="3578"/>
    <cellStyle name="Normal 4 10 2 2 2 2" xfId="7373"/>
    <cellStyle name="Normal 4 10 2 2 2 2 2" xfId="14896"/>
    <cellStyle name="Normal 4 10 2 2 2 2 2 2" xfId="29940"/>
    <cellStyle name="Normal 4 10 2 2 2 2 2 3" xfId="44983"/>
    <cellStyle name="Normal 4 10 2 2 2 2 3" xfId="22419"/>
    <cellStyle name="Normal 4 10 2 2 2 2 4" xfId="37462"/>
    <cellStyle name="Normal 4 10 2 2 2 3" xfId="11147"/>
    <cellStyle name="Normal 4 10 2 2 2 3 2" xfId="26191"/>
    <cellStyle name="Normal 4 10 2 2 2 3 3" xfId="41234"/>
    <cellStyle name="Normal 4 10 2 2 2 4" xfId="18670"/>
    <cellStyle name="Normal 4 10 2 2 2 5" xfId="33713"/>
    <cellStyle name="Normal 4 10 2 2 3" xfId="5508"/>
    <cellStyle name="Normal 4 10 2 2 3 2" xfId="13031"/>
    <cellStyle name="Normal 4 10 2 2 3 2 2" xfId="28075"/>
    <cellStyle name="Normal 4 10 2 2 3 2 3" xfId="43118"/>
    <cellStyle name="Normal 4 10 2 2 3 3" xfId="20554"/>
    <cellStyle name="Normal 4 10 2 2 3 4" xfId="35597"/>
    <cellStyle name="Normal 4 10 2 2 4" xfId="9282"/>
    <cellStyle name="Normal 4 10 2 2 4 2" xfId="24326"/>
    <cellStyle name="Normal 4 10 2 2 4 3" xfId="39369"/>
    <cellStyle name="Normal 4 10 2 2 5" xfId="16805"/>
    <cellStyle name="Normal 4 10 2 2 6" xfId="31848"/>
    <cellStyle name="Normal 4 10 2 3" xfId="2646"/>
    <cellStyle name="Normal 4 10 2 3 2" xfId="6441"/>
    <cellStyle name="Normal 4 10 2 3 2 2" xfId="13964"/>
    <cellStyle name="Normal 4 10 2 3 2 2 2" xfId="29008"/>
    <cellStyle name="Normal 4 10 2 3 2 2 3" xfId="44051"/>
    <cellStyle name="Normal 4 10 2 3 2 3" xfId="21487"/>
    <cellStyle name="Normal 4 10 2 3 2 4" xfId="36530"/>
    <cellStyle name="Normal 4 10 2 3 3" xfId="10215"/>
    <cellStyle name="Normal 4 10 2 3 3 2" xfId="25259"/>
    <cellStyle name="Normal 4 10 2 3 3 3" xfId="40302"/>
    <cellStyle name="Normal 4 10 2 3 4" xfId="17738"/>
    <cellStyle name="Normal 4 10 2 3 5" xfId="32781"/>
    <cellStyle name="Normal 4 10 2 4" xfId="4576"/>
    <cellStyle name="Normal 4 10 2 4 2" xfId="12099"/>
    <cellStyle name="Normal 4 10 2 4 2 2" xfId="27143"/>
    <cellStyle name="Normal 4 10 2 4 2 3" xfId="42186"/>
    <cellStyle name="Normal 4 10 2 4 3" xfId="19622"/>
    <cellStyle name="Normal 4 10 2 4 4" xfId="34665"/>
    <cellStyle name="Normal 4 10 2 5" xfId="8350"/>
    <cellStyle name="Normal 4 10 2 5 2" xfId="23394"/>
    <cellStyle name="Normal 4 10 2 5 3" xfId="38437"/>
    <cellStyle name="Normal 4 10 2 6" xfId="15873"/>
    <cellStyle name="Normal 4 10 2 7" xfId="30916"/>
    <cellStyle name="Normal 4 10 3" xfId="1255"/>
    <cellStyle name="Normal 4 10 3 2" xfId="3126"/>
    <cellStyle name="Normal 4 10 3 2 2" xfId="6921"/>
    <cellStyle name="Normal 4 10 3 2 2 2" xfId="14444"/>
    <cellStyle name="Normal 4 10 3 2 2 2 2" xfId="29488"/>
    <cellStyle name="Normal 4 10 3 2 2 2 3" xfId="44531"/>
    <cellStyle name="Normal 4 10 3 2 2 3" xfId="21967"/>
    <cellStyle name="Normal 4 10 3 2 2 4" xfId="37010"/>
    <cellStyle name="Normal 4 10 3 2 3" xfId="10695"/>
    <cellStyle name="Normal 4 10 3 2 3 2" xfId="25739"/>
    <cellStyle name="Normal 4 10 3 2 3 3" xfId="40782"/>
    <cellStyle name="Normal 4 10 3 2 4" xfId="18218"/>
    <cellStyle name="Normal 4 10 3 2 5" xfId="33261"/>
    <cellStyle name="Normal 4 10 3 3" xfId="5056"/>
    <cellStyle name="Normal 4 10 3 3 2" xfId="12579"/>
    <cellStyle name="Normal 4 10 3 3 2 2" xfId="27623"/>
    <cellStyle name="Normal 4 10 3 3 2 3" xfId="42666"/>
    <cellStyle name="Normal 4 10 3 3 3" xfId="20102"/>
    <cellStyle name="Normal 4 10 3 3 4" xfId="35145"/>
    <cellStyle name="Normal 4 10 3 4" xfId="8830"/>
    <cellStyle name="Normal 4 10 3 4 2" xfId="23874"/>
    <cellStyle name="Normal 4 10 3 4 3" xfId="38917"/>
    <cellStyle name="Normal 4 10 3 5" xfId="16353"/>
    <cellStyle name="Normal 4 10 3 6" xfId="31396"/>
    <cellStyle name="Normal 4 10 4" xfId="2193"/>
    <cellStyle name="Normal 4 10 4 2" xfId="5989"/>
    <cellStyle name="Normal 4 10 4 2 2" xfId="13512"/>
    <cellStyle name="Normal 4 10 4 2 2 2" xfId="28556"/>
    <cellStyle name="Normal 4 10 4 2 2 3" xfId="43599"/>
    <cellStyle name="Normal 4 10 4 2 3" xfId="21035"/>
    <cellStyle name="Normal 4 10 4 2 4" xfId="36078"/>
    <cellStyle name="Normal 4 10 4 3" xfId="9763"/>
    <cellStyle name="Normal 4 10 4 3 2" xfId="24807"/>
    <cellStyle name="Normal 4 10 4 3 3" xfId="39850"/>
    <cellStyle name="Normal 4 10 4 4" xfId="17286"/>
    <cellStyle name="Normal 4 10 4 5" xfId="32329"/>
    <cellStyle name="Normal 4 10 5" xfId="4121"/>
    <cellStyle name="Normal 4 10 5 2" xfId="11645"/>
    <cellStyle name="Normal 4 10 5 2 2" xfId="26689"/>
    <cellStyle name="Normal 4 10 5 2 3" xfId="41732"/>
    <cellStyle name="Normal 4 10 5 3" xfId="19168"/>
    <cellStyle name="Normal 4 10 5 4" xfId="34211"/>
    <cellStyle name="Normal 4 10 6" xfId="7884"/>
    <cellStyle name="Normal 4 10 6 2" xfId="22928"/>
    <cellStyle name="Normal 4 10 6 3" xfId="37971"/>
    <cellStyle name="Normal 4 10 7" xfId="15407"/>
    <cellStyle name="Normal 4 10 8" xfId="30450"/>
    <cellStyle name="Normal 4 11" xfId="32"/>
    <cellStyle name="Normal 4 11 2" xfId="669"/>
    <cellStyle name="Normal 4 11 2 2" xfId="1628"/>
    <cellStyle name="Normal 4 11 2 2 2" xfId="3499"/>
    <cellStyle name="Normal 4 11 2 2 2 2" xfId="7294"/>
    <cellStyle name="Normal 4 11 2 2 2 2 2" xfId="14817"/>
    <cellStyle name="Normal 4 11 2 2 2 2 2 2" xfId="29861"/>
    <cellStyle name="Normal 4 11 2 2 2 2 2 3" xfId="44904"/>
    <cellStyle name="Normal 4 11 2 2 2 2 3" xfId="22340"/>
    <cellStyle name="Normal 4 11 2 2 2 2 4" xfId="37383"/>
    <cellStyle name="Normal 4 11 2 2 2 3" xfId="11068"/>
    <cellStyle name="Normal 4 11 2 2 2 3 2" xfId="26112"/>
    <cellStyle name="Normal 4 11 2 2 2 3 3" xfId="41155"/>
    <cellStyle name="Normal 4 11 2 2 2 4" xfId="18591"/>
    <cellStyle name="Normal 4 11 2 2 2 5" xfId="33634"/>
    <cellStyle name="Normal 4 11 2 2 3" xfId="5429"/>
    <cellStyle name="Normal 4 11 2 2 3 2" xfId="12952"/>
    <cellStyle name="Normal 4 11 2 2 3 2 2" xfId="27996"/>
    <cellStyle name="Normal 4 11 2 2 3 2 3" xfId="43039"/>
    <cellStyle name="Normal 4 11 2 2 3 3" xfId="20475"/>
    <cellStyle name="Normal 4 11 2 2 3 4" xfId="35518"/>
    <cellStyle name="Normal 4 11 2 2 4" xfId="9203"/>
    <cellStyle name="Normal 4 11 2 2 4 2" xfId="24247"/>
    <cellStyle name="Normal 4 11 2 2 4 3" xfId="39290"/>
    <cellStyle name="Normal 4 11 2 2 5" xfId="16726"/>
    <cellStyle name="Normal 4 11 2 2 6" xfId="31769"/>
    <cellStyle name="Normal 4 11 2 3" xfId="2567"/>
    <cellStyle name="Normal 4 11 2 3 2" xfId="6362"/>
    <cellStyle name="Normal 4 11 2 3 2 2" xfId="13885"/>
    <cellStyle name="Normal 4 11 2 3 2 2 2" xfId="28929"/>
    <cellStyle name="Normal 4 11 2 3 2 2 3" xfId="43972"/>
    <cellStyle name="Normal 4 11 2 3 2 3" xfId="21408"/>
    <cellStyle name="Normal 4 11 2 3 2 4" xfId="36451"/>
    <cellStyle name="Normal 4 11 2 3 3" xfId="10136"/>
    <cellStyle name="Normal 4 11 2 3 3 2" xfId="25180"/>
    <cellStyle name="Normal 4 11 2 3 3 3" xfId="40223"/>
    <cellStyle name="Normal 4 11 2 3 4" xfId="17659"/>
    <cellStyle name="Normal 4 11 2 3 5" xfId="32702"/>
    <cellStyle name="Normal 4 11 2 4" xfId="4497"/>
    <cellStyle name="Normal 4 11 2 4 2" xfId="12020"/>
    <cellStyle name="Normal 4 11 2 4 2 2" xfId="27064"/>
    <cellStyle name="Normal 4 11 2 4 2 3" xfId="42107"/>
    <cellStyle name="Normal 4 11 2 4 3" xfId="19543"/>
    <cellStyle name="Normal 4 11 2 4 4" xfId="34586"/>
    <cellStyle name="Normal 4 11 2 5" xfId="8271"/>
    <cellStyle name="Normal 4 11 2 5 2" xfId="23315"/>
    <cellStyle name="Normal 4 11 2 5 3" xfId="38358"/>
    <cellStyle name="Normal 4 11 2 6" xfId="15794"/>
    <cellStyle name="Normal 4 11 2 7" xfId="30837"/>
    <cellStyle name="Normal 4 11 3" xfId="1176"/>
    <cellStyle name="Normal 4 11 3 2" xfId="3047"/>
    <cellStyle name="Normal 4 11 3 2 2" xfId="6842"/>
    <cellStyle name="Normal 4 11 3 2 2 2" xfId="14365"/>
    <cellStyle name="Normal 4 11 3 2 2 2 2" xfId="29409"/>
    <cellStyle name="Normal 4 11 3 2 2 2 3" xfId="44452"/>
    <cellStyle name="Normal 4 11 3 2 2 3" xfId="21888"/>
    <cellStyle name="Normal 4 11 3 2 2 4" xfId="36931"/>
    <cellStyle name="Normal 4 11 3 2 3" xfId="10616"/>
    <cellStyle name="Normal 4 11 3 2 3 2" xfId="25660"/>
    <cellStyle name="Normal 4 11 3 2 3 3" xfId="40703"/>
    <cellStyle name="Normal 4 11 3 2 4" xfId="18139"/>
    <cellStyle name="Normal 4 11 3 2 5" xfId="33182"/>
    <cellStyle name="Normal 4 11 3 3" xfId="4977"/>
    <cellStyle name="Normal 4 11 3 3 2" xfId="12500"/>
    <cellStyle name="Normal 4 11 3 3 2 2" xfId="27544"/>
    <cellStyle name="Normal 4 11 3 3 2 3" xfId="42587"/>
    <cellStyle name="Normal 4 11 3 3 3" xfId="20023"/>
    <cellStyle name="Normal 4 11 3 3 4" xfId="35066"/>
    <cellStyle name="Normal 4 11 3 4" xfId="8751"/>
    <cellStyle name="Normal 4 11 3 4 2" xfId="23795"/>
    <cellStyle name="Normal 4 11 3 4 3" xfId="38838"/>
    <cellStyle name="Normal 4 11 3 5" xfId="16274"/>
    <cellStyle name="Normal 4 11 3 6" xfId="31317"/>
    <cellStyle name="Normal 4 11 4" xfId="2114"/>
    <cellStyle name="Normal 4 11 4 2" xfId="5910"/>
    <cellStyle name="Normal 4 11 4 2 2" xfId="13433"/>
    <cellStyle name="Normal 4 11 4 2 2 2" xfId="28477"/>
    <cellStyle name="Normal 4 11 4 2 2 3" xfId="43520"/>
    <cellStyle name="Normal 4 11 4 2 3" xfId="20956"/>
    <cellStyle name="Normal 4 11 4 2 4" xfId="35999"/>
    <cellStyle name="Normal 4 11 4 3" xfId="9684"/>
    <cellStyle name="Normal 4 11 4 3 2" xfId="24728"/>
    <cellStyle name="Normal 4 11 4 3 3" xfId="39771"/>
    <cellStyle name="Normal 4 11 4 4" xfId="17207"/>
    <cellStyle name="Normal 4 11 4 5" xfId="32250"/>
    <cellStyle name="Normal 4 11 5" xfId="4040"/>
    <cellStyle name="Normal 4 11 5 2" xfId="11564"/>
    <cellStyle name="Normal 4 11 5 2 2" xfId="26608"/>
    <cellStyle name="Normal 4 11 5 2 3" xfId="41651"/>
    <cellStyle name="Normal 4 11 5 3" xfId="19087"/>
    <cellStyle name="Normal 4 11 5 4" xfId="34130"/>
    <cellStyle name="Normal 4 11 6" xfId="7803"/>
    <cellStyle name="Normal 4 11 6 2" xfId="22847"/>
    <cellStyle name="Normal 4 11 6 3" xfId="37890"/>
    <cellStyle name="Normal 4 11 7" xfId="15326"/>
    <cellStyle name="Normal 4 11 8" xfId="30369"/>
    <cellStyle name="Normal 4 12" xfId="651"/>
    <cellStyle name="Normal 4 12 2" xfId="1611"/>
    <cellStyle name="Normal 4 12 2 2" xfId="3482"/>
    <cellStyle name="Normal 4 12 2 2 2" xfId="7277"/>
    <cellStyle name="Normal 4 12 2 2 2 2" xfId="14800"/>
    <cellStyle name="Normal 4 12 2 2 2 2 2" xfId="29844"/>
    <cellStyle name="Normal 4 12 2 2 2 2 3" xfId="44887"/>
    <cellStyle name="Normal 4 12 2 2 2 3" xfId="22323"/>
    <cellStyle name="Normal 4 12 2 2 2 4" xfId="37366"/>
    <cellStyle name="Normal 4 12 2 2 3" xfId="11051"/>
    <cellStyle name="Normal 4 12 2 2 3 2" xfId="26095"/>
    <cellStyle name="Normal 4 12 2 2 3 3" xfId="41138"/>
    <cellStyle name="Normal 4 12 2 2 4" xfId="18574"/>
    <cellStyle name="Normal 4 12 2 2 5" xfId="33617"/>
    <cellStyle name="Normal 4 12 2 3" xfId="5412"/>
    <cellStyle name="Normal 4 12 2 3 2" xfId="12935"/>
    <cellStyle name="Normal 4 12 2 3 2 2" xfId="27979"/>
    <cellStyle name="Normal 4 12 2 3 2 3" xfId="43022"/>
    <cellStyle name="Normal 4 12 2 3 3" xfId="20458"/>
    <cellStyle name="Normal 4 12 2 3 4" xfId="35501"/>
    <cellStyle name="Normal 4 12 2 4" xfId="9186"/>
    <cellStyle name="Normal 4 12 2 4 2" xfId="24230"/>
    <cellStyle name="Normal 4 12 2 4 3" xfId="39273"/>
    <cellStyle name="Normal 4 12 2 5" xfId="16709"/>
    <cellStyle name="Normal 4 12 2 6" xfId="31752"/>
    <cellStyle name="Normal 4 12 3" xfId="2550"/>
    <cellStyle name="Normal 4 12 3 2" xfId="6345"/>
    <cellStyle name="Normal 4 12 3 2 2" xfId="13868"/>
    <cellStyle name="Normal 4 12 3 2 2 2" xfId="28912"/>
    <cellStyle name="Normal 4 12 3 2 2 3" xfId="43955"/>
    <cellStyle name="Normal 4 12 3 2 3" xfId="21391"/>
    <cellStyle name="Normal 4 12 3 2 4" xfId="36434"/>
    <cellStyle name="Normal 4 12 3 3" xfId="10119"/>
    <cellStyle name="Normal 4 12 3 3 2" xfId="25163"/>
    <cellStyle name="Normal 4 12 3 3 3" xfId="40206"/>
    <cellStyle name="Normal 4 12 3 4" xfId="17642"/>
    <cellStyle name="Normal 4 12 3 5" xfId="32685"/>
    <cellStyle name="Normal 4 12 4" xfId="4480"/>
    <cellStyle name="Normal 4 12 4 2" xfId="12003"/>
    <cellStyle name="Normal 4 12 4 2 2" xfId="27047"/>
    <cellStyle name="Normal 4 12 4 2 3" xfId="42090"/>
    <cellStyle name="Normal 4 12 4 3" xfId="19526"/>
    <cellStyle name="Normal 4 12 4 4" xfId="34569"/>
    <cellStyle name="Normal 4 12 5" xfId="8254"/>
    <cellStyle name="Normal 4 12 5 2" xfId="23298"/>
    <cellStyle name="Normal 4 12 5 3" xfId="38341"/>
    <cellStyle name="Normal 4 12 6" xfId="15777"/>
    <cellStyle name="Normal 4 12 7" xfId="30820"/>
    <cellStyle name="Normal 4 13" xfId="1159"/>
    <cellStyle name="Normal 4 13 2" xfId="3030"/>
    <cellStyle name="Normal 4 13 2 2" xfId="6825"/>
    <cellStyle name="Normal 4 13 2 2 2" xfId="14348"/>
    <cellStyle name="Normal 4 13 2 2 2 2" xfId="29392"/>
    <cellStyle name="Normal 4 13 2 2 2 3" xfId="44435"/>
    <cellStyle name="Normal 4 13 2 2 3" xfId="21871"/>
    <cellStyle name="Normal 4 13 2 2 4" xfId="36914"/>
    <cellStyle name="Normal 4 13 2 3" xfId="10599"/>
    <cellStyle name="Normal 4 13 2 3 2" xfId="25643"/>
    <cellStyle name="Normal 4 13 2 3 3" xfId="40686"/>
    <cellStyle name="Normal 4 13 2 4" xfId="18122"/>
    <cellStyle name="Normal 4 13 2 5" xfId="33165"/>
    <cellStyle name="Normal 4 13 3" xfId="4960"/>
    <cellStyle name="Normal 4 13 3 2" xfId="12483"/>
    <cellStyle name="Normal 4 13 3 2 2" xfId="27527"/>
    <cellStyle name="Normal 4 13 3 2 3" xfId="42570"/>
    <cellStyle name="Normal 4 13 3 3" xfId="20006"/>
    <cellStyle name="Normal 4 13 3 4" xfId="35049"/>
    <cellStyle name="Normal 4 13 4" xfId="8734"/>
    <cellStyle name="Normal 4 13 4 2" xfId="23778"/>
    <cellStyle name="Normal 4 13 4 3" xfId="38821"/>
    <cellStyle name="Normal 4 13 5" xfId="16257"/>
    <cellStyle name="Normal 4 13 6" xfId="31300"/>
    <cellStyle name="Normal 4 14" xfId="2097"/>
    <cellStyle name="Normal 4 14 2" xfId="5893"/>
    <cellStyle name="Normal 4 14 2 2" xfId="13416"/>
    <cellStyle name="Normal 4 14 2 2 2" xfId="28460"/>
    <cellStyle name="Normal 4 14 2 2 3" xfId="43503"/>
    <cellStyle name="Normal 4 14 2 3" xfId="20939"/>
    <cellStyle name="Normal 4 14 2 4" xfId="35982"/>
    <cellStyle name="Normal 4 14 3" xfId="9667"/>
    <cellStyle name="Normal 4 14 3 2" xfId="24711"/>
    <cellStyle name="Normal 4 14 3 3" xfId="39754"/>
    <cellStyle name="Normal 4 14 4" xfId="17190"/>
    <cellStyle name="Normal 4 14 5" xfId="32233"/>
    <cellStyle name="Normal 4 15" xfId="4023"/>
    <cellStyle name="Normal 4 15 2" xfId="11547"/>
    <cellStyle name="Normal 4 15 2 2" xfId="26591"/>
    <cellStyle name="Normal 4 15 2 3" xfId="41634"/>
    <cellStyle name="Normal 4 15 3" xfId="19070"/>
    <cellStyle name="Normal 4 15 4" xfId="34113"/>
    <cellStyle name="Normal 4 16" xfId="7786"/>
    <cellStyle name="Normal 4 16 2" xfId="22830"/>
    <cellStyle name="Normal 4 16 3" xfId="37873"/>
    <cellStyle name="Normal 4 17" xfId="15309"/>
    <cellStyle name="Normal 4 18" xfId="30352"/>
    <cellStyle name="Normal 4 19" xfId="45404"/>
    <cellStyle name="Normal 4 2" xfId="22"/>
    <cellStyle name="Normal 4 2 10" xfId="661"/>
    <cellStyle name="Normal 4 2 10 2" xfId="1620"/>
    <cellStyle name="Normal 4 2 10 2 2" xfId="3491"/>
    <cellStyle name="Normal 4 2 10 2 2 2" xfId="7286"/>
    <cellStyle name="Normal 4 2 10 2 2 2 2" xfId="14809"/>
    <cellStyle name="Normal 4 2 10 2 2 2 2 2" xfId="29853"/>
    <cellStyle name="Normal 4 2 10 2 2 2 2 3" xfId="44896"/>
    <cellStyle name="Normal 4 2 10 2 2 2 3" xfId="22332"/>
    <cellStyle name="Normal 4 2 10 2 2 2 4" xfId="37375"/>
    <cellStyle name="Normal 4 2 10 2 2 3" xfId="11060"/>
    <cellStyle name="Normal 4 2 10 2 2 3 2" xfId="26104"/>
    <cellStyle name="Normal 4 2 10 2 2 3 3" xfId="41147"/>
    <cellStyle name="Normal 4 2 10 2 2 4" xfId="18583"/>
    <cellStyle name="Normal 4 2 10 2 2 5" xfId="33626"/>
    <cellStyle name="Normal 4 2 10 2 3" xfId="5421"/>
    <cellStyle name="Normal 4 2 10 2 3 2" xfId="12944"/>
    <cellStyle name="Normal 4 2 10 2 3 2 2" xfId="27988"/>
    <cellStyle name="Normal 4 2 10 2 3 2 3" xfId="43031"/>
    <cellStyle name="Normal 4 2 10 2 3 3" xfId="20467"/>
    <cellStyle name="Normal 4 2 10 2 3 4" xfId="35510"/>
    <cellStyle name="Normal 4 2 10 2 4" xfId="9195"/>
    <cellStyle name="Normal 4 2 10 2 4 2" xfId="24239"/>
    <cellStyle name="Normal 4 2 10 2 4 3" xfId="39282"/>
    <cellStyle name="Normal 4 2 10 2 5" xfId="16718"/>
    <cellStyle name="Normal 4 2 10 2 6" xfId="31761"/>
    <cellStyle name="Normal 4 2 10 3" xfId="2559"/>
    <cellStyle name="Normal 4 2 10 3 2" xfId="6354"/>
    <cellStyle name="Normal 4 2 10 3 2 2" xfId="13877"/>
    <cellStyle name="Normal 4 2 10 3 2 2 2" xfId="28921"/>
    <cellStyle name="Normal 4 2 10 3 2 2 3" xfId="43964"/>
    <cellStyle name="Normal 4 2 10 3 2 3" xfId="21400"/>
    <cellStyle name="Normal 4 2 10 3 2 4" xfId="36443"/>
    <cellStyle name="Normal 4 2 10 3 3" xfId="10128"/>
    <cellStyle name="Normal 4 2 10 3 3 2" xfId="25172"/>
    <cellStyle name="Normal 4 2 10 3 3 3" xfId="40215"/>
    <cellStyle name="Normal 4 2 10 3 4" xfId="17651"/>
    <cellStyle name="Normal 4 2 10 3 5" xfId="32694"/>
    <cellStyle name="Normal 4 2 10 4" xfId="4489"/>
    <cellStyle name="Normal 4 2 10 4 2" xfId="12012"/>
    <cellStyle name="Normal 4 2 10 4 2 2" xfId="27056"/>
    <cellStyle name="Normal 4 2 10 4 2 3" xfId="42099"/>
    <cellStyle name="Normal 4 2 10 4 3" xfId="19535"/>
    <cellStyle name="Normal 4 2 10 4 4" xfId="34578"/>
    <cellStyle name="Normal 4 2 10 5" xfId="8263"/>
    <cellStyle name="Normal 4 2 10 5 2" xfId="23307"/>
    <cellStyle name="Normal 4 2 10 5 3" xfId="38350"/>
    <cellStyle name="Normal 4 2 10 6" xfId="15786"/>
    <cellStyle name="Normal 4 2 10 7" xfId="30829"/>
    <cellStyle name="Normal 4 2 11" xfId="1168"/>
    <cellStyle name="Normal 4 2 11 2" xfId="3039"/>
    <cellStyle name="Normal 4 2 11 2 2" xfId="6834"/>
    <cellStyle name="Normal 4 2 11 2 2 2" xfId="14357"/>
    <cellStyle name="Normal 4 2 11 2 2 2 2" xfId="29401"/>
    <cellStyle name="Normal 4 2 11 2 2 2 3" xfId="44444"/>
    <cellStyle name="Normal 4 2 11 2 2 3" xfId="21880"/>
    <cellStyle name="Normal 4 2 11 2 2 4" xfId="36923"/>
    <cellStyle name="Normal 4 2 11 2 3" xfId="10608"/>
    <cellStyle name="Normal 4 2 11 2 3 2" xfId="25652"/>
    <cellStyle name="Normal 4 2 11 2 3 3" xfId="40695"/>
    <cellStyle name="Normal 4 2 11 2 4" xfId="18131"/>
    <cellStyle name="Normal 4 2 11 2 5" xfId="33174"/>
    <cellStyle name="Normal 4 2 11 3" xfId="4969"/>
    <cellStyle name="Normal 4 2 11 3 2" xfId="12492"/>
    <cellStyle name="Normal 4 2 11 3 2 2" xfId="27536"/>
    <cellStyle name="Normal 4 2 11 3 2 3" xfId="42579"/>
    <cellStyle name="Normal 4 2 11 3 3" xfId="20015"/>
    <cellStyle name="Normal 4 2 11 3 4" xfId="35058"/>
    <cellStyle name="Normal 4 2 11 4" xfId="8743"/>
    <cellStyle name="Normal 4 2 11 4 2" xfId="23787"/>
    <cellStyle name="Normal 4 2 11 4 3" xfId="38830"/>
    <cellStyle name="Normal 4 2 11 5" xfId="16266"/>
    <cellStyle name="Normal 4 2 11 6" xfId="31309"/>
    <cellStyle name="Normal 4 2 12" xfId="2106"/>
    <cellStyle name="Normal 4 2 12 2" xfId="5902"/>
    <cellStyle name="Normal 4 2 12 2 2" xfId="13425"/>
    <cellStyle name="Normal 4 2 12 2 2 2" xfId="28469"/>
    <cellStyle name="Normal 4 2 12 2 2 3" xfId="43512"/>
    <cellStyle name="Normal 4 2 12 2 3" xfId="20948"/>
    <cellStyle name="Normal 4 2 12 2 4" xfId="35991"/>
    <cellStyle name="Normal 4 2 12 3" xfId="9676"/>
    <cellStyle name="Normal 4 2 12 3 2" xfId="24720"/>
    <cellStyle name="Normal 4 2 12 3 3" xfId="39763"/>
    <cellStyle name="Normal 4 2 12 4" xfId="17199"/>
    <cellStyle name="Normal 4 2 12 5" xfId="32242"/>
    <cellStyle name="Normal 4 2 13" xfId="4032"/>
    <cellStyle name="Normal 4 2 13 2" xfId="11556"/>
    <cellStyle name="Normal 4 2 13 2 2" xfId="26600"/>
    <cellStyle name="Normal 4 2 13 2 3" xfId="41643"/>
    <cellStyle name="Normal 4 2 13 3" xfId="19079"/>
    <cellStyle name="Normal 4 2 13 4" xfId="34122"/>
    <cellStyle name="Normal 4 2 14" xfId="7795"/>
    <cellStyle name="Normal 4 2 14 2" xfId="22839"/>
    <cellStyle name="Normal 4 2 14 3" xfId="37882"/>
    <cellStyle name="Normal 4 2 15" xfId="15318"/>
    <cellStyle name="Normal 4 2 16" xfId="30361"/>
    <cellStyle name="Normal 4 2 2" xfId="225"/>
    <cellStyle name="Normal 4 2 2 10" xfId="2194"/>
    <cellStyle name="Normal 4 2 2 10 2" xfId="5990"/>
    <cellStyle name="Normal 4 2 2 10 2 2" xfId="13513"/>
    <cellStyle name="Normal 4 2 2 10 2 2 2" xfId="28557"/>
    <cellStyle name="Normal 4 2 2 10 2 2 3" xfId="43600"/>
    <cellStyle name="Normal 4 2 2 10 2 3" xfId="21036"/>
    <cellStyle name="Normal 4 2 2 10 2 4" xfId="36079"/>
    <cellStyle name="Normal 4 2 2 10 3" xfId="9764"/>
    <cellStyle name="Normal 4 2 2 10 3 2" xfId="24808"/>
    <cellStyle name="Normal 4 2 2 10 3 3" xfId="39851"/>
    <cellStyle name="Normal 4 2 2 10 4" xfId="17287"/>
    <cellStyle name="Normal 4 2 2 10 5" xfId="32330"/>
    <cellStyle name="Normal 4 2 2 11" xfId="4122"/>
    <cellStyle name="Normal 4 2 2 11 2" xfId="11646"/>
    <cellStyle name="Normal 4 2 2 11 2 2" xfId="26690"/>
    <cellStyle name="Normal 4 2 2 11 2 3" xfId="41733"/>
    <cellStyle name="Normal 4 2 2 11 3" xfId="19169"/>
    <cellStyle name="Normal 4 2 2 11 4" xfId="34212"/>
    <cellStyle name="Normal 4 2 2 12" xfId="7885"/>
    <cellStyle name="Normal 4 2 2 12 2" xfId="22929"/>
    <cellStyle name="Normal 4 2 2 12 3" xfId="37972"/>
    <cellStyle name="Normal 4 2 2 13" xfId="15408"/>
    <cellStyle name="Normal 4 2 2 14" xfId="30451"/>
    <cellStyle name="Normal 4 2 2 2" xfId="226"/>
    <cellStyle name="Normal 4 2 2 2 10" xfId="4123"/>
    <cellStyle name="Normal 4 2 2 2 10 2" xfId="11647"/>
    <cellStyle name="Normal 4 2 2 2 10 2 2" xfId="26691"/>
    <cellStyle name="Normal 4 2 2 2 10 2 3" xfId="41734"/>
    <cellStyle name="Normal 4 2 2 2 10 3" xfId="19170"/>
    <cellStyle name="Normal 4 2 2 2 10 4" xfId="34213"/>
    <cellStyle name="Normal 4 2 2 2 11" xfId="7886"/>
    <cellStyle name="Normal 4 2 2 2 11 2" xfId="22930"/>
    <cellStyle name="Normal 4 2 2 2 11 3" xfId="37973"/>
    <cellStyle name="Normal 4 2 2 2 12" xfId="15409"/>
    <cellStyle name="Normal 4 2 2 2 13" xfId="30452"/>
    <cellStyle name="Normal 4 2 2 2 2" xfId="227"/>
    <cellStyle name="Normal 4 2 2 2 2 10" xfId="7887"/>
    <cellStyle name="Normal 4 2 2 2 2 10 2" xfId="22931"/>
    <cellStyle name="Normal 4 2 2 2 2 10 3" xfId="37974"/>
    <cellStyle name="Normal 4 2 2 2 2 11" xfId="15410"/>
    <cellStyle name="Normal 4 2 2 2 2 12" xfId="30453"/>
    <cellStyle name="Normal 4 2 2 2 2 2" xfId="228"/>
    <cellStyle name="Normal 4 2 2 2 2 2 10" xfId="30454"/>
    <cellStyle name="Normal 4 2 2 2 2 2 2" xfId="229"/>
    <cellStyle name="Normal 4 2 2 2 2 2 2 2" xfId="230"/>
    <cellStyle name="Normal 4 2 2 2 2 2 2 2 2" xfId="754"/>
    <cellStyle name="Normal 4 2 2 2 2 2 2 2 2 2" xfId="1713"/>
    <cellStyle name="Normal 4 2 2 2 2 2 2 2 2 2 2" xfId="3584"/>
    <cellStyle name="Normal 4 2 2 2 2 2 2 2 2 2 2 2" xfId="7379"/>
    <cellStyle name="Normal 4 2 2 2 2 2 2 2 2 2 2 2 2" xfId="14902"/>
    <cellStyle name="Normal 4 2 2 2 2 2 2 2 2 2 2 2 2 2" xfId="29946"/>
    <cellStyle name="Normal 4 2 2 2 2 2 2 2 2 2 2 2 2 3" xfId="44989"/>
    <cellStyle name="Normal 4 2 2 2 2 2 2 2 2 2 2 2 3" xfId="22425"/>
    <cellStyle name="Normal 4 2 2 2 2 2 2 2 2 2 2 2 4" xfId="37468"/>
    <cellStyle name="Normal 4 2 2 2 2 2 2 2 2 2 2 3" xfId="11153"/>
    <cellStyle name="Normal 4 2 2 2 2 2 2 2 2 2 2 3 2" xfId="26197"/>
    <cellStyle name="Normal 4 2 2 2 2 2 2 2 2 2 2 3 3" xfId="41240"/>
    <cellStyle name="Normal 4 2 2 2 2 2 2 2 2 2 2 4" xfId="18676"/>
    <cellStyle name="Normal 4 2 2 2 2 2 2 2 2 2 2 5" xfId="33719"/>
    <cellStyle name="Normal 4 2 2 2 2 2 2 2 2 2 3" xfId="5514"/>
    <cellStyle name="Normal 4 2 2 2 2 2 2 2 2 2 3 2" xfId="13037"/>
    <cellStyle name="Normal 4 2 2 2 2 2 2 2 2 2 3 2 2" xfId="28081"/>
    <cellStyle name="Normal 4 2 2 2 2 2 2 2 2 2 3 2 3" xfId="43124"/>
    <cellStyle name="Normal 4 2 2 2 2 2 2 2 2 2 3 3" xfId="20560"/>
    <cellStyle name="Normal 4 2 2 2 2 2 2 2 2 2 3 4" xfId="35603"/>
    <cellStyle name="Normal 4 2 2 2 2 2 2 2 2 2 4" xfId="9288"/>
    <cellStyle name="Normal 4 2 2 2 2 2 2 2 2 2 4 2" xfId="24332"/>
    <cellStyle name="Normal 4 2 2 2 2 2 2 2 2 2 4 3" xfId="39375"/>
    <cellStyle name="Normal 4 2 2 2 2 2 2 2 2 2 5" xfId="16811"/>
    <cellStyle name="Normal 4 2 2 2 2 2 2 2 2 2 6" xfId="31854"/>
    <cellStyle name="Normal 4 2 2 2 2 2 2 2 2 3" xfId="2652"/>
    <cellStyle name="Normal 4 2 2 2 2 2 2 2 2 3 2" xfId="6447"/>
    <cellStyle name="Normal 4 2 2 2 2 2 2 2 2 3 2 2" xfId="13970"/>
    <cellStyle name="Normal 4 2 2 2 2 2 2 2 2 3 2 2 2" xfId="29014"/>
    <cellStyle name="Normal 4 2 2 2 2 2 2 2 2 3 2 2 3" xfId="44057"/>
    <cellStyle name="Normal 4 2 2 2 2 2 2 2 2 3 2 3" xfId="21493"/>
    <cellStyle name="Normal 4 2 2 2 2 2 2 2 2 3 2 4" xfId="36536"/>
    <cellStyle name="Normal 4 2 2 2 2 2 2 2 2 3 3" xfId="10221"/>
    <cellStyle name="Normal 4 2 2 2 2 2 2 2 2 3 3 2" xfId="25265"/>
    <cellStyle name="Normal 4 2 2 2 2 2 2 2 2 3 3 3" xfId="40308"/>
    <cellStyle name="Normal 4 2 2 2 2 2 2 2 2 3 4" xfId="17744"/>
    <cellStyle name="Normal 4 2 2 2 2 2 2 2 2 3 5" xfId="32787"/>
    <cellStyle name="Normal 4 2 2 2 2 2 2 2 2 4" xfId="4582"/>
    <cellStyle name="Normal 4 2 2 2 2 2 2 2 2 4 2" xfId="12105"/>
    <cellStyle name="Normal 4 2 2 2 2 2 2 2 2 4 2 2" xfId="27149"/>
    <cellStyle name="Normal 4 2 2 2 2 2 2 2 2 4 2 3" xfId="42192"/>
    <cellStyle name="Normal 4 2 2 2 2 2 2 2 2 4 3" xfId="19628"/>
    <cellStyle name="Normal 4 2 2 2 2 2 2 2 2 4 4" xfId="34671"/>
    <cellStyle name="Normal 4 2 2 2 2 2 2 2 2 5" xfId="8356"/>
    <cellStyle name="Normal 4 2 2 2 2 2 2 2 2 5 2" xfId="23400"/>
    <cellStyle name="Normal 4 2 2 2 2 2 2 2 2 5 3" xfId="38443"/>
    <cellStyle name="Normal 4 2 2 2 2 2 2 2 2 6" xfId="15879"/>
    <cellStyle name="Normal 4 2 2 2 2 2 2 2 2 7" xfId="30922"/>
    <cellStyle name="Normal 4 2 2 2 2 2 2 2 3" xfId="1261"/>
    <cellStyle name="Normal 4 2 2 2 2 2 2 2 3 2" xfId="3132"/>
    <cellStyle name="Normal 4 2 2 2 2 2 2 2 3 2 2" xfId="6927"/>
    <cellStyle name="Normal 4 2 2 2 2 2 2 2 3 2 2 2" xfId="14450"/>
    <cellStyle name="Normal 4 2 2 2 2 2 2 2 3 2 2 2 2" xfId="29494"/>
    <cellStyle name="Normal 4 2 2 2 2 2 2 2 3 2 2 2 3" xfId="44537"/>
    <cellStyle name="Normal 4 2 2 2 2 2 2 2 3 2 2 3" xfId="21973"/>
    <cellStyle name="Normal 4 2 2 2 2 2 2 2 3 2 2 4" xfId="37016"/>
    <cellStyle name="Normal 4 2 2 2 2 2 2 2 3 2 3" xfId="10701"/>
    <cellStyle name="Normal 4 2 2 2 2 2 2 2 3 2 3 2" xfId="25745"/>
    <cellStyle name="Normal 4 2 2 2 2 2 2 2 3 2 3 3" xfId="40788"/>
    <cellStyle name="Normal 4 2 2 2 2 2 2 2 3 2 4" xfId="18224"/>
    <cellStyle name="Normal 4 2 2 2 2 2 2 2 3 2 5" xfId="33267"/>
    <cellStyle name="Normal 4 2 2 2 2 2 2 2 3 3" xfId="5062"/>
    <cellStyle name="Normal 4 2 2 2 2 2 2 2 3 3 2" xfId="12585"/>
    <cellStyle name="Normal 4 2 2 2 2 2 2 2 3 3 2 2" xfId="27629"/>
    <cellStyle name="Normal 4 2 2 2 2 2 2 2 3 3 2 3" xfId="42672"/>
    <cellStyle name="Normal 4 2 2 2 2 2 2 2 3 3 3" xfId="20108"/>
    <cellStyle name="Normal 4 2 2 2 2 2 2 2 3 3 4" xfId="35151"/>
    <cellStyle name="Normal 4 2 2 2 2 2 2 2 3 4" xfId="8836"/>
    <cellStyle name="Normal 4 2 2 2 2 2 2 2 3 4 2" xfId="23880"/>
    <cellStyle name="Normal 4 2 2 2 2 2 2 2 3 4 3" xfId="38923"/>
    <cellStyle name="Normal 4 2 2 2 2 2 2 2 3 5" xfId="16359"/>
    <cellStyle name="Normal 4 2 2 2 2 2 2 2 3 6" xfId="31402"/>
    <cellStyle name="Normal 4 2 2 2 2 2 2 2 4" xfId="2199"/>
    <cellStyle name="Normal 4 2 2 2 2 2 2 2 4 2" xfId="5995"/>
    <cellStyle name="Normal 4 2 2 2 2 2 2 2 4 2 2" xfId="13518"/>
    <cellStyle name="Normal 4 2 2 2 2 2 2 2 4 2 2 2" xfId="28562"/>
    <cellStyle name="Normal 4 2 2 2 2 2 2 2 4 2 2 3" xfId="43605"/>
    <cellStyle name="Normal 4 2 2 2 2 2 2 2 4 2 3" xfId="21041"/>
    <cellStyle name="Normal 4 2 2 2 2 2 2 2 4 2 4" xfId="36084"/>
    <cellStyle name="Normal 4 2 2 2 2 2 2 2 4 3" xfId="9769"/>
    <cellStyle name="Normal 4 2 2 2 2 2 2 2 4 3 2" xfId="24813"/>
    <cellStyle name="Normal 4 2 2 2 2 2 2 2 4 3 3" xfId="39856"/>
    <cellStyle name="Normal 4 2 2 2 2 2 2 2 4 4" xfId="17292"/>
    <cellStyle name="Normal 4 2 2 2 2 2 2 2 4 5" xfId="32335"/>
    <cellStyle name="Normal 4 2 2 2 2 2 2 2 5" xfId="4127"/>
    <cellStyle name="Normal 4 2 2 2 2 2 2 2 5 2" xfId="11651"/>
    <cellStyle name="Normal 4 2 2 2 2 2 2 2 5 2 2" xfId="26695"/>
    <cellStyle name="Normal 4 2 2 2 2 2 2 2 5 2 3" xfId="41738"/>
    <cellStyle name="Normal 4 2 2 2 2 2 2 2 5 3" xfId="19174"/>
    <cellStyle name="Normal 4 2 2 2 2 2 2 2 5 4" xfId="34217"/>
    <cellStyle name="Normal 4 2 2 2 2 2 2 2 6" xfId="7890"/>
    <cellStyle name="Normal 4 2 2 2 2 2 2 2 6 2" xfId="22934"/>
    <cellStyle name="Normal 4 2 2 2 2 2 2 2 6 3" xfId="37977"/>
    <cellStyle name="Normal 4 2 2 2 2 2 2 2 7" xfId="15413"/>
    <cellStyle name="Normal 4 2 2 2 2 2 2 2 8" xfId="30456"/>
    <cellStyle name="Normal 4 2 2 2 2 2 2 3" xfId="753"/>
    <cellStyle name="Normal 4 2 2 2 2 2 2 3 2" xfId="1712"/>
    <cellStyle name="Normal 4 2 2 2 2 2 2 3 2 2" xfId="3583"/>
    <cellStyle name="Normal 4 2 2 2 2 2 2 3 2 2 2" xfId="7378"/>
    <cellStyle name="Normal 4 2 2 2 2 2 2 3 2 2 2 2" xfId="14901"/>
    <cellStyle name="Normal 4 2 2 2 2 2 2 3 2 2 2 2 2" xfId="29945"/>
    <cellStyle name="Normal 4 2 2 2 2 2 2 3 2 2 2 2 3" xfId="44988"/>
    <cellStyle name="Normal 4 2 2 2 2 2 2 3 2 2 2 3" xfId="22424"/>
    <cellStyle name="Normal 4 2 2 2 2 2 2 3 2 2 2 4" xfId="37467"/>
    <cellStyle name="Normal 4 2 2 2 2 2 2 3 2 2 3" xfId="11152"/>
    <cellStyle name="Normal 4 2 2 2 2 2 2 3 2 2 3 2" xfId="26196"/>
    <cellStyle name="Normal 4 2 2 2 2 2 2 3 2 2 3 3" xfId="41239"/>
    <cellStyle name="Normal 4 2 2 2 2 2 2 3 2 2 4" xfId="18675"/>
    <cellStyle name="Normal 4 2 2 2 2 2 2 3 2 2 5" xfId="33718"/>
    <cellStyle name="Normal 4 2 2 2 2 2 2 3 2 3" xfId="5513"/>
    <cellStyle name="Normal 4 2 2 2 2 2 2 3 2 3 2" xfId="13036"/>
    <cellStyle name="Normal 4 2 2 2 2 2 2 3 2 3 2 2" xfId="28080"/>
    <cellStyle name="Normal 4 2 2 2 2 2 2 3 2 3 2 3" xfId="43123"/>
    <cellStyle name="Normal 4 2 2 2 2 2 2 3 2 3 3" xfId="20559"/>
    <cellStyle name="Normal 4 2 2 2 2 2 2 3 2 3 4" xfId="35602"/>
    <cellStyle name="Normal 4 2 2 2 2 2 2 3 2 4" xfId="9287"/>
    <cellStyle name="Normal 4 2 2 2 2 2 2 3 2 4 2" xfId="24331"/>
    <cellStyle name="Normal 4 2 2 2 2 2 2 3 2 4 3" xfId="39374"/>
    <cellStyle name="Normal 4 2 2 2 2 2 2 3 2 5" xfId="16810"/>
    <cellStyle name="Normal 4 2 2 2 2 2 2 3 2 6" xfId="31853"/>
    <cellStyle name="Normal 4 2 2 2 2 2 2 3 3" xfId="2651"/>
    <cellStyle name="Normal 4 2 2 2 2 2 2 3 3 2" xfId="6446"/>
    <cellStyle name="Normal 4 2 2 2 2 2 2 3 3 2 2" xfId="13969"/>
    <cellStyle name="Normal 4 2 2 2 2 2 2 3 3 2 2 2" xfId="29013"/>
    <cellStyle name="Normal 4 2 2 2 2 2 2 3 3 2 2 3" xfId="44056"/>
    <cellStyle name="Normal 4 2 2 2 2 2 2 3 3 2 3" xfId="21492"/>
    <cellStyle name="Normal 4 2 2 2 2 2 2 3 3 2 4" xfId="36535"/>
    <cellStyle name="Normal 4 2 2 2 2 2 2 3 3 3" xfId="10220"/>
    <cellStyle name="Normal 4 2 2 2 2 2 2 3 3 3 2" xfId="25264"/>
    <cellStyle name="Normal 4 2 2 2 2 2 2 3 3 3 3" xfId="40307"/>
    <cellStyle name="Normal 4 2 2 2 2 2 2 3 3 4" xfId="17743"/>
    <cellStyle name="Normal 4 2 2 2 2 2 2 3 3 5" xfId="32786"/>
    <cellStyle name="Normal 4 2 2 2 2 2 2 3 4" xfId="4581"/>
    <cellStyle name="Normal 4 2 2 2 2 2 2 3 4 2" xfId="12104"/>
    <cellStyle name="Normal 4 2 2 2 2 2 2 3 4 2 2" xfId="27148"/>
    <cellStyle name="Normal 4 2 2 2 2 2 2 3 4 2 3" xfId="42191"/>
    <cellStyle name="Normal 4 2 2 2 2 2 2 3 4 3" xfId="19627"/>
    <cellStyle name="Normal 4 2 2 2 2 2 2 3 4 4" xfId="34670"/>
    <cellStyle name="Normal 4 2 2 2 2 2 2 3 5" xfId="8355"/>
    <cellStyle name="Normal 4 2 2 2 2 2 2 3 5 2" xfId="23399"/>
    <cellStyle name="Normal 4 2 2 2 2 2 2 3 5 3" xfId="38442"/>
    <cellStyle name="Normal 4 2 2 2 2 2 2 3 6" xfId="15878"/>
    <cellStyle name="Normal 4 2 2 2 2 2 2 3 7" xfId="30921"/>
    <cellStyle name="Normal 4 2 2 2 2 2 2 4" xfId="1260"/>
    <cellStyle name="Normal 4 2 2 2 2 2 2 4 2" xfId="3131"/>
    <cellStyle name="Normal 4 2 2 2 2 2 2 4 2 2" xfId="6926"/>
    <cellStyle name="Normal 4 2 2 2 2 2 2 4 2 2 2" xfId="14449"/>
    <cellStyle name="Normal 4 2 2 2 2 2 2 4 2 2 2 2" xfId="29493"/>
    <cellStyle name="Normal 4 2 2 2 2 2 2 4 2 2 2 3" xfId="44536"/>
    <cellStyle name="Normal 4 2 2 2 2 2 2 4 2 2 3" xfId="21972"/>
    <cellStyle name="Normal 4 2 2 2 2 2 2 4 2 2 4" xfId="37015"/>
    <cellStyle name="Normal 4 2 2 2 2 2 2 4 2 3" xfId="10700"/>
    <cellStyle name="Normal 4 2 2 2 2 2 2 4 2 3 2" xfId="25744"/>
    <cellStyle name="Normal 4 2 2 2 2 2 2 4 2 3 3" xfId="40787"/>
    <cellStyle name="Normal 4 2 2 2 2 2 2 4 2 4" xfId="18223"/>
    <cellStyle name="Normal 4 2 2 2 2 2 2 4 2 5" xfId="33266"/>
    <cellStyle name="Normal 4 2 2 2 2 2 2 4 3" xfId="5061"/>
    <cellStyle name="Normal 4 2 2 2 2 2 2 4 3 2" xfId="12584"/>
    <cellStyle name="Normal 4 2 2 2 2 2 2 4 3 2 2" xfId="27628"/>
    <cellStyle name="Normal 4 2 2 2 2 2 2 4 3 2 3" xfId="42671"/>
    <cellStyle name="Normal 4 2 2 2 2 2 2 4 3 3" xfId="20107"/>
    <cellStyle name="Normal 4 2 2 2 2 2 2 4 3 4" xfId="35150"/>
    <cellStyle name="Normal 4 2 2 2 2 2 2 4 4" xfId="8835"/>
    <cellStyle name="Normal 4 2 2 2 2 2 2 4 4 2" xfId="23879"/>
    <cellStyle name="Normal 4 2 2 2 2 2 2 4 4 3" xfId="38922"/>
    <cellStyle name="Normal 4 2 2 2 2 2 2 4 5" xfId="16358"/>
    <cellStyle name="Normal 4 2 2 2 2 2 2 4 6" xfId="31401"/>
    <cellStyle name="Normal 4 2 2 2 2 2 2 5" xfId="2198"/>
    <cellStyle name="Normal 4 2 2 2 2 2 2 5 2" xfId="5994"/>
    <cellStyle name="Normal 4 2 2 2 2 2 2 5 2 2" xfId="13517"/>
    <cellStyle name="Normal 4 2 2 2 2 2 2 5 2 2 2" xfId="28561"/>
    <cellStyle name="Normal 4 2 2 2 2 2 2 5 2 2 3" xfId="43604"/>
    <cellStyle name="Normal 4 2 2 2 2 2 2 5 2 3" xfId="21040"/>
    <cellStyle name="Normal 4 2 2 2 2 2 2 5 2 4" xfId="36083"/>
    <cellStyle name="Normal 4 2 2 2 2 2 2 5 3" xfId="9768"/>
    <cellStyle name="Normal 4 2 2 2 2 2 2 5 3 2" xfId="24812"/>
    <cellStyle name="Normal 4 2 2 2 2 2 2 5 3 3" xfId="39855"/>
    <cellStyle name="Normal 4 2 2 2 2 2 2 5 4" xfId="17291"/>
    <cellStyle name="Normal 4 2 2 2 2 2 2 5 5" xfId="32334"/>
    <cellStyle name="Normal 4 2 2 2 2 2 2 6" xfId="4126"/>
    <cellStyle name="Normal 4 2 2 2 2 2 2 6 2" xfId="11650"/>
    <cellStyle name="Normal 4 2 2 2 2 2 2 6 2 2" xfId="26694"/>
    <cellStyle name="Normal 4 2 2 2 2 2 2 6 2 3" xfId="41737"/>
    <cellStyle name="Normal 4 2 2 2 2 2 2 6 3" xfId="19173"/>
    <cellStyle name="Normal 4 2 2 2 2 2 2 6 4" xfId="34216"/>
    <cellStyle name="Normal 4 2 2 2 2 2 2 7" xfId="7889"/>
    <cellStyle name="Normal 4 2 2 2 2 2 2 7 2" xfId="22933"/>
    <cellStyle name="Normal 4 2 2 2 2 2 2 7 3" xfId="37976"/>
    <cellStyle name="Normal 4 2 2 2 2 2 2 8" xfId="15412"/>
    <cellStyle name="Normal 4 2 2 2 2 2 2 9" xfId="30455"/>
    <cellStyle name="Normal 4 2 2 2 2 2 3" xfId="231"/>
    <cellStyle name="Normal 4 2 2 2 2 2 3 2" xfId="755"/>
    <cellStyle name="Normal 4 2 2 2 2 2 3 2 2" xfId="1714"/>
    <cellStyle name="Normal 4 2 2 2 2 2 3 2 2 2" xfId="3585"/>
    <cellStyle name="Normal 4 2 2 2 2 2 3 2 2 2 2" xfId="7380"/>
    <cellStyle name="Normal 4 2 2 2 2 2 3 2 2 2 2 2" xfId="14903"/>
    <cellStyle name="Normal 4 2 2 2 2 2 3 2 2 2 2 2 2" xfId="29947"/>
    <cellStyle name="Normal 4 2 2 2 2 2 3 2 2 2 2 2 3" xfId="44990"/>
    <cellStyle name="Normal 4 2 2 2 2 2 3 2 2 2 2 3" xfId="22426"/>
    <cellStyle name="Normal 4 2 2 2 2 2 3 2 2 2 2 4" xfId="37469"/>
    <cellStyle name="Normal 4 2 2 2 2 2 3 2 2 2 3" xfId="11154"/>
    <cellStyle name="Normal 4 2 2 2 2 2 3 2 2 2 3 2" xfId="26198"/>
    <cellStyle name="Normal 4 2 2 2 2 2 3 2 2 2 3 3" xfId="41241"/>
    <cellStyle name="Normal 4 2 2 2 2 2 3 2 2 2 4" xfId="18677"/>
    <cellStyle name="Normal 4 2 2 2 2 2 3 2 2 2 5" xfId="33720"/>
    <cellStyle name="Normal 4 2 2 2 2 2 3 2 2 3" xfId="5515"/>
    <cellStyle name="Normal 4 2 2 2 2 2 3 2 2 3 2" xfId="13038"/>
    <cellStyle name="Normal 4 2 2 2 2 2 3 2 2 3 2 2" xfId="28082"/>
    <cellStyle name="Normal 4 2 2 2 2 2 3 2 2 3 2 3" xfId="43125"/>
    <cellStyle name="Normal 4 2 2 2 2 2 3 2 2 3 3" xfId="20561"/>
    <cellStyle name="Normal 4 2 2 2 2 2 3 2 2 3 4" xfId="35604"/>
    <cellStyle name="Normal 4 2 2 2 2 2 3 2 2 4" xfId="9289"/>
    <cellStyle name="Normal 4 2 2 2 2 2 3 2 2 4 2" xfId="24333"/>
    <cellStyle name="Normal 4 2 2 2 2 2 3 2 2 4 3" xfId="39376"/>
    <cellStyle name="Normal 4 2 2 2 2 2 3 2 2 5" xfId="16812"/>
    <cellStyle name="Normal 4 2 2 2 2 2 3 2 2 6" xfId="31855"/>
    <cellStyle name="Normal 4 2 2 2 2 2 3 2 3" xfId="2653"/>
    <cellStyle name="Normal 4 2 2 2 2 2 3 2 3 2" xfId="6448"/>
    <cellStyle name="Normal 4 2 2 2 2 2 3 2 3 2 2" xfId="13971"/>
    <cellStyle name="Normal 4 2 2 2 2 2 3 2 3 2 2 2" xfId="29015"/>
    <cellStyle name="Normal 4 2 2 2 2 2 3 2 3 2 2 3" xfId="44058"/>
    <cellStyle name="Normal 4 2 2 2 2 2 3 2 3 2 3" xfId="21494"/>
    <cellStyle name="Normal 4 2 2 2 2 2 3 2 3 2 4" xfId="36537"/>
    <cellStyle name="Normal 4 2 2 2 2 2 3 2 3 3" xfId="10222"/>
    <cellStyle name="Normal 4 2 2 2 2 2 3 2 3 3 2" xfId="25266"/>
    <cellStyle name="Normal 4 2 2 2 2 2 3 2 3 3 3" xfId="40309"/>
    <cellStyle name="Normal 4 2 2 2 2 2 3 2 3 4" xfId="17745"/>
    <cellStyle name="Normal 4 2 2 2 2 2 3 2 3 5" xfId="32788"/>
    <cellStyle name="Normal 4 2 2 2 2 2 3 2 4" xfId="4583"/>
    <cellStyle name="Normal 4 2 2 2 2 2 3 2 4 2" xfId="12106"/>
    <cellStyle name="Normal 4 2 2 2 2 2 3 2 4 2 2" xfId="27150"/>
    <cellStyle name="Normal 4 2 2 2 2 2 3 2 4 2 3" xfId="42193"/>
    <cellStyle name="Normal 4 2 2 2 2 2 3 2 4 3" xfId="19629"/>
    <cellStyle name="Normal 4 2 2 2 2 2 3 2 4 4" xfId="34672"/>
    <cellStyle name="Normal 4 2 2 2 2 2 3 2 5" xfId="8357"/>
    <cellStyle name="Normal 4 2 2 2 2 2 3 2 5 2" xfId="23401"/>
    <cellStyle name="Normal 4 2 2 2 2 2 3 2 5 3" xfId="38444"/>
    <cellStyle name="Normal 4 2 2 2 2 2 3 2 6" xfId="15880"/>
    <cellStyle name="Normal 4 2 2 2 2 2 3 2 7" xfId="30923"/>
    <cellStyle name="Normal 4 2 2 2 2 2 3 3" xfId="1262"/>
    <cellStyle name="Normal 4 2 2 2 2 2 3 3 2" xfId="3133"/>
    <cellStyle name="Normal 4 2 2 2 2 2 3 3 2 2" xfId="6928"/>
    <cellStyle name="Normal 4 2 2 2 2 2 3 3 2 2 2" xfId="14451"/>
    <cellStyle name="Normal 4 2 2 2 2 2 3 3 2 2 2 2" xfId="29495"/>
    <cellStyle name="Normal 4 2 2 2 2 2 3 3 2 2 2 3" xfId="44538"/>
    <cellStyle name="Normal 4 2 2 2 2 2 3 3 2 2 3" xfId="21974"/>
    <cellStyle name="Normal 4 2 2 2 2 2 3 3 2 2 4" xfId="37017"/>
    <cellStyle name="Normal 4 2 2 2 2 2 3 3 2 3" xfId="10702"/>
    <cellStyle name="Normal 4 2 2 2 2 2 3 3 2 3 2" xfId="25746"/>
    <cellStyle name="Normal 4 2 2 2 2 2 3 3 2 3 3" xfId="40789"/>
    <cellStyle name="Normal 4 2 2 2 2 2 3 3 2 4" xfId="18225"/>
    <cellStyle name="Normal 4 2 2 2 2 2 3 3 2 5" xfId="33268"/>
    <cellStyle name="Normal 4 2 2 2 2 2 3 3 3" xfId="5063"/>
    <cellStyle name="Normal 4 2 2 2 2 2 3 3 3 2" xfId="12586"/>
    <cellStyle name="Normal 4 2 2 2 2 2 3 3 3 2 2" xfId="27630"/>
    <cellStyle name="Normal 4 2 2 2 2 2 3 3 3 2 3" xfId="42673"/>
    <cellStyle name="Normal 4 2 2 2 2 2 3 3 3 3" xfId="20109"/>
    <cellStyle name="Normal 4 2 2 2 2 2 3 3 3 4" xfId="35152"/>
    <cellStyle name="Normal 4 2 2 2 2 2 3 3 4" xfId="8837"/>
    <cellStyle name="Normal 4 2 2 2 2 2 3 3 4 2" xfId="23881"/>
    <cellStyle name="Normal 4 2 2 2 2 2 3 3 4 3" xfId="38924"/>
    <cellStyle name="Normal 4 2 2 2 2 2 3 3 5" xfId="16360"/>
    <cellStyle name="Normal 4 2 2 2 2 2 3 3 6" xfId="31403"/>
    <cellStyle name="Normal 4 2 2 2 2 2 3 4" xfId="2200"/>
    <cellStyle name="Normal 4 2 2 2 2 2 3 4 2" xfId="5996"/>
    <cellStyle name="Normal 4 2 2 2 2 2 3 4 2 2" xfId="13519"/>
    <cellStyle name="Normal 4 2 2 2 2 2 3 4 2 2 2" xfId="28563"/>
    <cellStyle name="Normal 4 2 2 2 2 2 3 4 2 2 3" xfId="43606"/>
    <cellStyle name="Normal 4 2 2 2 2 2 3 4 2 3" xfId="21042"/>
    <cellStyle name="Normal 4 2 2 2 2 2 3 4 2 4" xfId="36085"/>
    <cellStyle name="Normal 4 2 2 2 2 2 3 4 3" xfId="9770"/>
    <cellStyle name="Normal 4 2 2 2 2 2 3 4 3 2" xfId="24814"/>
    <cellStyle name="Normal 4 2 2 2 2 2 3 4 3 3" xfId="39857"/>
    <cellStyle name="Normal 4 2 2 2 2 2 3 4 4" xfId="17293"/>
    <cellStyle name="Normal 4 2 2 2 2 2 3 4 5" xfId="32336"/>
    <cellStyle name="Normal 4 2 2 2 2 2 3 5" xfId="4128"/>
    <cellStyle name="Normal 4 2 2 2 2 2 3 5 2" xfId="11652"/>
    <cellStyle name="Normal 4 2 2 2 2 2 3 5 2 2" xfId="26696"/>
    <cellStyle name="Normal 4 2 2 2 2 2 3 5 2 3" xfId="41739"/>
    <cellStyle name="Normal 4 2 2 2 2 2 3 5 3" xfId="19175"/>
    <cellStyle name="Normal 4 2 2 2 2 2 3 5 4" xfId="34218"/>
    <cellStyle name="Normal 4 2 2 2 2 2 3 6" xfId="7891"/>
    <cellStyle name="Normal 4 2 2 2 2 2 3 6 2" xfId="22935"/>
    <cellStyle name="Normal 4 2 2 2 2 2 3 6 3" xfId="37978"/>
    <cellStyle name="Normal 4 2 2 2 2 2 3 7" xfId="15414"/>
    <cellStyle name="Normal 4 2 2 2 2 2 3 8" xfId="30457"/>
    <cellStyle name="Normal 4 2 2 2 2 2 4" xfId="752"/>
    <cellStyle name="Normal 4 2 2 2 2 2 4 2" xfId="1711"/>
    <cellStyle name="Normal 4 2 2 2 2 2 4 2 2" xfId="3582"/>
    <cellStyle name="Normal 4 2 2 2 2 2 4 2 2 2" xfId="7377"/>
    <cellStyle name="Normal 4 2 2 2 2 2 4 2 2 2 2" xfId="14900"/>
    <cellStyle name="Normal 4 2 2 2 2 2 4 2 2 2 2 2" xfId="29944"/>
    <cellStyle name="Normal 4 2 2 2 2 2 4 2 2 2 2 3" xfId="44987"/>
    <cellStyle name="Normal 4 2 2 2 2 2 4 2 2 2 3" xfId="22423"/>
    <cellStyle name="Normal 4 2 2 2 2 2 4 2 2 2 4" xfId="37466"/>
    <cellStyle name="Normal 4 2 2 2 2 2 4 2 2 3" xfId="11151"/>
    <cellStyle name="Normal 4 2 2 2 2 2 4 2 2 3 2" xfId="26195"/>
    <cellStyle name="Normal 4 2 2 2 2 2 4 2 2 3 3" xfId="41238"/>
    <cellStyle name="Normal 4 2 2 2 2 2 4 2 2 4" xfId="18674"/>
    <cellStyle name="Normal 4 2 2 2 2 2 4 2 2 5" xfId="33717"/>
    <cellStyle name="Normal 4 2 2 2 2 2 4 2 3" xfId="5512"/>
    <cellStyle name="Normal 4 2 2 2 2 2 4 2 3 2" xfId="13035"/>
    <cellStyle name="Normal 4 2 2 2 2 2 4 2 3 2 2" xfId="28079"/>
    <cellStyle name="Normal 4 2 2 2 2 2 4 2 3 2 3" xfId="43122"/>
    <cellStyle name="Normal 4 2 2 2 2 2 4 2 3 3" xfId="20558"/>
    <cellStyle name="Normal 4 2 2 2 2 2 4 2 3 4" xfId="35601"/>
    <cellStyle name="Normal 4 2 2 2 2 2 4 2 4" xfId="9286"/>
    <cellStyle name="Normal 4 2 2 2 2 2 4 2 4 2" xfId="24330"/>
    <cellStyle name="Normal 4 2 2 2 2 2 4 2 4 3" xfId="39373"/>
    <cellStyle name="Normal 4 2 2 2 2 2 4 2 5" xfId="16809"/>
    <cellStyle name="Normal 4 2 2 2 2 2 4 2 6" xfId="31852"/>
    <cellStyle name="Normal 4 2 2 2 2 2 4 3" xfId="2650"/>
    <cellStyle name="Normal 4 2 2 2 2 2 4 3 2" xfId="6445"/>
    <cellStyle name="Normal 4 2 2 2 2 2 4 3 2 2" xfId="13968"/>
    <cellStyle name="Normal 4 2 2 2 2 2 4 3 2 2 2" xfId="29012"/>
    <cellStyle name="Normal 4 2 2 2 2 2 4 3 2 2 3" xfId="44055"/>
    <cellStyle name="Normal 4 2 2 2 2 2 4 3 2 3" xfId="21491"/>
    <cellStyle name="Normal 4 2 2 2 2 2 4 3 2 4" xfId="36534"/>
    <cellStyle name="Normal 4 2 2 2 2 2 4 3 3" xfId="10219"/>
    <cellStyle name="Normal 4 2 2 2 2 2 4 3 3 2" xfId="25263"/>
    <cellStyle name="Normal 4 2 2 2 2 2 4 3 3 3" xfId="40306"/>
    <cellStyle name="Normal 4 2 2 2 2 2 4 3 4" xfId="17742"/>
    <cellStyle name="Normal 4 2 2 2 2 2 4 3 5" xfId="32785"/>
    <cellStyle name="Normal 4 2 2 2 2 2 4 4" xfId="4580"/>
    <cellStyle name="Normal 4 2 2 2 2 2 4 4 2" xfId="12103"/>
    <cellStyle name="Normal 4 2 2 2 2 2 4 4 2 2" xfId="27147"/>
    <cellStyle name="Normal 4 2 2 2 2 2 4 4 2 3" xfId="42190"/>
    <cellStyle name="Normal 4 2 2 2 2 2 4 4 3" xfId="19626"/>
    <cellStyle name="Normal 4 2 2 2 2 2 4 4 4" xfId="34669"/>
    <cellStyle name="Normal 4 2 2 2 2 2 4 5" xfId="8354"/>
    <cellStyle name="Normal 4 2 2 2 2 2 4 5 2" xfId="23398"/>
    <cellStyle name="Normal 4 2 2 2 2 2 4 5 3" xfId="38441"/>
    <cellStyle name="Normal 4 2 2 2 2 2 4 6" xfId="15877"/>
    <cellStyle name="Normal 4 2 2 2 2 2 4 7" xfId="30920"/>
    <cellStyle name="Normal 4 2 2 2 2 2 5" xfId="1259"/>
    <cellStyle name="Normal 4 2 2 2 2 2 5 2" xfId="3130"/>
    <cellStyle name="Normal 4 2 2 2 2 2 5 2 2" xfId="6925"/>
    <cellStyle name="Normal 4 2 2 2 2 2 5 2 2 2" xfId="14448"/>
    <cellStyle name="Normal 4 2 2 2 2 2 5 2 2 2 2" xfId="29492"/>
    <cellStyle name="Normal 4 2 2 2 2 2 5 2 2 2 3" xfId="44535"/>
    <cellStyle name="Normal 4 2 2 2 2 2 5 2 2 3" xfId="21971"/>
    <cellStyle name="Normal 4 2 2 2 2 2 5 2 2 4" xfId="37014"/>
    <cellStyle name="Normal 4 2 2 2 2 2 5 2 3" xfId="10699"/>
    <cellStyle name="Normal 4 2 2 2 2 2 5 2 3 2" xfId="25743"/>
    <cellStyle name="Normal 4 2 2 2 2 2 5 2 3 3" xfId="40786"/>
    <cellStyle name="Normal 4 2 2 2 2 2 5 2 4" xfId="18222"/>
    <cellStyle name="Normal 4 2 2 2 2 2 5 2 5" xfId="33265"/>
    <cellStyle name="Normal 4 2 2 2 2 2 5 3" xfId="5060"/>
    <cellStyle name="Normal 4 2 2 2 2 2 5 3 2" xfId="12583"/>
    <cellStyle name="Normal 4 2 2 2 2 2 5 3 2 2" xfId="27627"/>
    <cellStyle name="Normal 4 2 2 2 2 2 5 3 2 3" xfId="42670"/>
    <cellStyle name="Normal 4 2 2 2 2 2 5 3 3" xfId="20106"/>
    <cellStyle name="Normal 4 2 2 2 2 2 5 3 4" xfId="35149"/>
    <cellStyle name="Normal 4 2 2 2 2 2 5 4" xfId="8834"/>
    <cellStyle name="Normal 4 2 2 2 2 2 5 4 2" xfId="23878"/>
    <cellStyle name="Normal 4 2 2 2 2 2 5 4 3" xfId="38921"/>
    <cellStyle name="Normal 4 2 2 2 2 2 5 5" xfId="16357"/>
    <cellStyle name="Normal 4 2 2 2 2 2 5 6" xfId="31400"/>
    <cellStyle name="Normal 4 2 2 2 2 2 6" xfId="2197"/>
    <cellStyle name="Normal 4 2 2 2 2 2 6 2" xfId="5993"/>
    <cellStyle name="Normal 4 2 2 2 2 2 6 2 2" xfId="13516"/>
    <cellStyle name="Normal 4 2 2 2 2 2 6 2 2 2" xfId="28560"/>
    <cellStyle name="Normal 4 2 2 2 2 2 6 2 2 3" xfId="43603"/>
    <cellStyle name="Normal 4 2 2 2 2 2 6 2 3" xfId="21039"/>
    <cellStyle name="Normal 4 2 2 2 2 2 6 2 4" xfId="36082"/>
    <cellStyle name="Normal 4 2 2 2 2 2 6 3" xfId="9767"/>
    <cellStyle name="Normal 4 2 2 2 2 2 6 3 2" xfId="24811"/>
    <cellStyle name="Normal 4 2 2 2 2 2 6 3 3" xfId="39854"/>
    <cellStyle name="Normal 4 2 2 2 2 2 6 4" xfId="17290"/>
    <cellStyle name="Normal 4 2 2 2 2 2 6 5" xfId="32333"/>
    <cellStyle name="Normal 4 2 2 2 2 2 7" xfId="4125"/>
    <cellStyle name="Normal 4 2 2 2 2 2 7 2" xfId="11649"/>
    <cellStyle name="Normal 4 2 2 2 2 2 7 2 2" xfId="26693"/>
    <cellStyle name="Normal 4 2 2 2 2 2 7 2 3" xfId="41736"/>
    <cellStyle name="Normal 4 2 2 2 2 2 7 3" xfId="19172"/>
    <cellStyle name="Normal 4 2 2 2 2 2 7 4" xfId="34215"/>
    <cellStyle name="Normal 4 2 2 2 2 2 8" xfId="7888"/>
    <cellStyle name="Normal 4 2 2 2 2 2 8 2" xfId="22932"/>
    <cellStyle name="Normal 4 2 2 2 2 2 8 3" xfId="37975"/>
    <cellStyle name="Normal 4 2 2 2 2 2 9" xfId="15411"/>
    <cellStyle name="Normal 4 2 2 2 2 3" xfId="232"/>
    <cellStyle name="Normal 4 2 2 2 2 3 2" xfId="233"/>
    <cellStyle name="Normal 4 2 2 2 2 3 2 2" xfId="757"/>
    <cellStyle name="Normal 4 2 2 2 2 3 2 2 2" xfId="1716"/>
    <cellStyle name="Normal 4 2 2 2 2 3 2 2 2 2" xfId="3587"/>
    <cellStyle name="Normal 4 2 2 2 2 3 2 2 2 2 2" xfId="7382"/>
    <cellStyle name="Normal 4 2 2 2 2 3 2 2 2 2 2 2" xfId="14905"/>
    <cellStyle name="Normal 4 2 2 2 2 3 2 2 2 2 2 2 2" xfId="29949"/>
    <cellStyle name="Normal 4 2 2 2 2 3 2 2 2 2 2 2 3" xfId="44992"/>
    <cellStyle name="Normal 4 2 2 2 2 3 2 2 2 2 2 3" xfId="22428"/>
    <cellStyle name="Normal 4 2 2 2 2 3 2 2 2 2 2 4" xfId="37471"/>
    <cellStyle name="Normal 4 2 2 2 2 3 2 2 2 2 3" xfId="11156"/>
    <cellStyle name="Normal 4 2 2 2 2 3 2 2 2 2 3 2" xfId="26200"/>
    <cellStyle name="Normal 4 2 2 2 2 3 2 2 2 2 3 3" xfId="41243"/>
    <cellStyle name="Normal 4 2 2 2 2 3 2 2 2 2 4" xfId="18679"/>
    <cellStyle name="Normal 4 2 2 2 2 3 2 2 2 2 5" xfId="33722"/>
    <cellStyle name="Normal 4 2 2 2 2 3 2 2 2 3" xfId="5517"/>
    <cellStyle name="Normal 4 2 2 2 2 3 2 2 2 3 2" xfId="13040"/>
    <cellStyle name="Normal 4 2 2 2 2 3 2 2 2 3 2 2" xfId="28084"/>
    <cellStyle name="Normal 4 2 2 2 2 3 2 2 2 3 2 3" xfId="43127"/>
    <cellStyle name="Normal 4 2 2 2 2 3 2 2 2 3 3" xfId="20563"/>
    <cellStyle name="Normal 4 2 2 2 2 3 2 2 2 3 4" xfId="35606"/>
    <cellStyle name="Normal 4 2 2 2 2 3 2 2 2 4" xfId="9291"/>
    <cellStyle name="Normal 4 2 2 2 2 3 2 2 2 4 2" xfId="24335"/>
    <cellStyle name="Normal 4 2 2 2 2 3 2 2 2 4 3" xfId="39378"/>
    <cellStyle name="Normal 4 2 2 2 2 3 2 2 2 5" xfId="16814"/>
    <cellStyle name="Normal 4 2 2 2 2 3 2 2 2 6" xfId="31857"/>
    <cellStyle name="Normal 4 2 2 2 2 3 2 2 3" xfId="2655"/>
    <cellStyle name="Normal 4 2 2 2 2 3 2 2 3 2" xfId="6450"/>
    <cellStyle name="Normal 4 2 2 2 2 3 2 2 3 2 2" xfId="13973"/>
    <cellStyle name="Normal 4 2 2 2 2 3 2 2 3 2 2 2" xfId="29017"/>
    <cellStyle name="Normal 4 2 2 2 2 3 2 2 3 2 2 3" xfId="44060"/>
    <cellStyle name="Normal 4 2 2 2 2 3 2 2 3 2 3" xfId="21496"/>
    <cellStyle name="Normal 4 2 2 2 2 3 2 2 3 2 4" xfId="36539"/>
    <cellStyle name="Normal 4 2 2 2 2 3 2 2 3 3" xfId="10224"/>
    <cellStyle name="Normal 4 2 2 2 2 3 2 2 3 3 2" xfId="25268"/>
    <cellStyle name="Normal 4 2 2 2 2 3 2 2 3 3 3" xfId="40311"/>
    <cellStyle name="Normal 4 2 2 2 2 3 2 2 3 4" xfId="17747"/>
    <cellStyle name="Normal 4 2 2 2 2 3 2 2 3 5" xfId="32790"/>
    <cellStyle name="Normal 4 2 2 2 2 3 2 2 4" xfId="4585"/>
    <cellStyle name="Normal 4 2 2 2 2 3 2 2 4 2" xfId="12108"/>
    <cellStyle name="Normal 4 2 2 2 2 3 2 2 4 2 2" xfId="27152"/>
    <cellStyle name="Normal 4 2 2 2 2 3 2 2 4 2 3" xfId="42195"/>
    <cellStyle name="Normal 4 2 2 2 2 3 2 2 4 3" xfId="19631"/>
    <cellStyle name="Normal 4 2 2 2 2 3 2 2 4 4" xfId="34674"/>
    <cellStyle name="Normal 4 2 2 2 2 3 2 2 5" xfId="8359"/>
    <cellStyle name="Normal 4 2 2 2 2 3 2 2 5 2" xfId="23403"/>
    <cellStyle name="Normal 4 2 2 2 2 3 2 2 5 3" xfId="38446"/>
    <cellStyle name="Normal 4 2 2 2 2 3 2 2 6" xfId="15882"/>
    <cellStyle name="Normal 4 2 2 2 2 3 2 2 7" xfId="30925"/>
    <cellStyle name="Normal 4 2 2 2 2 3 2 3" xfId="1264"/>
    <cellStyle name="Normal 4 2 2 2 2 3 2 3 2" xfId="3135"/>
    <cellStyle name="Normal 4 2 2 2 2 3 2 3 2 2" xfId="6930"/>
    <cellStyle name="Normal 4 2 2 2 2 3 2 3 2 2 2" xfId="14453"/>
    <cellStyle name="Normal 4 2 2 2 2 3 2 3 2 2 2 2" xfId="29497"/>
    <cellStyle name="Normal 4 2 2 2 2 3 2 3 2 2 2 3" xfId="44540"/>
    <cellStyle name="Normal 4 2 2 2 2 3 2 3 2 2 3" xfId="21976"/>
    <cellStyle name="Normal 4 2 2 2 2 3 2 3 2 2 4" xfId="37019"/>
    <cellStyle name="Normal 4 2 2 2 2 3 2 3 2 3" xfId="10704"/>
    <cellStyle name="Normal 4 2 2 2 2 3 2 3 2 3 2" xfId="25748"/>
    <cellStyle name="Normal 4 2 2 2 2 3 2 3 2 3 3" xfId="40791"/>
    <cellStyle name="Normal 4 2 2 2 2 3 2 3 2 4" xfId="18227"/>
    <cellStyle name="Normal 4 2 2 2 2 3 2 3 2 5" xfId="33270"/>
    <cellStyle name="Normal 4 2 2 2 2 3 2 3 3" xfId="5065"/>
    <cellStyle name="Normal 4 2 2 2 2 3 2 3 3 2" xfId="12588"/>
    <cellStyle name="Normal 4 2 2 2 2 3 2 3 3 2 2" xfId="27632"/>
    <cellStyle name="Normal 4 2 2 2 2 3 2 3 3 2 3" xfId="42675"/>
    <cellStyle name="Normal 4 2 2 2 2 3 2 3 3 3" xfId="20111"/>
    <cellStyle name="Normal 4 2 2 2 2 3 2 3 3 4" xfId="35154"/>
    <cellStyle name="Normal 4 2 2 2 2 3 2 3 4" xfId="8839"/>
    <cellStyle name="Normal 4 2 2 2 2 3 2 3 4 2" xfId="23883"/>
    <cellStyle name="Normal 4 2 2 2 2 3 2 3 4 3" xfId="38926"/>
    <cellStyle name="Normal 4 2 2 2 2 3 2 3 5" xfId="16362"/>
    <cellStyle name="Normal 4 2 2 2 2 3 2 3 6" xfId="31405"/>
    <cellStyle name="Normal 4 2 2 2 2 3 2 4" xfId="2202"/>
    <cellStyle name="Normal 4 2 2 2 2 3 2 4 2" xfId="5998"/>
    <cellStyle name="Normal 4 2 2 2 2 3 2 4 2 2" xfId="13521"/>
    <cellStyle name="Normal 4 2 2 2 2 3 2 4 2 2 2" xfId="28565"/>
    <cellStyle name="Normal 4 2 2 2 2 3 2 4 2 2 3" xfId="43608"/>
    <cellStyle name="Normal 4 2 2 2 2 3 2 4 2 3" xfId="21044"/>
    <cellStyle name="Normal 4 2 2 2 2 3 2 4 2 4" xfId="36087"/>
    <cellStyle name="Normal 4 2 2 2 2 3 2 4 3" xfId="9772"/>
    <cellStyle name="Normal 4 2 2 2 2 3 2 4 3 2" xfId="24816"/>
    <cellStyle name="Normal 4 2 2 2 2 3 2 4 3 3" xfId="39859"/>
    <cellStyle name="Normal 4 2 2 2 2 3 2 4 4" xfId="17295"/>
    <cellStyle name="Normal 4 2 2 2 2 3 2 4 5" xfId="32338"/>
    <cellStyle name="Normal 4 2 2 2 2 3 2 5" xfId="4130"/>
    <cellStyle name="Normal 4 2 2 2 2 3 2 5 2" xfId="11654"/>
    <cellStyle name="Normal 4 2 2 2 2 3 2 5 2 2" xfId="26698"/>
    <cellStyle name="Normal 4 2 2 2 2 3 2 5 2 3" xfId="41741"/>
    <cellStyle name="Normal 4 2 2 2 2 3 2 5 3" xfId="19177"/>
    <cellStyle name="Normal 4 2 2 2 2 3 2 5 4" xfId="34220"/>
    <cellStyle name="Normal 4 2 2 2 2 3 2 6" xfId="7893"/>
    <cellStyle name="Normal 4 2 2 2 2 3 2 6 2" xfId="22937"/>
    <cellStyle name="Normal 4 2 2 2 2 3 2 6 3" xfId="37980"/>
    <cellStyle name="Normal 4 2 2 2 2 3 2 7" xfId="15416"/>
    <cellStyle name="Normal 4 2 2 2 2 3 2 8" xfId="30459"/>
    <cellStyle name="Normal 4 2 2 2 2 3 3" xfId="756"/>
    <cellStyle name="Normal 4 2 2 2 2 3 3 2" xfId="1715"/>
    <cellStyle name="Normal 4 2 2 2 2 3 3 2 2" xfId="3586"/>
    <cellStyle name="Normal 4 2 2 2 2 3 3 2 2 2" xfId="7381"/>
    <cellStyle name="Normal 4 2 2 2 2 3 3 2 2 2 2" xfId="14904"/>
    <cellStyle name="Normal 4 2 2 2 2 3 3 2 2 2 2 2" xfId="29948"/>
    <cellStyle name="Normal 4 2 2 2 2 3 3 2 2 2 2 3" xfId="44991"/>
    <cellStyle name="Normal 4 2 2 2 2 3 3 2 2 2 3" xfId="22427"/>
    <cellStyle name="Normal 4 2 2 2 2 3 3 2 2 2 4" xfId="37470"/>
    <cellStyle name="Normal 4 2 2 2 2 3 3 2 2 3" xfId="11155"/>
    <cellStyle name="Normal 4 2 2 2 2 3 3 2 2 3 2" xfId="26199"/>
    <cellStyle name="Normal 4 2 2 2 2 3 3 2 2 3 3" xfId="41242"/>
    <cellStyle name="Normal 4 2 2 2 2 3 3 2 2 4" xfId="18678"/>
    <cellStyle name="Normal 4 2 2 2 2 3 3 2 2 5" xfId="33721"/>
    <cellStyle name="Normal 4 2 2 2 2 3 3 2 3" xfId="5516"/>
    <cellStyle name="Normal 4 2 2 2 2 3 3 2 3 2" xfId="13039"/>
    <cellStyle name="Normal 4 2 2 2 2 3 3 2 3 2 2" xfId="28083"/>
    <cellStyle name="Normal 4 2 2 2 2 3 3 2 3 2 3" xfId="43126"/>
    <cellStyle name="Normal 4 2 2 2 2 3 3 2 3 3" xfId="20562"/>
    <cellStyle name="Normal 4 2 2 2 2 3 3 2 3 4" xfId="35605"/>
    <cellStyle name="Normal 4 2 2 2 2 3 3 2 4" xfId="9290"/>
    <cellStyle name="Normal 4 2 2 2 2 3 3 2 4 2" xfId="24334"/>
    <cellStyle name="Normal 4 2 2 2 2 3 3 2 4 3" xfId="39377"/>
    <cellStyle name="Normal 4 2 2 2 2 3 3 2 5" xfId="16813"/>
    <cellStyle name="Normal 4 2 2 2 2 3 3 2 6" xfId="31856"/>
    <cellStyle name="Normal 4 2 2 2 2 3 3 3" xfId="2654"/>
    <cellStyle name="Normal 4 2 2 2 2 3 3 3 2" xfId="6449"/>
    <cellStyle name="Normal 4 2 2 2 2 3 3 3 2 2" xfId="13972"/>
    <cellStyle name="Normal 4 2 2 2 2 3 3 3 2 2 2" xfId="29016"/>
    <cellStyle name="Normal 4 2 2 2 2 3 3 3 2 2 3" xfId="44059"/>
    <cellStyle name="Normal 4 2 2 2 2 3 3 3 2 3" xfId="21495"/>
    <cellStyle name="Normal 4 2 2 2 2 3 3 3 2 4" xfId="36538"/>
    <cellStyle name="Normal 4 2 2 2 2 3 3 3 3" xfId="10223"/>
    <cellStyle name="Normal 4 2 2 2 2 3 3 3 3 2" xfId="25267"/>
    <cellStyle name="Normal 4 2 2 2 2 3 3 3 3 3" xfId="40310"/>
    <cellStyle name="Normal 4 2 2 2 2 3 3 3 4" xfId="17746"/>
    <cellStyle name="Normal 4 2 2 2 2 3 3 3 5" xfId="32789"/>
    <cellStyle name="Normal 4 2 2 2 2 3 3 4" xfId="4584"/>
    <cellStyle name="Normal 4 2 2 2 2 3 3 4 2" xfId="12107"/>
    <cellStyle name="Normal 4 2 2 2 2 3 3 4 2 2" xfId="27151"/>
    <cellStyle name="Normal 4 2 2 2 2 3 3 4 2 3" xfId="42194"/>
    <cellStyle name="Normal 4 2 2 2 2 3 3 4 3" xfId="19630"/>
    <cellStyle name="Normal 4 2 2 2 2 3 3 4 4" xfId="34673"/>
    <cellStyle name="Normal 4 2 2 2 2 3 3 5" xfId="8358"/>
    <cellStyle name="Normal 4 2 2 2 2 3 3 5 2" xfId="23402"/>
    <cellStyle name="Normal 4 2 2 2 2 3 3 5 3" xfId="38445"/>
    <cellStyle name="Normal 4 2 2 2 2 3 3 6" xfId="15881"/>
    <cellStyle name="Normal 4 2 2 2 2 3 3 7" xfId="30924"/>
    <cellStyle name="Normal 4 2 2 2 2 3 4" xfId="1263"/>
    <cellStyle name="Normal 4 2 2 2 2 3 4 2" xfId="3134"/>
    <cellStyle name="Normal 4 2 2 2 2 3 4 2 2" xfId="6929"/>
    <cellStyle name="Normal 4 2 2 2 2 3 4 2 2 2" xfId="14452"/>
    <cellStyle name="Normal 4 2 2 2 2 3 4 2 2 2 2" xfId="29496"/>
    <cellStyle name="Normal 4 2 2 2 2 3 4 2 2 2 3" xfId="44539"/>
    <cellStyle name="Normal 4 2 2 2 2 3 4 2 2 3" xfId="21975"/>
    <cellStyle name="Normal 4 2 2 2 2 3 4 2 2 4" xfId="37018"/>
    <cellStyle name="Normal 4 2 2 2 2 3 4 2 3" xfId="10703"/>
    <cellStyle name="Normal 4 2 2 2 2 3 4 2 3 2" xfId="25747"/>
    <cellStyle name="Normal 4 2 2 2 2 3 4 2 3 3" xfId="40790"/>
    <cellStyle name="Normal 4 2 2 2 2 3 4 2 4" xfId="18226"/>
    <cellStyle name="Normal 4 2 2 2 2 3 4 2 5" xfId="33269"/>
    <cellStyle name="Normal 4 2 2 2 2 3 4 3" xfId="5064"/>
    <cellStyle name="Normal 4 2 2 2 2 3 4 3 2" xfId="12587"/>
    <cellStyle name="Normal 4 2 2 2 2 3 4 3 2 2" xfId="27631"/>
    <cellStyle name="Normal 4 2 2 2 2 3 4 3 2 3" xfId="42674"/>
    <cellStyle name="Normal 4 2 2 2 2 3 4 3 3" xfId="20110"/>
    <cellStyle name="Normal 4 2 2 2 2 3 4 3 4" xfId="35153"/>
    <cellStyle name="Normal 4 2 2 2 2 3 4 4" xfId="8838"/>
    <cellStyle name="Normal 4 2 2 2 2 3 4 4 2" xfId="23882"/>
    <cellStyle name="Normal 4 2 2 2 2 3 4 4 3" xfId="38925"/>
    <cellStyle name="Normal 4 2 2 2 2 3 4 5" xfId="16361"/>
    <cellStyle name="Normal 4 2 2 2 2 3 4 6" xfId="31404"/>
    <cellStyle name="Normal 4 2 2 2 2 3 5" xfId="2201"/>
    <cellStyle name="Normal 4 2 2 2 2 3 5 2" xfId="5997"/>
    <cellStyle name="Normal 4 2 2 2 2 3 5 2 2" xfId="13520"/>
    <cellStyle name="Normal 4 2 2 2 2 3 5 2 2 2" xfId="28564"/>
    <cellStyle name="Normal 4 2 2 2 2 3 5 2 2 3" xfId="43607"/>
    <cellStyle name="Normal 4 2 2 2 2 3 5 2 3" xfId="21043"/>
    <cellStyle name="Normal 4 2 2 2 2 3 5 2 4" xfId="36086"/>
    <cellStyle name="Normal 4 2 2 2 2 3 5 3" xfId="9771"/>
    <cellStyle name="Normal 4 2 2 2 2 3 5 3 2" xfId="24815"/>
    <cellStyle name="Normal 4 2 2 2 2 3 5 3 3" xfId="39858"/>
    <cellStyle name="Normal 4 2 2 2 2 3 5 4" xfId="17294"/>
    <cellStyle name="Normal 4 2 2 2 2 3 5 5" xfId="32337"/>
    <cellStyle name="Normal 4 2 2 2 2 3 6" xfId="4129"/>
    <cellStyle name="Normal 4 2 2 2 2 3 6 2" xfId="11653"/>
    <cellStyle name="Normal 4 2 2 2 2 3 6 2 2" xfId="26697"/>
    <cellStyle name="Normal 4 2 2 2 2 3 6 2 3" xfId="41740"/>
    <cellStyle name="Normal 4 2 2 2 2 3 6 3" xfId="19176"/>
    <cellStyle name="Normal 4 2 2 2 2 3 6 4" xfId="34219"/>
    <cellStyle name="Normal 4 2 2 2 2 3 7" xfId="7892"/>
    <cellStyle name="Normal 4 2 2 2 2 3 7 2" xfId="22936"/>
    <cellStyle name="Normal 4 2 2 2 2 3 7 3" xfId="37979"/>
    <cellStyle name="Normal 4 2 2 2 2 3 8" xfId="15415"/>
    <cellStyle name="Normal 4 2 2 2 2 3 9" xfId="30458"/>
    <cellStyle name="Normal 4 2 2 2 2 4" xfId="234"/>
    <cellStyle name="Normal 4 2 2 2 2 4 2" xfId="235"/>
    <cellStyle name="Normal 4 2 2 2 2 4 2 2" xfId="759"/>
    <cellStyle name="Normal 4 2 2 2 2 4 2 2 2" xfId="1718"/>
    <cellStyle name="Normal 4 2 2 2 2 4 2 2 2 2" xfId="3589"/>
    <cellStyle name="Normal 4 2 2 2 2 4 2 2 2 2 2" xfId="7384"/>
    <cellStyle name="Normal 4 2 2 2 2 4 2 2 2 2 2 2" xfId="14907"/>
    <cellStyle name="Normal 4 2 2 2 2 4 2 2 2 2 2 2 2" xfId="29951"/>
    <cellStyle name="Normal 4 2 2 2 2 4 2 2 2 2 2 2 3" xfId="44994"/>
    <cellStyle name="Normal 4 2 2 2 2 4 2 2 2 2 2 3" xfId="22430"/>
    <cellStyle name="Normal 4 2 2 2 2 4 2 2 2 2 2 4" xfId="37473"/>
    <cellStyle name="Normal 4 2 2 2 2 4 2 2 2 2 3" xfId="11158"/>
    <cellStyle name="Normal 4 2 2 2 2 4 2 2 2 2 3 2" xfId="26202"/>
    <cellStyle name="Normal 4 2 2 2 2 4 2 2 2 2 3 3" xfId="41245"/>
    <cellStyle name="Normal 4 2 2 2 2 4 2 2 2 2 4" xfId="18681"/>
    <cellStyle name="Normal 4 2 2 2 2 4 2 2 2 2 5" xfId="33724"/>
    <cellStyle name="Normal 4 2 2 2 2 4 2 2 2 3" xfId="5519"/>
    <cellStyle name="Normal 4 2 2 2 2 4 2 2 2 3 2" xfId="13042"/>
    <cellStyle name="Normal 4 2 2 2 2 4 2 2 2 3 2 2" xfId="28086"/>
    <cellStyle name="Normal 4 2 2 2 2 4 2 2 2 3 2 3" xfId="43129"/>
    <cellStyle name="Normal 4 2 2 2 2 4 2 2 2 3 3" xfId="20565"/>
    <cellStyle name="Normal 4 2 2 2 2 4 2 2 2 3 4" xfId="35608"/>
    <cellStyle name="Normal 4 2 2 2 2 4 2 2 2 4" xfId="9293"/>
    <cellStyle name="Normal 4 2 2 2 2 4 2 2 2 4 2" xfId="24337"/>
    <cellStyle name="Normal 4 2 2 2 2 4 2 2 2 4 3" xfId="39380"/>
    <cellStyle name="Normal 4 2 2 2 2 4 2 2 2 5" xfId="16816"/>
    <cellStyle name="Normal 4 2 2 2 2 4 2 2 2 6" xfId="31859"/>
    <cellStyle name="Normal 4 2 2 2 2 4 2 2 3" xfId="2657"/>
    <cellStyle name="Normal 4 2 2 2 2 4 2 2 3 2" xfId="6452"/>
    <cellStyle name="Normal 4 2 2 2 2 4 2 2 3 2 2" xfId="13975"/>
    <cellStyle name="Normal 4 2 2 2 2 4 2 2 3 2 2 2" xfId="29019"/>
    <cellStyle name="Normal 4 2 2 2 2 4 2 2 3 2 2 3" xfId="44062"/>
    <cellStyle name="Normal 4 2 2 2 2 4 2 2 3 2 3" xfId="21498"/>
    <cellStyle name="Normal 4 2 2 2 2 4 2 2 3 2 4" xfId="36541"/>
    <cellStyle name="Normal 4 2 2 2 2 4 2 2 3 3" xfId="10226"/>
    <cellStyle name="Normal 4 2 2 2 2 4 2 2 3 3 2" xfId="25270"/>
    <cellStyle name="Normal 4 2 2 2 2 4 2 2 3 3 3" xfId="40313"/>
    <cellStyle name="Normal 4 2 2 2 2 4 2 2 3 4" xfId="17749"/>
    <cellStyle name="Normal 4 2 2 2 2 4 2 2 3 5" xfId="32792"/>
    <cellStyle name="Normal 4 2 2 2 2 4 2 2 4" xfId="4587"/>
    <cellStyle name="Normal 4 2 2 2 2 4 2 2 4 2" xfId="12110"/>
    <cellStyle name="Normal 4 2 2 2 2 4 2 2 4 2 2" xfId="27154"/>
    <cellStyle name="Normal 4 2 2 2 2 4 2 2 4 2 3" xfId="42197"/>
    <cellStyle name="Normal 4 2 2 2 2 4 2 2 4 3" xfId="19633"/>
    <cellStyle name="Normal 4 2 2 2 2 4 2 2 4 4" xfId="34676"/>
    <cellStyle name="Normal 4 2 2 2 2 4 2 2 5" xfId="8361"/>
    <cellStyle name="Normal 4 2 2 2 2 4 2 2 5 2" xfId="23405"/>
    <cellStyle name="Normal 4 2 2 2 2 4 2 2 5 3" xfId="38448"/>
    <cellStyle name="Normal 4 2 2 2 2 4 2 2 6" xfId="15884"/>
    <cellStyle name="Normal 4 2 2 2 2 4 2 2 7" xfId="30927"/>
    <cellStyle name="Normal 4 2 2 2 2 4 2 3" xfId="1266"/>
    <cellStyle name="Normal 4 2 2 2 2 4 2 3 2" xfId="3137"/>
    <cellStyle name="Normal 4 2 2 2 2 4 2 3 2 2" xfId="6932"/>
    <cellStyle name="Normal 4 2 2 2 2 4 2 3 2 2 2" xfId="14455"/>
    <cellStyle name="Normal 4 2 2 2 2 4 2 3 2 2 2 2" xfId="29499"/>
    <cellStyle name="Normal 4 2 2 2 2 4 2 3 2 2 2 3" xfId="44542"/>
    <cellStyle name="Normal 4 2 2 2 2 4 2 3 2 2 3" xfId="21978"/>
    <cellStyle name="Normal 4 2 2 2 2 4 2 3 2 2 4" xfId="37021"/>
    <cellStyle name="Normal 4 2 2 2 2 4 2 3 2 3" xfId="10706"/>
    <cellStyle name="Normal 4 2 2 2 2 4 2 3 2 3 2" xfId="25750"/>
    <cellStyle name="Normal 4 2 2 2 2 4 2 3 2 3 3" xfId="40793"/>
    <cellStyle name="Normal 4 2 2 2 2 4 2 3 2 4" xfId="18229"/>
    <cellStyle name="Normal 4 2 2 2 2 4 2 3 2 5" xfId="33272"/>
    <cellStyle name="Normal 4 2 2 2 2 4 2 3 3" xfId="5067"/>
    <cellStyle name="Normal 4 2 2 2 2 4 2 3 3 2" xfId="12590"/>
    <cellStyle name="Normal 4 2 2 2 2 4 2 3 3 2 2" xfId="27634"/>
    <cellStyle name="Normal 4 2 2 2 2 4 2 3 3 2 3" xfId="42677"/>
    <cellStyle name="Normal 4 2 2 2 2 4 2 3 3 3" xfId="20113"/>
    <cellStyle name="Normal 4 2 2 2 2 4 2 3 3 4" xfId="35156"/>
    <cellStyle name="Normal 4 2 2 2 2 4 2 3 4" xfId="8841"/>
    <cellStyle name="Normal 4 2 2 2 2 4 2 3 4 2" xfId="23885"/>
    <cellStyle name="Normal 4 2 2 2 2 4 2 3 4 3" xfId="38928"/>
    <cellStyle name="Normal 4 2 2 2 2 4 2 3 5" xfId="16364"/>
    <cellStyle name="Normal 4 2 2 2 2 4 2 3 6" xfId="31407"/>
    <cellStyle name="Normal 4 2 2 2 2 4 2 4" xfId="2204"/>
    <cellStyle name="Normal 4 2 2 2 2 4 2 4 2" xfId="6000"/>
    <cellStyle name="Normal 4 2 2 2 2 4 2 4 2 2" xfId="13523"/>
    <cellStyle name="Normal 4 2 2 2 2 4 2 4 2 2 2" xfId="28567"/>
    <cellStyle name="Normal 4 2 2 2 2 4 2 4 2 2 3" xfId="43610"/>
    <cellStyle name="Normal 4 2 2 2 2 4 2 4 2 3" xfId="21046"/>
    <cellStyle name="Normal 4 2 2 2 2 4 2 4 2 4" xfId="36089"/>
    <cellStyle name="Normal 4 2 2 2 2 4 2 4 3" xfId="9774"/>
    <cellStyle name="Normal 4 2 2 2 2 4 2 4 3 2" xfId="24818"/>
    <cellStyle name="Normal 4 2 2 2 2 4 2 4 3 3" xfId="39861"/>
    <cellStyle name="Normal 4 2 2 2 2 4 2 4 4" xfId="17297"/>
    <cellStyle name="Normal 4 2 2 2 2 4 2 4 5" xfId="32340"/>
    <cellStyle name="Normal 4 2 2 2 2 4 2 5" xfId="4132"/>
    <cellStyle name="Normal 4 2 2 2 2 4 2 5 2" xfId="11656"/>
    <cellStyle name="Normal 4 2 2 2 2 4 2 5 2 2" xfId="26700"/>
    <cellStyle name="Normal 4 2 2 2 2 4 2 5 2 3" xfId="41743"/>
    <cellStyle name="Normal 4 2 2 2 2 4 2 5 3" xfId="19179"/>
    <cellStyle name="Normal 4 2 2 2 2 4 2 5 4" xfId="34222"/>
    <cellStyle name="Normal 4 2 2 2 2 4 2 6" xfId="7895"/>
    <cellStyle name="Normal 4 2 2 2 2 4 2 6 2" xfId="22939"/>
    <cellStyle name="Normal 4 2 2 2 2 4 2 6 3" xfId="37982"/>
    <cellStyle name="Normal 4 2 2 2 2 4 2 7" xfId="15418"/>
    <cellStyle name="Normal 4 2 2 2 2 4 2 8" xfId="30461"/>
    <cellStyle name="Normal 4 2 2 2 2 4 3" xfId="758"/>
    <cellStyle name="Normal 4 2 2 2 2 4 3 2" xfId="1717"/>
    <cellStyle name="Normal 4 2 2 2 2 4 3 2 2" xfId="3588"/>
    <cellStyle name="Normal 4 2 2 2 2 4 3 2 2 2" xfId="7383"/>
    <cellStyle name="Normal 4 2 2 2 2 4 3 2 2 2 2" xfId="14906"/>
    <cellStyle name="Normal 4 2 2 2 2 4 3 2 2 2 2 2" xfId="29950"/>
    <cellStyle name="Normal 4 2 2 2 2 4 3 2 2 2 2 3" xfId="44993"/>
    <cellStyle name="Normal 4 2 2 2 2 4 3 2 2 2 3" xfId="22429"/>
    <cellStyle name="Normal 4 2 2 2 2 4 3 2 2 2 4" xfId="37472"/>
    <cellStyle name="Normal 4 2 2 2 2 4 3 2 2 3" xfId="11157"/>
    <cellStyle name="Normal 4 2 2 2 2 4 3 2 2 3 2" xfId="26201"/>
    <cellStyle name="Normal 4 2 2 2 2 4 3 2 2 3 3" xfId="41244"/>
    <cellStyle name="Normal 4 2 2 2 2 4 3 2 2 4" xfId="18680"/>
    <cellStyle name="Normal 4 2 2 2 2 4 3 2 2 5" xfId="33723"/>
    <cellStyle name="Normal 4 2 2 2 2 4 3 2 3" xfId="5518"/>
    <cellStyle name="Normal 4 2 2 2 2 4 3 2 3 2" xfId="13041"/>
    <cellStyle name="Normal 4 2 2 2 2 4 3 2 3 2 2" xfId="28085"/>
    <cellStyle name="Normal 4 2 2 2 2 4 3 2 3 2 3" xfId="43128"/>
    <cellStyle name="Normal 4 2 2 2 2 4 3 2 3 3" xfId="20564"/>
    <cellStyle name="Normal 4 2 2 2 2 4 3 2 3 4" xfId="35607"/>
    <cellStyle name="Normal 4 2 2 2 2 4 3 2 4" xfId="9292"/>
    <cellStyle name="Normal 4 2 2 2 2 4 3 2 4 2" xfId="24336"/>
    <cellStyle name="Normal 4 2 2 2 2 4 3 2 4 3" xfId="39379"/>
    <cellStyle name="Normal 4 2 2 2 2 4 3 2 5" xfId="16815"/>
    <cellStyle name="Normal 4 2 2 2 2 4 3 2 6" xfId="31858"/>
    <cellStyle name="Normal 4 2 2 2 2 4 3 3" xfId="2656"/>
    <cellStyle name="Normal 4 2 2 2 2 4 3 3 2" xfId="6451"/>
    <cellStyle name="Normal 4 2 2 2 2 4 3 3 2 2" xfId="13974"/>
    <cellStyle name="Normal 4 2 2 2 2 4 3 3 2 2 2" xfId="29018"/>
    <cellStyle name="Normal 4 2 2 2 2 4 3 3 2 2 3" xfId="44061"/>
    <cellStyle name="Normal 4 2 2 2 2 4 3 3 2 3" xfId="21497"/>
    <cellStyle name="Normal 4 2 2 2 2 4 3 3 2 4" xfId="36540"/>
    <cellStyle name="Normal 4 2 2 2 2 4 3 3 3" xfId="10225"/>
    <cellStyle name="Normal 4 2 2 2 2 4 3 3 3 2" xfId="25269"/>
    <cellStyle name="Normal 4 2 2 2 2 4 3 3 3 3" xfId="40312"/>
    <cellStyle name="Normal 4 2 2 2 2 4 3 3 4" xfId="17748"/>
    <cellStyle name="Normal 4 2 2 2 2 4 3 3 5" xfId="32791"/>
    <cellStyle name="Normal 4 2 2 2 2 4 3 4" xfId="4586"/>
    <cellStyle name="Normal 4 2 2 2 2 4 3 4 2" xfId="12109"/>
    <cellStyle name="Normal 4 2 2 2 2 4 3 4 2 2" xfId="27153"/>
    <cellStyle name="Normal 4 2 2 2 2 4 3 4 2 3" xfId="42196"/>
    <cellStyle name="Normal 4 2 2 2 2 4 3 4 3" xfId="19632"/>
    <cellStyle name="Normal 4 2 2 2 2 4 3 4 4" xfId="34675"/>
    <cellStyle name="Normal 4 2 2 2 2 4 3 5" xfId="8360"/>
    <cellStyle name="Normal 4 2 2 2 2 4 3 5 2" xfId="23404"/>
    <cellStyle name="Normal 4 2 2 2 2 4 3 5 3" xfId="38447"/>
    <cellStyle name="Normal 4 2 2 2 2 4 3 6" xfId="15883"/>
    <cellStyle name="Normal 4 2 2 2 2 4 3 7" xfId="30926"/>
    <cellStyle name="Normal 4 2 2 2 2 4 4" xfId="1265"/>
    <cellStyle name="Normal 4 2 2 2 2 4 4 2" xfId="3136"/>
    <cellStyle name="Normal 4 2 2 2 2 4 4 2 2" xfId="6931"/>
    <cellStyle name="Normal 4 2 2 2 2 4 4 2 2 2" xfId="14454"/>
    <cellStyle name="Normal 4 2 2 2 2 4 4 2 2 2 2" xfId="29498"/>
    <cellStyle name="Normal 4 2 2 2 2 4 4 2 2 2 3" xfId="44541"/>
    <cellStyle name="Normal 4 2 2 2 2 4 4 2 2 3" xfId="21977"/>
    <cellStyle name="Normal 4 2 2 2 2 4 4 2 2 4" xfId="37020"/>
    <cellStyle name="Normal 4 2 2 2 2 4 4 2 3" xfId="10705"/>
    <cellStyle name="Normal 4 2 2 2 2 4 4 2 3 2" xfId="25749"/>
    <cellStyle name="Normal 4 2 2 2 2 4 4 2 3 3" xfId="40792"/>
    <cellStyle name="Normal 4 2 2 2 2 4 4 2 4" xfId="18228"/>
    <cellStyle name="Normal 4 2 2 2 2 4 4 2 5" xfId="33271"/>
    <cellStyle name="Normal 4 2 2 2 2 4 4 3" xfId="5066"/>
    <cellStyle name="Normal 4 2 2 2 2 4 4 3 2" xfId="12589"/>
    <cellStyle name="Normal 4 2 2 2 2 4 4 3 2 2" xfId="27633"/>
    <cellStyle name="Normal 4 2 2 2 2 4 4 3 2 3" xfId="42676"/>
    <cellStyle name="Normal 4 2 2 2 2 4 4 3 3" xfId="20112"/>
    <cellStyle name="Normal 4 2 2 2 2 4 4 3 4" xfId="35155"/>
    <cellStyle name="Normal 4 2 2 2 2 4 4 4" xfId="8840"/>
    <cellStyle name="Normal 4 2 2 2 2 4 4 4 2" xfId="23884"/>
    <cellStyle name="Normal 4 2 2 2 2 4 4 4 3" xfId="38927"/>
    <cellStyle name="Normal 4 2 2 2 2 4 4 5" xfId="16363"/>
    <cellStyle name="Normal 4 2 2 2 2 4 4 6" xfId="31406"/>
    <cellStyle name="Normal 4 2 2 2 2 4 5" xfId="2203"/>
    <cellStyle name="Normal 4 2 2 2 2 4 5 2" xfId="5999"/>
    <cellStyle name="Normal 4 2 2 2 2 4 5 2 2" xfId="13522"/>
    <cellStyle name="Normal 4 2 2 2 2 4 5 2 2 2" xfId="28566"/>
    <cellStyle name="Normal 4 2 2 2 2 4 5 2 2 3" xfId="43609"/>
    <cellStyle name="Normal 4 2 2 2 2 4 5 2 3" xfId="21045"/>
    <cellStyle name="Normal 4 2 2 2 2 4 5 2 4" xfId="36088"/>
    <cellStyle name="Normal 4 2 2 2 2 4 5 3" xfId="9773"/>
    <cellStyle name="Normal 4 2 2 2 2 4 5 3 2" xfId="24817"/>
    <cellStyle name="Normal 4 2 2 2 2 4 5 3 3" xfId="39860"/>
    <cellStyle name="Normal 4 2 2 2 2 4 5 4" xfId="17296"/>
    <cellStyle name="Normal 4 2 2 2 2 4 5 5" xfId="32339"/>
    <cellStyle name="Normal 4 2 2 2 2 4 6" xfId="4131"/>
    <cellStyle name="Normal 4 2 2 2 2 4 6 2" xfId="11655"/>
    <cellStyle name="Normal 4 2 2 2 2 4 6 2 2" xfId="26699"/>
    <cellStyle name="Normal 4 2 2 2 2 4 6 2 3" xfId="41742"/>
    <cellStyle name="Normal 4 2 2 2 2 4 6 3" xfId="19178"/>
    <cellStyle name="Normal 4 2 2 2 2 4 6 4" xfId="34221"/>
    <cellStyle name="Normal 4 2 2 2 2 4 7" xfId="7894"/>
    <cellStyle name="Normal 4 2 2 2 2 4 7 2" xfId="22938"/>
    <cellStyle name="Normal 4 2 2 2 2 4 7 3" xfId="37981"/>
    <cellStyle name="Normal 4 2 2 2 2 4 8" xfId="15417"/>
    <cellStyle name="Normal 4 2 2 2 2 4 9" xfId="30460"/>
    <cellStyle name="Normal 4 2 2 2 2 5" xfId="236"/>
    <cellStyle name="Normal 4 2 2 2 2 5 2" xfId="760"/>
    <cellStyle name="Normal 4 2 2 2 2 5 2 2" xfId="1719"/>
    <cellStyle name="Normal 4 2 2 2 2 5 2 2 2" xfId="3590"/>
    <cellStyle name="Normal 4 2 2 2 2 5 2 2 2 2" xfId="7385"/>
    <cellStyle name="Normal 4 2 2 2 2 5 2 2 2 2 2" xfId="14908"/>
    <cellStyle name="Normal 4 2 2 2 2 5 2 2 2 2 2 2" xfId="29952"/>
    <cellStyle name="Normal 4 2 2 2 2 5 2 2 2 2 2 3" xfId="44995"/>
    <cellStyle name="Normal 4 2 2 2 2 5 2 2 2 2 3" xfId="22431"/>
    <cellStyle name="Normal 4 2 2 2 2 5 2 2 2 2 4" xfId="37474"/>
    <cellStyle name="Normal 4 2 2 2 2 5 2 2 2 3" xfId="11159"/>
    <cellStyle name="Normal 4 2 2 2 2 5 2 2 2 3 2" xfId="26203"/>
    <cellStyle name="Normal 4 2 2 2 2 5 2 2 2 3 3" xfId="41246"/>
    <cellStyle name="Normal 4 2 2 2 2 5 2 2 2 4" xfId="18682"/>
    <cellStyle name="Normal 4 2 2 2 2 5 2 2 2 5" xfId="33725"/>
    <cellStyle name="Normal 4 2 2 2 2 5 2 2 3" xfId="5520"/>
    <cellStyle name="Normal 4 2 2 2 2 5 2 2 3 2" xfId="13043"/>
    <cellStyle name="Normal 4 2 2 2 2 5 2 2 3 2 2" xfId="28087"/>
    <cellStyle name="Normal 4 2 2 2 2 5 2 2 3 2 3" xfId="43130"/>
    <cellStyle name="Normal 4 2 2 2 2 5 2 2 3 3" xfId="20566"/>
    <cellStyle name="Normal 4 2 2 2 2 5 2 2 3 4" xfId="35609"/>
    <cellStyle name="Normal 4 2 2 2 2 5 2 2 4" xfId="9294"/>
    <cellStyle name="Normal 4 2 2 2 2 5 2 2 4 2" xfId="24338"/>
    <cellStyle name="Normal 4 2 2 2 2 5 2 2 4 3" xfId="39381"/>
    <cellStyle name="Normal 4 2 2 2 2 5 2 2 5" xfId="16817"/>
    <cellStyle name="Normal 4 2 2 2 2 5 2 2 6" xfId="31860"/>
    <cellStyle name="Normal 4 2 2 2 2 5 2 3" xfId="2658"/>
    <cellStyle name="Normal 4 2 2 2 2 5 2 3 2" xfId="6453"/>
    <cellStyle name="Normal 4 2 2 2 2 5 2 3 2 2" xfId="13976"/>
    <cellStyle name="Normal 4 2 2 2 2 5 2 3 2 2 2" xfId="29020"/>
    <cellStyle name="Normal 4 2 2 2 2 5 2 3 2 2 3" xfId="44063"/>
    <cellStyle name="Normal 4 2 2 2 2 5 2 3 2 3" xfId="21499"/>
    <cellStyle name="Normal 4 2 2 2 2 5 2 3 2 4" xfId="36542"/>
    <cellStyle name="Normal 4 2 2 2 2 5 2 3 3" xfId="10227"/>
    <cellStyle name="Normal 4 2 2 2 2 5 2 3 3 2" xfId="25271"/>
    <cellStyle name="Normal 4 2 2 2 2 5 2 3 3 3" xfId="40314"/>
    <cellStyle name="Normal 4 2 2 2 2 5 2 3 4" xfId="17750"/>
    <cellStyle name="Normal 4 2 2 2 2 5 2 3 5" xfId="32793"/>
    <cellStyle name="Normal 4 2 2 2 2 5 2 4" xfId="4588"/>
    <cellStyle name="Normal 4 2 2 2 2 5 2 4 2" xfId="12111"/>
    <cellStyle name="Normal 4 2 2 2 2 5 2 4 2 2" xfId="27155"/>
    <cellStyle name="Normal 4 2 2 2 2 5 2 4 2 3" xfId="42198"/>
    <cellStyle name="Normal 4 2 2 2 2 5 2 4 3" xfId="19634"/>
    <cellStyle name="Normal 4 2 2 2 2 5 2 4 4" xfId="34677"/>
    <cellStyle name="Normal 4 2 2 2 2 5 2 5" xfId="8362"/>
    <cellStyle name="Normal 4 2 2 2 2 5 2 5 2" xfId="23406"/>
    <cellStyle name="Normal 4 2 2 2 2 5 2 5 3" xfId="38449"/>
    <cellStyle name="Normal 4 2 2 2 2 5 2 6" xfId="15885"/>
    <cellStyle name="Normal 4 2 2 2 2 5 2 7" xfId="30928"/>
    <cellStyle name="Normal 4 2 2 2 2 5 3" xfId="1267"/>
    <cellStyle name="Normal 4 2 2 2 2 5 3 2" xfId="3138"/>
    <cellStyle name="Normal 4 2 2 2 2 5 3 2 2" xfId="6933"/>
    <cellStyle name="Normal 4 2 2 2 2 5 3 2 2 2" xfId="14456"/>
    <cellStyle name="Normal 4 2 2 2 2 5 3 2 2 2 2" xfId="29500"/>
    <cellStyle name="Normal 4 2 2 2 2 5 3 2 2 2 3" xfId="44543"/>
    <cellStyle name="Normal 4 2 2 2 2 5 3 2 2 3" xfId="21979"/>
    <cellStyle name="Normal 4 2 2 2 2 5 3 2 2 4" xfId="37022"/>
    <cellStyle name="Normal 4 2 2 2 2 5 3 2 3" xfId="10707"/>
    <cellStyle name="Normal 4 2 2 2 2 5 3 2 3 2" xfId="25751"/>
    <cellStyle name="Normal 4 2 2 2 2 5 3 2 3 3" xfId="40794"/>
    <cellStyle name="Normal 4 2 2 2 2 5 3 2 4" xfId="18230"/>
    <cellStyle name="Normal 4 2 2 2 2 5 3 2 5" xfId="33273"/>
    <cellStyle name="Normal 4 2 2 2 2 5 3 3" xfId="5068"/>
    <cellStyle name="Normal 4 2 2 2 2 5 3 3 2" xfId="12591"/>
    <cellStyle name="Normal 4 2 2 2 2 5 3 3 2 2" xfId="27635"/>
    <cellStyle name="Normal 4 2 2 2 2 5 3 3 2 3" xfId="42678"/>
    <cellStyle name="Normal 4 2 2 2 2 5 3 3 3" xfId="20114"/>
    <cellStyle name="Normal 4 2 2 2 2 5 3 3 4" xfId="35157"/>
    <cellStyle name="Normal 4 2 2 2 2 5 3 4" xfId="8842"/>
    <cellStyle name="Normal 4 2 2 2 2 5 3 4 2" xfId="23886"/>
    <cellStyle name="Normal 4 2 2 2 2 5 3 4 3" xfId="38929"/>
    <cellStyle name="Normal 4 2 2 2 2 5 3 5" xfId="16365"/>
    <cellStyle name="Normal 4 2 2 2 2 5 3 6" xfId="31408"/>
    <cellStyle name="Normal 4 2 2 2 2 5 4" xfId="2205"/>
    <cellStyle name="Normal 4 2 2 2 2 5 4 2" xfId="6001"/>
    <cellStyle name="Normal 4 2 2 2 2 5 4 2 2" xfId="13524"/>
    <cellStyle name="Normal 4 2 2 2 2 5 4 2 2 2" xfId="28568"/>
    <cellStyle name="Normal 4 2 2 2 2 5 4 2 2 3" xfId="43611"/>
    <cellStyle name="Normal 4 2 2 2 2 5 4 2 3" xfId="21047"/>
    <cellStyle name="Normal 4 2 2 2 2 5 4 2 4" xfId="36090"/>
    <cellStyle name="Normal 4 2 2 2 2 5 4 3" xfId="9775"/>
    <cellStyle name="Normal 4 2 2 2 2 5 4 3 2" xfId="24819"/>
    <cellStyle name="Normal 4 2 2 2 2 5 4 3 3" xfId="39862"/>
    <cellStyle name="Normal 4 2 2 2 2 5 4 4" xfId="17298"/>
    <cellStyle name="Normal 4 2 2 2 2 5 4 5" xfId="32341"/>
    <cellStyle name="Normal 4 2 2 2 2 5 5" xfId="4133"/>
    <cellStyle name="Normal 4 2 2 2 2 5 5 2" xfId="11657"/>
    <cellStyle name="Normal 4 2 2 2 2 5 5 2 2" xfId="26701"/>
    <cellStyle name="Normal 4 2 2 2 2 5 5 2 3" xfId="41744"/>
    <cellStyle name="Normal 4 2 2 2 2 5 5 3" xfId="19180"/>
    <cellStyle name="Normal 4 2 2 2 2 5 5 4" xfId="34223"/>
    <cellStyle name="Normal 4 2 2 2 2 5 6" xfId="7896"/>
    <cellStyle name="Normal 4 2 2 2 2 5 6 2" xfId="22940"/>
    <cellStyle name="Normal 4 2 2 2 2 5 6 3" xfId="37983"/>
    <cellStyle name="Normal 4 2 2 2 2 5 7" xfId="15419"/>
    <cellStyle name="Normal 4 2 2 2 2 5 8" xfId="30462"/>
    <cellStyle name="Normal 4 2 2 2 2 6" xfId="751"/>
    <cellStyle name="Normal 4 2 2 2 2 6 2" xfId="1710"/>
    <cellStyle name="Normal 4 2 2 2 2 6 2 2" xfId="3581"/>
    <cellStyle name="Normal 4 2 2 2 2 6 2 2 2" xfId="7376"/>
    <cellStyle name="Normal 4 2 2 2 2 6 2 2 2 2" xfId="14899"/>
    <cellStyle name="Normal 4 2 2 2 2 6 2 2 2 2 2" xfId="29943"/>
    <cellStyle name="Normal 4 2 2 2 2 6 2 2 2 2 3" xfId="44986"/>
    <cellStyle name="Normal 4 2 2 2 2 6 2 2 2 3" xfId="22422"/>
    <cellStyle name="Normal 4 2 2 2 2 6 2 2 2 4" xfId="37465"/>
    <cellStyle name="Normal 4 2 2 2 2 6 2 2 3" xfId="11150"/>
    <cellStyle name="Normal 4 2 2 2 2 6 2 2 3 2" xfId="26194"/>
    <cellStyle name="Normal 4 2 2 2 2 6 2 2 3 3" xfId="41237"/>
    <cellStyle name="Normal 4 2 2 2 2 6 2 2 4" xfId="18673"/>
    <cellStyle name="Normal 4 2 2 2 2 6 2 2 5" xfId="33716"/>
    <cellStyle name="Normal 4 2 2 2 2 6 2 3" xfId="5511"/>
    <cellStyle name="Normal 4 2 2 2 2 6 2 3 2" xfId="13034"/>
    <cellStyle name="Normal 4 2 2 2 2 6 2 3 2 2" xfId="28078"/>
    <cellStyle name="Normal 4 2 2 2 2 6 2 3 2 3" xfId="43121"/>
    <cellStyle name="Normal 4 2 2 2 2 6 2 3 3" xfId="20557"/>
    <cellStyle name="Normal 4 2 2 2 2 6 2 3 4" xfId="35600"/>
    <cellStyle name="Normal 4 2 2 2 2 6 2 4" xfId="9285"/>
    <cellStyle name="Normal 4 2 2 2 2 6 2 4 2" xfId="24329"/>
    <cellStyle name="Normal 4 2 2 2 2 6 2 4 3" xfId="39372"/>
    <cellStyle name="Normal 4 2 2 2 2 6 2 5" xfId="16808"/>
    <cellStyle name="Normal 4 2 2 2 2 6 2 6" xfId="31851"/>
    <cellStyle name="Normal 4 2 2 2 2 6 3" xfId="2649"/>
    <cellStyle name="Normal 4 2 2 2 2 6 3 2" xfId="6444"/>
    <cellStyle name="Normal 4 2 2 2 2 6 3 2 2" xfId="13967"/>
    <cellStyle name="Normal 4 2 2 2 2 6 3 2 2 2" xfId="29011"/>
    <cellStyle name="Normal 4 2 2 2 2 6 3 2 2 3" xfId="44054"/>
    <cellStyle name="Normal 4 2 2 2 2 6 3 2 3" xfId="21490"/>
    <cellStyle name="Normal 4 2 2 2 2 6 3 2 4" xfId="36533"/>
    <cellStyle name="Normal 4 2 2 2 2 6 3 3" xfId="10218"/>
    <cellStyle name="Normal 4 2 2 2 2 6 3 3 2" xfId="25262"/>
    <cellStyle name="Normal 4 2 2 2 2 6 3 3 3" xfId="40305"/>
    <cellStyle name="Normal 4 2 2 2 2 6 3 4" xfId="17741"/>
    <cellStyle name="Normal 4 2 2 2 2 6 3 5" xfId="32784"/>
    <cellStyle name="Normal 4 2 2 2 2 6 4" xfId="4579"/>
    <cellStyle name="Normal 4 2 2 2 2 6 4 2" xfId="12102"/>
    <cellStyle name="Normal 4 2 2 2 2 6 4 2 2" xfId="27146"/>
    <cellStyle name="Normal 4 2 2 2 2 6 4 2 3" xfId="42189"/>
    <cellStyle name="Normal 4 2 2 2 2 6 4 3" xfId="19625"/>
    <cellStyle name="Normal 4 2 2 2 2 6 4 4" xfId="34668"/>
    <cellStyle name="Normal 4 2 2 2 2 6 5" xfId="8353"/>
    <cellStyle name="Normal 4 2 2 2 2 6 5 2" xfId="23397"/>
    <cellStyle name="Normal 4 2 2 2 2 6 5 3" xfId="38440"/>
    <cellStyle name="Normal 4 2 2 2 2 6 6" xfId="15876"/>
    <cellStyle name="Normal 4 2 2 2 2 6 7" xfId="30919"/>
    <cellStyle name="Normal 4 2 2 2 2 7" xfId="1258"/>
    <cellStyle name="Normal 4 2 2 2 2 7 2" xfId="3129"/>
    <cellStyle name="Normal 4 2 2 2 2 7 2 2" xfId="6924"/>
    <cellStyle name="Normal 4 2 2 2 2 7 2 2 2" xfId="14447"/>
    <cellStyle name="Normal 4 2 2 2 2 7 2 2 2 2" xfId="29491"/>
    <cellStyle name="Normal 4 2 2 2 2 7 2 2 2 3" xfId="44534"/>
    <cellStyle name="Normal 4 2 2 2 2 7 2 2 3" xfId="21970"/>
    <cellStyle name="Normal 4 2 2 2 2 7 2 2 4" xfId="37013"/>
    <cellStyle name="Normal 4 2 2 2 2 7 2 3" xfId="10698"/>
    <cellStyle name="Normal 4 2 2 2 2 7 2 3 2" xfId="25742"/>
    <cellStyle name="Normal 4 2 2 2 2 7 2 3 3" xfId="40785"/>
    <cellStyle name="Normal 4 2 2 2 2 7 2 4" xfId="18221"/>
    <cellStyle name="Normal 4 2 2 2 2 7 2 5" xfId="33264"/>
    <cellStyle name="Normal 4 2 2 2 2 7 3" xfId="5059"/>
    <cellStyle name="Normal 4 2 2 2 2 7 3 2" xfId="12582"/>
    <cellStyle name="Normal 4 2 2 2 2 7 3 2 2" xfId="27626"/>
    <cellStyle name="Normal 4 2 2 2 2 7 3 2 3" xfId="42669"/>
    <cellStyle name="Normal 4 2 2 2 2 7 3 3" xfId="20105"/>
    <cellStyle name="Normal 4 2 2 2 2 7 3 4" xfId="35148"/>
    <cellStyle name="Normal 4 2 2 2 2 7 4" xfId="8833"/>
    <cellStyle name="Normal 4 2 2 2 2 7 4 2" xfId="23877"/>
    <cellStyle name="Normal 4 2 2 2 2 7 4 3" xfId="38920"/>
    <cellStyle name="Normal 4 2 2 2 2 7 5" xfId="16356"/>
    <cellStyle name="Normal 4 2 2 2 2 7 6" xfId="31399"/>
    <cellStyle name="Normal 4 2 2 2 2 8" xfId="2196"/>
    <cellStyle name="Normal 4 2 2 2 2 8 2" xfId="5992"/>
    <cellStyle name="Normal 4 2 2 2 2 8 2 2" xfId="13515"/>
    <cellStyle name="Normal 4 2 2 2 2 8 2 2 2" xfId="28559"/>
    <cellStyle name="Normal 4 2 2 2 2 8 2 2 3" xfId="43602"/>
    <cellStyle name="Normal 4 2 2 2 2 8 2 3" xfId="21038"/>
    <cellStyle name="Normal 4 2 2 2 2 8 2 4" xfId="36081"/>
    <cellStyle name="Normal 4 2 2 2 2 8 3" xfId="9766"/>
    <cellStyle name="Normal 4 2 2 2 2 8 3 2" xfId="24810"/>
    <cellStyle name="Normal 4 2 2 2 2 8 3 3" xfId="39853"/>
    <cellStyle name="Normal 4 2 2 2 2 8 4" xfId="17289"/>
    <cellStyle name="Normal 4 2 2 2 2 8 5" xfId="32332"/>
    <cellStyle name="Normal 4 2 2 2 2 9" xfId="4124"/>
    <cellStyle name="Normal 4 2 2 2 2 9 2" xfId="11648"/>
    <cellStyle name="Normal 4 2 2 2 2 9 2 2" xfId="26692"/>
    <cellStyle name="Normal 4 2 2 2 2 9 2 3" xfId="41735"/>
    <cellStyle name="Normal 4 2 2 2 2 9 3" xfId="19171"/>
    <cellStyle name="Normal 4 2 2 2 2 9 4" xfId="34214"/>
    <cellStyle name="Normal 4 2 2 2 3" xfId="237"/>
    <cellStyle name="Normal 4 2 2 2 3 10" xfId="15420"/>
    <cellStyle name="Normal 4 2 2 2 3 11" xfId="30463"/>
    <cellStyle name="Normal 4 2 2 2 3 2" xfId="238"/>
    <cellStyle name="Normal 4 2 2 2 3 2 2" xfId="239"/>
    <cellStyle name="Normal 4 2 2 2 3 2 2 2" xfId="763"/>
    <cellStyle name="Normal 4 2 2 2 3 2 2 2 2" xfId="1722"/>
    <cellStyle name="Normal 4 2 2 2 3 2 2 2 2 2" xfId="3593"/>
    <cellStyle name="Normal 4 2 2 2 3 2 2 2 2 2 2" xfId="7388"/>
    <cellStyle name="Normal 4 2 2 2 3 2 2 2 2 2 2 2" xfId="14911"/>
    <cellStyle name="Normal 4 2 2 2 3 2 2 2 2 2 2 2 2" xfId="29955"/>
    <cellStyle name="Normal 4 2 2 2 3 2 2 2 2 2 2 2 3" xfId="44998"/>
    <cellStyle name="Normal 4 2 2 2 3 2 2 2 2 2 2 3" xfId="22434"/>
    <cellStyle name="Normal 4 2 2 2 3 2 2 2 2 2 2 4" xfId="37477"/>
    <cellStyle name="Normal 4 2 2 2 3 2 2 2 2 2 3" xfId="11162"/>
    <cellStyle name="Normal 4 2 2 2 3 2 2 2 2 2 3 2" xfId="26206"/>
    <cellStyle name="Normal 4 2 2 2 3 2 2 2 2 2 3 3" xfId="41249"/>
    <cellStyle name="Normal 4 2 2 2 3 2 2 2 2 2 4" xfId="18685"/>
    <cellStyle name="Normal 4 2 2 2 3 2 2 2 2 2 5" xfId="33728"/>
    <cellStyle name="Normal 4 2 2 2 3 2 2 2 2 3" xfId="5523"/>
    <cellStyle name="Normal 4 2 2 2 3 2 2 2 2 3 2" xfId="13046"/>
    <cellStyle name="Normal 4 2 2 2 3 2 2 2 2 3 2 2" xfId="28090"/>
    <cellStyle name="Normal 4 2 2 2 3 2 2 2 2 3 2 3" xfId="43133"/>
    <cellStyle name="Normal 4 2 2 2 3 2 2 2 2 3 3" xfId="20569"/>
    <cellStyle name="Normal 4 2 2 2 3 2 2 2 2 3 4" xfId="35612"/>
    <cellStyle name="Normal 4 2 2 2 3 2 2 2 2 4" xfId="9297"/>
    <cellStyle name="Normal 4 2 2 2 3 2 2 2 2 4 2" xfId="24341"/>
    <cellStyle name="Normal 4 2 2 2 3 2 2 2 2 4 3" xfId="39384"/>
    <cellStyle name="Normal 4 2 2 2 3 2 2 2 2 5" xfId="16820"/>
    <cellStyle name="Normal 4 2 2 2 3 2 2 2 2 6" xfId="31863"/>
    <cellStyle name="Normal 4 2 2 2 3 2 2 2 3" xfId="2661"/>
    <cellStyle name="Normal 4 2 2 2 3 2 2 2 3 2" xfId="6456"/>
    <cellStyle name="Normal 4 2 2 2 3 2 2 2 3 2 2" xfId="13979"/>
    <cellStyle name="Normal 4 2 2 2 3 2 2 2 3 2 2 2" xfId="29023"/>
    <cellStyle name="Normal 4 2 2 2 3 2 2 2 3 2 2 3" xfId="44066"/>
    <cellStyle name="Normal 4 2 2 2 3 2 2 2 3 2 3" xfId="21502"/>
    <cellStyle name="Normal 4 2 2 2 3 2 2 2 3 2 4" xfId="36545"/>
    <cellStyle name="Normal 4 2 2 2 3 2 2 2 3 3" xfId="10230"/>
    <cellStyle name="Normal 4 2 2 2 3 2 2 2 3 3 2" xfId="25274"/>
    <cellStyle name="Normal 4 2 2 2 3 2 2 2 3 3 3" xfId="40317"/>
    <cellStyle name="Normal 4 2 2 2 3 2 2 2 3 4" xfId="17753"/>
    <cellStyle name="Normal 4 2 2 2 3 2 2 2 3 5" xfId="32796"/>
    <cellStyle name="Normal 4 2 2 2 3 2 2 2 4" xfId="4591"/>
    <cellStyle name="Normal 4 2 2 2 3 2 2 2 4 2" xfId="12114"/>
    <cellStyle name="Normal 4 2 2 2 3 2 2 2 4 2 2" xfId="27158"/>
    <cellStyle name="Normal 4 2 2 2 3 2 2 2 4 2 3" xfId="42201"/>
    <cellStyle name="Normal 4 2 2 2 3 2 2 2 4 3" xfId="19637"/>
    <cellStyle name="Normal 4 2 2 2 3 2 2 2 4 4" xfId="34680"/>
    <cellStyle name="Normal 4 2 2 2 3 2 2 2 5" xfId="8365"/>
    <cellStyle name="Normal 4 2 2 2 3 2 2 2 5 2" xfId="23409"/>
    <cellStyle name="Normal 4 2 2 2 3 2 2 2 5 3" xfId="38452"/>
    <cellStyle name="Normal 4 2 2 2 3 2 2 2 6" xfId="15888"/>
    <cellStyle name="Normal 4 2 2 2 3 2 2 2 7" xfId="30931"/>
    <cellStyle name="Normal 4 2 2 2 3 2 2 3" xfId="1270"/>
    <cellStyle name="Normal 4 2 2 2 3 2 2 3 2" xfId="3141"/>
    <cellStyle name="Normal 4 2 2 2 3 2 2 3 2 2" xfId="6936"/>
    <cellStyle name="Normal 4 2 2 2 3 2 2 3 2 2 2" xfId="14459"/>
    <cellStyle name="Normal 4 2 2 2 3 2 2 3 2 2 2 2" xfId="29503"/>
    <cellStyle name="Normal 4 2 2 2 3 2 2 3 2 2 2 3" xfId="44546"/>
    <cellStyle name="Normal 4 2 2 2 3 2 2 3 2 2 3" xfId="21982"/>
    <cellStyle name="Normal 4 2 2 2 3 2 2 3 2 2 4" xfId="37025"/>
    <cellStyle name="Normal 4 2 2 2 3 2 2 3 2 3" xfId="10710"/>
    <cellStyle name="Normal 4 2 2 2 3 2 2 3 2 3 2" xfId="25754"/>
    <cellStyle name="Normal 4 2 2 2 3 2 2 3 2 3 3" xfId="40797"/>
    <cellStyle name="Normal 4 2 2 2 3 2 2 3 2 4" xfId="18233"/>
    <cellStyle name="Normal 4 2 2 2 3 2 2 3 2 5" xfId="33276"/>
    <cellStyle name="Normal 4 2 2 2 3 2 2 3 3" xfId="5071"/>
    <cellStyle name="Normal 4 2 2 2 3 2 2 3 3 2" xfId="12594"/>
    <cellStyle name="Normal 4 2 2 2 3 2 2 3 3 2 2" xfId="27638"/>
    <cellStyle name="Normal 4 2 2 2 3 2 2 3 3 2 3" xfId="42681"/>
    <cellStyle name="Normal 4 2 2 2 3 2 2 3 3 3" xfId="20117"/>
    <cellStyle name="Normal 4 2 2 2 3 2 2 3 3 4" xfId="35160"/>
    <cellStyle name="Normal 4 2 2 2 3 2 2 3 4" xfId="8845"/>
    <cellStyle name="Normal 4 2 2 2 3 2 2 3 4 2" xfId="23889"/>
    <cellStyle name="Normal 4 2 2 2 3 2 2 3 4 3" xfId="38932"/>
    <cellStyle name="Normal 4 2 2 2 3 2 2 3 5" xfId="16368"/>
    <cellStyle name="Normal 4 2 2 2 3 2 2 3 6" xfId="31411"/>
    <cellStyle name="Normal 4 2 2 2 3 2 2 4" xfId="2208"/>
    <cellStyle name="Normal 4 2 2 2 3 2 2 4 2" xfId="6004"/>
    <cellStyle name="Normal 4 2 2 2 3 2 2 4 2 2" xfId="13527"/>
    <cellStyle name="Normal 4 2 2 2 3 2 2 4 2 2 2" xfId="28571"/>
    <cellStyle name="Normal 4 2 2 2 3 2 2 4 2 2 3" xfId="43614"/>
    <cellStyle name="Normal 4 2 2 2 3 2 2 4 2 3" xfId="21050"/>
    <cellStyle name="Normal 4 2 2 2 3 2 2 4 2 4" xfId="36093"/>
    <cellStyle name="Normal 4 2 2 2 3 2 2 4 3" xfId="9778"/>
    <cellStyle name="Normal 4 2 2 2 3 2 2 4 3 2" xfId="24822"/>
    <cellStyle name="Normal 4 2 2 2 3 2 2 4 3 3" xfId="39865"/>
    <cellStyle name="Normal 4 2 2 2 3 2 2 4 4" xfId="17301"/>
    <cellStyle name="Normal 4 2 2 2 3 2 2 4 5" xfId="32344"/>
    <cellStyle name="Normal 4 2 2 2 3 2 2 5" xfId="4136"/>
    <cellStyle name="Normal 4 2 2 2 3 2 2 5 2" xfId="11660"/>
    <cellStyle name="Normal 4 2 2 2 3 2 2 5 2 2" xfId="26704"/>
    <cellStyle name="Normal 4 2 2 2 3 2 2 5 2 3" xfId="41747"/>
    <cellStyle name="Normal 4 2 2 2 3 2 2 5 3" xfId="19183"/>
    <cellStyle name="Normal 4 2 2 2 3 2 2 5 4" xfId="34226"/>
    <cellStyle name="Normal 4 2 2 2 3 2 2 6" xfId="7899"/>
    <cellStyle name="Normal 4 2 2 2 3 2 2 6 2" xfId="22943"/>
    <cellStyle name="Normal 4 2 2 2 3 2 2 6 3" xfId="37986"/>
    <cellStyle name="Normal 4 2 2 2 3 2 2 7" xfId="15422"/>
    <cellStyle name="Normal 4 2 2 2 3 2 2 8" xfId="30465"/>
    <cellStyle name="Normal 4 2 2 2 3 2 3" xfId="762"/>
    <cellStyle name="Normal 4 2 2 2 3 2 3 2" xfId="1721"/>
    <cellStyle name="Normal 4 2 2 2 3 2 3 2 2" xfId="3592"/>
    <cellStyle name="Normal 4 2 2 2 3 2 3 2 2 2" xfId="7387"/>
    <cellStyle name="Normal 4 2 2 2 3 2 3 2 2 2 2" xfId="14910"/>
    <cellStyle name="Normal 4 2 2 2 3 2 3 2 2 2 2 2" xfId="29954"/>
    <cellStyle name="Normal 4 2 2 2 3 2 3 2 2 2 2 3" xfId="44997"/>
    <cellStyle name="Normal 4 2 2 2 3 2 3 2 2 2 3" xfId="22433"/>
    <cellStyle name="Normal 4 2 2 2 3 2 3 2 2 2 4" xfId="37476"/>
    <cellStyle name="Normal 4 2 2 2 3 2 3 2 2 3" xfId="11161"/>
    <cellStyle name="Normal 4 2 2 2 3 2 3 2 2 3 2" xfId="26205"/>
    <cellStyle name="Normal 4 2 2 2 3 2 3 2 2 3 3" xfId="41248"/>
    <cellStyle name="Normal 4 2 2 2 3 2 3 2 2 4" xfId="18684"/>
    <cellStyle name="Normal 4 2 2 2 3 2 3 2 2 5" xfId="33727"/>
    <cellStyle name="Normal 4 2 2 2 3 2 3 2 3" xfId="5522"/>
    <cellStyle name="Normal 4 2 2 2 3 2 3 2 3 2" xfId="13045"/>
    <cellStyle name="Normal 4 2 2 2 3 2 3 2 3 2 2" xfId="28089"/>
    <cellStyle name="Normal 4 2 2 2 3 2 3 2 3 2 3" xfId="43132"/>
    <cellStyle name="Normal 4 2 2 2 3 2 3 2 3 3" xfId="20568"/>
    <cellStyle name="Normal 4 2 2 2 3 2 3 2 3 4" xfId="35611"/>
    <cellStyle name="Normal 4 2 2 2 3 2 3 2 4" xfId="9296"/>
    <cellStyle name="Normal 4 2 2 2 3 2 3 2 4 2" xfId="24340"/>
    <cellStyle name="Normal 4 2 2 2 3 2 3 2 4 3" xfId="39383"/>
    <cellStyle name="Normal 4 2 2 2 3 2 3 2 5" xfId="16819"/>
    <cellStyle name="Normal 4 2 2 2 3 2 3 2 6" xfId="31862"/>
    <cellStyle name="Normal 4 2 2 2 3 2 3 3" xfId="2660"/>
    <cellStyle name="Normal 4 2 2 2 3 2 3 3 2" xfId="6455"/>
    <cellStyle name="Normal 4 2 2 2 3 2 3 3 2 2" xfId="13978"/>
    <cellStyle name="Normal 4 2 2 2 3 2 3 3 2 2 2" xfId="29022"/>
    <cellStyle name="Normal 4 2 2 2 3 2 3 3 2 2 3" xfId="44065"/>
    <cellStyle name="Normal 4 2 2 2 3 2 3 3 2 3" xfId="21501"/>
    <cellStyle name="Normal 4 2 2 2 3 2 3 3 2 4" xfId="36544"/>
    <cellStyle name="Normal 4 2 2 2 3 2 3 3 3" xfId="10229"/>
    <cellStyle name="Normal 4 2 2 2 3 2 3 3 3 2" xfId="25273"/>
    <cellStyle name="Normal 4 2 2 2 3 2 3 3 3 3" xfId="40316"/>
    <cellStyle name="Normal 4 2 2 2 3 2 3 3 4" xfId="17752"/>
    <cellStyle name="Normal 4 2 2 2 3 2 3 3 5" xfId="32795"/>
    <cellStyle name="Normal 4 2 2 2 3 2 3 4" xfId="4590"/>
    <cellStyle name="Normal 4 2 2 2 3 2 3 4 2" xfId="12113"/>
    <cellStyle name="Normal 4 2 2 2 3 2 3 4 2 2" xfId="27157"/>
    <cellStyle name="Normal 4 2 2 2 3 2 3 4 2 3" xfId="42200"/>
    <cellStyle name="Normal 4 2 2 2 3 2 3 4 3" xfId="19636"/>
    <cellStyle name="Normal 4 2 2 2 3 2 3 4 4" xfId="34679"/>
    <cellStyle name="Normal 4 2 2 2 3 2 3 5" xfId="8364"/>
    <cellStyle name="Normal 4 2 2 2 3 2 3 5 2" xfId="23408"/>
    <cellStyle name="Normal 4 2 2 2 3 2 3 5 3" xfId="38451"/>
    <cellStyle name="Normal 4 2 2 2 3 2 3 6" xfId="15887"/>
    <cellStyle name="Normal 4 2 2 2 3 2 3 7" xfId="30930"/>
    <cellStyle name="Normal 4 2 2 2 3 2 4" xfId="1269"/>
    <cellStyle name="Normal 4 2 2 2 3 2 4 2" xfId="3140"/>
    <cellStyle name="Normal 4 2 2 2 3 2 4 2 2" xfId="6935"/>
    <cellStyle name="Normal 4 2 2 2 3 2 4 2 2 2" xfId="14458"/>
    <cellStyle name="Normal 4 2 2 2 3 2 4 2 2 2 2" xfId="29502"/>
    <cellStyle name="Normal 4 2 2 2 3 2 4 2 2 2 3" xfId="44545"/>
    <cellStyle name="Normal 4 2 2 2 3 2 4 2 2 3" xfId="21981"/>
    <cellStyle name="Normal 4 2 2 2 3 2 4 2 2 4" xfId="37024"/>
    <cellStyle name="Normal 4 2 2 2 3 2 4 2 3" xfId="10709"/>
    <cellStyle name="Normal 4 2 2 2 3 2 4 2 3 2" xfId="25753"/>
    <cellStyle name="Normal 4 2 2 2 3 2 4 2 3 3" xfId="40796"/>
    <cellStyle name="Normal 4 2 2 2 3 2 4 2 4" xfId="18232"/>
    <cellStyle name="Normal 4 2 2 2 3 2 4 2 5" xfId="33275"/>
    <cellStyle name="Normal 4 2 2 2 3 2 4 3" xfId="5070"/>
    <cellStyle name="Normal 4 2 2 2 3 2 4 3 2" xfId="12593"/>
    <cellStyle name="Normal 4 2 2 2 3 2 4 3 2 2" xfId="27637"/>
    <cellStyle name="Normal 4 2 2 2 3 2 4 3 2 3" xfId="42680"/>
    <cellStyle name="Normal 4 2 2 2 3 2 4 3 3" xfId="20116"/>
    <cellStyle name="Normal 4 2 2 2 3 2 4 3 4" xfId="35159"/>
    <cellStyle name="Normal 4 2 2 2 3 2 4 4" xfId="8844"/>
    <cellStyle name="Normal 4 2 2 2 3 2 4 4 2" xfId="23888"/>
    <cellStyle name="Normal 4 2 2 2 3 2 4 4 3" xfId="38931"/>
    <cellStyle name="Normal 4 2 2 2 3 2 4 5" xfId="16367"/>
    <cellStyle name="Normal 4 2 2 2 3 2 4 6" xfId="31410"/>
    <cellStyle name="Normal 4 2 2 2 3 2 5" xfId="2207"/>
    <cellStyle name="Normal 4 2 2 2 3 2 5 2" xfId="6003"/>
    <cellStyle name="Normal 4 2 2 2 3 2 5 2 2" xfId="13526"/>
    <cellStyle name="Normal 4 2 2 2 3 2 5 2 2 2" xfId="28570"/>
    <cellStyle name="Normal 4 2 2 2 3 2 5 2 2 3" xfId="43613"/>
    <cellStyle name="Normal 4 2 2 2 3 2 5 2 3" xfId="21049"/>
    <cellStyle name="Normal 4 2 2 2 3 2 5 2 4" xfId="36092"/>
    <cellStyle name="Normal 4 2 2 2 3 2 5 3" xfId="9777"/>
    <cellStyle name="Normal 4 2 2 2 3 2 5 3 2" xfId="24821"/>
    <cellStyle name="Normal 4 2 2 2 3 2 5 3 3" xfId="39864"/>
    <cellStyle name="Normal 4 2 2 2 3 2 5 4" xfId="17300"/>
    <cellStyle name="Normal 4 2 2 2 3 2 5 5" xfId="32343"/>
    <cellStyle name="Normal 4 2 2 2 3 2 6" xfId="4135"/>
    <cellStyle name="Normal 4 2 2 2 3 2 6 2" xfId="11659"/>
    <cellStyle name="Normal 4 2 2 2 3 2 6 2 2" xfId="26703"/>
    <cellStyle name="Normal 4 2 2 2 3 2 6 2 3" xfId="41746"/>
    <cellStyle name="Normal 4 2 2 2 3 2 6 3" xfId="19182"/>
    <cellStyle name="Normal 4 2 2 2 3 2 6 4" xfId="34225"/>
    <cellStyle name="Normal 4 2 2 2 3 2 7" xfId="7898"/>
    <cellStyle name="Normal 4 2 2 2 3 2 7 2" xfId="22942"/>
    <cellStyle name="Normal 4 2 2 2 3 2 7 3" xfId="37985"/>
    <cellStyle name="Normal 4 2 2 2 3 2 8" xfId="15421"/>
    <cellStyle name="Normal 4 2 2 2 3 2 9" xfId="30464"/>
    <cellStyle name="Normal 4 2 2 2 3 3" xfId="240"/>
    <cellStyle name="Normal 4 2 2 2 3 3 2" xfId="241"/>
    <cellStyle name="Normal 4 2 2 2 3 3 2 2" xfId="765"/>
    <cellStyle name="Normal 4 2 2 2 3 3 2 2 2" xfId="1724"/>
    <cellStyle name="Normal 4 2 2 2 3 3 2 2 2 2" xfId="3595"/>
    <cellStyle name="Normal 4 2 2 2 3 3 2 2 2 2 2" xfId="7390"/>
    <cellStyle name="Normal 4 2 2 2 3 3 2 2 2 2 2 2" xfId="14913"/>
    <cellStyle name="Normal 4 2 2 2 3 3 2 2 2 2 2 2 2" xfId="29957"/>
    <cellStyle name="Normal 4 2 2 2 3 3 2 2 2 2 2 2 3" xfId="45000"/>
    <cellStyle name="Normal 4 2 2 2 3 3 2 2 2 2 2 3" xfId="22436"/>
    <cellStyle name="Normal 4 2 2 2 3 3 2 2 2 2 2 4" xfId="37479"/>
    <cellStyle name="Normal 4 2 2 2 3 3 2 2 2 2 3" xfId="11164"/>
    <cellStyle name="Normal 4 2 2 2 3 3 2 2 2 2 3 2" xfId="26208"/>
    <cellStyle name="Normal 4 2 2 2 3 3 2 2 2 2 3 3" xfId="41251"/>
    <cellStyle name="Normal 4 2 2 2 3 3 2 2 2 2 4" xfId="18687"/>
    <cellStyle name="Normal 4 2 2 2 3 3 2 2 2 2 5" xfId="33730"/>
    <cellStyle name="Normal 4 2 2 2 3 3 2 2 2 3" xfId="5525"/>
    <cellStyle name="Normal 4 2 2 2 3 3 2 2 2 3 2" xfId="13048"/>
    <cellStyle name="Normal 4 2 2 2 3 3 2 2 2 3 2 2" xfId="28092"/>
    <cellStyle name="Normal 4 2 2 2 3 3 2 2 2 3 2 3" xfId="43135"/>
    <cellStyle name="Normal 4 2 2 2 3 3 2 2 2 3 3" xfId="20571"/>
    <cellStyle name="Normal 4 2 2 2 3 3 2 2 2 3 4" xfId="35614"/>
    <cellStyle name="Normal 4 2 2 2 3 3 2 2 2 4" xfId="9299"/>
    <cellStyle name="Normal 4 2 2 2 3 3 2 2 2 4 2" xfId="24343"/>
    <cellStyle name="Normal 4 2 2 2 3 3 2 2 2 4 3" xfId="39386"/>
    <cellStyle name="Normal 4 2 2 2 3 3 2 2 2 5" xfId="16822"/>
    <cellStyle name="Normal 4 2 2 2 3 3 2 2 2 6" xfId="31865"/>
    <cellStyle name="Normal 4 2 2 2 3 3 2 2 3" xfId="2663"/>
    <cellStyle name="Normal 4 2 2 2 3 3 2 2 3 2" xfId="6458"/>
    <cellStyle name="Normal 4 2 2 2 3 3 2 2 3 2 2" xfId="13981"/>
    <cellStyle name="Normal 4 2 2 2 3 3 2 2 3 2 2 2" xfId="29025"/>
    <cellStyle name="Normal 4 2 2 2 3 3 2 2 3 2 2 3" xfId="44068"/>
    <cellStyle name="Normal 4 2 2 2 3 3 2 2 3 2 3" xfId="21504"/>
    <cellStyle name="Normal 4 2 2 2 3 3 2 2 3 2 4" xfId="36547"/>
    <cellStyle name="Normal 4 2 2 2 3 3 2 2 3 3" xfId="10232"/>
    <cellStyle name="Normal 4 2 2 2 3 3 2 2 3 3 2" xfId="25276"/>
    <cellStyle name="Normal 4 2 2 2 3 3 2 2 3 3 3" xfId="40319"/>
    <cellStyle name="Normal 4 2 2 2 3 3 2 2 3 4" xfId="17755"/>
    <cellStyle name="Normal 4 2 2 2 3 3 2 2 3 5" xfId="32798"/>
    <cellStyle name="Normal 4 2 2 2 3 3 2 2 4" xfId="4593"/>
    <cellStyle name="Normal 4 2 2 2 3 3 2 2 4 2" xfId="12116"/>
    <cellStyle name="Normal 4 2 2 2 3 3 2 2 4 2 2" xfId="27160"/>
    <cellStyle name="Normal 4 2 2 2 3 3 2 2 4 2 3" xfId="42203"/>
    <cellStyle name="Normal 4 2 2 2 3 3 2 2 4 3" xfId="19639"/>
    <cellStyle name="Normal 4 2 2 2 3 3 2 2 4 4" xfId="34682"/>
    <cellStyle name="Normal 4 2 2 2 3 3 2 2 5" xfId="8367"/>
    <cellStyle name="Normal 4 2 2 2 3 3 2 2 5 2" xfId="23411"/>
    <cellStyle name="Normal 4 2 2 2 3 3 2 2 5 3" xfId="38454"/>
    <cellStyle name="Normal 4 2 2 2 3 3 2 2 6" xfId="15890"/>
    <cellStyle name="Normal 4 2 2 2 3 3 2 2 7" xfId="30933"/>
    <cellStyle name="Normal 4 2 2 2 3 3 2 3" xfId="1272"/>
    <cellStyle name="Normal 4 2 2 2 3 3 2 3 2" xfId="3143"/>
    <cellStyle name="Normal 4 2 2 2 3 3 2 3 2 2" xfId="6938"/>
    <cellStyle name="Normal 4 2 2 2 3 3 2 3 2 2 2" xfId="14461"/>
    <cellStyle name="Normal 4 2 2 2 3 3 2 3 2 2 2 2" xfId="29505"/>
    <cellStyle name="Normal 4 2 2 2 3 3 2 3 2 2 2 3" xfId="44548"/>
    <cellStyle name="Normal 4 2 2 2 3 3 2 3 2 2 3" xfId="21984"/>
    <cellStyle name="Normal 4 2 2 2 3 3 2 3 2 2 4" xfId="37027"/>
    <cellStyle name="Normal 4 2 2 2 3 3 2 3 2 3" xfId="10712"/>
    <cellStyle name="Normal 4 2 2 2 3 3 2 3 2 3 2" xfId="25756"/>
    <cellStyle name="Normal 4 2 2 2 3 3 2 3 2 3 3" xfId="40799"/>
    <cellStyle name="Normal 4 2 2 2 3 3 2 3 2 4" xfId="18235"/>
    <cellStyle name="Normal 4 2 2 2 3 3 2 3 2 5" xfId="33278"/>
    <cellStyle name="Normal 4 2 2 2 3 3 2 3 3" xfId="5073"/>
    <cellStyle name="Normal 4 2 2 2 3 3 2 3 3 2" xfId="12596"/>
    <cellStyle name="Normal 4 2 2 2 3 3 2 3 3 2 2" xfId="27640"/>
    <cellStyle name="Normal 4 2 2 2 3 3 2 3 3 2 3" xfId="42683"/>
    <cellStyle name="Normal 4 2 2 2 3 3 2 3 3 3" xfId="20119"/>
    <cellStyle name="Normal 4 2 2 2 3 3 2 3 3 4" xfId="35162"/>
    <cellStyle name="Normal 4 2 2 2 3 3 2 3 4" xfId="8847"/>
    <cellStyle name="Normal 4 2 2 2 3 3 2 3 4 2" xfId="23891"/>
    <cellStyle name="Normal 4 2 2 2 3 3 2 3 4 3" xfId="38934"/>
    <cellStyle name="Normal 4 2 2 2 3 3 2 3 5" xfId="16370"/>
    <cellStyle name="Normal 4 2 2 2 3 3 2 3 6" xfId="31413"/>
    <cellStyle name="Normal 4 2 2 2 3 3 2 4" xfId="2210"/>
    <cellStyle name="Normal 4 2 2 2 3 3 2 4 2" xfId="6006"/>
    <cellStyle name="Normal 4 2 2 2 3 3 2 4 2 2" xfId="13529"/>
    <cellStyle name="Normal 4 2 2 2 3 3 2 4 2 2 2" xfId="28573"/>
    <cellStyle name="Normal 4 2 2 2 3 3 2 4 2 2 3" xfId="43616"/>
    <cellStyle name="Normal 4 2 2 2 3 3 2 4 2 3" xfId="21052"/>
    <cellStyle name="Normal 4 2 2 2 3 3 2 4 2 4" xfId="36095"/>
    <cellStyle name="Normal 4 2 2 2 3 3 2 4 3" xfId="9780"/>
    <cellStyle name="Normal 4 2 2 2 3 3 2 4 3 2" xfId="24824"/>
    <cellStyle name="Normal 4 2 2 2 3 3 2 4 3 3" xfId="39867"/>
    <cellStyle name="Normal 4 2 2 2 3 3 2 4 4" xfId="17303"/>
    <cellStyle name="Normal 4 2 2 2 3 3 2 4 5" xfId="32346"/>
    <cellStyle name="Normal 4 2 2 2 3 3 2 5" xfId="4138"/>
    <cellStyle name="Normal 4 2 2 2 3 3 2 5 2" xfId="11662"/>
    <cellStyle name="Normal 4 2 2 2 3 3 2 5 2 2" xfId="26706"/>
    <cellStyle name="Normal 4 2 2 2 3 3 2 5 2 3" xfId="41749"/>
    <cellStyle name="Normal 4 2 2 2 3 3 2 5 3" xfId="19185"/>
    <cellStyle name="Normal 4 2 2 2 3 3 2 5 4" xfId="34228"/>
    <cellStyle name="Normal 4 2 2 2 3 3 2 6" xfId="7901"/>
    <cellStyle name="Normal 4 2 2 2 3 3 2 6 2" xfId="22945"/>
    <cellStyle name="Normal 4 2 2 2 3 3 2 6 3" xfId="37988"/>
    <cellStyle name="Normal 4 2 2 2 3 3 2 7" xfId="15424"/>
    <cellStyle name="Normal 4 2 2 2 3 3 2 8" xfId="30467"/>
    <cellStyle name="Normal 4 2 2 2 3 3 3" xfId="764"/>
    <cellStyle name="Normal 4 2 2 2 3 3 3 2" xfId="1723"/>
    <cellStyle name="Normal 4 2 2 2 3 3 3 2 2" xfId="3594"/>
    <cellStyle name="Normal 4 2 2 2 3 3 3 2 2 2" xfId="7389"/>
    <cellStyle name="Normal 4 2 2 2 3 3 3 2 2 2 2" xfId="14912"/>
    <cellStyle name="Normal 4 2 2 2 3 3 3 2 2 2 2 2" xfId="29956"/>
    <cellStyle name="Normal 4 2 2 2 3 3 3 2 2 2 2 3" xfId="44999"/>
    <cellStyle name="Normal 4 2 2 2 3 3 3 2 2 2 3" xfId="22435"/>
    <cellStyle name="Normal 4 2 2 2 3 3 3 2 2 2 4" xfId="37478"/>
    <cellStyle name="Normal 4 2 2 2 3 3 3 2 2 3" xfId="11163"/>
    <cellStyle name="Normal 4 2 2 2 3 3 3 2 2 3 2" xfId="26207"/>
    <cellStyle name="Normal 4 2 2 2 3 3 3 2 2 3 3" xfId="41250"/>
    <cellStyle name="Normal 4 2 2 2 3 3 3 2 2 4" xfId="18686"/>
    <cellStyle name="Normal 4 2 2 2 3 3 3 2 2 5" xfId="33729"/>
    <cellStyle name="Normal 4 2 2 2 3 3 3 2 3" xfId="5524"/>
    <cellStyle name="Normal 4 2 2 2 3 3 3 2 3 2" xfId="13047"/>
    <cellStyle name="Normal 4 2 2 2 3 3 3 2 3 2 2" xfId="28091"/>
    <cellStyle name="Normal 4 2 2 2 3 3 3 2 3 2 3" xfId="43134"/>
    <cellStyle name="Normal 4 2 2 2 3 3 3 2 3 3" xfId="20570"/>
    <cellStyle name="Normal 4 2 2 2 3 3 3 2 3 4" xfId="35613"/>
    <cellStyle name="Normal 4 2 2 2 3 3 3 2 4" xfId="9298"/>
    <cellStyle name="Normal 4 2 2 2 3 3 3 2 4 2" xfId="24342"/>
    <cellStyle name="Normal 4 2 2 2 3 3 3 2 4 3" xfId="39385"/>
    <cellStyle name="Normal 4 2 2 2 3 3 3 2 5" xfId="16821"/>
    <cellStyle name="Normal 4 2 2 2 3 3 3 2 6" xfId="31864"/>
    <cellStyle name="Normal 4 2 2 2 3 3 3 3" xfId="2662"/>
    <cellStyle name="Normal 4 2 2 2 3 3 3 3 2" xfId="6457"/>
    <cellStyle name="Normal 4 2 2 2 3 3 3 3 2 2" xfId="13980"/>
    <cellStyle name="Normal 4 2 2 2 3 3 3 3 2 2 2" xfId="29024"/>
    <cellStyle name="Normal 4 2 2 2 3 3 3 3 2 2 3" xfId="44067"/>
    <cellStyle name="Normal 4 2 2 2 3 3 3 3 2 3" xfId="21503"/>
    <cellStyle name="Normal 4 2 2 2 3 3 3 3 2 4" xfId="36546"/>
    <cellStyle name="Normal 4 2 2 2 3 3 3 3 3" xfId="10231"/>
    <cellStyle name="Normal 4 2 2 2 3 3 3 3 3 2" xfId="25275"/>
    <cellStyle name="Normal 4 2 2 2 3 3 3 3 3 3" xfId="40318"/>
    <cellStyle name="Normal 4 2 2 2 3 3 3 3 4" xfId="17754"/>
    <cellStyle name="Normal 4 2 2 2 3 3 3 3 5" xfId="32797"/>
    <cellStyle name="Normal 4 2 2 2 3 3 3 4" xfId="4592"/>
    <cellStyle name="Normal 4 2 2 2 3 3 3 4 2" xfId="12115"/>
    <cellStyle name="Normal 4 2 2 2 3 3 3 4 2 2" xfId="27159"/>
    <cellStyle name="Normal 4 2 2 2 3 3 3 4 2 3" xfId="42202"/>
    <cellStyle name="Normal 4 2 2 2 3 3 3 4 3" xfId="19638"/>
    <cellStyle name="Normal 4 2 2 2 3 3 3 4 4" xfId="34681"/>
    <cellStyle name="Normal 4 2 2 2 3 3 3 5" xfId="8366"/>
    <cellStyle name="Normal 4 2 2 2 3 3 3 5 2" xfId="23410"/>
    <cellStyle name="Normal 4 2 2 2 3 3 3 5 3" xfId="38453"/>
    <cellStyle name="Normal 4 2 2 2 3 3 3 6" xfId="15889"/>
    <cellStyle name="Normal 4 2 2 2 3 3 3 7" xfId="30932"/>
    <cellStyle name="Normal 4 2 2 2 3 3 4" xfId="1271"/>
    <cellStyle name="Normal 4 2 2 2 3 3 4 2" xfId="3142"/>
    <cellStyle name="Normal 4 2 2 2 3 3 4 2 2" xfId="6937"/>
    <cellStyle name="Normal 4 2 2 2 3 3 4 2 2 2" xfId="14460"/>
    <cellStyle name="Normal 4 2 2 2 3 3 4 2 2 2 2" xfId="29504"/>
    <cellStyle name="Normal 4 2 2 2 3 3 4 2 2 2 3" xfId="44547"/>
    <cellStyle name="Normal 4 2 2 2 3 3 4 2 2 3" xfId="21983"/>
    <cellStyle name="Normal 4 2 2 2 3 3 4 2 2 4" xfId="37026"/>
    <cellStyle name="Normal 4 2 2 2 3 3 4 2 3" xfId="10711"/>
    <cellStyle name="Normal 4 2 2 2 3 3 4 2 3 2" xfId="25755"/>
    <cellStyle name="Normal 4 2 2 2 3 3 4 2 3 3" xfId="40798"/>
    <cellStyle name="Normal 4 2 2 2 3 3 4 2 4" xfId="18234"/>
    <cellStyle name="Normal 4 2 2 2 3 3 4 2 5" xfId="33277"/>
    <cellStyle name="Normal 4 2 2 2 3 3 4 3" xfId="5072"/>
    <cellStyle name="Normal 4 2 2 2 3 3 4 3 2" xfId="12595"/>
    <cellStyle name="Normal 4 2 2 2 3 3 4 3 2 2" xfId="27639"/>
    <cellStyle name="Normal 4 2 2 2 3 3 4 3 2 3" xfId="42682"/>
    <cellStyle name="Normal 4 2 2 2 3 3 4 3 3" xfId="20118"/>
    <cellStyle name="Normal 4 2 2 2 3 3 4 3 4" xfId="35161"/>
    <cellStyle name="Normal 4 2 2 2 3 3 4 4" xfId="8846"/>
    <cellStyle name="Normal 4 2 2 2 3 3 4 4 2" xfId="23890"/>
    <cellStyle name="Normal 4 2 2 2 3 3 4 4 3" xfId="38933"/>
    <cellStyle name="Normal 4 2 2 2 3 3 4 5" xfId="16369"/>
    <cellStyle name="Normal 4 2 2 2 3 3 4 6" xfId="31412"/>
    <cellStyle name="Normal 4 2 2 2 3 3 5" xfId="2209"/>
    <cellStyle name="Normal 4 2 2 2 3 3 5 2" xfId="6005"/>
    <cellStyle name="Normal 4 2 2 2 3 3 5 2 2" xfId="13528"/>
    <cellStyle name="Normal 4 2 2 2 3 3 5 2 2 2" xfId="28572"/>
    <cellStyle name="Normal 4 2 2 2 3 3 5 2 2 3" xfId="43615"/>
    <cellStyle name="Normal 4 2 2 2 3 3 5 2 3" xfId="21051"/>
    <cellStyle name="Normal 4 2 2 2 3 3 5 2 4" xfId="36094"/>
    <cellStyle name="Normal 4 2 2 2 3 3 5 3" xfId="9779"/>
    <cellStyle name="Normal 4 2 2 2 3 3 5 3 2" xfId="24823"/>
    <cellStyle name="Normal 4 2 2 2 3 3 5 3 3" xfId="39866"/>
    <cellStyle name="Normal 4 2 2 2 3 3 5 4" xfId="17302"/>
    <cellStyle name="Normal 4 2 2 2 3 3 5 5" xfId="32345"/>
    <cellStyle name="Normal 4 2 2 2 3 3 6" xfId="4137"/>
    <cellStyle name="Normal 4 2 2 2 3 3 6 2" xfId="11661"/>
    <cellStyle name="Normal 4 2 2 2 3 3 6 2 2" xfId="26705"/>
    <cellStyle name="Normal 4 2 2 2 3 3 6 2 3" xfId="41748"/>
    <cellStyle name="Normal 4 2 2 2 3 3 6 3" xfId="19184"/>
    <cellStyle name="Normal 4 2 2 2 3 3 6 4" xfId="34227"/>
    <cellStyle name="Normal 4 2 2 2 3 3 7" xfId="7900"/>
    <cellStyle name="Normal 4 2 2 2 3 3 7 2" xfId="22944"/>
    <cellStyle name="Normal 4 2 2 2 3 3 7 3" xfId="37987"/>
    <cellStyle name="Normal 4 2 2 2 3 3 8" xfId="15423"/>
    <cellStyle name="Normal 4 2 2 2 3 3 9" xfId="30466"/>
    <cellStyle name="Normal 4 2 2 2 3 4" xfId="242"/>
    <cellStyle name="Normal 4 2 2 2 3 4 2" xfId="766"/>
    <cellStyle name="Normal 4 2 2 2 3 4 2 2" xfId="1725"/>
    <cellStyle name="Normal 4 2 2 2 3 4 2 2 2" xfId="3596"/>
    <cellStyle name="Normal 4 2 2 2 3 4 2 2 2 2" xfId="7391"/>
    <cellStyle name="Normal 4 2 2 2 3 4 2 2 2 2 2" xfId="14914"/>
    <cellStyle name="Normal 4 2 2 2 3 4 2 2 2 2 2 2" xfId="29958"/>
    <cellStyle name="Normal 4 2 2 2 3 4 2 2 2 2 2 3" xfId="45001"/>
    <cellStyle name="Normal 4 2 2 2 3 4 2 2 2 2 3" xfId="22437"/>
    <cellStyle name="Normal 4 2 2 2 3 4 2 2 2 2 4" xfId="37480"/>
    <cellStyle name="Normal 4 2 2 2 3 4 2 2 2 3" xfId="11165"/>
    <cellStyle name="Normal 4 2 2 2 3 4 2 2 2 3 2" xfId="26209"/>
    <cellStyle name="Normal 4 2 2 2 3 4 2 2 2 3 3" xfId="41252"/>
    <cellStyle name="Normal 4 2 2 2 3 4 2 2 2 4" xfId="18688"/>
    <cellStyle name="Normal 4 2 2 2 3 4 2 2 2 5" xfId="33731"/>
    <cellStyle name="Normal 4 2 2 2 3 4 2 2 3" xfId="5526"/>
    <cellStyle name="Normal 4 2 2 2 3 4 2 2 3 2" xfId="13049"/>
    <cellStyle name="Normal 4 2 2 2 3 4 2 2 3 2 2" xfId="28093"/>
    <cellStyle name="Normal 4 2 2 2 3 4 2 2 3 2 3" xfId="43136"/>
    <cellStyle name="Normal 4 2 2 2 3 4 2 2 3 3" xfId="20572"/>
    <cellStyle name="Normal 4 2 2 2 3 4 2 2 3 4" xfId="35615"/>
    <cellStyle name="Normal 4 2 2 2 3 4 2 2 4" xfId="9300"/>
    <cellStyle name="Normal 4 2 2 2 3 4 2 2 4 2" xfId="24344"/>
    <cellStyle name="Normal 4 2 2 2 3 4 2 2 4 3" xfId="39387"/>
    <cellStyle name="Normal 4 2 2 2 3 4 2 2 5" xfId="16823"/>
    <cellStyle name="Normal 4 2 2 2 3 4 2 2 6" xfId="31866"/>
    <cellStyle name="Normal 4 2 2 2 3 4 2 3" xfId="2664"/>
    <cellStyle name="Normal 4 2 2 2 3 4 2 3 2" xfId="6459"/>
    <cellStyle name="Normal 4 2 2 2 3 4 2 3 2 2" xfId="13982"/>
    <cellStyle name="Normal 4 2 2 2 3 4 2 3 2 2 2" xfId="29026"/>
    <cellStyle name="Normal 4 2 2 2 3 4 2 3 2 2 3" xfId="44069"/>
    <cellStyle name="Normal 4 2 2 2 3 4 2 3 2 3" xfId="21505"/>
    <cellStyle name="Normal 4 2 2 2 3 4 2 3 2 4" xfId="36548"/>
    <cellStyle name="Normal 4 2 2 2 3 4 2 3 3" xfId="10233"/>
    <cellStyle name="Normal 4 2 2 2 3 4 2 3 3 2" xfId="25277"/>
    <cellStyle name="Normal 4 2 2 2 3 4 2 3 3 3" xfId="40320"/>
    <cellStyle name="Normal 4 2 2 2 3 4 2 3 4" xfId="17756"/>
    <cellStyle name="Normal 4 2 2 2 3 4 2 3 5" xfId="32799"/>
    <cellStyle name="Normal 4 2 2 2 3 4 2 4" xfId="4594"/>
    <cellStyle name="Normal 4 2 2 2 3 4 2 4 2" xfId="12117"/>
    <cellStyle name="Normal 4 2 2 2 3 4 2 4 2 2" xfId="27161"/>
    <cellStyle name="Normal 4 2 2 2 3 4 2 4 2 3" xfId="42204"/>
    <cellStyle name="Normal 4 2 2 2 3 4 2 4 3" xfId="19640"/>
    <cellStyle name="Normal 4 2 2 2 3 4 2 4 4" xfId="34683"/>
    <cellStyle name="Normal 4 2 2 2 3 4 2 5" xfId="8368"/>
    <cellStyle name="Normal 4 2 2 2 3 4 2 5 2" xfId="23412"/>
    <cellStyle name="Normal 4 2 2 2 3 4 2 5 3" xfId="38455"/>
    <cellStyle name="Normal 4 2 2 2 3 4 2 6" xfId="15891"/>
    <cellStyle name="Normal 4 2 2 2 3 4 2 7" xfId="30934"/>
    <cellStyle name="Normal 4 2 2 2 3 4 3" xfId="1273"/>
    <cellStyle name="Normal 4 2 2 2 3 4 3 2" xfId="3144"/>
    <cellStyle name="Normal 4 2 2 2 3 4 3 2 2" xfId="6939"/>
    <cellStyle name="Normal 4 2 2 2 3 4 3 2 2 2" xfId="14462"/>
    <cellStyle name="Normal 4 2 2 2 3 4 3 2 2 2 2" xfId="29506"/>
    <cellStyle name="Normal 4 2 2 2 3 4 3 2 2 2 3" xfId="44549"/>
    <cellStyle name="Normal 4 2 2 2 3 4 3 2 2 3" xfId="21985"/>
    <cellStyle name="Normal 4 2 2 2 3 4 3 2 2 4" xfId="37028"/>
    <cellStyle name="Normal 4 2 2 2 3 4 3 2 3" xfId="10713"/>
    <cellStyle name="Normal 4 2 2 2 3 4 3 2 3 2" xfId="25757"/>
    <cellStyle name="Normal 4 2 2 2 3 4 3 2 3 3" xfId="40800"/>
    <cellStyle name="Normal 4 2 2 2 3 4 3 2 4" xfId="18236"/>
    <cellStyle name="Normal 4 2 2 2 3 4 3 2 5" xfId="33279"/>
    <cellStyle name="Normal 4 2 2 2 3 4 3 3" xfId="5074"/>
    <cellStyle name="Normal 4 2 2 2 3 4 3 3 2" xfId="12597"/>
    <cellStyle name="Normal 4 2 2 2 3 4 3 3 2 2" xfId="27641"/>
    <cellStyle name="Normal 4 2 2 2 3 4 3 3 2 3" xfId="42684"/>
    <cellStyle name="Normal 4 2 2 2 3 4 3 3 3" xfId="20120"/>
    <cellStyle name="Normal 4 2 2 2 3 4 3 3 4" xfId="35163"/>
    <cellStyle name="Normal 4 2 2 2 3 4 3 4" xfId="8848"/>
    <cellStyle name="Normal 4 2 2 2 3 4 3 4 2" xfId="23892"/>
    <cellStyle name="Normal 4 2 2 2 3 4 3 4 3" xfId="38935"/>
    <cellStyle name="Normal 4 2 2 2 3 4 3 5" xfId="16371"/>
    <cellStyle name="Normal 4 2 2 2 3 4 3 6" xfId="31414"/>
    <cellStyle name="Normal 4 2 2 2 3 4 4" xfId="2211"/>
    <cellStyle name="Normal 4 2 2 2 3 4 4 2" xfId="6007"/>
    <cellStyle name="Normal 4 2 2 2 3 4 4 2 2" xfId="13530"/>
    <cellStyle name="Normal 4 2 2 2 3 4 4 2 2 2" xfId="28574"/>
    <cellStyle name="Normal 4 2 2 2 3 4 4 2 2 3" xfId="43617"/>
    <cellStyle name="Normal 4 2 2 2 3 4 4 2 3" xfId="21053"/>
    <cellStyle name="Normal 4 2 2 2 3 4 4 2 4" xfId="36096"/>
    <cellStyle name="Normal 4 2 2 2 3 4 4 3" xfId="9781"/>
    <cellStyle name="Normal 4 2 2 2 3 4 4 3 2" xfId="24825"/>
    <cellStyle name="Normal 4 2 2 2 3 4 4 3 3" xfId="39868"/>
    <cellStyle name="Normal 4 2 2 2 3 4 4 4" xfId="17304"/>
    <cellStyle name="Normal 4 2 2 2 3 4 4 5" xfId="32347"/>
    <cellStyle name="Normal 4 2 2 2 3 4 5" xfId="4139"/>
    <cellStyle name="Normal 4 2 2 2 3 4 5 2" xfId="11663"/>
    <cellStyle name="Normal 4 2 2 2 3 4 5 2 2" xfId="26707"/>
    <cellStyle name="Normal 4 2 2 2 3 4 5 2 3" xfId="41750"/>
    <cellStyle name="Normal 4 2 2 2 3 4 5 3" xfId="19186"/>
    <cellStyle name="Normal 4 2 2 2 3 4 5 4" xfId="34229"/>
    <cellStyle name="Normal 4 2 2 2 3 4 6" xfId="7902"/>
    <cellStyle name="Normal 4 2 2 2 3 4 6 2" xfId="22946"/>
    <cellStyle name="Normal 4 2 2 2 3 4 6 3" xfId="37989"/>
    <cellStyle name="Normal 4 2 2 2 3 4 7" xfId="15425"/>
    <cellStyle name="Normal 4 2 2 2 3 4 8" xfId="30468"/>
    <cellStyle name="Normal 4 2 2 2 3 5" xfId="761"/>
    <cellStyle name="Normal 4 2 2 2 3 5 2" xfId="1720"/>
    <cellStyle name="Normal 4 2 2 2 3 5 2 2" xfId="3591"/>
    <cellStyle name="Normal 4 2 2 2 3 5 2 2 2" xfId="7386"/>
    <cellStyle name="Normal 4 2 2 2 3 5 2 2 2 2" xfId="14909"/>
    <cellStyle name="Normal 4 2 2 2 3 5 2 2 2 2 2" xfId="29953"/>
    <cellStyle name="Normal 4 2 2 2 3 5 2 2 2 2 3" xfId="44996"/>
    <cellStyle name="Normal 4 2 2 2 3 5 2 2 2 3" xfId="22432"/>
    <cellStyle name="Normal 4 2 2 2 3 5 2 2 2 4" xfId="37475"/>
    <cellStyle name="Normal 4 2 2 2 3 5 2 2 3" xfId="11160"/>
    <cellStyle name="Normal 4 2 2 2 3 5 2 2 3 2" xfId="26204"/>
    <cellStyle name="Normal 4 2 2 2 3 5 2 2 3 3" xfId="41247"/>
    <cellStyle name="Normal 4 2 2 2 3 5 2 2 4" xfId="18683"/>
    <cellStyle name="Normal 4 2 2 2 3 5 2 2 5" xfId="33726"/>
    <cellStyle name="Normal 4 2 2 2 3 5 2 3" xfId="5521"/>
    <cellStyle name="Normal 4 2 2 2 3 5 2 3 2" xfId="13044"/>
    <cellStyle name="Normal 4 2 2 2 3 5 2 3 2 2" xfId="28088"/>
    <cellStyle name="Normal 4 2 2 2 3 5 2 3 2 3" xfId="43131"/>
    <cellStyle name="Normal 4 2 2 2 3 5 2 3 3" xfId="20567"/>
    <cellStyle name="Normal 4 2 2 2 3 5 2 3 4" xfId="35610"/>
    <cellStyle name="Normal 4 2 2 2 3 5 2 4" xfId="9295"/>
    <cellStyle name="Normal 4 2 2 2 3 5 2 4 2" xfId="24339"/>
    <cellStyle name="Normal 4 2 2 2 3 5 2 4 3" xfId="39382"/>
    <cellStyle name="Normal 4 2 2 2 3 5 2 5" xfId="16818"/>
    <cellStyle name="Normal 4 2 2 2 3 5 2 6" xfId="31861"/>
    <cellStyle name="Normal 4 2 2 2 3 5 3" xfId="2659"/>
    <cellStyle name="Normal 4 2 2 2 3 5 3 2" xfId="6454"/>
    <cellStyle name="Normal 4 2 2 2 3 5 3 2 2" xfId="13977"/>
    <cellStyle name="Normal 4 2 2 2 3 5 3 2 2 2" xfId="29021"/>
    <cellStyle name="Normal 4 2 2 2 3 5 3 2 2 3" xfId="44064"/>
    <cellStyle name="Normal 4 2 2 2 3 5 3 2 3" xfId="21500"/>
    <cellStyle name="Normal 4 2 2 2 3 5 3 2 4" xfId="36543"/>
    <cellStyle name="Normal 4 2 2 2 3 5 3 3" xfId="10228"/>
    <cellStyle name="Normal 4 2 2 2 3 5 3 3 2" xfId="25272"/>
    <cellStyle name="Normal 4 2 2 2 3 5 3 3 3" xfId="40315"/>
    <cellStyle name="Normal 4 2 2 2 3 5 3 4" xfId="17751"/>
    <cellStyle name="Normal 4 2 2 2 3 5 3 5" xfId="32794"/>
    <cellStyle name="Normal 4 2 2 2 3 5 4" xfId="4589"/>
    <cellStyle name="Normal 4 2 2 2 3 5 4 2" xfId="12112"/>
    <cellStyle name="Normal 4 2 2 2 3 5 4 2 2" xfId="27156"/>
    <cellStyle name="Normal 4 2 2 2 3 5 4 2 3" xfId="42199"/>
    <cellStyle name="Normal 4 2 2 2 3 5 4 3" xfId="19635"/>
    <cellStyle name="Normal 4 2 2 2 3 5 4 4" xfId="34678"/>
    <cellStyle name="Normal 4 2 2 2 3 5 5" xfId="8363"/>
    <cellStyle name="Normal 4 2 2 2 3 5 5 2" xfId="23407"/>
    <cellStyle name="Normal 4 2 2 2 3 5 5 3" xfId="38450"/>
    <cellStyle name="Normal 4 2 2 2 3 5 6" xfId="15886"/>
    <cellStyle name="Normal 4 2 2 2 3 5 7" xfId="30929"/>
    <cellStyle name="Normal 4 2 2 2 3 6" xfId="1268"/>
    <cellStyle name="Normal 4 2 2 2 3 6 2" xfId="3139"/>
    <cellStyle name="Normal 4 2 2 2 3 6 2 2" xfId="6934"/>
    <cellStyle name="Normal 4 2 2 2 3 6 2 2 2" xfId="14457"/>
    <cellStyle name="Normal 4 2 2 2 3 6 2 2 2 2" xfId="29501"/>
    <cellStyle name="Normal 4 2 2 2 3 6 2 2 2 3" xfId="44544"/>
    <cellStyle name="Normal 4 2 2 2 3 6 2 2 3" xfId="21980"/>
    <cellStyle name="Normal 4 2 2 2 3 6 2 2 4" xfId="37023"/>
    <cellStyle name="Normal 4 2 2 2 3 6 2 3" xfId="10708"/>
    <cellStyle name="Normal 4 2 2 2 3 6 2 3 2" xfId="25752"/>
    <cellStyle name="Normal 4 2 2 2 3 6 2 3 3" xfId="40795"/>
    <cellStyle name="Normal 4 2 2 2 3 6 2 4" xfId="18231"/>
    <cellStyle name="Normal 4 2 2 2 3 6 2 5" xfId="33274"/>
    <cellStyle name="Normal 4 2 2 2 3 6 3" xfId="5069"/>
    <cellStyle name="Normal 4 2 2 2 3 6 3 2" xfId="12592"/>
    <cellStyle name="Normal 4 2 2 2 3 6 3 2 2" xfId="27636"/>
    <cellStyle name="Normal 4 2 2 2 3 6 3 2 3" xfId="42679"/>
    <cellStyle name="Normal 4 2 2 2 3 6 3 3" xfId="20115"/>
    <cellStyle name="Normal 4 2 2 2 3 6 3 4" xfId="35158"/>
    <cellStyle name="Normal 4 2 2 2 3 6 4" xfId="8843"/>
    <cellStyle name="Normal 4 2 2 2 3 6 4 2" xfId="23887"/>
    <cellStyle name="Normal 4 2 2 2 3 6 4 3" xfId="38930"/>
    <cellStyle name="Normal 4 2 2 2 3 6 5" xfId="16366"/>
    <cellStyle name="Normal 4 2 2 2 3 6 6" xfId="31409"/>
    <cellStyle name="Normal 4 2 2 2 3 7" xfId="2206"/>
    <cellStyle name="Normal 4 2 2 2 3 7 2" xfId="6002"/>
    <cellStyle name="Normal 4 2 2 2 3 7 2 2" xfId="13525"/>
    <cellStyle name="Normal 4 2 2 2 3 7 2 2 2" xfId="28569"/>
    <cellStyle name="Normal 4 2 2 2 3 7 2 2 3" xfId="43612"/>
    <cellStyle name="Normal 4 2 2 2 3 7 2 3" xfId="21048"/>
    <cellStyle name="Normal 4 2 2 2 3 7 2 4" xfId="36091"/>
    <cellStyle name="Normal 4 2 2 2 3 7 3" xfId="9776"/>
    <cellStyle name="Normal 4 2 2 2 3 7 3 2" xfId="24820"/>
    <cellStyle name="Normal 4 2 2 2 3 7 3 3" xfId="39863"/>
    <cellStyle name="Normal 4 2 2 2 3 7 4" xfId="17299"/>
    <cellStyle name="Normal 4 2 2 2 3 7 5" xfId="32342"/>
    <cellStyle name="Normal 4 2 2 2 3 8" xfId="4134"/>
    <cellStyle name="Normal 4 2 2 2 3 8 2" xfId="11658"/>
    <cellStyle name="Normal 4 2 2 2 3 8 2 2" xfId="26702"/>
    <cellStyle name="Normal 4 2 2 2 3 8 2 3" xfId="41745"/>
    <cellStyle name="Normal 4 2 2 2 3 8 3" xfId="19181"/>
    <cellStyle name="Normal 4 2 2 2 3 8 4" xfId="34224"/>
    <cellStyle name="Normal 4 2 2 2 3 9" xfId="7897"/>
    <cellStyle name="Normal 4 2 2 2 3 9 2" xfId="22941"/>
    <cellStyle name="Normal 4 2 2 2 3 9 3" xfId="37984"/>
    <cellStyle name="Normal 4 2 2 2 4" xfId="243"/>
    <cellStyle name="Normal 4 2 2 2 4 2" xfId="244"/>
    <cellStyle name="Normal 4 2 2 2 4 2 2" xfId="768"/>
    <cellStyle name="Normal 4 2 2 2 4 2 2 2" xfId="1727"/>
    <cellStyle name="Normal 4 2 2 2 4 2 2 2 2" xfId="3598"/>
    <cellStyle name="Normal 4 2 2 2 4 2 2 2 2 2" xfId="7393"/>
    <cellStyle name="Normal 4 2 2 2 4 2 2 2 2 2 2" xfId="14916"/>
    <cellStyle name="Normal 4 2 2 2 4 2 2 2 2 2 2 2" xfId="29960"/>
    <cellStyle name="Normal 4 2 2 2 4 2 2 2 2 2 2 3" xfId="45003"/>
    <cellStyle name="Normal 4 2 2 2 4 2 2 2 2 2 3" xfId="22439"/>
    <cellStyle name="Normal 4 2 2 2 4 2 2 2 2 2 4" xfId="37482"/>
    <cellStyle name="Normal 4 2 2 2 4 2 2 2 2 3" xfId="11167"/>
    <cellStyle name="Normal 4 2 2 2 4 2 2 2 2 3 2" xfId="26211"/>
    <cellStyle name="Normal 4 2 2 2 4 2 2 2 2 3 3" xfId="41254"/>
    <cellStyle name="Normal 4 2 2 2 4 2 2 2 2 4" xfId="18690"/>
    <cellStyle name="Normal 4 2 2 2 4 2 2 2 2 5" xfId="33733"/>
    <cellStyle name="Normal 4 2 2 2 4 2 2 2 3" xfId="5528"/>
    <cellStyle name="Normal 4 2 2 2 4 2 2 2 3 2" xfId="13051"/>
    <cellStyle name="Normal 4 2 2 2 4 2 2 2 3 2 2" xfId="28095"/>
    <cellStyle name="Normal 4 2 2 2 4 2 2 2 3 2 3" xfId="43138"/>
    <cellStyle name="Normal 4 2 2 2 4 2 2 2 3 3" xfId="20574"/>
    <cellStyle name="Normal 4 2 2 2 4 2 2 2 3 4" xfId="35617"/>
    <cellStyle name="Normal 4 2 2 2 4 2 2 2 4" xfId="9302"/>
    <cellStyle name="Normal 4 2 2 2 4 2 2 2 4 2" xfId="24346"/>
    <cellStyle name="Normal 4 2 2 2 4 2 2 2 4 3" xfId="39389"/>
    <cellStyle name="Normal 4 2 2 2 4 2 2 2 5" xfId="16825"/>
    <cellStyle name="Normal 4 2 2 2 4 2 2 2 6" xfId="31868"/>
    <cellStyle name="Normal 4 2 2 2 4 2 2 3" xfId="2666"/>
    <cellStyle name="Normal 4 2 2 2 4 2 2 3 2" xfId="6461"/>
    <cellStyle name="Normal 4 2 2 2 4 2 2 3 2 2" xfId="13984"/>
    <cellStyle name="Normal 4 2 2 2 4 2 2 3 2 2 2" xfId="29028"/>
    <cellStyle name="Normal 4 2 2 2 4 2 2 3 2 2 3" xfId="44071"/>
    <cellStyle name="Normal 4 2 2 2 4 2 2 3 2 3" xfId="21507"/>
    <cellStyle name="Normal 4 2 2 2 4 2 2 3 2 4" xfId="36550"/>
    <cellStyle name="Normal 4 2 2 2 4 2 2 3 3" xfId="10235"/>
    <cellStyle name="Normal 4 2 2 2 4 2 2 3 3 2" xfId="25279"/>
    <cellStyle name="Normal 4 2 2 2 4 2 2 3 3 3" xfId="40322"/>
    <cellStyle name="Normal 4 2 2 2 4 2 2 3 4" xfId="17758"/>
    <cellStyle name="Normal 4 2 2 2 4 2 2 3 5" xfId="32801"/>
    <cellStyle name="Normal 4 2 2 2 4 2 2 4" xfId="4596"/>
    <cellStyle name="Normal 4 2 2 2 4 2 2 4 2" xfId="12119"/>
    <cellStyle name="Normal 4 2 2 2 4 2 2 4 2 2" xfId="27163"/>
    <cellStyle name="Normal 4 2 2 2 4 2 2 4 2 3" xfId="42206"/>
    <cellStyle name="Normal 4 2 2 2 4 2 2 4 3" xfId="19642"/>
    <cellStyle name="Normal 4 2 2 2 4 2 2 4 4" xfId="34685"/>
    <cellStyle name="Normal 4 2 2 2 4 2 2 5" xfId="8370"/>
    <cellStyle name="Normal 4 2 2 2 4 2 2 5 2" xfId="23414"/>
    <cellStyle name="Normal 4 2 2 2 4 2 2 5 3" xfId="38457"/>
    <cellStyle name="Normal 4 2 2 2 4 2 2 6" xfId="15893"/>
    <cellStyle name="Normal 4 2 2 2 4 2 2 7" xfId="30936"/>
    <cellStyle name="Normal 4 2 2 2 4 2 3" xfId="1275"/>
    <cellStyle name="Normal 4 2 2 2 4 2 3 2" xfId="3146"/>
    <cellStyle name="Normal 4 2 2 2 4 2 3 2 2" xfId="6941"/>
    <cellStyle name="Normal 4 2 2 2 4 2 3 2 2 2" xfId="14464"/>
    <cellStyle name="Normal 4 2 2 2 4 2 3 2 2 2 2" xfId="29508"/>
    <cellStyle name="Normal 4 2 2 2 4 2 3 2 2 2 3" xfId="44551"/>
    <cellStyle name="Normal 4 2 2 2 4 2 3 2 2 3" xfId="21987"/>
    <cellStyle name="Normal 4 2 2 2 4 2 3 2 2 4" xfId="37030"/>
    <cellStyle name="Normal 4 2 2 2 4 2 3 2 3" xfId="10715"/>
    <cellStyle name="Normal 4 2 2 2 4 2 3 2 3 2" xfId="25759"/>
    <cellStyle name="Normal 4 2 2 2 4 2 3 2 3 3" xfId="40802"/>
    <cellStyle name="Normal 4 2 2 2 4 2 3 2 4" xfId="18238"/>
    <cellStyle name="Normal 4 2 2 2 4 2 3 2 5" xfId="33281"/>
    <cellStyle name="Normal 4 2 2 2 4 2 3 3" xfId="5076"/>
    <cellStyle name="Normal 4 2 2 2 4 2 3 3 2" xfId="12599"/>
    <cellStyle name="Normal 4 2 2 2 4 2 3 3 2 2" xfId="27643"/>
    <cellStyle name="Normal 4 2 2 2 4 2 3 3 2 3" xfId="42686"/>
    <cellStyle name="Normal 4 2 2 2 4 2 3 3 3" xfId="20122"/>
    <cellStyle name="Normal 4 2 2 2 4 2 3 3 4" xfId="35165"/>
    <cellStyle name="Normal 4 2 2 2 4 2 3 4" xfId="8850"/>
    <cellStyle name="Normal 4 2 2 2 4 2 3 4 2" xfId="23894"/>
    <cellStyle name="Normal 4 2 2 2 4 2 3 4 3" xfId="38937"/>
    <cellStyle name="Normal 4 2 2 2 4 2 3 5" xfId="16373"/>
    <cellStyle name="Normal 4 2 2 2 4 2 3 6" xfId="31416"/>
    <cellStyle name="Normal 4 2 2 2 4 2 4" xfId="2213"/>
    <cellStyle name="Normal 4 2 2 2 4 2 4 2" xfId="6009"/>
    <cellStyle name="Normal 4 2 2 2 4 2 4 2 2" xfId="13532"/>
    <cellStyle name="Normal 4 2 2 2 4 2 4 2 2 2" xfId="28576"/>
    <cellStyle name="Normal 4 2 2 2 4 2 4 2 2 3" xfId="43619"/>
    <cellStyle name="Normal 4 2 2 2 4 2 4 2 3" xfId="21055"/>
    <cellStyle name="Normal 4 2 2 2 4 2 4 2 4" xfId="36098"/>
    <cellStyle name="Normal 4 2 2 2 4 2 4 3" xfId="9783"/>
    <cellStyle name="Normal 4 2 2 2 4 2 4 3 2" xfId="24827"/>
    <cellStyle name="Normal 4 2 2 2 4 2 4 3 3" xfId="39870"/>
    <cellStyle name="Normal 4 2 2 2 4 2 4 4" xfId="17306"/>
    <cellStyle name="Normal 4 2 2 2 4 2 4 5" xfId="32349"/>
    <cellStyle name="Normal 4 2 2 2 4 2 5" xfId="4141"/>
    <cellStyle name="Normal 4 2 2 2 4 2 5 2" xfId="11665"/>
    <cellStyle name="Normal 4 2 2 2 4 2 5 2 2" xfId="26709"/>
    <cellStyle name="Normal 4 2 2 2 4 2 5 2 3" xfId="41752"/>
    <cellStyle name="Normal 4 2 2 2 4 2 5 3" xfId="19188"/>
    <cellStyle name="Normal 4 2 2 2 4 2 5 4" xfId="34231"/>
    <cellStyle name="Normal 4 2 2 2 4 2 6" xfId="7904"/>
    <cellStyle name="Normal 4 2 2 2 4 2 6 2" xfId="22948"/>
    <cellStyle name="Normal 4 2 2 2 4 2 6 3" xfId="37991"/>
    <cellStyle name="Normal 4 2 2 2 4 2 7" xfId="15427"/>
    <cellStyle name="Normal 4 2 2 2 4 2 8" xfId="30470"/>
    <cellStyle name="Normal 4 2 2 2 4 3" xfId="767"/>
    <cellStyle name="Normal 4 2 2 2 4 3 2" xfId="1726"/>
    <cellStyle name="Normal 4 2 2 2 4 3 2 2" xfId="3597"/>
    <cellStyle name="Normal 4 2 2 2 4 3 2 2 2" xfId="7392"/>
    <cellStyle name="Normal 4 2 2 2 4 3 2 2 2 2" xfId="14915"/>
    <cellStyle name="Normal 4 2 2 2 4 3 2 2 2 2 2" xfId="29959"/>
    <cellStyle name="Normal 4 2 2 2 4 3 2 2 2 2 3" xfId="45002"/>
    <cellStyle name="Normal 4 2 2 2 4 3 2 2 2 3" xfId="22438"/>
    <cellStyle name="Normal 4 2 2 2 4 3 2 2 2 4" xfId="37481"/>
    <cellStyle name="Normal 4 2 2 2 4 3 2 2 3" xfId="11166"/>
    <cellStyle name="Normal 4 2 2 2 4 3 2 2 3 2" xfId="26210"/>
    <cellStyle name="Normal 4 2 2 2 4 3 2 2 3 3" xfId="41253"/>
    <cellStyle name="Normal 4 2 2 2 4 3 2 2 4" xfId="18689"/>
    <cellStyle name="Normal 4 2 2 2 4 3 2 2 5" xfId="33732"/>
    <cellStyle name="Normal 4 2 2 2 4 3 2 3" xfId="5527"/>
    <cellStyle name="Normal 4 2 2 2 4 3 2 3 2" xfId="13050"/>
    <cellStyle name="Normal 4 2 2 2 4 3 2 3 2 2" xfId="28094"/>
    <cellStyle name="Normal 4 2 2 2 4 3 2 3 2 3" xfId="43137"/>
    <cellStyle name="Normal 4 2 2 2 4 3 2 3 3" xfId="20573"/>
    <cellStyle name="Normal 4 2 2 2 4 3 2 3 4" xfId="35616"/>
    <cellStyle name="Normal 4 2 2 2 4 3 2 4" xfId="9301"/>
    <cellStyle name="Normal 4 2 2 2 4 3 2 4 2" xfId="24345"/>
    <cellStyle name="Normal 4 2 2 2 4 3 2 4 3" xfId="39388"/>
    <cellStyle name="Normal 4 2 2 2 4 3 2 5" xfId="16824"/>
    <cellStyle name="Normal 4 2 2 2 4 3 2 6" xfId="31867"/>
    <cellStyle name="Normal 4 2 2 2 4 3 3" xfId="2665"/>
    <cellStyle name="Normal 4 2 2 2 4 3 3 2" xfId="6460"/>
    <cellStyle name="Normal 4 2 2 2 4 3 3 2 2" xfId="13983"/>
    <cellStyle name="Normal 4 2 2 2 4 3 3 2 2 2" xfId="29027"/>
    <cellStyle name="Normal 4 2 2 2 4 3 3 2 2 3" xfId="44070"/>
    <cellStyle name="Normal 4 2 2 2 4 3 3 2 3" xfId="21506"/>
    <cellStyle name="Normal 4 2 2 2 4 3 3 2 4" xfId="36549"/>
    <cellStyle name="Normal 4 2 2 2 4 3 3 3" xfId="10234"/>
    <cellStyle name="Normal 4 2 2 2 4 3 3 3 2" xfId="25278"/>
    <cellStyle name="Normal 4 2 2 2 4 3 3 3 3" xfId="40321"/>
    <cellStyle name="Normal 4 2 2 2 4 3 3 4" xfId="17757"/>
    <cellStyle name="Normal 4 2 2 2 4 3 3 5" xfId="32800"/>
    <cellStyle name="Normal 4 2 2 2 4 3 4" xfId="4595"/>
    <cellStyle name="Normal 4 2 2 2 4 3 4 2" xfId="12118"/>
    <cellStyle name="Normal 4 2 2 2 4 3 4 2 2" xfId="27162"/>
    <cellStyle name="Normal 4 2 2 2 4 3 4 2 3" xfId="42205"/>
    <cellStyle name="Normal 4 2 2 2 4 3 4 3" xfId="19641"/>
    <cellStyle name="Normal 4 2 2 2 4 3 4 4" xfId="34684"/>
    <cellStyle name="Normal 4 2 2 2 4 3 5" xfId="8369"/>
    <cellStyle name="Normal 4 2 2 2 4 3 5 2" xfId="23413"/>
    <cellStyle name="Normal 4 2 2 2 4 3 5 3" xfId="38456"/>
    <cellStyle name="Normal 4 2 2 2 4 3 6" xfId="15892"/>
    <cellStyle name="Normal 4 2 2 2 4 3 7" xfId="30935"/>
    <cellStyle name="Normal 4 2 2 2 4 4" xfId="1274"/>
    <cellStyle name="Normal 4 2 2 2 4 4 2" xfId="3145"/>
    <cellStyle name="Normal 4 2 2 2 4 4 2 2" xfId="6940"/>
    <cellStyle name="Normal 4 2 2 2 4 4 2 2 2" xfId="14463"/>
    <cellStyle name="Normal 4 2 2 2 4 4 2 2 2 2" xfId="29507"/>
    <cellStyle name="Normal 4 2 2 2 4 4 2 2 2 3" xfId="44550"/>
    <cellStyle name="Normal 4 2 2 2 4 4 2 2 3" xfId="21986"/>
    <cellStyle name="Normal 4 2 2 2 4 4 2 2 4" xfId="37029"/>
    <cellStyle name="Normal 4 2 2 2 4 4 2 3" xfId="10714"/>
    <cellStyle name="Normal 4 2 2 2 4 4 2 3 2" xfId="25758"/>
    <cellStyle name="Normal 4 2 2 2 4 4 2 3 3" xfId="40801"/>
    <cellStyle name="Normal 4 2 2 2 4 4 2 4" xfId="18237"/>
    <cellStyle name="Normal 4 2 2 2 4 4 2 5" xfId="33280"/>
    <cellStyle name="Normal 4 2 2 2 4 4 3" xfId="5075"/>
    <cellStyle name="Normal 4 2 2 2 4 4 3 2" xfId="12598"/>
    <cellStyle name="Normal 4 2 2 2 4 4 3 2 2" xfId="27642"/>
    <cellStyle name="Normal 4 2 2 2 4 4 3 2 3" xfId="42685"/>
    <cellStyle name="Normal 4 2 2 2 4 4 3 3" xfId="20121"/>
    <cellStyle name="Normal 4 2 2 2 4 4 3 4" xfId="35164"/>
    <cellStyle name="Normal 4 2 2 2 4 4 4" xfId="8849"/>
    <cellStyle name="Normal 4 2 2 2 4 4 4 2" xfId="23893"/>
    <cellStyle name="Normal 4 2 2 2 4 4 4 3" xfId="38936"/>
    <cellStyle name="Normal 4 2 2 2 4 4 5" xfId="16372"/>
    <cellStyle name="Normal 4 2 2 2 4 4 6" xfId="31415"/>
    <cellStyle name="Normal 4 2 2 2 4 5" xfId="2212"/>
    <cellStyle name="Normal 4 2 2 2 4 5 2" xfId="6008"/>
    <cellStyle name="Normal 4 2 2 2 4 5 2 2" xfId="13531"/>
    <cellStyle name="Normal 4 2 2 2 4 5 2 2 2" xfId="28575"/>
    <cellStyle name="Normal 4 2 2 2 4 5 2 2 3" xfId="43618"/>
    <cellStyle name="Normal 4 2 2 2 4 5 2 3" xfId="21054"/>
    <cellStyle name="Normal 4 2 2 2 4 5 2 4" xfId="36097"/>
    <cellStyle name="Normal 4 2 2 2 4 5 3" xfId="9782"/>
    <cellStyle name="Normal 4 2 2 2 4 5 3 2" xfId="24826"/>
    <cellStyle name="Normal 4 2 2 2 4 5 3 3" xfId="39869"/>
    <cellStyle name="Normal 4 2 2 2 4 5 4" xfId="17305"/>
    <cellStyle name="Normal 4 2 2 2 4 5 5" xfId="32348"/>
    <cellStyle name="Normal 4 2 2 2 4 6" xfId="4140"/>
    <cellStyle name="Normal 4 2 2 2 4 6 2" xfId="11664"/>
    <cellStyle name="Normal 4 2 2 2 4 6 2 2" xfId="26708"/>
    <cellStyle name="Normal 4 2 2 2 4 6 2 3" xfId="41751"/>
    <cellStyle name="Normal 4 2 2 2 4 6 3" xfId="19187"/>
    <cellStyle name="Normal 4 2 2 2 4 6 4" xfId="34230"/>
    <cellStyle name="Normal 4 2 2 2 4 7" xfId="7903"/>
    <cellStyle name="Normal 4 2 2 2 4 7 2" xfId="22947"/>
    <cellStyle name="Normal 4 2 2 2 4 7 3" xfId="37990"/>
    <cellStyle name="Normal 4 2 2 2 4 8" xfId="15426"/>
    <cellStyle name="Normal 4 2 2 2 4 9" xfId="30469"/>
    <cellStyle name="Normal 4 2 2 2 5" xfId="245"/>
    <cellStyle name="Normal 4 2 2 2 5 2" xfId="246"/>
    <cellStyle name="Normal 4 2 2 2 5 2 2" xfId="770"/>
    <cellStyle name="Normal 4 2 2 2 5 2 2 2" xfId="1729"/>
    <cellStyle name="Normal 4 2 2 2 5 2 2 2 2" xfId="3600"/>
    <cellStyle name="Normal 4 2 2 2 5 2 2 2 2 2" xfId="7395"/>
    <cellStyle name="Normal 4 2 2 2 5 2 2 2 2 2 2" xfId="14918"/>
    <cellStyle name="Normal 4 2 2 2 5 2 2 2 2 2 2 2" xfId="29962"/>
    <cellStyle name="Normal 4 2 2 2 5 2 2 2 2 2 2 3" xfId="45005"/>
    <cellStyle name="Normal 4 2 2 2 5 2 2 2 2 2 3" xfId="22441"/>
    <cellStyle name="Normal 4 2 2 2 5 2 2 2 2 2 4" xfId="37484"/>
    <cellStyle name="Normal 4 2 2 2 5 2 2 2 2 3" xfId="11169"/>
    <cellStyle name="Normal 4 2 2 2 5 2 2 2 2 3 2" xfId="26213"/>
    <cellStyle name="Normal 4 2 2 2 5 2 2 2 2 3 3" xfId="41256"/>
    <cellStyle name="Normal 4 2 2 2 5 2 2 2 2 4" xfId="18692"/>
    <cellStyle name="Normal 4 2 2 2 5 2 2 2 2 5" xfId="33735"/>
    <cellStyle name="Normal 4 2 2 2 5 2 2 2 3" xfId="5530"/>
    <cellStyle name="Normal 4 2 2 2 5 2 2 2 3 2" xfId="13053"/>
    <cellStyle name="Normal 4 2 2 2 5 2 2 2 3 2 2" xfId="28097"/>
    <cellStyle name="Normal 4 2 2 2 5 2 2 2 3 2 3" xfId="43140"/>
    <cellStyle name="Normal 4 2 2 2 5 2 2 2 3 3" xfId="20576"/>
    <cellStyle name="Normal 4 2 2 2 5 2 2 2 3 4" xfId="35619"/>
    <cellStyle name="Normal 4 2 2 2 5 2 2 2 4" xfId="9304"/>
    <cellStyle name="Normal 4 2 2 2 5 2 2 2 4 2" xfId="24348"/>
    <cellStyle name="Normal 4 2 2 2 5 2 2 2 4 3" xfId="39391"/>
    <cellStyle name="Normal 4 2 2 2 5 2 2 2 5" xfId="16827"/>
    <cellStyle name="Normal 4 2 2 2 5 2 2 2 6" xfId="31870"/>
    <cellStyle name="Normal 4 2 2 2 5 2 2 3" xfId="2668"/>
    <cellStyle name="Normal 4 2 2 2 5 2 2 3 2" xfId="6463"/>
    <cellStyle name="Normal 4 2 2 2 5 2 2 3 2 2" xfId="13986"/>
    <cellStyle name="Normal 4 2 2 2 5 2 2 3 2 2 2" xfId="29030"/>
    <cellStyle name="Normal 4 2 2 2 5 2 2 3 2 2 3" xfId="44073"/>
    <cellStyle name="Normal 4 2 2 2 5 2 2 3 2 3" xfId="21509"/>
    <cellStyle name="Normal 4 2 2 2 5 2 2 3 2 4" xfId="36552"/>
    <cellStyle name="Normal 4 2 2 2 5 2 2 3 3" xfId="10237"/>
    <cellStyle name="Normal 4 2 2 2 5 2 2 3 3 2" xfId="25281"/>
    <cellStyle name="Normal 4 2 2 2 5 2 2 3 3 3" xfId="40324"/>
    <cellStyle name="Normal 4 2 2 2 5 2 2 3 4" xfId="17760"/>
    <cellStyle name="Normal 4 2 2 2 5 2 2 3 5" xfId="32803"/>
    <cellStyle name="Normal 4 2 2 2 5 2 2 4" xfId="4598"/>
    <cellStyle name="Normal 4 2 2 2 5 2 2 4 2" xfId="12121"/>
    <cellStyle name="Normal 4 2 2 2 5 2 2 4 2 2" xfId="27165"/>
    <cellStyle name="Normal 4 2 2 2 5 2 2 4 2 3" xfId="42208"/>
    <cellStyle name="Normal 4 2 2 2 5 2 2 4 3" xfId="19644"/>
    <cellStyle name="Normal 4 2 2 2 5 2 2 4 4" xfId="34687"/>
    <cellStyle name="Normal 4 2 2 2 5 2 2 5" xfId="8372"/>
    <cellStyle name="Normal 4 2 2 2 5 2 2 5 2" xfId="23416"/>
    <cellStyle name="Normal 4 2 2 2 5 2 2 5 3" xfId="38459"/>
    <cellStyle name="Normal 4 2 2 2 5 2 2 6" xfId="15895"/>
    <cellStyle name="Normal 4 2 2 2 5 2 2 7" xfId="30938"/>
    <cellStyle name="Normal 4 2 2 2 5 2 3" xfId="1277"/>
    <cellStyle name="Normal 4 2 2 2 5 2 3 2" xfId="3148"/>
    <cellStyle name="Normal 4 2 2 2 5 2 3 2 2" xfId="6943"/>
    <cellStyle name="Normal 4 2 2 2 5 2 3 2 2 2" xfId="14466"/>
    <cellStyle name="Normal 4 2 2 2 5 2 3 2 2 2 2" xfId="29510"/>
    <cellStyle name="Normal 4 2 2 2 5 2 3 2 2 2 3" xfId="44553"/>
    <cellStyle name="Normal 4 2 2 2 5 2 3 2 2 3" xfId="21989"/>
    <cellStyle name="Normal 4 2 2 2 5 2 3 2 2 4" xfId="37032"/>
    <cellStyle name="Normal 4 2 2 2 5 2 3 2 3" xfId="10717"/>
    <cellStyle name="Normal 4 2 2 2 5 2 3 2 3 2" xfId="25761"/>
    <cellStyle name="Normal 4 2 2 2 5 2 3 2 3 3" xfId="40804"/>
    <cellStyle name="Normal 4 2 2 2 5 2 3 2 4" xfId="18240"/>
    <cellStyle name="Normal 4 2 2 2 5 2 3 2 5" xfId="33283"/>
    <cellStyle name="Normal 4 2 2 2 5 2 3 3" xfId="5078"/>
    <cellStyle name="Normal 4 2 2 2 5 2 3 3 2" xfId="12601"/>
    <cellStyle name="Normal 4 2 2 2 5 2 3 3 2 2" xfId="27645"/>
    <cellStyle name="Normal 4 2 2 2 5 2 3 3 2 3" xfId="42688"/>
    <cellStyle name="Normal 4 2 2 2 5 2 3 3 3" xfId="20124"/>
    <cellStyle name="Normal 4 2 2 2 5 2 3 3 4" xfId="35167"/>
    <cellStyle name="Normal 4 2 2 2 5 2 3 4" xfId="8852"/>
    <cellStyle name="Normal 4 2 2 2 5 2 3 4 2" xfId="23896"/>
    <cellStyle name="Normal 4 2 2 2 5 2 3 4 3" xfId="38939"/>
    <cellStyle name="Normal 4 2 2 2 5 2 3 5" xfId="16375"/>
    <cellStyle name="Normal 4 2 2 2 5 2 3 6" xfId="31418"/>
    <cellStyle name="Normal 4 2 2 2 5 2 4" xfId="2215"/>
    <cellStyle name="Normal 4 2 2 2 5 2 4 2" xfId="6011"/>
    <cellStyle name="Normal 4 2 2 2 5 2 4 2 2" xfId="13534"/>
    <cellStyle name="Normal 4 2 2 2 5 2 4 2 2 2" xfId="28578"/>
    <cellStyle name="Normal 4 2 2 2 5 2 4 2 2 3" xfId="43621"/>
    <cellStyle name="Normal 4 2 2 2 5 2 4 2 3" xfId="21057"/>
    <cellStyle name="Normal 4 2 2 2 5 2 4 2 4" xfId="36100"/>
    <cellStyle name="Normal 4 2 2 2 5 2 4 3" xfId="9785"/>
    <cellStyle name="Normal 4 2 2 2 5 2 4 3 2" xfId="24829"/>
    <cellStyle name="Normal 4 2 2 2 5 2 4 3 3" xfId="39872"/>
    <cellStyle name="Normal 4 2 2 2 5 2 4 4" xfId="17308"/>
    <cellStyle name="Normal 4 2 2 2 5 2 4 5" xfId="32351"/>
    <cellStyle name="Normal 4 2 2 2 5 2 5" xfId="4143"/>
    <cellStyle name="Normal 4 2 2 2 5 2 5 2" xfId="11667"/>
    <cellStyle name="Normal 4 2 2 2 5 2 5 2 2" xfId="26711"/>
    <cellStyle name="Normal 4 2 2 2 5 2 5 2 3" xfId="41754"/>
    <cellStyle name="Normal 4 2 2 2 5 2 5 3" xfId="19190"/>
    <cellStyle name="Normal 4 2 2 2 5 2 5 4" xfId="34233"/>
    <cellStyle name="Normal 4 2 2 2 5 2 6" xfId="7906"/>
    <cellStyle name="Normal 4 2 2 2 5 2 6 2" xfId="22950"/>
    <cellStyle name="Normal 4 2 2 2 5 2 6 3" xfId="37993"/>
    <cellStyle name="Normal 4 2 2 2 5 2 7" xfId="15429"/>
    <cellStyle name="Normal 4 2 2 2 5 2 8" xfId="30472"/>
    <cellStyle name="Normal 4 2 2 2 5 3" xfId="769"/>
    <cellStyle name="Normal 4 2 2 2 5 3 2" xfId="1728"/>
    <cellStyle name="Normal 4 2 2 2 5 3 2 2" xfId="3599"/>
    <cellStyle name="Normal 4 2 2 2 5 3 2 2 2" xfId="7394"/>
    <cellStyle name="Normal 4 2 2 2 5 3 2 2 2 2" xfId="14917"/>
    <cellStyle name="Normal 4 2 2 2 5 3 2 2 2 2 2" xfId="29961"/>
    <cellStyle name="Normal 4 2 2 2 5 3 2 2 2 2 3" xfId="45004"/>
    <cellStyle name="Normal 4 2 2 2 5 3 2 2 2 3" xfId="22440"/>
    <cellStyle name="Normal 4 2 2 2 5 3 2 2 2 4" xfId="37483"/>
    <cellStyle name="Normal 4 2 2 2 5 3 2 2 3" xfId="11168"/>
    <cellStyle name="Normal 4 2 2 2 5 3 2 2 3 2" xfId="26212"/>
    <cellStyle name="Normal 4 2 2 2 5 3 2 2 3 3" xfId="41255"/>
    <cellStyle name="Normal 4 2 2 2 5 3 2 2 4" xfId="18691"/>
    <cellStyle name="Normal 4 2 2 2 5 3 2 2 5" xfId="33734"/>
    <cellStyle name="Normal 4 2 2 2 5 3 2 3" xfId="5529"/>
    <cellStyle name="Normal 4 2 2 2 5 3 2 3 2" xfId="13052"/>
    <cellStyle name="Normal 4 2 2 2 5 3 2 3 2 2" xfId="28096"/>
    <cellStyle name="Normal 4 2 2 2 5 3 2 3 2 3" xfId="43139"/>
    <cellStyle name="Normal 4 2 2 2 5 3 2 3 3" xfId="20575"/>
    <cellStyle name="Normal 4 2 2 2 5 3 2 3 4" xfId="35618"/>
    <cellStyle name="Normal 4 2 2 2 5 3 2 4" xfId="9303"/>
    <cellStyle name="Normal 4 2 2 2 5 3 2 4 2" xfId="24347"/>
    <cellStyle name="Normal 4 2 2 2 5 3 2 4 3" xfId="39390"/>
    <cellStyle name="Normal 4 2 2 2 5 3 2 5" xfId="16826"/>
    <cellStyle name="Normal 4 2 2 2 5 3 2 6" xfId="31869"/>
    <cellStyle name="Normal 4 2 2 2 5 3 3" xfId="2667"/>
    <cellStyle name="Normal 4 2 2 2 5 3 3 2" xfId="6462"/>
    <cellStyle name="Normal 4 2 2 2 5 3 3 2 2" xfId="13985"/>
    <cellStyle name="Normal 4 2 2 2 5 3 3 2 2 2" xfId="29029"/>
    <cellStyle name="Normal 4 2 2 2 5 3 3 2 2 3" xfId="44072"/>
    <cellStyle name="Normal 4 2 2 2 5 3 3 2 3" xfId="21508"/>
    <cellStyle name="Normal 4 2 2 2 5 3 3 2 4" xfId="36551"/>
    <cellStyle name="Normal 4 2 2 2 5 3 3 3" xfId="10236"/>
    <cellStyle name="Normal 4 2 2 2 5 3 3 3 2" xfId="25280"/>
    <cellStyle name="Normal 4 2 2 2 5 3 3 3 3" xfId="40323"/>
    <cellStyle name="Normal 4 2 2 2 5 3 3 4" xfId="17759"/>
    <cellStyle name="Normal 4 2 2 2 5 3 3 5" xfId="32802"/>
    <cellStyle name="Normal 4 2 2 2 5 3 4" xfId="4597"/>
    <cellStyle name="Normal 4 2 2 2 5 3 4 2" xfId="12120"/>
    <cellStyle name="Normal 4 2 2 2 5 3 4 2 2" xfId="27164"/>
    <cellStyle name="Normal 4 2 2 2 5 3 4 2 3" xfId="42207"/>
    <cellStyle name="Normal 4 2 2 2 5 3 4 3" xfId="19643"/>
    <cellStyle name="Normal 4 2 2 2 5 3 4 4" xfId="34686"/>
    <cellStyle name="Normal 4 2 2 2 5 3 5" xfId="8371"/>
    <cellStyle name="Normal 4 2 2 2 5 3 5 2" xfId="23415"/>
    <cellStyle name="Normal 4 2 2 2 5 3 5 3" xfId="38458"/>
    <cellStyle name="Normal 4 2 2 2 5 3 6" xfId="15894"/>
    <cellStyle name="Normal 4 2 2 2 5 3 7" xfId="30937"/>
    <cellStyle name="Normal 4 2 2 2 5 4" xfId="1276"/>
    <cellStyle name="Normal 4 2 2 2 5 4 2" xfId="3147"/>
    <cellStyle name="Normal 4 2 2 2 5 4 2 2" xfId="6942"/>
    <cellStyle name="Normal 4 2 2 2 5 4 2 2 2" xfId="14465"/>
    <cellStyle name="Normal 4 2 2 2 5 4 2 2 2 2" xfId="29509"/>
    <cellStyle name="Normal 4 2 2 2 5 4 2 2 2 3" xfId="44552"/>
    <cellStyle name="Normal 4 2 2 2 5 4 2 2 3" xfId="21988"/>
    <cellStyle name="Normal 4 2 2 2 5 4 2 2 4" xfId="37031"/>
    <cellStyle name="Normal 4 2 2 2 5 4 2 3" xfId="10716"/>
    <cellStyle name="Normal 4 2 2 2 5 4 2 3 2" xfId="25760"/>
    <cellStyle name="Normal 4 2 2 2 5 4 2 3 3" xfId="40803"/>
    <cellStyle name="Normal 4 2 2 2 5 4 2 4" xfId="18239"/>
    <cellStyle name="Normal 4 2 2 2 5 4 2 5" xfId="33282"/>
    <cellStyle name="Normal 4 2 2 2 5 4 3" xfId="5077"/>
    <cellStyle name="Normal 4 2 2 2 5 4 3 2" xfId="12600"/>
    <cellStyle name="Normal 4 2 2 2 5 4 3 2 2" xfId="27644"/>
    <cellStyle name="Normal 4 2 2 2 5 4 3 2 3" xfId="42687"/>
    <cellStyle name="Normal 4 2 2 2 5 4 3 3" xfId="20123"/>
    <cellStyle name="Normal 4 2 2 2 5 4 3 4" xfId="35166"/>
    <cellStyle name="Normal 4 2 2 2 5 4 4" xfId="8851"/>
    <cellStyle name="Normal 4 2 2 2 5 4 4 2" xfId="23895"/>
    <cellStyle name="Normal 4 2 2 2 5 4 4 3" xfId="38938"/>
    <cellStyle name="Normal 4 2 2 2 5 4 5" xfId="16374"/>
    <cellStyle name="Normal 4 2 2 2 5 4 6" xfId="31417"/>
    <cellStyle name="Normal 4 2 2 2 5 5" xfId="2214"/>
    <cellStyle name="Normal 4 2 2 2 5 5 2" xfId="6010"/>
    <cellStyle name="Normal 4 2 2 2 5 5 2 2" xfId="13533"/>
    <cellStyle name="Normal 4 2 2 2 5 5 2 2 2" xfId="28577"/>
    <cellStyle name="Normal 4 2 2 2 5 5 2 2 3" xfId="43620"/>
    <cellStyle name="Normal 4 2 2 2 5 5 2 3" xfId="21056"/>
    <cellStyle name="Normal 4 2 2 2 5 5 2 4" xfId="36099"/>
    <cellStyle name="Normal 4 2 2 2 5 5 3" xfId="9784"/>
    <cellStyle name="Normal 4 2 2 2 5 5 3 2" xfId="24828"/>
    <cellStyle name="Normal 4 2 2 2 5 5 3 3" xfId="39871"/>
    <cellStyle name="Normal 4 2 2 2 5 5 4" xfId="17307"/>
    <cellStyle name="Normal 4 2 2 2 5 5 5" xfId="32350"/>
    <cellStyle name="Normal 4 2 2 2 5 6" xfId="4142"/>
    <cellStyle name="Normal 4 2 2 2 5 6 2" xfId="11666"/>
    <cellStyle name="Normal 4 2 2 2 5 6 2 2" xfId="26710"/>
    <cellStyle name="Normal 4 2 2 2 5 6 2 3" xfId="41753"/>
    <cellStyle name="Normal 4 2 2 2 5 6 3" xfId="19189"/>
    <cellStyle name="Normal 4 2 2 2 5 6 4" xfId="34232"/>
    <cellStyle name="Normal 4 2 2 2 5 7" xfId="7905"/>
    <cellStyle name="Normal 4 2 2 2 5 7 2" xfId="22949"/>
    <cellStyle name="Normal 4 2 2 2 5 7 3" xfId="37992"/>
    <cellStyle name="Normal 4 2 2 2 5 8" xfId="15428"/>
    <cellStyle name="Normal 4 2 2 2 5 9" xfId="30471"/>
    <cellStyle name="Normal 4 2 2 2 6" xfId="247"/>
    <cellStyle name="Normal 4 2 2 2 6 2" xfId="771"/>
    <cellStyle name="Normal 4 2 2 2 6 2 2" xfId="1730"/>
    <cellStyle name="Normal 4 2 2 2 6 2 2 2" xfId="3601"/>
    <cellStyle name="Normal 4 2 2 2 6 2 2 2 2" xfId="7396"/>
    <cellStyle name="Normal 4 2 2 2 6 2 2 2 2 2" xfId="14919"/>
    <cellStyle name="Normal 4 2 2 2 6 2 2 2 2 2 2" xfId="29963"/>
    <cellStyle name="Normal 4 2 2 2 6 2 2 2 2 2 3" xfId="45006"/>
    <cellStyle name="Normal 4 2 2 2 6 2 2 2 2 3" xfId="22442"/>
    <cellStyle name="Normal 4 2 2 2 6 2 2 2 2 4" xfId="37485"/>
    <cellStyle name="Normal 4 2 2 2 6 2 2 2 3" xfId="11170"/>
    <cellStyle name="Normal 4 2 2 2 6 2 2 2 3 2" xfId="26214"/>
    <cellStyle name="Normal 4 2 2 2 6 2 2 2 3 3" xfId="41257"/>
    <cellStyle name="Normal 4 2 2 2 6 2 2 2 4" xfId="18693"/>
    <cellStyle name="Normal 4 2 2 2 6 2 2 2 5" xfId="33736"/>
    <cellStyle name="Normal 4 2 2 2 6 2 2 3" xfId="5531"/>
    <cellStyle name="Normal 4 2 2 2 6 2 2 3 2" xfId="13054"/>
    <cellStyle name="Normal 4 2 2 2 6 2 2 3 2 2" xfId="28098"/>
    <cellStyle name="Normal 4 2 2 2 6 2 2 3 2 3" xfId="43141"/>
    <cellStyle name="Normal 4 2 2 2 6 2 2 3 3" xfId="20577"/>
    <cellStyle name="Normal 4 2 2 2 6 2 2 3 4" xfId="35620"/>
    <cellStyle name="Normal 4 2 2 2 6 2 2 4" xfId="9305"/>
    <cellStyle name="Normal 4 2 2 2 6 2 2 4 2" xfId="24349"/>
    <cellStyle name="Normal 4 2 2 2 6 2 2 4 3" xfId="39392"/>
    <cellStyle name="Normal 4 2 2 2 6 2 2 5" xfId="16828"/>
    <cellStyle name="Normal 4 2 2 2 6 2 2 6" xfId="31871"/>
    <cellStyle name="Normal 4 2 2 2 6 2 3" xfId="2669"/>
    <cellStyle name="Normal 4 2 2 2 6 2 3 2" xfId="6464"/>
    <cellStyle name="Normal 4 2 2 2 6 2 3 2 2" xfId="13987"/>
    <cellStyle name="Normal 4 2 2 2 6 2 3 2 2 2" xfId="29031"/>
    <cellStyle name="Normal 4 2 2 2 6 2 3 2 2 3" xfId="44074"/>
    <cellStyle name="Normal 4 2 2 2 6 2 3 2 3" xfId="21510"/>
    <cellStyle name="Normal 4 2 2 2 6 2 3 2 4" xfId="36553"/>
    <cellStyle name="Normal 4 2 2 2 6 2 3 3" xfId="10238"/>
    <cellStyle name="Normal 4 2 2 2 6 2 3 3 2" xfId="25282"/>
    <cellStyle name="Normal 4 2 2 2 6 2 3 3 3" xfId="40325"/>
    <cellStyle name="Normal 4 2 2 2 6 2 3 4" xfId="17761"/>
    <cellStyle name="Normal 4 2 2 2 6 2 3 5" xfId="32804"/>
    <cellStyle name="Normal 4 2 2 2 6 2 4" xfId="4599"/>
    <cellStyle name="Normal 4 2 2 2 6 2 4 2" xfId="12122"/>
    <cellStyle name="Normal 4 2 2 2 6 2 4 2 2" xfId="27166"/>
    <cellStyle name="Normal 4 2 2 2 6 2 4 2 3" xfId="42209"/>
    <cellStyle name="Normal 4 2 2 2 6 2 4 3" xfId="19645"/>
    <cellStyle name="Normal 4 2 2 2 6 2 4 4" xfId="34688"/>
    <cellStyle name="Normal 4 2 2 2 6 2 5" xfId="8373"/>
    <cellStyle name="Normal 4 2 2 2 6 2 5 2" xfId="23417"/>
    <cellStyle name="Normal 4 2 2 2 6 2 5 3" xfId="38460"/>
    <cellStyle name="Normal 4 2 2 2 6 2 6" xfId="15896"/>
    <cellStyle name="Normal 4 2 2 2 6 2 7" xfId="30939"/>
    <cellStyle name="Normal 4 2 2 2 6 3" xfId="1278"/>
    <cellStyle name="Normal 4 2 2 2 6 3 2" xfId="3149"/>
    <cellStyle name="Normal 4 2 2 2 6 3 2 2" xfId="6944"/>
    <cellStyle name="Normal 4 2 2 2 6 3 2 2 2" xfId="14467"/>
    <cellStyle name="Normal 4 2 2 2 6 3 2 2 2 2" xfId="29511"/>
    <cellStyle name="Normal 4 2 2 2 6 3 2 2 2 3" xfId="44554"/>
    <cellStyle name="Normal 4 2 2 2 6 3 2 2 3" xfId="21990"/>
    <cellStyle name="Normal 4 2 2 2 6 3 2 2 4" xfId="37033"/>
    <cellStyle name="Normal 4 2 2 2 6 3 2 3" xfId="10718"/>
    <cellStyle name="Normal 4 2 2 2 6 3 2 3 2" xfId="25762"/>
    <cellStyle name="Normal 4 2 2 2 6 3 2 3 3" xfId="40805"/>
    <cellStyle name="Normal 4 2 2 2 6 3 2 4" xfId="18241"/>
    <cellStyle name="Normal 4 2 2 2 6 3 2 5" xfId="33284"/>
    <cellStyle name="Normal 4 2 2 2 6 3 3" xfId="5079"/>
    <cellStyle name="Normal 4 2 2 2 6 3 3 2" xfId="12602"/>
    <cellStyle name="Normal 4 2 2 2 6 3 3 2 2" xfId="27646"/>
    <cellStyle name="Normal 4 2 2 2 6 3 3 2 3" xfId="42689"/>
    <cellStyle name="Normal 4 2 2 2 6 3 3 3" xfId="20125"/>
    <cellStyle name="Normal 4 2 2 2 6 3 3 4" xfId="35168"/>
    <cellStyle name="Normal 4 2 2 2 6 3 4" xfId="8853"/>
    <cellStyle name="Normal 4 2 2 2 6 3 4 2" xfId="23897"/>
    <cellStyle name="Normal 4 2 2 2 6 3 4 3" xfId="38940"/>
    <cellStyle name="Normal 4 2 2 2 6 3 5" xfId="16376"/>
    <cellStyle name="Normal 4 2 2 2 6 3 6" xfId="31419"/>
    <cellStyle name="Normal 4 2 2 2 6 4" xfId="2216"/>
    <cellStyle name="Normal 4 2 2 2 6 4 2" xfId="6012"/>
    <cellStyle name="Normal 4 2 2 2 6 4 2 2" xfId="13535"/>
    <cellStyle name="Normal 4 2 2 2 6 4 2 2 2" xfId="28579"/>
    <cellStyle name="Normal 4 2 2 2 6 4 2 2 3" xfId="43622"/>
    <cellStyle name="Normal 4 2 2 2 6 4 2 3" xfId="21058"/>
    <cellStyle name="Normal 4 2 2 2 6 4 2 4" xfId="36101"/>
    <cellStyle name="Normal 4 2 2 2 6 4 3" xfId="9786"/>
    <cellStyle name="Normal 4 2 2 2 6 4 3 2" xfId="24830"/>
    <cellStyle name="Normal 4 2 2 2 6 4 3 3" xfId="39873"/>
    <cellStyle name="Normal 4 2 2 2 6 4 4" xfId="17309"/>
    <cellStyle name="Normal 4 2 2 2 6 4 5" xfId="32352"/>
    <cellStyle name="Normal 4 2 2 2 6 5" xfId="4144"/>
    <cellStyle name="Normal 4 2 2 2 6 5 2" xfId="11668"/>
    <cellStyle name="Normal 4 2 2 2 6 5 2 2" xfId="26712"/>
    <cellStyle name="Normal 4 2 2 2 6 5 2 3" xfId="41755"/>
    <cellStyle name="Normal 4 2 2 2 6 5 3" xfId="19191"/>
    <cellStyle name="Normal 4 2 2 2 6 5 4" xfId="34234"/>
    <cellStyle name="Normal 4 2 2 2 6 6" xfId="7907"/>
    <cellStyle name="Normal 4 2 2 2 6 6 2" xfId="22951"/>
    <cellStyle name="Normal 4 2 2 2 6 6 3" xfId="37994"/>
    <cellStyle name="Normal 4 2 2 2 6 7" xfId="15430"/>
    <cellStyle name="Normal 4 2 2 2 6 8" xfId="30473"/>
    <cellStyle name="Normal 4 2 2 2 7" xfId="750"/>
    <cellStyle name="Normal 4 2 2 2 7 2" xfId="1709"/>
    <cellStyle name="Normal 4 2 2 2 7 2 2" xfId="3580"/>
    <cellStyle name="Normal 4 2 2 2 7 2 2 2" xfId="7375"/>
    <cellStyle name="Normal 4 2 2 2 7 2 2 2 2" xfId="14898"/>
    <cellStyle name="Normal 4 2 2 2 7 2 2 2 2 2" xfId="29942"/>
    <cellStyle name="Normal 4 2 2 2 7 2 2 2 2 3" xfId="44985"/>
    <cellStyle name="Normal 4 2 2 2 7 2 2 2 3" xfId="22421"/>
    <cellStyle name="Normal 4 2 2 2 7 2 2 2 4" xfId="37464"/>
    <cellStyle name="Normal 4 2 2 2 7 2 2 3" xfId="11149"/>
    <cellStyle name="Normal 4 2 2 2 7 2 2 3 2" xfId="26193"/>
    <cellStyle name="Normal 4 2 2 2 7 2 2 3 3" xfId="41236"/>
    <cellStyle name="Normal 4 2 2 2 7 2 2 4" xfId="18672"/>
    <cellStyle name="Normal 4 2 2 2 7 2 2 5" xfId="33715"/>
    <cellStyle name="Normal 4 2 2 2 7 2 3" xfId="5510"/>
    <cellStyle name="Normal 4 2 2 2 7 2 3 2" xfId="13033"/>
    <cellStyle name="Normal 4 2 2 2 7 2 3 2 2" xfId="28077"/>
    <cellStyle name="Normal 4 2 2 2 7 2 3 2 3" xfId="43120"/>
    <cellStyle name="Normal 4 2 2 2 7 2 3 3" xfId="20556"/>
    <cellStyle name="Normal 4 2 2 2 7 2 3 4" xfId="35599"/>
    <cellStyle name="Normal 4 2 2 2 7 2 4" xfId="9284"/>
    <cellStyle name="Normal 4 2 2 2 7 2 4 2" xfId="24328"/>
    <cellStyle name="Normal 4 2 2 2 7 2 4 3" xfId="39371"/>
    <cellStyle name="Normal 4 2 2 2 7 2 5" xfId="16807"/>
    <cellStyle name="Normal 4 2 2 2 7 2 6" xfId="31850"/>
    <cellStyle name="Normal 4 2 2 2 7 3" xfId="2648"/>
    <cellStyle name="Normal 4 2 2 2 7 3 2" xfId="6443"/>
    <cellStyle name="Normal 4 2 2 2 7 3 2 2" xfId="13966"/>
    <cellStyle name="Normal 4 2 2 2 7 3 2 2 2" xfId="29010"/>
    <cellStyle name="Normal 4 2 2 2 7 3 2 2 3" xfId="44053"/>
    <cellStyle name="Normal 4 2 2 2 7 3 2 3" xfId="21489"/>
    <cellStyle name="Normal 4 2 2 2 7 3 2 4" xfId="36532"/>
    <cellStyle name="Normal 4 2 2 2 7 3 3" xfId="10217"/>
    <cellStyle name="Normal 4 2 2 2 7 3 3 2" xfId="25261"/>
    <cellStyle name="Normal 4 2 2 2 7 3 3 3" xfId="40304"/>
    <cellStyle name="Normal 4 2 2 2 7 3 4" xfId="17740"/>
    <cellStyle name="Normal 4 2 2 2 7 3 5" xfId="32783"/>
    <cellStyle name="Normal 4 2 2 2 7 4" xfId="4578"/>
    <cellStyle name="Normal 4 2 2 2 7 4 2" xfId="12101"/>
    <cellStyle name="Normal 4 2 2 2 7 4 2 2" xfId="27145"/>
    <cellStyle name="Normal 4 2 2 2 7 4 2 3" xfId="42188"/>
    <cellStyle name="Normal 4 2 2 2 7 4 3" xfId="19624"/>
    <cellStyle name="Normal 4 2 2 2 7 4 4" xfId="34667"/>
    <cellStyle name="Normal 4 2 2 2 7 5" xfId="8352"/>
    <cellStyle name="Normal 4 2 2 2 7 5 2" xfId="23396"/>
    <cellStyle name="Normal 4 2 2 2 7 5 3" xfId="38439"/>
    <cellStyle name="Normal 4 2 2 2 7 6" xfId="15875"/>
    <cellStyle name="Normal 4 2 2 2 7 7" xfId="30918"/>
    <cellStyle name="Normal 4 2 2 2 8" xfId="1257"/>
    <cellStyle name="Normal 4 2 2 2 8 2" xfId="3128"/>
    <cellStyle name="Normal 4 2 2 2 8 2 2" xfId="6923"/>
    <cellStyle name="Normal 4 2 2 2 8 2 2 2" xfId="14446"/>
    <cellStyle name="Normal 4 2 2 2 8 2 2 2 2" xfId="29490"/>
    <cellStyle name="Normal 4 2 2 2 8 2 2 2 3" xfId="44533"/>
    <cellStyle name="Normal 4 2 2 2 8 2 2 3" xfId="21969"/>
    <cellStyle name="Normal 4 2 2 2 8 2 2 4" xfId="37012"/>
    <cellStyle name="Normal 4 2 2 2 8 2 3" xfId="10697"/>
    <cellStyle name="Normal 4 2 2 2 8 2 3 2" xfId="25741"/>
    <cellStyle name="Normal 4 2 2 2 8 2 3 3" xfId="40784"/>
    <cellStyle name="Normal 4 2 2 2 8 2 4" xfId="18220"/>
    <cellStyle name="Normal 4 2 2 2 8 2 5" xfId="33263"/>
    <cellStyle name="Normal 4 2 2 2 8 3" xfId="5058"/>
    <cellStyle name="Normal 4 2 2 2 8 3 2" xfId="12581"/>
    <cellStyle name="Normal 4 2 2 2 8 3 2 2" xfId="27625"/>
    <cellStyle name="Normal 4 2 2 2 8 3 2 3" xfId="42668"/>
    <cellStyle name="Normal 4 2 2 2 8 3 3" xfId="20104"/>
    <cellStyle name="Normal 4 2 2 2 8 3 4" xfId="35147"/>
    <cellStyle name="Normal 4 2 2 2 8 4" xfId="8832"/>
    <cellStyle name="Normal 4 2 2 2 8 4 2" xfId="23876"/>
    <cellStyle name="Normal 4 2 2 2 8 4 3" xfId="38919"/>
    <cellStyle name="Normal 4 2 2 2 8 5" xfId="16355"/>
    <cellStyle name="Normal 4 2 2 2 8 6" xfId="31398"/>
    <cellStyle name="Normal 4 2 2 2 9" xfId="2195"/>
    <cellStyle name="Normal 4 2 2 2 9 2" xfId="5991"/>
    <cellStyle name="Normal 4 2 2 2 9 2 2" xfId="13514"/>
    <cellStyle name="Normal 4 2 2 2 9 2 2 2" xfId="28558"/>
    <cellStyle name="Normal 4 2 2 2 9 2 2 3" xfId="43601"/>
    <cellStyle name="Normal 4 2 2 2 9 2 3" xfId="21037"/>
    <cellStyle name="Normal 4 2 2 2 9 2 4" xfId="36080"/>
    <cellStyle name="Normal 4 2 2 2 9 3" xfId="9765"/>
    <cellStyle name="Normal 4 2 2 2 9 3 2" xfId="24809"/>
    <cellStyle name="Normal 4 2 2 2 9 3 3" xfId="39852"/>
    <cellStyle name="Normal 4 2 2 2 9 4" xfId="17288"/>
    <cellStyle name="Normal 4 2 2 2 9 5" xfId="32331"/>
    <cellStyle name="Normal 4 2 2 3" xfId="248"/>
    <cellStyle name="Normal 4 2 2 3 10" xfId="7908"/>
    <cellStyle name="Normal 4 2 2 3 10 2" xfId="22952"/>
    <cellStyle name="Normal 4 2 2 3 10 3" xfId="37995"/>
    <cellStyle name="Normal 4 2 2 3 11" xfId="15431"/>
    <cellStyle name="Normal 4 2 2 3 12" xfId="30474"/>
    <cellStyle name="Normal 4 2 2 3 2" xfId="249"/>
    <cellStyle name="Normal 4 2 2 3 2 10" xfId="30475"/>
    <cellStyle name="Normal 4 2 2 3 2 2" xfId="250"/>
    <cellStyle name="Normal 4 2 2 3 2 2 2" xfId="251"/>
    <cellStyle name="Normal 4 2 2 3 2 2 2 2" xfId="775"/>
    <cellStyle name="Normal 4 2 2 3 2 2 2 2 2" xfId="1734"/>
    <cellStyle name="Normal 4 2 2 3 2 2 2 2 2 2" xfId="3605"/>
    <cellStyle name="Normal 4 2 2 3 2 2 2 2 2 2 2" xfId="7400"/>
    <cellStyle name="Normal 4 2 2 3 2 2 2 2 2 2 2 2" xfId="14923"/>
    <cellStyle name="Normal 4 2 2 3 2 2 2 2 2 2 2 2 2" xfId="29967"/>
    <cellStyle name="Normal 4 2 2 3 2 2 2 2 2 2 2 2 3" xfId="45010"/>
    <cellStyle name="Normal 4 2 2 3 2 2 2 2 2 2 2 3" xfId="22446"/>
    <cellStyle name="Normal 4 2 2 3 2 2 2 2 2 2 2 4" xfId="37489"/>
    <cellStyle name="Normal 4 2 2 3 2 2 2 2 2 2 3" xfId="11174"/>
    <cellStyle name="Normal 4 2 2 3 2 2 2 2 2 2 3 2" xfId="26218"/>
    <cellStyle name="Normal 4 2 2 3 2 2 2 2 2 2 3 3" xfId="41261"/>
    <cellStyle name="Normal 4 2 2 3 2 2 2 2 2 2 4" xfId="18697"/>
    <cellStyle name="Normal 4 2 2 3 2 2 2 2 2 2 5" xfId="33740"/>
    <cellStyle name="Normal 4 2 2 3 2 2 2 2 2 3" xfId="5535"/>
    <cellStyle name="Normal 4 2 2 3 2 2 2 2 2 3 2" xfId="13058"/>
    <cellStyle name="Normal 4 2 2 3 2 2 2 2 2 3 2 2" xfId="28102"/>
    <cellStyle name="Normal 4 2 2 3 2 2 2 2 2 3 2 3" xfId="43145"/>
    <cellStyle name="Normal 4 2 2 3 2 2 2 2 2 3 3" xfId="20581"/>
    <cellStyle name="Normal 4 2 2 3 2 2 2 2 2 3 4" xfId="35624"/>
    <cellStyle name="Normal 4 2 2 3 2 2 2 2 2 4" xfId="9309"/>
    <cellStyle name="Normal 4 2 2 3 2 2 2 2 2 4 2" xfId="24353"/>
    <cellStyle name="Normal 4 2 2 3 2 2 2 2 2 4 3" xfId="39396"/>
    <cellStyle name="Normal 4 2 2 3 2 2 2 2 2 5" xfId="16832"/>
    <cellStyle name="Normal 4 2 2 3 2 2 2 2 2 6" xfId="31875"/>
    <cellStyle name="Normal 4 2 2 3 2 2 2 2 3" xfId="2673"/>
    <cellStyle name="Normal 4 2 2 3 2 2 2 2 3 2" xfId="6468"/>
    <cellStyle name="Normal 4 2 2 3 2 2 2 2 3 2 2" xfId="13991"/>
    <cellStyle name="Normal 4 2 2 3 2 2 2 2 3 2 2 2" xfId="29035"/>
    <cellStyle name="Normal 4 2 2 3 2 2 2 2 3 2 2 3" xfId="44078"/>
    <cellStyle name="Normal 4 2 2 3 2 2 2 2 3 2 3" xfId="21514"/>
    <cellStyle name="Normal 4 2 2 3 2 2 2 2 3 2 4" xfId="36557"/>
    <cellStyle name="Normal 4 2 2 3 2 2 2 2 3 3" xfId="10242"/>
    <cellStyle name="Normal 4 2 2 3 2 2 2 2 3 3 2" xfId="25286"/>
    <cellStyle name="Normal 4 2 2 3 2 2 2 2 3 3 3" xfId="40329"/>
    <cellStyle name="Normal 4 2 2 3 2 2 2 2 3 4" xfId="17765"/>
    <cellStyle name="Normal 4 2 2 3 2 2 2 2 3 5" xfId="32808"/>
    <cellStyle name="Normal 4 2 2 3 2 2 2 2 4" xfId="4603"/>
    <cellStyle name="Normal 4 2 2 3 2 2 2 2 4 2" xfId="12126"/>
    <cellStyle name="Normal 4 2 2 3 2 2 2 2 4 2 2" xfId="27170"/>
    <cellStyle name="Normal 4 2 2 3 2 2 2 2 4 2 3" xfId="42213"/>
    <cellStyle name="Normal 4 2 2 3 2 2 2 2 4 3" xfId="19649"/>
    <cellStyle name="Normal 4 2 2 3 2 2 2 2 4 4" xfId="34692"/>
    <cellStyle name="Normal 4 2 2 3 2 2 2 2 5" xfId="8377"/>
    <cellStyle name="Normal 4 2 2 3 2 2 2 2 5 2" xfId="23421"/>
    <cellStyle name="Normal 4 2 2 3 2 2 2 2 5 3" xfId="38464"/>
    <cellStyle name="Normal 4 2 2 3 2 2 2 2 6" xfId="15900"/>
    <cellStyle name="Normal 4 2 2 3 2 2 2 2 7" xfId="30943"/>
    <cellStyle name="Normal 4 2 2 3 2 2 2 3" xfId="1282"/>
    <cellStyle name="Normal 4 2 2 3 2 2 2 3 2" xfId="3153"/>
    <cellStyle name="Normal 4 2 2 3 2 2 2 3 2 2" xfId="6948"/>
    <cellStyle name="Normal 4 2 2 3 2 2 2 3 2 2 2" xfId="14471"/>
    <cellStyle name="Normal 4 2 2 3 2 2 2 3 2 2 2 2" xfId="29515"/>
    <cellStyle name="Normal 4 2 2 3 2 2 2 3 2 2 2 3" xfId="44558"/>
    <cellStyle name="Normal 4 2 2 3 2 2 2 3 2 2 3" xfId="21994"/>
    <cellStyle name="Normal 4 2 2 3 2 2 2 3 2 2 4" xfId="37037"/>
    <cellStyle name="Normal 4 2 2 3 2 2 2 3 2 3" xfId="10722"/>
    <cellStyle name="Normal 4 2 2 3 2 2 2 3 2 3 2" xfId="25766"/>
    <cellStyle name="Normal 4 2 2 3 2 2 2 3 2 3 3" xfId="40809"/>
    <cellStyle name="Normal 4 2 2 3 2 2 2 3 2 4" xfId="18245"/>
    <cellStyle name="Normal 4 2 2 3 2 2 2 3 2 5" xfId="33288"/>
    <cellStyle name="Normal 4 2 2 3 2 2 2 3 3" xfId="5083"/>
    <cellStyle name="Normal 4 2 2 3 2 2 2 3 3 2" xfId="12606"/>
    <cellStyle name="Normal 4 2 2 3 2 2 2 3 3 2 2" xfId="27650"/>
    <cellStyle name="Normal 4 2 2 3 2 2 2 3 3 2 3" xfId="42693"/>
    <cellStyle name="Normal 4 2 2 3 2 2 2 3 3 3" xfId="20129"/>
    <cellStyle name="Normal 4 2 2 3 2 2 2 3 3 4" xfId="35172"/>
    <cellStyle name="Normal 4 2 2 3 2 2 2 3 4" xfId="8857"/>
    <cellStyle name="Normal 4 2 2 3 2 2 2 3 4 2" xfId="23901"/>
    <cellStyle name="Normal 4 2 2 3 2 2 2 3 4 3" xfId="38944"/>
    <cellStyle name="Normal 4 2 2 3 2 2 2 3 5" xfId="16380"/>
    <cellStyle name="Normal 4 2 2 3 2 2 2 3 6" xfId="31423"/>
    <cellStyle name="Normal 4 2 2 3 2 2 2 4" xfId="2220"/>
    <cellStyle name="Normal 4 2 2 3 2 2 2 4 2" xfId="6016"/>
    <cellStyle name="Normal 4 2 2 3 2 2 2 4 2 2" xfId="13539"/>
    <cellStyle name="Normal 4 2 2 3 2 2 2 4 2 2 2" xfId="28583"/>
    <cellStyle name="Normal 4 2 2 3 2 2 2 4 2 2 3" xfId="43626"/>
    <cellStyle name="Normal 4 2 2 3 2 2 2 4 2 3" xfId="21062"/>
    <cellStyle name="Normal 4 2 2 3 2 2 2 4 2 4" xfId="36105"/>
    <cellStyle name="Normal 4 2 2 3 2 2 2 4 3" xfId="9790"/>
    <cellStyle name="Normal 4 2 2 3 2 2 2 4 3 2" xfId="24834"/>
    <cellStyle name="Normal 4 2 2 3 2 2 2 4 3 3" xfId="39877"/>
    <cellStyle name="Normal 4 2 2 3 2 2 2 4 4" xfId="17313"/>
    <cellStyle name="Normal 4 2 2 3 2 2 2 4 5" xfId="32356"/>
    <cellStyle name="Normal 4 2 2 3 2 2 2 5" xfId="4148"/>
    <cellStyle name="Normal 4 2 2 3 2 2 2 5 2" xfId="11672"/>
    <cellStyle name="Normal 4 2 2 3 2 2 2 5 2 2" xfId="26716"/>
    <cellStyle name="Normal 4 2 2 3 2 2 2 5 2 3" xfId="41759"/>
    <cellStyle name="Normal 4 2 2 3 2 2 2 5 3" xfId="19195"/>
    <cellStyle name="Normal 4 2 2 3 2 2 2 5 4" xfId="34238"/>
    <cellStyle name="Normal 4 2 2 3 2 2 2 6" xfId="7911"/>
    <cellStyle name="Normal 4 2 2 3 2 2 2 6 2" xfId="22955"/>
    <cellStyle name="Normal 4 2 2 3 2 2 2 6 3" xfId="37998"/>
    <cellStyle name="Normal 4 2 2 3 2 2 2 7" xfId="15434"/>
    <cellStyle name="Normal 4 2 2 3 2 2 2 8" xfId="30477"/>
    <cellStyle name="Normal 4 2 2 3 2 2 3" xfId="774"/>
    <cellStyle name="Normal 4 2 2 3 2 2 3 2" xfId="1733"/>
    <cellStyle name="Normal 4 2 2 3 2 2 3 2 2" xfId="3604"/>
    <cellStyle name="Normal 4 2 2 3 2 2 3 2 2 2" xfId="7399"/>
    <cellStyle name="Normal 4 2 2 3 2 2 3 2 2 2 2" xfId="14922"/>
    <cellStyle name="Normal 4 2 2 3 2 2 3 2 2 2 2 2" xfId="29966"/>
    <cellStyle name="Normal 4 2 2 3 2 2 3 2 2 2 2 3" xfId="45009"/>
    <cellStyle name="Normal 4 2 2 3 2 2 3 2 2 2 3" xfId="22445"/>
    <cellStyle name="Normal 4 2 2 3 2 2 3 2 2 2 4" xfId="37488"/>
    <cellStyle name="Normal 4 2 2 3 2 2 3 2 2 3" xfId="11173"/>
    <cellStyle name="Normal 4 2 2 3 2 2 3 2 2 3 2" xfId="26217"/>
    <cellStyle name="Normal 4 2 2 3 2 2 3 2 2 3 3" xfId="41260"/>
    <cellStyle name="Normal 4 2 2 3 2 2 3 2 2 4" xfId="18696"/>
    <cellStyle name="Normal 4 2 2 3 2 2 3 2 2 5" xfId="33739"/>
    <cellStyle name="Normal 4 2 2 3 2 2 3 2 3" xfId="5534"/>
    <cellStyle name="Normal 4 2 2 3 2 2 3 2 3 2" xfId="13057"/>
    <cellStyle name="Normal 4 2 2 3 2 2 3 2 3 2 2" xfId="28101"/>
    <cellStyle name="Normal 4 2 2 3 2 2 3 2 3 2 3" xfId="43144"/>
    <cellStyle name="Normal 4 2 2 3 2 2 3 2 3 3" xfId="20580"/>
    <cellStyle name="Normal 4 2 2 3 2 2 3 2 3 4" xfId="35623"/>
    <cellStyle name="Normal 4 2 2 3 2 2 3 2 4" xfId="9308"/>
    <cellStyle name="Normal 4 2 2 3 2 2 3 2 4 2" xfId="24352"/>
    <cellStyle name="Normal 4 2 2 3 2 2 3 2 4 3" xfId="39395"/>
    <cellStyle name="Normal 4 2 2 3 2 2 3 2 5" xfId="16831"/>
    <cellStyle name="Normal 4 2 2 3 2 2 3 2 6" xfId="31874"/>
    <cellStyle name="Normal 4 2 2 3 2 2 3 3" xfId="2672"/>
    <cellStyle name="Normal 4 2 2 3 2 2 3 3 2" xfId="6467"/>
    <cellStyle name="Normal 4 2 2 3 2 2 3 3 2 2" xfId="13990"/>
    <cellStyle name="Normal 4 2 2 3 2 2 3 3 2 2 2" xfId="29034"/>
    <cellStyle name="Normal 4 2 2 3 2 2 3 3 2 2 3" xfId="44077"/>
    <cellStyle name="Normal 4 2 2 3 2 2 3 3 2 3" xfId="21513"/>
    <cellStyle name="Normal 4 2 2 3 2 2 3 3 2 4" xfId="36556"/>
    <cellStyle name="Normal 4 2 2 3 2 2 3 3 3" xfId="10241"/>
    <cellStyle name="Normal 4 2 2 3 2 2 3 3 3 2" xfId="25285"/>
    <cellStyle name="Normal 4 2 2 3 2 2 3 3 3 3" xfId="40328"/>
    <cellStyle name="Normal 4 2 2 3 2 2 3 3 4" xfId="17764"/>
    <cellStyle name="Normal 4 2 2 3 2 2 3 3 5" xfId="32807"/>
    <cellStyle name="Normal 4 2 2 3 2 2 3 4" xfId="4602"/>
    <cellStyle name="Normal 4 2 2 3 2 2 3 4 2" xfId="12125"/>
    <cellStyle name="Normal 4 2 2 3 2 2 3 4 2 2" xfId="27169"/>
    <cellStyle name="Normal 4 2 2 3 2 2 3 4 2 3" xfId="42212"/>
    <cellStyle name="Normal 4 2 2 3 2 2 3 4 3" xfId="19648"/>
    <cellStyle name="Normal 4 2 2 3 2 2 3 4 4" xfId="34691"/>
    <cellStyle name="Normal 4 2 2 3 2 2 3 5" xfId="8376"/>
    <cellStyle name="Normal 4 2 2 3 2 2 3 5 2" xfId="23420"/>
    <cellStyle name="Normal 4 2 2 3 2 2 3 5 3" xfId="38463"/>
    <cellStyle name="Normal 4 2 2 3 2 2 3 6" xfId="15899"/>
    <cellStyle name="Normal 4 2 2 3 2 2 3 7" xfId="30942"/>
    <cellStyle name="Normal 4 2 2 3 2 2 4" xfId="1281"/>
    <cellStyle name="Normal 4 2 2 3 2 2 4 2" xfId="3152"/>
    <cellStyle name="Normal 4 2 2 3 2 2 4 2 2" xfId="6947"/>
    <cellStyle name="Normal 4 2 2 3 2 2 4 2 2 2" xfId="14470"/>
    <cellStyle name="Normal 4 2 2 3 2 2 4 2 2 2 2" xfId="29514"/>
    <cellStyle name="Normal 4 2 2 3 2 2 4 2 2 2 3" xfId="44557"/>
    <cellStyle name="Normal 4 2 2 3 2 2 4 2 2 3" xfId="21993"/>
    <cellStyle name="Normal 4 2 2 3 2 2 4 2 2 4" xfId="37036"/>
    <cellStyle name="Normal 4 2 2 3 2 2 4 2 3" xfId="10721"/>
    <cellStyle name="Normal 4 2 2 3 2 2 4 2 3 2" xfId="25765"/>
    <cellStyle name="Normal 4 2 2 3 2 2 4 2 3 3" xfId="40808"/>
    <cellStyle name="Normal 4 2 2 3 2 2 4 2 4" xfId="18244"/>
    <cellStyle name="Normal 4 2 2 3 2 2 4 2 5" xfId="33287"/>
    <cellStyle name="Normal 4 2 2 3 2 2 4 3" xfId="5082"/>
    <cellStyle name="Normal 4 2 2 3 2 2 4 3 2" xfId="12605"/>
    <cellStyle name="Normal 4 2 2 3 2 2 4 3 2 2" xfId="27649"/>
    <cellStyle name="Normal 4 2 2 3 2 2 4 3 2 3" xfId="42692"/>
    <cellStyle name="Normal 4 2 2 3 2 2 4 3 3" xfId="20128"/>
    <cellStyle name="Normal 4 2 2 3 2 2 4 3 4" xfId="35171"/>
    <cellStyle name="Normal 4 2 2 3 2 2 4 4" xfId="8856"/>
    <cellStyle name="Normal 4 2 2 3 2 2 4 4 2" xfId="23900"/>
    <cellStyle name="Normal 4 2 2 3 2 2 4 4 3" xfId="38943"/>
    <cellStyle name="Normal 4 2 2 3 2 2 4 5" xfId="16379"/>
    <cellStyle name="Normal 4 2 2 3 2 2 4 6" xfId="31422"/>
    <cellStyle name="Normal 4 2 2 3 2 2 5" xfId="2219"/>
    <cellStyle name="Normal 4 2 2 3 2 2 5 2" xfId="6015"/>
    <cellStyle name="Normal 4 2 2 3 2 2 5 2 2" xfId="13538"/>
    <cellStyle name="Normal 4 2 2 3 2 2 5 2 2 2" xfId="28582"/>
    <cellStyle name="Normal 4 2 2 3 2 2 5 2 2 3" xfId="43625"/>
    <cellStyle name="Normal 4 2 2 3 2 2 5 2 3" xfId="21061"/>
    <cellStyle name="Normal 4 2 2 3 2 2 5 2 4" xfId="36104"/>
    <cellStyle name="Normal 4 2 2 3 2 2 5 3" xfId="9789"/>
    <cellStyle name="Normal 4 2 2 3 2 2 5 3 2" xfId="24833"/>
    <cellStyle name="Normal 4 2 2 3 2 2 5 3 3" xfId="39876"/>
    <cellStyle name="Normal 4 2 2 3 2 2 5 4" xfId="17312"/>
    <cellStyle name="Normal 4 2 2 3 2 2 5 5" xfId="32355"/>
    <cellStyle name="Normal 4 2 2 3 2 2 6" xfId="4147"/>
    <cellStyle name="Normal 4 2 2 3 2 2 6 2" xfId="11671"/>
    <cellStyle name="Normal 4 2 2 3 2 2 6 2 2" xfId="26715"/>
    <cellStyle name="Normal 4 2 2 3 2 2 6 2 3" xfId="41758"/>
    <cellStyle name="Normal 4 2 2 3 2 2 6 3" xfId="19194"/>
    <cellStyle name="Normal 4 2 2 3 2 2 6 4" xfId="34237"/>
    <cellStyle name="Normal 4 2 2 3 2 2 7" xfId="7910"/>
    <cellStyle name="Normal 4 2 2 3 2 2 7 2" xfId="22954"/>
    <cellStyle name="Normal 4 2 2 3 2 2 7 3" xfId="37997"/>
    <cellStyle name="Normal 4 2 2 3 2 2 8" xfId="15433"/>
    <cellStyle name="Normal 4 2 2 3 2 2 9" xfId="30476"/>
    <cellStyle name="Normal 4 2 2 3 2 3" xfId="252"/>
    <cellStyle name="Normal 4 2 2 3 2 3 2" xfId="776"/>
    <cellStyle name="Normal 4 2 2 3 2 3 2 2" xfId="1735"/>
    <cellStyle name="Normal 4 2 2 3 2 3 2 2 2" xfId="3606"/>
    <cellStyle name="Normal 4 2 2 3 2 3 2 2 2 2" xfId="7401"/>
    <cellStyle name="Normal 4 2 2 3 2 3 2 2 2 2 2" xfId="14924"/>
    <cellStyle name="Normal 4 2 2 3 2 3 2 2 2 2 2 2" xfId="29968"/>
    <cellStyle name="Normal 4 2 2 3 2 3 2 2 2 2 2 3" xfId="45011"/>
    <cellStyle name="Normal 4 2 2 3 2 3 2 2 2 2 3" xfId="22447"/>
    <cellStyle name="Normal 4 2 2 3 2 3 2 2 2 2 4" xfId="37490"/>
    <cellStyle name="Normal 4 2 2 3 2 3 2 2 2 3" xfId="11175"/>
    <cellStyle name="Normal 4 2 2 3 2 3 2 2 2 3 2" xfId="26219"/>
    <cellStyle name="Normal 4 2 2 3 2 3 2 2 2 3 3" xfId="41262"/>
    <cellStyle name="Normal 4 2 2 3 2 3 2 2 2 4" xfId="18698"/>
    <cellStyle name="Normal 4 2 2 3 2 3 2 2 2 5" xfId="33741"/>
    <cellStyle name="Normal 4 2 2 3 2 3 2 2 3" xfId="5536"/>
    <cellStyle name="Normal 4 2 2 3 2 3 2 2 3 2" xfId="13059"/>
    <cellStyle name="Normal 4 2 2 3 2 3 2 2 3 2 2" xfId="28103"/>
    <cellStyle name="Normal 4 2 2 3 2 3 2 2 3 2 3" xfId="43146"/>
    <cellStyle name="Normal 4 2 2 3 2 3 2 2 3 3" xfId="20582"/>
    <cellStyle name="Normal 4 2 2 3 2 3 2 2 3 4" xfId="35625"/>
    <cellStyle name="Normal 4 2 2 3 2 3 2 2 4" xfId="9310"/>
    <cellStyle name="Normal 4 2 2 3 2 3 2 2 4 2" xfId="24354"/>
    <cellStyle name="Normal 4 2 2 3 2 3 2 2 4 3" xfId="39397"/>
    <cellStyle name="Normal 4 2 2 3 2 3 2 2 5" xfId="16833"/>
    <cellStyle name="Normal 4 2 2 3 2 3 2 2 6" xfId="31876"/>
    <cellStyle name="Normal 4 2 2 3 2 3 2 3" xfId="2674"/>
    <cellStyle name="Normal 4 2 2 3 2 3 2 3 2" xfId="6469"/>
    <cellStyle name="Normal 4 2 2 3 2 3 2 3 2 2" xfId="13992"/>
    <cellStyle name="Normal 4 2 2 3 2 3 2 3 2 2 2" xfId="29036"/>
    <cellStyle name="Normal 4 2 2 3 2 3 2 3 2 2 3" xfId="44079"/>
    <cellStyle name="Normal 4 2 2 3 2 3 2 3 2 3" xfId="21515"/>
    <cellStyle name="Normal 4 2 2 3 2 3 2 3 2 4" xfId="36558"/>
    <cellStyle name="Normal 4 2 2 3 2 3 2 3 3" xfId="10243"/>
    <cellStyle name="Normal 4 2 2 3 2 3 2 3 3 2" xfId="25287"/>
    <cellStyle name="Normal 4 2 2 3 2 3 2 3 3 3" xfId="40330"/>
    <cellStyle name="Normal 4 2 2 3 2 3 2 3 4" xfId="17766"/>
    <cellStyle name="Normal 4 2 2 3 2 3 2 3 5" xfId="32809"/>
    <cellStyle name="Normal 4 2 2 3 2 3 2 4" xfId="4604"/>
    <cellStyle name="Normal 4 2 2 3 2 3 2 4 2" xfId="12127"/>
    <cellStyle name="Normal 4 2 2 3 2 3 2 4 2 2" xfId="27171"/>
    <cellStyle name="Normal 4 2 2 3 2 3 2 4 2 3" xfId="42214"/>
    <cellStyle name="Normal 4 2 2 3 2 3 2 4 3" xfId="19650"/>
    <cellStyle name="Normal 4 2 2 3 2 3 2 4 4" xfId="34693"/>
    <cellStyle name="Normal 4 2 2 3 2 3 2 5" xfId="8378"/>
    <cellStyle name="Normal 4 2 2 3 2 3 2 5 2" xfId="23422"/>
    <cellStyle name="Normal 4 2 2 3 2 3 2 5 3" xfId="38465"/>
    <cellStyle name="Normal 4 2 2 3 2 3 2 6" xfId="15901"/>
    <cellStyle name="Normal 4 2 2 3 2 3 2 7" xfId="30944"/>
    <cellStyle name="Normal 4 2 2 3 2 3 3" xfId="1283"/>
    <cellStyle name="Normal 4 2 2 3 2 3 3 2" xfId="3154"/>
    <cellStyle name="Normal 4 2 2 3 2 3 3 2 2" xfId="6949"/>
    <cellStyle name="Normal 4 2 2 3 2 3 3 2 2 2" xfId="14472"/>
    <cellStyle name="Normal 4 2 2 3 2 3 3 2 2 2 2" xfId="29516"/>
    <cellStyle name="Normal 4 2 2 3 2 3 3 2 2 2 3" xfId="44559"/>
    <cellStyle name="Normal 4 2 2 3 2 3 3 2 2 3" xfId="21995"/>
    <cellStyle name="Normal 4 2 2 3 2 3 3 2 2 4" xfId="37038"/>
    <cellStyle name="Normal 4 2 2 3 2 3 3 2 3" xfId="10723"/>
    <cellStyle name="Normal 4 2 2 3 2 3 3 2 3 2" xfId="25767"/>
    <cellStyle name="Normal 4 2 2 3 2 3 3 2 3 3" xfId="40810"/>
    <cellStyle name="Normal 4 2 2 3 2 3 3 2 4" xfId="18246"/>
    <cellStyle name="Normal 4 2 2 3 2 3 3 2 5" xfId="33289"/>
    <cellStyle name="Normal 4 2 2 3 2 3 3 3" xfId="5084"/>
    <cellStyle name="Normal 4 2 2 3 2 3 3 3 2" xfId="12607"/>
    <cellStyle name="Normal 4 2 2 3 2 3 3 3 2 2" xfId="27651"/>
    <cellStyle name="Normal 4 2 2 3 2 3 3 3 2 3" xfId="42694"/>
    <cellStyle name="Normal 4 2 2 3 2 3 3 3 3" xfId="20130"/>
    <cellStyle name="Normal 4 2 2 3 2 3 3 3 4" xfId="35173"/>
    <cellStyle name="Normal 4 2 2 3 2 3 3 4" xfId="8858"/>
    <cellStyle name="Normal 4 2 2 3 2 3 3 4 2" xfId="23902"/>
    <cellStyle name="Normal 4 2 2 3 2 3 3 4 3" xfId="38945"/>
    <cellStyle name="Normal 4 2 2 3 2 3 3 5" xfId="16381"/>
    <cellStyle name="Normal 4 2 2 3 2 3 3 6" xfId="31424"/>
    <cellStyle name="Normal 4 2 2 3 2 3 4" xfId="2221"/>
    <cellStyle name="Normal 4 2 2 3 2 3 4 2" xfId="6017"/>
    <cellStyle name="Normal 4 2 2 3 2 3 4 2 2" xfId="13540"/>
    <cellStyle name="Normal 4 2 2 3 2 3 4 2 2 2" xfId="28584"/>
    <cellStyle name="Normal 4 2 2 3 2 3 4 2 2 3" xfId="43627"/>
    <cellStyle name="Normal 4 2 2 3 2 3 4 2 3" xfId="21063"/>
    <cellStyle name="Normal 4 2 2 3 2 3 4 2 4" xfId="36106"/>
    <cellStyle name="Normal 4 2 2 3 2 3 4 3" xfId="9791"/>
    <cellStyle name="Normal 4 2 2 3 2 3 4 3 2" xfId="24835"/>
    <cellStyle name="Normal 4 2 2 3 2 3 4 3 3" xfId="39878"/>
    <cellStyle name="Normal 4 2 2 3 2 3 4 4" xfId="17314"/>
    <cellStyle name="Normal 4 2 2 3 2 3 4 5" xfId="32357"/>
    <cellStyle name="Normal 4 2 2 3 2 3 5" xfId="4149"/>
    <cellStyle name="Normal 4 2 2 3 2 3 5 2" xfId="11673"/>
    <cellStyle name="Normal 4 2 2 3 2 3 5 2 2" xfId="26717"/>
    <cellStyle name="Normal 4 2 2 3 2 3 5 2 3" xfId="41760"/>
    <cellStyle name="Normal 4 2 2 3 2 3 5 3" xfId="19196"/>
    <cellStyle name="Normal 4 2 2 3 2 3 5 4" xfId="34239"/>
    <cellStyle name="Normal 4 2 2 3 2 3 6" xfId="7912"/>
    <cellStyle name="Normal 4 2 2 3 2 3 6 2" xfId="22956"/>
    <cellStyle name="Normal 4 2 2 3 2 3 6 3" xfId="37999"/>
    <cellStyle name="Normal 4 2 2 3 2 3 7" xfId="15435"/>
    <cellStyle name="Normal 4 2 2 3 2 3 8" xfId="30478"/>
    <cellStyle name="Normal 4 2 2 3 2 4" xfId="773"/>
    <cellStyle name="Normal 4 2 2 3 2 4 2" xfId="1732"/>
    <cellStyle name="Normal 4 2 2 3 2 4 2 2" xfId="3603"/>
    <cellStyle name="Normal 4 2 2 3 2 4 2 2 2" xfId="7398"/>
    <cellStyle name="Normal 4 2 2 3 2 4 2 2 2 2" xfId="14921"/>
    <cellStyle name="Normal 4 2 2 3 2 4 2 2 2 2 2" xfId="29965"/>
    <cellStyle name="Normal 4 2 2 3 2 4 2 2 2 2 3" xfId="45008"/>
    <cellStyle name="Normal 4 2 2 3 2 4 2 2 2 3" xfId="22444"/>
    <cellStyle name="Normal 4 2 2 3 2 4 2 2 2 4" xfId="37487"/>
    <cellStyle name="Normal 4 2 2 3 2 4 2 2 3" xfId="11172"/>
    <cellStyle name="Normal 4 2 2 3 2 4 2 2 3 2" xfId="26216"/>
    <cellStyle name="Normal 4 2 2 3 2 4 2 2 3 3" xfId="41259"/>
    <cellStyle name="Normal 4 2 2 3 2 4 2 2 4" xfId="18695"/>
    <cellStyle name="Normal 4 2 2 3 2 4 2 2 5" xfId="33738"/>
    <cellStyle name="Normal 4 2 2 3 2 4 2 3" xfId="5533"/>
    <cellStyle name="Normal 4 2 2 3 2 4 2 3 2" xfId="13056"/>
    <cellStyle name="Normal 4 2 2 3 2 4 2 3 2 2" xfId="28100"/>
    <cellStyle name="Normal 4 2 2 3 2 4 2 3 2 3" xfId="43143"/>
    <cellStyle name="Normal 4 2 2 3 2 4 2 3 3" xfId="20579"/>
    <cellStyle name="Normal 4 2 2 3 2 4 2 3 4" xfId="35622"/>
    <cellStyle name="Normal 4 2 2 3 2 4 2 4" xfId="9307"/>
    <cellStyle name="Normal 4 2 2 3 2 4 2 4 2" xfId="24351"/>
    <cellStyle name="Normal 4 2 2 3 2 4 2 4 3" xfId="39394"/>
    <cellStyle name="Normal 4 2 2 3 2 4 2 5" xfId="16830"/>
    <cellStyle name="Normal 4 2 2 3 2 4 2 6" xfId="31873"/>
    <cellStyle name="Normal 4 2 2 3 2 4 3" xfId="2671"/>
    <cellStyle name="Normal 4 2 2 3 2 4 3 2" xfId="6466"/>
    <cellStyle name="Normal 4 2 2 3 2 4 3 2 2" xfId="13989"/>
    <cellStyle name="Normal 4 2 2 3 2 4 3 2 2 2" xfId="29033"/>
    <cellStyle name="Normal 4 2 2 3 2 4 3 2 2 3" xfId="44076"/>
    <cellStyle name="Normal 4 2 2 3 2 4 3 2 3" xfId="21512"/>
    <cellStyle name="Normal 4 2 2 3 2 4 3 2 4" xfId="36555"/>
    <cellStyle name="Normal 4 2 2 3 2 4 3 3" xfId="10240"/>
    <cellStyle name="Normal 4 2 2 3 2 4 3 3 2" xfId="25284"/>
    <cellStyle name="Normal 4 2 2 3 2 4 3 3 3" xfId="40327"/>
    <cellStyle name="Normal 4 2 2 3 2 4 3 4" xfId="17763"/>
    <cellStyle name="Normal 4 2 2 3 2 4 3 5" xfId="32806"/>
    <cellStyle name="Normal 4 2 2 3 2 4 4" xfId="4601"/>
    <cellStyle name="Normal 4 2 2 3 2 4 4 2" xfId="12124"/>
    <cellStyle name="Normal 4 2 2 3 2 4 4 2 2" xfId="27168"/>
    <cellStyle name="Normal 4 2 2 3 2 4 4 2 3" xfId="42211"/>
    <cellStyle name="Normal 4 2 2 3 2 4 4 3" xfId="19647"/>
    <cellStyle name="Normal 4 2 2 3 2 4 4 4" xfId="34690"/>
    <cellStyle name="Normal 4 2 2 3 2 4 5" xfId="8375"/>
    <cellStyle name="Normal 4 2 2 3 2 4 5 2" xfId="23419"/>
    <cellStyle name="Normal 4 2 2 3 2 4 5 3" xfId="38462"/>
    <cellStyle name="Normal 4 2 2 3 2 4 6" xfId="15898"/>
    <cellStyle name="Normal 4 2 2 3 2 4 7" xfId="30941"/>
    <cellStyle name="Normal 4 2 2 3 2 5" xfId="1280"/>
    <cellStyle name="Normal 4 2 2 3 2 5 2" xfId="3151"/>
    <cellStyle name="Normal 4 2 2 3 2 5 2 2" xfId="6946"/>
    <cellStyle name="Normal 4 2 2 3 2 5 2 2 2" xfId="14469"/>
    <cellStyle name="Normal 4 2 2 3 2 5 2 2 2 2" xfId="29513"/>
    <cellStyle name="Normal 4 2 2 3 2 5 2 2 2 3" xfId="44556"/>
    <cellStyle name="Normal 4 2 2 3 2 5 2 2 3" xfId="21992"/>
    <cellStyle name="Normal 4 2 2 3 2 5 2 2 4" xfId="37035"/>
    <cellStyle name="Normal 4 2 2 3 2 5 2 3" xfId="10720"/>
    <cellStyle name="Normal 4 2 2 3 2 5 2 3 2" xfId="25764"/>
    <cellStyle name="Normal 4 2 2 3 2 5 2 3 3" xfId="40807"/>
    <cellStyle name="Normal 4 2 2 3 2 5 2 4" xfId="18243"/>
    <cellStyle name="Normal 4 2 2 3 2 5 2 5" xfId="33286"/>
    <cellStyle name="Normal 4 2 2 3 2 5 3" xfId="5081"/>
    <cellStyle name="Normal 4 2 2 3 2 5 3 2" xfId="12604"/>
    <cellStyle name="Normal 4 2 2 3 2 5 3 2 2" xfId="27648"/>
    <cellStyle name="Normal 4 2 2 3 2 5 3 2 3" xfId="42691"/>
    <cellStyle name="Normal 4 2 2 3 2 5 3 3" xfId="20127"/>
    <cellStyle name="Normal 4 2 2 3 2 5 3 4" xfId="35170"/>
    <cellStyle name="Normal 4 2 2 3 2 5 4" xfId="8855"/>
    <cellStyle name="Normal 4 2 2 3 2 5 4 2" xfId="23899"/>
    <cellStyle name="Normal 4 2 2 3 2 5 4 3" xfId="38942"/>
    <cellStyle name="Normal 4 2 2 3 2 5 5" xfId="16378"/>
    <cellStyle name="Normal 4 2 2 3 2 5 6" xfId="31421"/>
    <cellStyle name="Normal 4 2 2 3 2 6" xfId="2218"/>
    <cellStyle name="Normal 4 2 2 3 2 6 2" xfId="6014"/>
    <cellStyle name="Normal 4 2 2 3 2 6 2 2" xfId="13537"/>
    <cellStyle name="Normal 4 2 2 3 2 6 2 2 2" xfId="28581"/>
    <cellStyle name="Normal 4 2 2 3 2 6 2 2 3" xfId="43624"/>
    <cellStyle name="Normal 4 2 2 3 2 6 2 3" xfId="21060"/>
    <cellStyle name="Normal 4 2 2 3 2 6 2 4" xfId="36103"/>
    <cellStyle name="Normal 4 2 2 3 2 6 3" xfId="9788"/>
    <cellStyle name="Normal 4 2 2 3 2 6 3 2" xfId="24832"/>
    <cellStyle name="Normal 4 2 2 3 2 6 3 3" xfId="39875"/>
    <cellStyle name="Normal 4 2 2 3 2 6 4" xfId="17311"/>
    <cellStyle name="Normal 4 2 2 3 2 6 5" xfId="32354"/>
    <cellStyle name="Normal 4 2 2 3 2 7" xfId="4146"/>
    <cellStyle name="Normal 4 2 2 3 2 7 2" xfId="11670"/>
    <cellStyle name="Normal 4 2 2 3 2 7 2 2" xfId="26714"/>
    <cellStyle name="Normal 4 2 2 3 2 7 2 3" xfId="41757"/>
    <cellStyle name="Normal 4 2 2 3 2 7 3" xfId="19193"/>
    <cellStyle name="Normal 4 2 2 3 2 7 4" xfId="34236"/>
    <cellStyle name="Normal 4 2 2 3 2 8" xfId="7909"/>
    <cellStyle name="Normal 4 2 2 3 2 8 2" xfId="22953"/>
    <cellStyle name="Normal 4 2 2 3 2 8 3" xfId="37996"/>
    <cellStyle name="Normal 4 2 2 3 2 9" xfId="15432"/>
    <cellStyle name="Normal 4 2 2 3 3" xfId="253"/>
    <cellStyle name="Normal 4 2 2 3 3 2" xfId="254"/>
    <cellStyle name="Normal 4 2 2 3 3 2 2" xfId="778"/>
    <cellStyle name="Normal 4 2 2 3 3 2 2 2" xfId="1737"/>
    <cellStyle name="Normal 4 2 2 3 3 2 2 2 2" xfId="3608"/>
    <cellStyle name="Normal 4 2 2 3 3 2 2 2 2 2" xfId="7403"/>
    <cellStyle name="Normal 4 2 2 3 3 2 2 2 2 2 2" xfId="14926"/>
    <cellStyle name="Normal 4 2 2 3 3 2 2 2 2 2 2 2" xfId="29970"/>
    <cellStyle name="Normal 4 2 2 3 3 2 2 2 2 2 2 3" xfId="45013"/>
    <cellStyle name="Normal 4 2 2 3 3 2 2 2 2 2 3" xfId="22449"/>
    <cellStyle name="Normal 4 2 2 3 3 2 2 2 2 2 4" xfId="37492"/>
    <cellStyle name="Normal 4 2 2 3 3 2 2 2 2 3" xfId="11177"/>
    <cellStyle name="Normal 4 2 2 3 3 2 2 2 2 3 2" xfId="26221"/>
    <cellStyle name="Normal 4 2 2 3 3 2 2 2 2 3 3" xfId="41264"/>
    <cellStyle name="Normal 4 2 2 3 3 2 2 2 2 4" xfId="18700"/>
    <cellStyle name="Normal 4 2 2 3 3 2 2 2 2 5" xfId="33743"/>
    <cellStyle name="Normal 4 2 2 3 3 2 2 2 3" xfId="5538"/>
    <cellStyle name="Normal 4 2 2 3 3 2 2 2 3 2" xfId="13061"/>
    <cellStyle name="Normal 4 2 2 3 3 2 2 2 3 2 2" xfId="28105"/>
    <cellStyle name="Normal 4 2 2 3 3 2 2 2 3 2 3" xfId="43148"/>
    <cellStyle name="Normal 4 2 2 3 3 2 2 2 3 3" xfId="20584"/>
    <cellStyle name="Normal 4 2 2 3 3 2 2 2 3 4" xfId="35627"/>
    <cellStyle name="Normal 4 2 2 3 3 2 2 2 4" xfId="9312"/>
    <cellStyle name="Normal 4 2 2 3 3 2 2 2 4 2" xfId="24356"/>
    <cellStyle name="Normal 4 2 2 3 3 2 2 2 4 3" xfId="39399"/>
    <cellStyle name="Normal 4 2 2 3 3 2 2 2 5" xfId="16835"/>
    <cellStyle name="Normal 4 2 2 3 3 2 2 2 6" xfId="31878"/>
    <cellStyle name="Normal 4 2 2 3 3 2 2 3" xfId="2676"/>
    <cellStyle name="Normal 4 2 2 3 3 2 2 3 2" xfId="6471"/>
    <cellStyle name="Normal 4 2 2 3 3 2 2 3 2 2" xfId="13994"/>
    <cellStyle name="Normal 4 2 2 3 3 2 2 3 2 2 2" xfId="29038"/>
    <cellStyle name="Normal 4 2 2 3 3 2 2 3 2 2 3" xfId="44081"/>
    <cellStyle name="Normal 4 2 2 3 3 2 2 3 2 3" xfId="21517"/>
    <cellStyle name="Normal 4 2 2 3 3 2 2 3 2 4" xfId="36560"/>
    <cellStyle name="Normal 4 2 2 3 3 2 2 3 3" xfId="10245"/>
    <cellStyle name="Normal 4 2 2 3 3 2 2 3 3 2" xfId="25289"/>
    <cellStyle name="Normal 4 2 2 3 3 2 2 3 3 3" xfId="40332"/>
    <cellStyle name="Normal 4 2 2 3 3 2 2 3 4" xfId="17768"/>
    <cellStyle name="Normal 4 2 2 3 3 2 2 3 5" xfId="32811"/>
    <cellStyle name="Normal 4 2 2 3 3 2 2 4" xfId="4606"/>
    <cellStyle name="Normal 4 2 2 3 3 2 2 4 2" xfId="12129"/>
    <cellStyle name="Normal 4 2 2 3 3 2 2 4 2 2" xfId="27173"/>
    <cellStyle name="Normal 4 2 2 3 3 2 2 4 2 3" xfId="42216"/>
    <cellStyle name="Normal 4 2 2 3 3 2 2 4 3" xfId="19652"/>
    <cellStyle name="Normal 4 2 2 3 3 2 2 4 4" xfId="34695"/>
    <cellStyle name="Normal 4 2 2 3 3 2 2 5" xfId="8380"/>
    <cellStyle name="Normal 4 2 2 3 3 2 2 5 2" xfId="23424"/>
    <cellStyle name="Normal 4 2 2 3 3 2 2 5 3" xfId="38467"/>
    <cellStyle name="Normal 4 2 2 3 3 2 2 6" xfId="15903"/>
    <cellStyle name="Normal 4 2 2 3 3 2 2 7" xfId="30946"/>
    <cellStyle name="Normal 4 2 2 3 3 2 3" xfId="1285"/>
    <cellStyle name="Normal 4 2 2 3 3 2 3 2" xfId="3156"/>
    <cellStyle name="Normal 4 2 2 3 3 2 3 2 2" xfId="6951"/>
    <cellStyle name="Normal 4 2 2 3 3 2 3 2 2 2" xfId="14474"/>
    <cellStyle name="Normal 4 2 2 3 3 2 3 2 2 2 2" xfId="29518"/>
    <cellStyle name="Normal 4 2 2 3 3 2 3 2 2 2 3" xfId="44561"/>
    <cellStyle name="Normal 4 2 2 3 3 2 3 2 2 3" xfId="21997"/>
    <cellStyle name="Normal 4 2 2 3 3 2 3 2 2 4" xfId="37040"/>
    <cellStyle name="Normal 4 2 2 3 3 2 3 2 3" xfId="10725"/>
    <cellStyle name="Normal 4 2 2 3 3 2 3 2 3 2" xfId="25769"/>
    <cellStyle name="Normal 4 2 2 3 3 2 3 2 3 3" xfId="40812"/>
    <cellStyle name="Normal 4 2 2 3 3 2 3 2 4" xfId="18248"/>
    <cellStyle name="Normal 4 2 2 3 3 2 3 2 5" xfId="33291"/>
    <cellStyle name="Normal 4 2 2 3 3 2 3 3" xfId="5086"/>
    <cellStyle name="Normal 4 2 2 3 3 2 3 3 2" xfId="12609"/>
    <cellStyle name="Normal 4 2 2 3 3 2 3 3 2 2" xfId="27653"/>
    <cellStyle name="Normal 4 2 2 3 3 2 3 3 2 3" xfId="42696"/>
    <cellStyle name="Normal 4 2 2 3 3 2 3 3 3" xfId="20132"/>
    <cellStyle name="Normal 4 2 2 3 3 2 3 3 4" xfId="35175"/>
    <cellStyle name="Normal 4 2 2 3 3 2 3 4" xfId="8860"/>
    <cellStyle name="Normal 4 2 2 3 3 2 3 4 2" xfId="23904"/>
    <cellStyle name="Normal 4 2 2 3 3 2 3 4 3" xfId="38947"/>
    <cellStyle name="Normal 4 2 2 3 3 2 3 5" xfId="16383"/>
    <cellStyle name="Normal 4 2 2 3 3 2 3 6" xfId="31426"/>
    <cellStyle name="Normal 4 2 2 3 3 2 4" xfId="2223"/>
    <cellStyle name="Normal 4 2 2 3 3 2 4 2" xfId="6019"/>
    <cellStyle name="Normal 4 2 2 3 3 2 4 2 2" xfId="13542"/>
    <cellStyle name="Normal 4 2 2 3 3 2 4 2 2 2" xfId="28586"/>
    <cellStyle name="Normal 4 2 2 3 3 2 4 2 2 3" xfId="43629"/>
    <cellStyle name="Normal 4 2 2 3 3 2 4 2 3" xfId="21065"/>
    <cellStyle name="Normal 4 2 2 3 3 2 4 2 4" xfId="36108"/>
    <cellStyle name="Normal 4 2 2 3 3 2 4 3" xfId="9793"/>
    <cellStyle name="Normal 4 2 2 3 3 2 4 3 2" xfId="24837"/>
    <cellStyle name="Normal 4 2 2 3 3 2 4 3 3" xfId="39880"/>
    <cellStyle name="Normal 4 2 2 3 3 2 4 4" xfId="17316"/>
    <cellStyle name="Normal 4 2 2 3 3 2 4 5" xfId="32359"/>
    <cellStyle name="Normal 4 2 2 3 3 2 5" xfId="4151"/>
    <cellStyle name="Normal 4 2 2 3 3 2 5 2" xfId="11675"/>
    <cellStyle name="Normal 4 2 2 3 3 2 5 2 2" xfId="26719"/>
    <cellStyle name="Normal 4 2 2 3 3 2 5 2 3" xfId="41762"/>
    <cellStyle name="Normal 4 2 2 3 3 2 5 3" xfId="19198"/>
    <cellStyle name="Normal 4 2 2 3 3 2 5 4" xfId="34241"/>
    <cellStyle name="Normal 4 2 2 3 3 2 6" xfId="7914"/>
    <cellStyle name="Normal 4 2 2 3 3 2 6 2" xfId="22958"/>
    <cellStyle name="Normal 4 2 2 3 3 2 6 3" xfId="38001"/>
    <cellStyle name="Normal 4 2 2 3 3 2 7" xfId="15437"/>
    <cellStyle name="Normal 4 2 2 3 3 2 8" xfId="30480"/>
    <cellStyle name="Normal 4 2 2 3 3 3" xfId="777"/>
    <cellStyle name="Normal 4 2 2 3 3 3 2" xfId="1736"/>
    <cellStyle name="Normal 4 2 2 3 3 3 2 2" xfId="3607"/>
    <cellStyle name="Normal 4 2 2 3 3 3 2 2 2" xfId="7402"/>
    <cellStyle name="Normal 4 2 2 3 3 3 2 2 2 2" xfId="14925"/>
    <cellStyle name="Normal 4 2 2 3 3 3 2 2 2 2 2" xfId="29969"/>
    <cellStyle name="Normal 4 2 2 3 3 3 2 2 2 2 3" xfId="45012"/>
    <cellStyle name="Normal 4 2 2 3 3 3 2 2 2 3" xfId="22448"/>
    <cellStyle name="Normal 4 2 2 3 3 3 2 2 2 4" xfId="37491"/>
    <cellStyle name="Normal 4 2 2 3 3 3 2 2 3" xfId="11176"/>
    <cellStyle name="Normal 4 2 2 3 3 3 2 2 3 2" xfId="26220"/>
    <cellStyle name="Normal 4 2 2 3 3 3 2 2 3 3" xfId="41263"/>
    <cellStyle name="Normal 4 2 2 3 3 3 2 2 4" xfId="18699"/>
    <cellStyle name="Normal 4 2 2 3 3 3 2 2 5" xfId="33742"/>
    <cellStyle name="Normal 4 2 2 3 3 3 2 3" xfId="5537"/>
    <cellStyle name="Normal 4 2 2 3 3 3 2 3 2" xfId="13060"/>
    <cellStyle name="Normal 4 2 2 3 3 3 2 3 2 2" xfId="28104"/>
    <cellStyle name="Normal 4 2 2 3 3 3 2 3 2 3" xfId="43147"/>
    <cellStyle name="Normal 4 2 2 3 3 3 2 3 3" xfId="20583"/>
    <cellStyle name="Normal 4 2 2 3 3 3 2 3 4" xfId="35626"/>
    <cellStyle name="Normal 4 2 2 3 3 3 2 4" xfId="9311"/>
    <cellStyle name="Normal 4 2 2 3 3 3 2 4 2" xfId="24355"/>
    <cellStyle name="Normal 4 2 2 3 3 3 2 4 3" xfId="39398"/>
    <cellStyle name="Normal 4 2 2 3 3 3 2 5" xfId="16834"/>
    <cellStyle name="Normal 4 2 2 3 3 3 2 6" xfId="31877"/>
    <cellStyle name="Normal 4 2 2 3 3 3 3" xfId="2675"/>
    <cellStyle name="Normal 4 2 2 3 3 3 3 2" xfId="6470"/>
    <cellStyle name="Normal 4 2 2 3 3 3 3 2 2" xfId="13993"/>
    <cellStyle name="Normal 4 2 2 3 3 3 3 2 2 2" xfId="29037"/>
    <cellStyle name="Normal 4 2 2 3 3 3 3 2 2 3" xfId="44080"/>
    <cellStyle name="Normal 4 2 2 3 3 3 3 2 3" xfId="21516"/>
    <cellStyle name="Normal 4 2 2 3 3 3 3 2 4" xfId="36559"/>
    <cellStyle name="Normal 4 2 2 3 3 3 3 3" xfId="10244"/>
    <cellStyle name="Normal 4 2 2 3 3 3 3 3 2" xfId="25288"/>
    <cellStyle name="Normal 4 2 2 3 3 3 3 3 3" xfId="40331"/>
    <cellStyle name="Normal 4 2 2 3 3 3 3 4" xfId="17767"/>
    <cellStyle name="Normal 4 2 2 3 3 3 3 5" xfId="32810"/>
    <cellStyle name="Normal 4 2 2 3 3 3 4" xfId="4605"/>
    <cellStyle name="Normal 4 2 2 3 3 3 4 2" xfId="12128"/>
    <cellStyle name="Normal 4 2 2 3 3 3 4 2 2" xfId="27172"/>
    <cellStyle name="Normal 4 2 2 3 3 3 4 2 3" xfId="42215"/>
    <cellStyle name="Normal 4 2 2 3 3 3 4 3" xfId="19651"/>
    <cellStyle name="Normal 4 2 2 3 3 3 4 4" xfId="34694"/>
    <cellStyle name="Normal 4 2 2 3 3 3 5" xfId="8379"/>
    <cellStyle name="Normal 4 2 2 3 3 3 5 2" xfId="23423"/>
    <cellStyle name="Normal 4 2 2 3 3 3 5 3" xfId="38466"/>
    <cellStyle name="Normal 4 2 2 3 3 3 6" xfId="15902"/>
    <cellStyle name="Normal 4 2 2 3 3 3 7" xfId="30945"/>
    <cellStyle name="Normal 4 2 2 3 3 4" xfId="1284"/>
    <cellStyle name="Normal 4 2 2 3 3 4 2" xfId="3155"/>
    <cellStyle name="Normal 4 2 2 3 3 4 2 2" xfId="6950"/>
    <cellStyle name="Normal 4 2 2 3 3 4 2 2 2" xfId="14473"/>
    <cellStyle name="Normal 4 2 2 3 3 4 2 2 2 2" xfId="29517"/>
    <cellStyle name="Normal 4 2 2 3 3 4 2 2 2 3" xfId="44560"/>
    <cellStyle name="Normal 4 2 2 3 3 4 2 2 3" xfId="21996"/>
    <cellStyle name="Normal 4 2 2 3 3 4 2 2 4" xfId="37039"/>
    <cellStyle name="Normal 4 2 2 3 3 4 2 3" xfId="10724"/>
    <cellStyle name="Normal 4 2 2 3 3 4 2 3 2" xfId="25768"/>
    <cellStyle name="Normal 4 2 2 3 3 4 2 3 3" xfId="40811"/>
    <cellStyle name="Normal 4 2 2 3 3 4 2 4" xfId="18247"/>
    <cellStyle name="Normal 4 2 2 3 3 4 2 5" xfId="33290"/>
    <cellStyle name="Normal 4 2 2 3 3 4 3" xfId="5085"/>
    <cellStyle name="Normal 4 2 2 3 3 4 3 2" xfId="12608"/>
    <cellStyle name="Normal 4 2 2 3 3 4 3 2 2" xfId="27652"/>
    <cellStyle name="Normal 4 2 2 3 3 4 3 2 3" xfId="42695"/>
    <cellStyle name="Normal 4 2 2 3 3 4 3 3" xfId="20131"/>
    <cellStyle name="Normal 4 2 2 3 3 4 3 4" xfId="35174"/>
    <cellStyle name="Normal 4 2 2 3 3 4 4" xfId="8859"/>
    <cellStyle name="Normal 4 2 2 3 3 4 4 2" xfId="23903"/>
    <cellStyle name="Normal 4 2 2 3 3 4 4 3" xfId="38946"/>
    <cellStyle name="Normal 4 2 2 3 3 4 5" xfId="16382"/>
    <cellStyle name="Normal 4 2 2 3 3 4 6" xfId="31425"/>
    <cellStyle name="Normal 4 2 2 3 3 5" xfId="2222"/>
    <cellStyle name="Normal 4 2 2 3 3 5 2" xfId="6018"/>
    <cellStyle name="Normal 4 2 2 3 3 5 2 2" xfId="13541"/>
    <cellStyle name="Normal 4 2 2 3 3 5 2 2 2" xfId="28585"/>
    <cellStyle name="Normal 4 2 2 3 3 5 2 2 3" xfId="43628"/>
    <cellStyle name="Normal 4 2 2 3 3 5 2 3" xfId="21064"/>
    <cellStyle name="Normal 4 2 2 3 3 5 2 4" xfId="36107"/>
    <cellStyle name="Normal 4 2 2 3 3 5 3" xfId="9792"/>
    <cellStyle name="Normal 4 2 2 3 3 5 3 2" xfId="24836"/>
    <cellStyle name="Normal 4 2 2 3 3 5 3 3" xfId="39879"/>
    <cellStyle name="Normal 4 2 2 3 3 5 4" xfId="17315"/>
    <cellStyle name="Normal 4 2 2 3 3 5 5" xfId="32358"/>
    <cellStyle name="Normal 4 2 2 3 3 6" xfId="4150"/>
    <cellStyle name="Normal 4 2 2 3 3 6 2" xfId="11674"/>
    <cellStyle name="Normal 4 2 2 3 3 6 2 2" xfId="26718"/>
    <cellStyle name="Normal 4 2 2 3 3 6 2 3" xfId="41761"/>
    <cellStyle name="Normal 4 2 2 3 3 6 3" xfId="19197"/>
    <cellStyle name="Normal 4 2 2 3 3 6 4" xfId="34240"/>
    <cellStyle name="Normal 4 2 2 3 3 7" xfId="7913"/>
    <cellStyle name="Normal 4 2 2 3 3 7 2" xfId="22957"/>
    <cellStyle name="Normal 4 2 2 3 3 7 3" xfId="38000"/>
    <cellStyle name="Normal 4 2 2 3 3 8" xfId="15436"/>
    <cellStyle name="Normal 4 2 2 3 3 9" xfId="30479"/>
    <cellStyle name="Normal 4 2 2 3 4" xfId="255"/>
    <cellStyle name="Normal 4 2 2 3 4 2" xfId="256"/>
    <cellStyle name="Normal 4 2 2 3 4 2 2" xfId="780"/>
    <cellStyle name="Normal 4 2 2 3 4 2 2 2" xfId="1739"/>
    <cellStyle name="Normal 4 2 2 3 4 2 2 2 2" xfId="3610"/>
    <cellStyle name="Normal 4 2 2 3 4 2 2 2 2 2" xfId="7405"/>
    <cellStyle name="Normal 4 2 2 3 4 2 2 2 2 2 2" xfId="14928"/>
    <cellStyle name="Normal 4 2 2 3 4 2 2 2 2 2 2 2" xfId="29972"/>
    <cellStyle name="Normal 4 2 2 3 4 2 2 2 2 2 2 3" xfId="45015"/>
    <cellStyle name="Normal 4 2 2 3 4 2 2 2 2 2 3" xfId="22451"/>
    <cellStyle name="Normal 4 2 2 3 4 2 2 2 2 2 4" xfId="37494"/>
    <cellStyle name="Normal 4 2 2 3 4 2 2 2 2 3" xfId="11179"/>
    <cellStyle name="Normal 4 2 2 3 4 2 2 2 2 3 2" xfId="26223"/>
    <cellStyle name="Normal 4 2 2 3 4 2 2 2 2 3 3" xfId="41266"/>
    <cellStyle name="Normal 4 2 2 3 4 2 2 2 2 4" xfId="18702"/>
    <cellStyle name="Normal 4 2 2 3 4 2 2 2 2 5" xfId="33745"/>
    <cellStyle name="Normal 4 2 2 3 4 2 2 2 3" xfId="5540"/>
    <cellStyle name="Normal 4 2 2 3 4 2 2 2 3 2" xfId="13063"/>
    <cellStyle name="Normal 4 2 2 3 4 2 2 2 3 2 2" xfId="28107"/>
    <cellStyle name="Normal 4 2 2 3 4 2 2 2 3 2 3" xfId="43150"/>
    <cellStyle name="Normal 4 2 2 3 4 2 2 2 3 3" xfId="20586"/>
    <cellStyle name="Normal 4 2 2 3 4 2 2 2 3 4" xfId="35629"/>
    <cellStyle name="Normal 4 2 2 3 4 2 2 2 4" xfId="9314"/>
    <cellStyle name="Normal 4 2 2 3 4 2 2 2 4 2" xfId="24358"/>
    <cellStyle name="Normal 4 2 2 3 4 2 2 2 4 3" xfId="39401"/>
    <cellStyle name="Normal 4 2 2 3 4 2 2 2 5" xfId="16837"/>
    <cellStyle name="Normal 4 2 2 3 4 2 2 2 6" xfId="31880"/>
    <cellStyle name="Normal 4 2 2 3 4 2 2 3" xfId="2678"/>
    <cellStyle name="Normal 4 2 2 3 4 2 2 3 2" xfId="6473"/>
    <cellStyle name="Normal 4 2 2 3 4 2 2 3 2 2" xfId="13996"/>
    <cellStyle name="Normal 4 2 2 3 4 2 2 3 2 2 2" xfId="29040"/>
    <cellStyle name="Normal 4 2 2 3 4 2 2 3 2 2 3" xfId="44083"/>
    <cellStyle name="Normal 4 2 2 3 4 2 2 3 2 3" xfId="21519"/>
    <cellStyle name="Normal 4 2 2 3 4 2 2 3 2 4" xfId="36562"/>
    <cellStyle name="Normal 4 2 2 3 4 2 2 3 3" xfId="10247"/>
    <cellStyle name="Normal 4 2 2 3 4 2 2 3 3 2" xfId="25291"/>
    <cellStyle name="Normal 4 2 2 3 4 2 2 3 3 3" xfId="40334"/>
    <cellStyle name="Normal 4 2 2 3 4 2 2 3 4" xfId="17770"/>
    <cellStyle name="Normal 4 2 2 3 4 2 2 3 5" xfId="32813"/>
    <cellStyle name="Normal 4 2 2 3 4 2 2 4" xfId="4608"/>
    <cellStyle name="Normal 4 2 2 3 4 2 2 4 2" xfId="12131"/>
    <cellStyle name="Normal 4 2 2 3 4 2 2 4 2 2" xfId="27175"/>
    <cellStyle name="Normal 4 2 2 3 4 2 2 4 2 3" xfId="42218"/>
    <cellStyle name="Normal 4 2 2 3 4 2 2 4 3" xfId="19654"/>
    <cellStyle name="Normal 4 2 2 3 4 2 2 4 4" xfId="34697"/>
    <cellStyle name="Normal 4 2 2 3 4 2 2 5" xfId="8382"/>
    <cellStyle name="Normal 4 2 2 3 4 2 2 5 2" xfId="23426"/>
    <cellStyle name="Normal 4 2 2 3 4 2 2 5 3" xfId="38469"/>
    <cellStyle name="Normal 4 2 2 3 4 2 2 6" xfId="15905"/>
    <cellStyle name="Normal 4 2 2 3 4 2 2 7" xfId="30948"/>
    <cellStyle name="Normal 4 2 2 3 4 2 3" xfId="1287"/>
    <cellStyle name="Normal 4 2 2 3 4 2 3 2" xfId="3158"/>
    <cellStyle name="Normal 4 2 2 3 4 2 3 2 2" xfId="6953"/>
    <cellStyle name="Normal 4 2 2 3 4 2 3 2 2 2" xfId="14476"/>
    <cellStyle name="Normal 4 2 2 3 4 2 3 2 2 2 2" xfId="29520"/>
    <cellStyle name="Normal 4 2 2 3 4 2 3 2 2 2 3" xfId="44563"/>
    <cellStyle name="Normal 4 2 2 3 4 2 3 2 2 3" xfId="21999"/>
    <cellStyle name="Normal 4 2 2 3 4 2 3 2 2 4" xfId="37042"/>
    <cellStyle name="Normal 4 2 2 3 4 2 3 2 3" xfId="10727"/>
    <cellStyle name="Normal 4 2 2 3 4 2 3 2 3 2" xfId="25771"/>
    <cellStyle name="Normal 4 2 2 3 4 2 3 2 3 3" xfId="40814"/>
    <cellStyle name="Normal 4 2 2 3 4 2 3 2 4" xfId="18250"/>
    <cellStyle name="Normal 4 2 2 3 4 2 3 2 5" xfId="33293"/>
    <cellStyle name="Normal 4 2 2 3 4 2 3 3" xfId="5088"/>
    <cellStyle name="Normal 4 2 2 3 4 2 3 3 2" xfId="12611"/>
    <cellStyle name="Normal 4 2 2 3 4 2 3 3 2 2" xfId="27655"/>
    <cellStyle name="Normal 4 2 2 3 4 2 3 3 2 3" xfId="42698"/>
    <cellStyle name="Normal 4 2 2 3 4 2 3 3 3" xfId="20134"/>
    <cellStyle name="Normal 4 2 2 3 4 2 3 3 4" xfId="35177"/>
    <cellStyle name="Normal 4 2 2 3 4 2 3 4" xfId="8862"/>
    <cellStyle name="Normal 4 2 2 3 4 2 3 4 2" xfId="23906"/>
    <cellStyle name="Normal 4 2 2 3 4 2 3 4 3" xfId="38949"/>
    <cellStyle name="Normal 4 2 2 3 4 2 3 5" xfId="16385"/>
    <cellStyle name="Normal 4 2 2 3 4 2 3 6" xfId="31428"/>
    <cellStyle name="Normal 4 2 2 3 4 2 4" xfId="2225"/>
    <cellStyle name="Normal 4 2 2 3 4 2 4 2" xfId="6021"/>
    <cellStyle name="Normal 4 2 2 3 4 2 4 2 2" xfId="13544"/>
    <cellStyle name="Normal 4 2 2 3 4 2 4 2 2 2" xfId="28588"/>
    <cellStyle name="Normal 4 2 2 3 4 2 4 2 2 3" xfId="43631"/>
    <cellStyle name="Normal 4 2 2 3 4 2 4 2 3" xfId="21067"/>
    <cellStyle name="Normal 4 2 2 3 4 2 4 2 4" xfId="36110"/>
    <cellStyle name="Normal 4 2 2 3 4 2 4 3" xfId="9795"/>
    <cellStyle name="Normal 4 2 2 3 4 2 4 3 2" xfId="24839"/>
    <cellStyle name="Normal 4 2 2 3 4 2 4 3 3" xfId="39882"/>
    <cellStyle name="Normal 4 2 2 3 4 2 4 4" xfId="17318"/>
    <cellStyle name="Normal 4 2 2 3 4 2 4 5" xfId="32361"/>
    <cellStyle name="Normal 4 2 2 3 4 2 5" xfId="4153"/>
    <cellStyle name="Normal 4 2 2 3 4 2 5 2" xfId="11677"/>
    <cellStyle name="Normal 4 2 2 3 4 2 5 2 2" xfId="26721"/>
    <cellStyle name="Normal 4 2 2 3 4 2 5 2 3" xfId="41764"/>
    <cellStyle name="Normal 4 2 2 3 4 2 5 3" xfId="19200"/>
    <cellStyle name="Normal 4 2 2 3 4 2 5 4" xfId="34243"/>
    <cellStyle name="Normal 4 2 2 3 4 2 6" xfId="7916"/>
    <cellStyle name="Normal 4 2 2 3 4 2 6 2" xfId="22960"/>
    <cellStyle name="Normal 4 2 2 3 4 2 6 3" xfId="38003"/>
    <cellStyle name="Normal 4 2 2 3 4 2 7" xfId="15439"/>
    <cellStyle name="Normal 4 2 2 3 4 2 8" xfId="30482"/>
    <cellStyle name="Normal 4 2 2 3 4 3" xfId="779"/>
    <cellStyle name="Normal 4 2 2 3 4 3 2" xfId="1738"/>
    <cellStyle name="Normal 4 2 2 3 4 3 2 2" xfId="3609"/>
    <cellStyle name="Normal 4 2 2 3 4 3 2 2 2" xfId="7404"/>
    <cellStyle name="Normal 4 2 2 3 4 3 2 2 2 2" xfId="14927"/>
    <cellStyle name="Normal 4 2 2 3 4 3 2 2 2 2 2" xfId="29971"/>
    <cellStyle name="Normal 4 2 2 3 4 3 2 2 2 2 3" xfId="45014"/>
    <cellStyle name="Normal 4 2 2 3 4 3 2 2 2 3" xfId="22450"/>
    <cellStyle name="Normal 4 2 2 3 4 3 2 2 2 4" xfId="37493"/>
    <cellStyle name="Normal 4 2 2 3 4 3 2 2 3" xfId="11178"/>
    <cellStyle name="Normal 4 2 2 3 4 3 2 2 3 2" xfId="26222"/>
    <cellStyle name="Normal 4 2 2 3 4 3 2 2 3 3" xfId="41265"/>
    <cellStyle name="Normal 4 2 2 3 4 3 2 2 4" xfId="18701"/>
    <cellStyle name="Normal 4 2 2 3 4 3 2 2 5" xfId="33744"/>
    <cellStyle name="Normal 4 2 2 3 4 3 2 3" xfId="5539"/>
    <cellStyle name="Normal 4 2 2 3 4 3 2 3 2" xfId="13062"/>
    <cellStyle name="Normal 4 2 2 3 4 3 2 3 2 2" xfId="28106"/>
    <cellStyle name="Normal 4 2 2 3 4 3 2 3 2 3" xfId="43149"/>
    <cellStyle name="Normal 4 2 2 3 4 3 2 3 3" xfId="20585"/>
    <cellStyle name="Normal 4 2 2 3 4 3 2 3 4" xfId="35628"/>
    <cellStyle name="Normal 4 2 2 3 4 3 2 4" xfId="9313"/>
    <cellStyle name="Normal 4 2 2 3 4 3 2 4 2" xfId="24357"/>
    <cellStyle name="Normal 4 2 2 3 4 3 2 4 3" xfId="39400"/>
    <cellStyle name="Normal 4 2 2 3 4 3 2 5" xfId="16836"/>
    <cellStyle name="Normal 4 2 2 3 4 3 2 6" xfId="31879"/>
    <cellStyle name="Normal 4 2 2 3 4 3 3" xfId="2677"/>
    <cellStyle name="Normal 4 2 2 3 4 3 3 2" xfId="6472"/>
    <cellStyle name="Normal 4 2 2 3 4 3 3 2 2" xfId="13995"/>
    <cellStyle name="Normal 4 2 2 3 4 3 3 2 2 2" xfId="29039"/>
    <cellStyle name="Normal 4 2 2 3 4 3 3 2 2 3" xfId="44082"/>
    <cellStyle name="Normal 4 2 2 3 4 3 3 2 3" xfId="21518"/>
    <cellStyle name="Normal 4 2 2 3 4 3 3 2 4" xfId="36561"/>
    <cellStyle name="Normal 4 2 2 3 4 3 3 3" xfId="10246"/>
    <cellStyle name="Normal 4 2 2 3 4 3 3 3 2" xfId="25290"/>
    <cellStyle name="Normal 4 2 2 3 4 3 3 3 3" xfId="40333"/>
    <cellStyle name="Normal 4 2 2 3 4 3 3 4" xfId="17769"/>
    <cellStyle name="Normal 4 2 2 3 4 3 3 5" xfId="32812"/>
    <cellStyle name="Normal 4 2 2 3 4 3 4" xfId="4607"/>
    <cellStyle name="Normal 4 2 2 3 4 3 4 2" xfId="12130"/>
    <cellStyle name="Normal 4 2 2 3 4 3 4 2 2" xfId="27174"/>
    <cellStyle name="Normal 4 2 2 3 4 3 4 2 3" xfId="42217"/>
    <cellStyle name="Normal 4 2 2 3 4 3 4 3" xfId="19653"/>
    <cellStyle name="Normal 4 2 2 3 4 3 4 4" xfId="34696"/>
    <cellStyle name="Normal 4 2 2 3 4 3 5" xfId="8381"/>
    <cellStyle name="Normal 4 2 2 3 4 3 5 2" xfId="23425"/>
    <cellStyle name="Normal 4 2 2 3 4 3 5 3" xfId="38468"/>
    <cellStyle name="Normal 4 2 2 3 4 3 6" xfId="15904"/>
    <cellStyle name="Normal 4 2 2 3 4 3 7" xfId="30947"/>
    <cellStyle name="Normal 4 2 2 3 4 4" xfId="1286"/>
    <cellStyle name="Normal 4 2 2 3 4 4 2" xfId="3157"/>
    <cellStyle name="Normal 4 2 2 3 4 4 2 2" xfId="6952"/>
    <cellStyle name="Normal 4 2 2 3 4 4 2 2 2" xfId="14475"/>
    <cellStyle name="Normal 4 2 2 3 4 4 2 2 2 2" xfId="29519"/>
    <cellStyle name="Normal 4 2 2 3 4 4 2 2 2 3" xfId="44562"/>
    <cellStyle name="Normal 4 2 2 3 4 4 2 2 3" xfId="21998"/>
    <cellStyle name="Normal 4 2 2 3 4 4 2 2 4" xfId="37041"/>
    <cellStyle name="Normal 4 2 2 3 4 4 2 3" xfId="10726"/>
    <cellStyle name="Normal 4 2 2 3 4 4 2 3 2" xfId="25770"/>
    <cellStyle name="Normal 4 2 2 3 4 4 2 3 3" xfId="40813"/>
    <cellStyle name="Normal 4 2 2 3 4 4 2 4" xfId="18249"/>
    <cellStyle name="Normal 4 2 2 3 4 4 2 5" xfId="33292"/>
    <cellStyle name="Normal 4 2 2 3 4 4 3" xfId="5087"/>
    <cellStyle name="Normal 4 2 2 3 4 4 3 2" xfId="12610"/>
    <cellStyle name="Normal 4 2 2 3 4 4 3 2 2" xfId="27654"/>
    <cellStyle name="Normal 4 2 2 3 4 4 3 2 3" xfId="42697"/>
    <cellStyle name="Normal 4 2 2 3 4 4 3 3" xfId="20133"/>
    <cellStyle name="Normal 4 2 2 3 4 4 3 4" xfId="35176"/>
    <cellStyle name="Normal 4 2 2 3 4 4 4" xfId="8861"/>
    <cellStyle name="Normal 4 2 2 3 4 4 4 2" xfId="23905"/>
    <cellStyle name="Normal 4 2 2 3 4 4 4 3" xfId="38948"/>
    <cellStyle name="Normal 4 2 2 3 4 4 5" xfId="16384"/>
    <cellStyle name="Normal 4 2 2 3 4 4 6" xfId="31427"/>
    <cellStyle name="Normal 4 2 2 3 4 5" xfId="2224"/>
    <cellStyle name="Normal 4 2 2 3 4 5 2" xfId="6020"/>
    <cellStyle name="Normal 4 2 2 3 4 5 2 2" xfId="13543"/>
    <cellStyle name="Normal 4 2 2 3 4 5 2 2 2" xfId="28587"/>
    <cellStyle name="Normal 4 2 2 3 4 5 2 2 3" xfId="43630"/>
    <cellStyle name="Normal 4 2 2 3 4 5 2 3" xfId="21066"/>
    <cellStyle name="Normal 4 2 2 3 4 5 2 4" xfId="36109"/>
    <cellStyle name="Normal 4 2 2 3 4 5 3" xfId="9794"/>
    <cellStyle name="Normal 4 2 2 3 4 5 3 2" xfId="24838"/>
    <cellStyle name="Normal 4 2 2 3 4 5 3 3" xfId="39881"/>
    <cellStyle name="Normal 4 2 2 3 4 5 4" xfId="17317"/>
    <cellStyle name="Normal 4 2 2 3 4 5 5" xfId="32360"/>
    <cellStyle name="Normal 4 2 2 3 4 6" xfId="4152"/>
    <cellStyle name="Normal 4 2 2 3 4 6 2" xfId="11676"/>
    <cellStyle name="Normal 4 2 2 3 4 6 2 2" xfId="26720"/>
    <cellStyle name="Normal 4 2 2 3 4 6 2 3" xfId="41763"/>
    <cellStyle name="Normal 4 2 2 3 4 6 3" xfId="19199"/>
    <cellStyle name="Normal 4 2 2 3 4 6 4" xfId="34242"/>
    <cellStyle name="Normal 4 2 2 3 4 7" xfId="7915"/>
    <cellStyle name="Normal 4 2 2 3 4 7 2" xfId="22959"/>
    <cellStyle name="Normal 4 2 2 3 4 7 3" xfId="38002"/>
    <cellStyle name="Normal 4 2 2 3 4 8" xfId="15438"/>
    <cellStyle name="Normal 4 2 2 3 4 9" xfId="30481"/>
    <cellStyle name="Normal 4 2 2 3 5" xfId="257"/>
    <cellStyle name="Normal 4 2 2 3 5 2" xfId="781"/>
    <cellStyle name="Normal 4 2 2 3 5 2 2" xfId="1740"/>
    <cellStyle name="Normal 4 2 2 3 5 2 2 2" xfId="3611"/>
    <cellStyle name="Normal 4 2 2 3 5 2 2 2 2" xfId="7406"/>
    <cellStyle name="Normal 4 2 2 3 5 2 2 2 2 2" xfId="14929"/>
    <cellStyle name="Normal 4 2 2 3 5 2 2 2 2 2 2" xfId="29973"/>
    <cellStyle name="Normal 4 2 2 3 5 2 2 2 2 2 3" xfId="45016"/>
    <cellStyle name="Normal 4 2 2 3 5 2 2 2 2 3" xfId="22452"/>
    <cellStyle name="Normal 4 2 2 3 5 2 2 2 2 4" xfId="37495"/>
    <cellStyle name="Normal 4 2 2 3 5 2 2 2 3" xfId="11180"/>
    <cellStyle name="Normal 4 2 2 3 5 2 2 2 3 2" xfId="26224"/>
    <cellStyle name="Normal 4 2 2 3 5 2 2 2 3 3" xfId="41267"/>
    <cellStyle name="Normal 4 2 2 3 5 2 2 2 4" xfId="18703"/>
    <cellStyle name="Normal 4 2 2 3 5 2 2 2 5" xfId="33746"/>
    <cellStyle name="Normal 4 2 2 3 5 2 2 3" xfId="5541"/>
    <cellStyle name="Normal 4 2 2 3 5 2 2 3 2" xfId="13064"/>
    <cellStyle name="Normal 4 2 2 3 5 2 2 3 2 2" xfId="28108"/>
    <cellStyle name="Normal 4 2 2 3 5 2 2 3 2 3" xfId="43151"/>
    <cellStyle name="Normal 4 2 2 3 5 2 2 3 3" xfId="20587"/>
    <cellStyle name="Normal 4 2 2 3 5 2 2 3 4" xfId="35630"/>
    <cellStyle name="Normal 4 2 2 3 5 2 2 4" xfId="9315"/>
    <cellStyle name="Normal 4 2 2 3 5 2 2 4 2" xfId="24359"/>
    <cellStyle name="Normal 4 2 2 3 5 2 2 4 3" xfId="39402"/>
    <cellStyle name="Normal 4 2 2 3 5 2 2 5" xfId="16838"/>
    <cellStyle name="Normal 4 2 2 3 5 2 2 6" xfId="31881"/>
    <cellStyle name="Normal 4 2 2 3 5 2 3" xfId="2679"/>
    <cellStyle name="Normal 4 2 2 3 5 2 3 2" xfId="6474"/>
    <cellStyle name="Normal 4 2 2 3 5 2 3 2 2" xfId="13997"/>
    <cellStyle name="Normal 4 2 2 3 5 2 3 2 2 2" xfId="29041"/>
    <cellStyle name="Normal 4 2 2 3 5 2 3 2 2 3" xfId="44084"/>
    <cellStyle name="Normal 4 2 2 3 5 2 3 2 3" xfId="21520"/>
    <cellStyle name="Normal 4 2 2 3 5 2 3 2 4" xfId="36563"/>
    <cellStyle name="Normal 4 2 2 3 5 2 3 3" xfId="10248"/>
    <cellStyle name="Normal 4 2 2 3 5 2 3 3 2" xfId="25292"/>
    <cellStyle name="Normal 4 2 2 3 5 2 3 3 3" xfId="40335"/>
    <cellStyle name="Normal 4 2 2 3 5 2 3 4" xfId="17771"/>
    <cellStyle name="Normal 4 2 2 3 5 2 3 5" xfId="32814"/>
    <cellStyle name="Normal 4 2 2 3 5 2 4" xfId="4609"/>
    <cellStyle name="Normal 4 2 2 3 5 2 4 2" xfId="12132"/>
    <cellStyle name="Normal 4 2 2 3 5 2 4 2 2" xfId="27176"/>
    <cellStyle name="Normal 4 2 2 3 5 2 4 2 3" xfId="42219"/>
    <cellStyle name="Normal 4 2 2 3 5 2 4 3" xfId="19655"/>
    <cellStyle name="Normal 4 2 2 3 5 2 4 4" xfId="34698"/>
    <cellStyle name="Normal 4 2 2 3 5 2 5" xfId="8383"/>
    <cellStyle name="Normal 4 2 2 3 5 2 5 2" xfId="23427"/>
    <cellStyle name="Normal 4 2 2 3 5 2 5 3" xfId="38470"/>
    <cellStyle name="Normal 4 2 2 3 5 2 6" xfId="15906"/>
    <cellStyle name="Normal 4 2 2 3 5 2 7" xfId="30949"/>
    <cellStyle name="Normal 4 2 2 3 5 3" xfId="1288"/>
    <cellStyle name="Normal 4 2 2 3 5 3 2" xfId="3159"/>
    <cellStyle name="Normal 4 2 2 3 5 3 2 2" xfId="6954"/>
    <cellStyle name="Normal 4 2 2 3 5 3 2 2 2" xfId="14477"/>
    <cellStyle name="Normal 4 2 2 3 5 3 2 2 2 2" xfId="29521"/>
    <cellStyle name="Normal 4 2 2 3 5 3 2 2 2 3" xfId="44564"/>
    <cellStyle name="Normal 4 2 2 3 5 3 2 2 3" xfId="22000"/>
    <cellStyle name="Normal 4 2 2 3 5 3 2 2 4" xfId="37043"/>
    <cellStyle name="Normal 4 2 2 3 5 3 2 3" xfId="10728"/>
    <cellStyle name="Normal 4 2 2 3 5 3 2 3 2" xfId="25772"/>
    <cellStyle name="Normal 4 2 2 3 5 3 2 3 3" xfId="40815"/>
    <cellStyle name="Normal 4 2 2 3 5 3 2 4" xfId="18251"/>
    <cellStyle name="Normal 4 2 2 3 5 3 2 5" xfId="33294"/>
    <cellStyle name="Normal 4 2 2 3 5 3 3" xfId="5089"/>
    <cellStyle name="Normal 4 2 2 3 5 3 3 2" xfId="12612"/>
    <cellStyle name="Normal 4 2 2 3 5 3 3 2 2" xfId="27656"/>
    <cellStyle name="Normal 4 2 2 3 5 3 3 2 3" xfId="42699"/>
    <cellStyle name="Normal 4 2 2 3 5 3 3 3" xfId="20135"/>
    <cellStyle name="Normal 4 2 2 3 5 3 3 4" xfId="35178"/>
    <cellStyle name="Normal 4 2 2 3 5 3 4" xfId="8863"/>
    <cellStyle name="Normal 4 2 2 3 5 3 4 2" xfId="23907"/>
    <cellStyle name="Normal 4 2 2 3 5 3 4 3" xfId="38950"/>
    <cellStyle name="Normal 4 2 2 3 5 3 5" xfId="16386"/>
    <cellStyle name="Normal 4 2 2 3 5 3 6" xfId="31429"/>
    <cellStyle name="Normal 4 2 2 3 5 4" xfId="2226"/>
    <cellStyle name="Normal 4 2 2 3 5 4 2" xfId="6022"/>
    <cellStyle name="Normal 4 2 2 3 5 4 2 2" xfId="13545"/>
    <cellStyle name="Normal 4 2 2 3 5 4 2 2 2" xfId="28589"/>
    <cellStyle name="Normal 4 2 2 3 5 4 2 2 3" xfId="43632"/>
    <cellStyle name="Normal 4 2 2 3 5 4 2 3" xfId="21068"/>
    <cellStyle name="Normal 4 2 2 3 5 4 2 4" xfId="36111"/>
    <cellStyle name="Normal 4 2 2 3 5 4 3" xfId="9796"/>
    <cellStyle name="Normal 4 2 2 3 5 4 3 2" xfId="24840"/>
    <cellStyle name="Normal 4 2 2 3 5 4 3 3" xfId="39883"/>
    <cellStyle name="Normal 4 2 2 3 5 4 4" xfId="17319"/>
    <cellStyle name="Normal 4 2 2 3 5 4 5" xfId="32362"/>
    <cellStyle name="Normal 4 2 2 3 5 5" xfId="4154"/>
    <cellStyle name="Normal 4 2 2 3 5 5 2" xfId="11678"/>
    <cellStyle name="Normal 4 2 2 3 5 5 2 2" xfId="26722"/>
    <cellStyle name="Normal 4 2 2 3 5 5 2 3" xfId="41765"/>
    <cellStyle name="Normal 4 2 2 3 5 5 3" xfId="19201"/>
    <cellStyle name="Normal 4 2 2 3 5 5 4" xfId="34244"/>
    <cellStyle name="Normal 4 2 2 3 5 6" xfId="7917"/>
    <cellStyle name="Normal 4 2 2 3 5 6 2" xfId="22961"/>
    <cellStyle name="Normal 4 2 2 3 5 6 3" xfId="38004"/>
    <cellStyle name="Normal 4 2 2 3 5 7" xfId="15440"/>
    <cellStyle name="Normal 4 2 2 3 5 8" xfId="30483"/>
    <cellStyle name="Normal 4 2 2 3 6" xfId="772"/>
    <cellStyle name="Normal 4 2 2 3 6 2" xfId="1731"/>
    <cellStyle name="Normal 4 2 2 3 6 2 2" xfId="3602"/>
    <cellStyle name="Normal 4 2 2 3 6 2 2 2" xfId="7397"/>
    <cellStyle name="Normal 4 2 2 3 6 2 2 2 2" xfId="14920"/>
    <cellStyle name="Normal 4 2 2 3 6 2 2 2 2 2" xfId="29964"/>
    <cellStyle name="Normal 4 2 2 3 6 2 2 2 2 3" xfId="45007"/>
    <cellStyle name="Normal 4 2 2 3 6 2 2 2 3" xfId="22443"/>
    <cellStyle name="Normal 4 2 2 3 6 2 2 2 4" xfId="37486"/>
    <cellStyle name="Normal 4 2 2 3 6 2 2 3" xfId="11171"/>
    <cellStyle name="Normal 4 2 2 3 6 2 2 3 2" xfId="26215"/>
    <cellStyle name="Normal 4 2 2 3 6 2 2 3 3" xfId="41258"/>
    <cellStyle name="Normal 4 2 2 3 6 2 2 4" xfId="18694"/>
    <cellStyle name="Normal 4 2 2 3 6 2 2 5" xfId="33737"/>
    <cellStyle name="Normal 4 2 2 3 6 2 3" xfId="5532"/>
    <cellStyle name="Normal 4 2 2 3 6 2 3 2" xfId="13055"/>
    <cellStyle name="Normal 4 2 2 3 6 2 3 2 2" xfId="28099"/>
    <cellStyle name="Normal 4 2 2 3 6 2 3 2 3" xfId="43142"/>
    <cellStyle name="Normal 4 2 2 3 6 2 3 3" xfId="20578"/>
    <cellStyle name="Normal 4 2 2 3 6 2 3 4" xfId="35621"/>
    <cellStyle name="Normal 4 2 2 3 6 2 4" xfId="9306"/>
    <cellStyle name="Normal 4 2 2 3 6 2 4 2" xfId="24350"/>
    <cellStyle name="Normal 4 2 2 3 6 2 4 3" xfId="39393"/>
    <cellStyle name="Normal 4 2 2 3 6 2 5" xfId="16829"/>
    <cellStyle name="Normal 4 2 2 3 6 2 6" xfId="31872"/>
    <cellStyle name="Normal 4 2 2 3 6 3" xfId="2670"/>
    <cellStyle name="Normal 4 2 2 3 6 3 2" xfId="6465"/>
    <cellStyle name="Normal 4 2 2 3 6 3 2 2" xfId="13988"/>
    <cellStyle name="Normal 4 2 2 3 6 3 2 2 2" xfId="29032"/>
    <cellStyle name="Normal 4 2 2 3 6 3 2 2 3" xfId="44075"/>
    <cellStyle name="Normal 4 2 2 3 6 3 2 3" xfId="21511"/>
    <cellStyle name="Normal 4 2 2 3 6 3 2 4" xfId="36554"/>
    <cellStyle name="Normal 4 2 2 3 6 3 3" xfId="10239"/>
    <cellStyle name="Normal 4 2 2 3 6 3 3 2" xfId="25283"/>
    <cellStyle name="Normal 4 2 2 3 6 3 3 3" xfId="40326"/>
    <cellStyle name="Normal 4 2 2 3 6 3 4" xfId="17762"/>
    <cellStyle name="Normal 4 2 2 3 6 3 5" xfId="32805"/>
    <cellStyle name="Normal 4 2 2 3 6 4" xfId="4600"/>
    <cellStyle name="Normal 4 2 2 3 6 4 2" xfId="12123"/>
    <cellStyle name="Normal 4 2 2 3 6 4 2 2" xfId="27167"/>
    <cellStyle name="Normal 4 2 2 3 6 4 2 3" xfId="42210"/>
    <cellStyle name="Normal 4 2 2 3 6 4 3" xfId="19646"/>
    <cellStyle name="Normal 4 2 2 3 6 4 4" xfId="34689"/>
    <cellStyle name="Normal 4 2 2 3 6 5" xfId="8374"/>
    <cellStyle name="Normal 4 2 2 3 6 5 2" xfId="23418"/>
    <cellStyle name="Normal 4 2 2 3 6 5 3" xfId="38461"/>
    <cellStyle name="Normal 4 2 2 3 6 6" xfId="15897"/>
    <cellStyle name="Normal 4 2 2 3 6 7" xfId="30940"/>
    <cellStyle name="Normal 4 2 2 3 7" xfId="1279"/>
    <cellStyle name="Normal 4 2 2 3 7 2" xfId="3150"/>
    <cellStyle name="Normal 4 2 2 3 7 2 2" xfId="6945"/>
    <cellStyle name="Normal 4 2 2 3 7 2 2 2" xfId="14468"/>
    <cellStyle name="Normal 4 2 2 3 7 2 2 2 2" xfId="29512"/>
    <cellStyle name="Normal 4 2 2 3 7 2 2 2 3" xfId="44555"/>
    <cellStyle name="Normal 4 2 2 3 7 2 2 3" xfId="21991"/>
    <cellStyle name="Normal 4 2 2 3 7 2 2 4" xfId="37034"/>
    <cellStyle name="Normal 4 2 2 3 7 2 3" xfId="10719"/>
    <cellStyle name="Normal 4 2 2 3 7 2 3 2" xfId="25763"/>
    <cellStyle name="Normal 4 2 2 3 7 2 3 3" xfId="40806"/>
    <cellStyle name="Normal 4 2 2 3 7 2 4" xfId="18242"/>
    <cellStyle name="Normal 4 2 2 3 7 2 5" xfId="33285"/>
    <cellStyle name="Normal 4 2 2 3 7 3" xfId="5080"/>
    <cellStyle name="Normal 4 2 2 3 7 3 2" xfId="12603"/>
    <cellStyle name="Normal 4 2 2 3 7 3 2 2" xfId="27647"/>
    <cellStyle name="Normal 4 2 2 3 7 3 2 3" xfId="42690"/>
    <cellStyle name="Normal 4 2 2 3 7 3 3" xfId="20126"/>
    <cellStyle name="Normal 4 2 2 3 7 3 4" xfId="35169"/>
    <cellStyle name="Normal 4 2 2 3 7 4" xfId="8854"/>
    <cellStyle name="Normal 4 2 2 3 7 4 2" xfId="23898"/>
    <cellStyle name="Normal 4 2 2 3 7 4 3" xfId="38941"/>
    <cellStyle name="Normal 4 2 2 3 7 5" xfId="16377"/>
    <cellStyle name="Normal 4 2 2 3 7 6" xfId="31420"/>
    <cellStyle name="Normal 4 2 2 3 8" xfId="2217"/>
    <cellStyle name="Normal 4 2 2 3 8 2" xfId="6013"/>
    <cellStyle name="Normal 4 2 2 3 8 2 2" xfId="13536"/>
    <cellStyle name="Normal 4 2 2 3 8 2 2 2" xfId="28580"/>
    <cellStyle name="Normal 4 2 2 3 8 2 2 3" xfId="43623"/>
    <cellStyle name="Normal 4 2 2 3 8 2 3" xfId="21059"/>
    <cellStyle name="Normal 4 2 2 3 8 2 4" xfId="36102"/>
    <cellStyle name="Normal 4 2 2 3 8 3" xfId="9787"/>
    <cellStyle name="Normal 4 2 2 3 8 3 2" xfId="24831"/>
    <cellStyle name="Normal 4 2 2 3 8 3 3" xfId="39874"/>
    <cellStyle name="Normal 4 2 2 3 8 4" xfId="17310"/>
    <cellStyle name="Normal 4 2 2 3 8 5" xfId="32353"/>
    <cellStyle name="Normal 4 2 2 3 9" xfId="4145"/>
    <cellStyle name="Normal 4 2 2 3 9 2" xfId="11669"/>
    <cellStyle name="Normal 4 2 2 3 9 2 2" xfId="26713"/>
    <cellStyle name="Normal 4 2 2 3 9 2 3" xfId="41756"/>
    <cellStyle name="Normal 4 2 2 3 9 3" xfId="19192"/>
    <cellStyle name="Normal 4 2 2 3 9 4" xfId="34235"/>
    <cellStyle name="Normal 4 2 2 4" xfId="258"/>
    <cellStyle name="Normal 4 2 2 4 10" xfId="15441"/>
    <cellStyle name="Normal 4 2 2 4 11" xfId="30484"/>
    <cellStyle name="Normal 4 2 2 4 2" xfId="259"/>
    <cellStyle name="Normal 4 2 2 4 2 2" xfId="260"/>
    <cellStyle name="Normal 4 2 2 4 2 2 2" xfId="784"/>
    <cellStyle name="Normal 4 2 2 4 2 2 2 2" xfId="1743"/>
    <cellStyle name="Normal 4 2 2 4 2 2 2 2 2" xfId="3614"/>
    <cellStyle name="Normal 4 2 2 4 2 2 2 2 2 2" xfId="7409"/>
    <cellStyle name="Normal 4 2 2 4 2 2 2 2 2 2 2" xfId="14932"/>
    <cellStyle name="Normal 4 2 2 4 2 2 2 2 2 2 2 2" xfId="29976"/>
    <cellStyle name="Normal 4 2 2 4 2 2 2 2 2 2 2 3" xfId="45019"/>
    <cellStyle name="Normal 4 2 2 4 2 2 2 2 2 2 3" xfId="22455"/>
    <cellStyle name="Normal 4 2 2 4 2 2 2 2 2 2 4" xfId="37498"/>
    <cellStyle name="Normal 4 2 2 4 2 2 2 2 2 3" xfId="11183"/>
    <cellStyle name="Normal 4 2 2 4 2 2 2 2 2 3 2" xfId="26227"/>
    <cellStyle name="Normal 4 2 2 4 2 2 2 2 2 3 3" xfId="41270"/>
    <cellStyle name="Normal 4 2 2 4 2 2 2 2 2 4" xfId="18706"/>
    <cellStyle name="Normal 4 2 2 4 2 2 2 2 2 5" xfId="33749"/>
    <cellStyle name="Normal 4 2 2 4 2 2 2 2 3" xfId="5544"/>
    <cellStyle name="Normal 4 2 2 4 2 2 2 2 3 2" xfId="13067"/>
    <cellStyle name="Normal 4 2 2 4 2 2 2 2 3 2 2" xfId="28111"/>
    <cellStyle name="Normal 4 2 2 4 2 2 2 2 3 2 3" xfId="43154"/>
    <cellStyle name="Normal 4 2 2 4 2 2 2 2 3 3" xfId="20590"/>
    <cellStyle name="Normal 4 2 2 4 2 2 2 2 3 4" xfId="35633"/>
    <cellStyle name="Normal 4 2 2 4 2 2 2 2 4" xfId="9318"/>
    <cellStyle name="Normal 4 2 2 4 2 2 2 2 4 2" xfId="24362"/>
    <cellStyle name="Normal 4 2 2 4 2 2 2 2 4 3" xfId="39405"/>
    <cellStyle name="Normal 4 2 2 4 2 2 2 2 5" xfId="16841"/>
    <cellStyle name="Normal 4 2 2 4 2 2 2 2 6" xfId="31884"/>
    <cellStyle name="Normal 4 2 2 4 2 2 2 3" xfId="2682"/>
    <cellStyle name="Normal 4 2 2 4 2 2 2 3 2" xfId="6477"/>
    <cellStyle name="Normal 4 2 2 4 2 2 2 3 2 2" xfId="14000"/>
    <cellStyle name="Normal 4 2 2 4 2 2 2 3 2 2 2" xfId="29044"/>
    <cellStyle name="Normal 4 2 2 4 2 2 2 3 2 2 3" xfId="44087"/>
    <cellStyle name="Normal 4 2 2 4 2 2 2 3 2 3" xfId="21523"/>
    <cellStyle name="Normal 4 2 2 4 2 2 2 3 2 4" xfId="36566"/>
    <cellStyle name="Normal 4 2 2 4 2 2 2 3 3" xfId="10251"/>
    <cellStyle name="Normal 4 2 2 4 2 2 2 3 3 2" xfId="25295"/>
    <cellStyle name="Normal 4 2 2 4 2 2 2 3 3 3" xfId="40338"/>
    <cellStyle name="Normal 4 2 2 4 2 2 2 3 4" xfId="17774"/>
    <cellStyle name="Normal 4 2 2 4 2 2 2 3 5" xfId="32817"/>
    <cellStyle name="Normal 4 2 2 4 2 2 2 4" xfId="4612"/>
    <cellStyle name="Normal 4 2 2 4 2 2 2 4 2" xfId="12135"/>
    <cellStyle name="Normal 4 2 2 4 2 2 2 4 2 2" xfId="27179"/>
    <cellStyle name="Normal 4 2 2 4 2 2 2 4 2 3" xfId="42222"/>
    <cellStyle name="Normal 4 2 2 4 2 2 2 4 3" xfId="19658"/>
    <cellStyle name="Normal 4 2 2 4 2 2 2 4 4" xfId="34701"/>
    <cellStyle name="Normal 4 2 2 4 2 2 2 5" xfId="8386"/>
    <cellStyle name="Normal 4 2 2 4 2 2 2 5 2" xfId="23430"/>
    <cellStyle name="Normal 4 2 2 4 2 2 2 5 3" xfId="38473"/>
    <cellStyle name="Normal 4 2 2 4 2 2 2 6" xfId="15909"/>
    <cellStyle name="Normal 4 2 2 4 2 2 2 7" xfId="30952"/>
    <cellStyle name="Normal 4 2 2 4 2 2 3" xfId="1291"/>
    <cellStyle name="Normal 4 2 2 4 2 2 3 2" xfId="3162"/>
    <cellStyle name="Normal 4 2 2 4 2 2 3 2 2" xfId="6957"/>
    <cellStyle name="Normal 4 2 2 4 2 2 3 2 2 2" xfId="14480"/>
    <cellStyle name="Normal 4 2 2 4 2 2 3 2 2 2 2" xfId="29524"/>
    <cellStyle name="Normal 4 2 2 4 2 2 3 2 2 2 3" xfId="44567"/>
    <cellStyle name="Normal 4 2 2 4 2 2 3 2 2 3" xfId="22003"/>
    <cellStyle name="Normal 4 2 2 4 2 2 3 2 2 4" xfId="37046"/>
    <cellStyle name="Normal 4 2 2 4 2 2 3 2 3" xfId="10731"/>
    <cellStyle name="Normal 4 2 2 4 2 2 3 2 3 2" xfId="25775"/>
    <cellStyle name="Normal 4 2 2 4 2 2 3 2 3 3" xfId="40818"/>
    <cellStyle name="Normal 4 2 2 4 2 2 3 2 4" xfId="18254"/>
    <cellStyle name="Normal 4 2 2 4 2 2 3 2 5" xfId="33297"/>
    <cellStyle name="Normal 4 2 2 4 2 2 3 3" xfId="5092"/>
    <cellStyle name="Normal 4 2 2 4 2 2 3 3 2" xfId="12615"/>
    <cellStyle name="Normal 4 2 2 4 2 2 3 3 2 2" xfId="27659"/>
    <cellStyle name="Normal 4 2 2 4 2 2 3 3 2 3" xfId="42702"/>
    <cellStyle name="Normal 4 2 2 4 2 2 3 3 3" xfId="20138"/>
    <cellStyle name="Normal 4 2 2 4 2 2 3 3 4" xfId="35181"/>
    <cellStyle name="Normal 4 2 2 4 2 2 3 4" xfId="8866"/>
    <cellStyle name="Normal 4 2 2 4 2 2 3 4 2" xfId="23910"/>
    <cellStyle name="Normal 4 2 2 4 2 2 3 4 3" xfId="38953"/>
    <cellStyle name="Normal 4 2 2 4 2 2 3 5" xfId="16389"/>
    <cellStyle name="Normal 4 2 2 4 2 2 3 6" xfId="31432"/>
    <cellStyle name="Normal 4 2 2 4 2 2 4" xfId="2229"/>
    <cellStyle name="Normal 4 2 2 4 2 2 4 2" xfId="6025"/>
    <cellStyle name="Normal 4 2 2 4 2 2 4 2 2" xfId="13548"/>
    <cellStyle name="Normal 4 2 2 4 2 2 4 2 2 2" xfId="28592"/>
    <cellStyle name="Normal 4 2 2 4 2 2 4 2 2 3" xfId="43635"/>
    <cellStyle name="Normal 4 2 2 4 2 2 4 2 3" xfId="21071"/>
    <cellStyle name="Normal 4 2 2 4 2 2 4 2 4" xfId="36114"/>
    <cellStyle name="Normal 4 2 2 4 2 2 4 3" xfId="9799"/>
    <cellStyle name="Normal 4 2 2 4 2 2 4 3 2" xfId="24843"/>
    <cellStyle name="Normal 4 2 2 4 2 2 4 3 3" xfId="39886"/>
    <cellStyle name="Normal 4 2 2 4 2 2 4 4" xfId="17322"/>
    <cellStyle name="Normal 4 2 2 4 2 2 4 5" xfId="32365"/>
    <cellStyle name="Normal 4 2 2 4 2 2 5" xfId="4157"/>
    <cellStyle name="Normal 4 2 2 4 2 2 5 2" xfId="11681"/>
    <cellStyle name="Normal 4 2 2 4 2 2 5 2 2" xfId="26725"/>
    <cellStyle name="Normal 4 2 2 4 2 2 5 2 3" xfId="41768"/>
    <cellStyle name="Normal 4 2 2 4 2 2 5 3" xfId="19204"/>
    <cellStyle name="Normal 4 2 2 4 2 2 5 4" xfId="34247"/>
    <cellStyle name="Normal 4 2 2 4 2 2 6" xfId="7920"/>
    <cellStyle name="Normal 4 2 2 4 2 2 6 2" xfId="22964"/>
    <cellStyle name="Normal 4 2 2 4 2 2 6 3" xfId="38007"/>
    <cellStyle name="Normal 4 2 2 4 2 2 7" xfId="15443"/>
    <cellStyle name="Normal 4 2 2 4 2 2 8" xfId="30486"/>
    <cellStyle name="Normal 4 2 2 4 2 3" xfId="783"/>
    <cellStyle name="Normal 4 2 2 4 2 3 2" xfId="1742"/>
    <cellStyle name="Normal 4 2 2 4 2 3 2 2" xfId="3613"/>
    <cellStyle name="Normal 4 2 2 4 2 3 2 2 2" xfId="7408"/>
    <cellStyle name="Normal 4 2 2 4 2 3 2 2 2 2" xfId="14931"/>
    <cellStyle name="Normal 4 2 2 4 2 3 2 2 2 2 2" xfId="29975"/>
    <cellStyle name="Normal 4 2 2 4 2 3 2 2 2 2 3" xfId="45018"/>
    <cellStyle name="Normal 4 2 2 4 2 3 2 2 2 3" xfId="22454"/>
    <cellStyle name="Normal 4 2 2 4 2 3 2 2 2 4" xfId="37497"/>
    <cellStyle name="Normal 4 2 2 4 2 3 2 2 3" xfId="11182"/>
    <cellStyle name="Normal 4 2 2 4 2 3 2 2 3 2" xfId="26226"/>
    <cellStyle name="Normal 4 2 2 4 2 3 2 2 3 3" xfId="41269"/>
    <cellStyle name="Normal 4 2 2 4 2 3 2 2 4" xfId="18705"/>
    <cellStyle name="Normal 4 2 2 4 2 3 2 2 5" xfId="33748"/>
    <cellStyle name="Normal 4 2 2 4 2 3 2 3" xfId="5543"/>
    <cellStyle name="Normal 4 2 2 4 2 3 2 3 2" xfId="13066"/>
    <cellStyle name="Normal 4 2 2 4 2 3 2 3 2 2" xfId="28110"/>
    <cellStyle name="Normal 4 2 2 4 2 3 2 3 2 3" xfId="43153"/>
    <cellStyle name="Normal 4 2 2 4 2 3 2 3 3" xfId="20589"/>
    <cellStyle name="Normal 4 2 2 4 2 3 2 3 4" xfId="35632"/>
    <cellStyle name="Normal 4 2 2 4 2 3 2 4" xfId="9317"/>
    <cellStyle name="Normal 4 2 2 4 2 3 2 4 2" xfId="24361"/>
    <cellStyle name="Normal 4 2 2 4 2 3 2 4 3" xfId="39404"/>
    <cellStyle name="Normal 4 2 2 4 2 3 2 5" xfId="16840"/>
    <cellStyle name="Normal 4 2 2 4 2 3 2 6" xfId="31883"/>
    <cellStyle name="Normal 4 2 2 4 2 3 3" xfId="2681"/>
    <cellStyle name="Normal 4 2 2 4 2 3 3 2" xfId="6476"/>
    <cellStyle name="Normal 4 2 2 4 2 3 3 2 2" xfId="13999"/>
    <cellStyle name="Normal 4 2 2 4 2 3 3 2 2 2" xfId="29043"/>
    <cellStyle name="Normal 4 2 2 4 2 3 3 2 2 3" xfId="44086"/>
    <cellStyle name="Normal 4 2 2 4 2 3 3 2 3" xfId="21522"/>
    <cellStyle name="Normal 4 2 2 4 2 3 3 2 4" xfId="36565"/>
    <cellStyle name="Normal 4 2 2 4 2 3 3 3" xfId="10250"/>
    <cellStyle name="Normal 4 2 2 4 2 3 3 3 2" xfId="25294"/>
    <cellStyle name="Normal 4 2 2 4 2 3 3 3 3" xfId="40337"/>
    <cellStyle name="Normal 4 2 2 4 2 3 3 4" xfId="17773"/>
    <cellStyle name="Normal 4 2 2 4 2 3 3 5" xfId="32816"/>
    <cellStyle name="Normal 4 2 2 4 2 3 4" xfId="4611"/>
    <cellStyle name="Normal 4 2 2 4 2 3 4 2" xfId="12134"/>
    <cellStyle name="Normal 4 2 2 4 2 3 4 2 2" xfId="27178"/>
    <cellStyle name="Normal 4 2 2 4 2 3 4 2 3" xfId="42221"/>
    <cellStyle name="Normal 4 2 2 4 2 3 4 3" xfId="19657"/>
    <cellStyle name="Normal 4 2 2 4 2 3 4 4" xfId="34700"/>
    <cellStyle name="Normal 4 2 2 4 2 3 5" xfId="8385"/>
    <cellStyle name="Normal 4 2 2 4 2 3 5 2" xfId="23429"/>
    <cellStyle name="Normal 4 2 2 4 2 3 5 3" xfId="38472"/>
    <cellStyle name="Normal 4 2 2 4 2 3 6" xfId="15908"/>
    <cellStyle name="Normal 4 2 2 4 2 3 7" xfId="30951"/>
    <cellStyle name="Normal 4 2 2 4 2 4" xfId="1290"/>
    <cellStyle name="Normal 4 2 2 4 2 4 2" xfId="3161"/>
    <cellStyle name="Normal 4 2 2 4 2 4 2 2" xfId="6956"/>
    <cellStyle name="Normal 4 2 2 4 2 4 2 2 2" xfId="14479"/>
    <cellStyle name="Normal 4 2 2 4 2 4 2 2 2 2" xfId="29523"/>
    <cellStyle name="Normal 4 2 2 4 2 4 2 2 2 3" xfId="44566"/>
    <cellStyle name="Normal 4 2 2 4 2 4 2 2 3" xfId="22002"/>
    <cellStyle name="Normal 4 2 2 4 2 4 2 2 4" xfId="37045"/>
    <cellStyle name="Normal 4 2 2 4 2 4 2 3" xfId="10730"/>
    <cellStyle name="Normal 4 2 2 4 2 4 2 3 2" xfId="25774"/>
    <cellStyle name="Normal 4 2 2 4 2 4 2 3 3" xfId="40817"/>
    <cellStyle name="Normal 4 2 2 4 2 4 2 4" xfId="18253"/>
    <cellStyle name="Normal 4 2 2 4 2 4 2 5" xfId="33296"/>
    <cellStyle name="Normal 4 2 2 4 2 4 3" xfId="5091"/>
    <cellStyle name="Normal 4 2 2 4 2 4 3 2" xfId="12614"/>
    <cellStyle name="Normal 4 2 2 4 2 4 3 2 2" xfId="27658"/>
    <cellStyle name="Normal 4 2 2 4 2 4 3 2 3" xfId="42701"/>
    <cellStyle name="Normal 4 2 2 4 2 4 3 3" xfId="20137"/>
    <cellStyle name="Normal 4 2 2 4 2 4 3 4" xfId="35180"/>
    <cellStyle name="Normal 4 2 2 4 2 4 4" xfId="8865"/>
    <cellStyle name="Normal 4 2 2 4 2 4 4 2" xfId="23909"/>
    <cellStyle name="Normal 4 2 2 4 2 4 4 3" xfId="38952"/>
    <cellStyle name="Normal 4 2 2 4 2 4 5" xfId="16388"/>
    <cellStyle name="Normal 4 2 2 4 2 4 6" xfId="31431"/>
    <cellStyle name="Normal 4 2 2 4 2 5" xfId="2228"/>
    <cellStyle name="Normal 4 2 2 4 2 5 2" xfId="6024"/>
    <cellStyle name="Normal 4 2 2 4 2 5 2 2" xfId="13547"/>
    <cellStyle name="Normal 4 2 2 4 2 5 2 2 2" xfId="28591"/>
    <cellStyle name="Normal 4 2 2 4 2 5 2 2 3" xfId="43634"/>
    <cellStyle name="Normal 4 2 2 4 2 5 2 3" xfId="21070"/>
    <cellStyle name="Normal 4 2 2 4 2 5 2 4" xfId="36113"/>
    <cellStyle name="Normal 4 2 2 4 2 5 3" xfId="9798"/>
    <cellStyle name="Normal 4 2 2 4 2 5 3 2" xfId="24842"/>
    <cellStyle name="Normal 4 2 2 4 2 5 3 3" xfId="39885"/>
    <cellStyle name="Normal 4 2 2 4 2 5 4" xfId="17321"/>
    <cellStyle name="Normal 4 2 2 4 2 5 5" xfId="32364"/>
    <cellStyle name="Normal 4 2 2 4 2 6" xfId="4156"/>
    <cellStyle name="Normal 4 2 2 4 2 6 2" xfId="11680"/>
    <cellStyle name="Normal 4 2 2 4 2 6 2 2" xfId="26724"/>
    <cellStyle name="Normal 4 2 2 4 2 6 2 3" xfId="41767"/>
    <cellStyle name="Normal 4 2 2 4 2 6 3" xfId="19203"/>
    <cellStyle name="Normal 4 2 2 4 2 6 4" xfId="34246"/>
    <cellStyle name="Normal 4 2 2 4 2 7" xfId="7919"/>
    <cellStyle name="Normal 4 2 2 4 2 7 2" xfId="22963"/>
    <cellStyle name="Normal 4 2 2 4 2 7 3" xfId="38006"/>
    <cellStyle name="Normal 4 2 2 4 2 8" xfId="15442"/>
    <cellStyle name="Normal 4 2 2 4 2 9" xfId="30485"/>
    <cellStyle name="Normal 4 2 2 4 3" xfId="261"/>
    <cellStyle name="Normal 4 2 2 4 3 2" xfId="262"/>
    <cellStyle name="Normal 4 2 2 4 3 2 2" xfId="786"/>
    <cellStyle name="Normal 4 2 2 4 3 2 2 2" xfId="1745"/>
    <cellStyle name="Normal 4 2 2 4 3 2 2 2 2" xfId="3616"/>
    <cellStyle name="Normal 4 2 2 4 3 2 2 2 2 2" xfId="7411"/>
    <cellStyle name="Normal 4 2 2 4 3 2 2 2 2 2 2" xfId="14934"/>
    <cellStyle name="Normal 4 2 2 4 3 2 2 2 2 2 2 2" xfId="29978"/>
    <cellStyle name="Normal 4 2 2 4 3 2 2 2 2 2 2 3" xfId="45021"/>
    <cellStyle name="Normal 4 2 2 4 3 2 2 2 2 2 3" xfId="22457"/>
    <cellStyle name="Normal 4 2 2 4 3 2 2 2 2 2 4" xfId="37500"/>
    <cellStyle name="Normal 4 2 2 4 3 2 2 2 2 3" xfId="11185"/>
    <cellStyle name="Normal 4 2 2 4 3 2 2 2 2 3 2" xfId="26229"/>
    <cellStyle name="Normal 4 2 2 4 3 2 2 2 2 3 3" xfId="41272"/>
    <cellStyle name="Normal 4 2 2 4 3 2 2 2 2 4" xfId="18708"/>
    <cellStyle name="Normal 4 2 2 4 3 2 2 2 2 5" xfId="33751"/>
    <cellStyle name="Normal 4 2 2 4 3 2 2 2 3" xfId="5546"/>
    <cellStyle name="Normal 4 2 2 4 3 2 2 2 3 2" xfId="13069"/>
    <cellStyle name="Normal 4 2 2 4 3 2 2 2 3 2 2" xfId="28113"/>
    <cellStyle name="Normal 4 2 2 4 3 2 2 2 3 2 3" xfId="43156"/>
    <cellStyle name="Normal 4 2 2 4 3 2 2 2 3 3" xfId="20592"/>
    <cellStyle name="Normal 4 2 2 4 3 2 2 2 3 4" xfId="35635"/>
    <cellStyle name="Normal 4 2 2 4 3 2 2 2 4" xfId="9320"/>
    <cellStyle name="Normal 4 2 2 4 3 2 2 2 4 2" xfId="24364"/>
    <cellStyle name="Normal 4 2 2 4 3 2 2 2 4 3" xfId="39407"/>
    <cellStyle name="Normal 4 2 2 4 3 2 2 2 5" xfId="16843"/>
    <cellStyle name="Normal 4 2 2 4 3 2 2 2 6" xfId="31886"/>
    <cellStyle name="Normal 4 2 2 4 3 2 2 3" xfId="2684"/>
    <cellStyle name="Normal 4 2 2 4 3 2 2 3 2" xfId="6479"/>
    <cellStyle name="Normal 4 2 2 4 3 2 2 3 2 2" xfId="14002"/>
    <cellStyle name="Normal 4 2 2 4 3 2 2 3 2 2 2" xfId="29046"/>
    <cellStyle name="Normal 4 2 2 4 3 2 2 3 2 2 3" xfId="44089"/>
    <cellStyle name="Normal 4 2 2 4 3 2 2 3 2 3" xfId="21525"/>
    <cellStyle name="Normal 4 2 2 4 3 2 2 3 2 4" xfId="36568"/>
    <cellStyle name="Normal 4 2 2 4 3 2 2 3 3" xfId="10253"/>
    <cellStyle name="Normal 4 2 2 4 3 2 2 3 3 2" xfId="25297"/>
    <cellStyle name="Normal 4 2 2 4 3 2 2 3 3 3" xfId="40340"/>
    <cellStyle name="Normal 4 2 2 4 3 2 2 3 4" xfId="17776"/>
    <cellStyle name="Normal 4 2 2 4 3 2 2 3 5" xfId="32819"/>
    <cellStyle name="Normal 4 2 2 4 3 2 2 4" xfId="4614"/>
    <cellStyle name="Normal 4 2 2 4 3 2 2 4 2" xfId="12137"/>
    <cellStyle name="Normal 4 2 2 4 3 2 2 4 2 2" xfId="27181"/>
    <cellStyle name="Normal 4 2 2 4 3 2 2 4 2 3" xfId="42224"/>
    <cellStyle name="Normal 4 2 2 4 3 2 2 4 3" xfId="19660"/>
    <cellStyle name="Normal 4 2 2 4 3 2 2 4 4" xfId="34703"/>
    <cellStyle name="Normal 4 2 2 4 3 2 2 5" xfId="8388"/>
    <cellStyle name="Normal 4 2 2 4 3 2 2 5 2" xfId="23432"/>
    <cellStyle name="Normal 4 2 2 4 3 2 2 5 3" xfId="38475"/>
    <cellStyle name="Normal 4 2 2 4 3 2 2 6" xfId="15911"/>
    <cellStyle name="Normal 4 2 2 4 3 2 2 7" xfId="30954"/>
    <cellStyle name="Normal 4 2 2 4 3 2 3" xfId="1293"/>
    <cellStyle name="Normal 4 2 2 4 3 2 3 2" xfId="3164"/>
    <cellStyle name="Normal 4 2 2 4 3 2 3 2 2" xfId="6959"/>
    <cellStyle name="Normal 4 2 2 4 3 2 3 2 2 2" xfId="14482"/>
    <cellStyle name="Normal 4 2 2 4 3 2 3 2 2 2 2" xfId="29526"/>
    <cellStyle name="Normal 4 2 2 4 3 2 3 2 2 2 3" xfId="44569"/>
    <cellStyle name="Normal 4 2 2 4 3 2 3 2 2 3" xfId="22005"/>
    <cellStyle name="Normal 4 2 2 4 3 2 3 2 2 4" xfId="37048"/>
    <cellStyle name="Normal 4 2 2 4 3 2 3 2 3" xfId="10733"/>
    <cellStyle name="Normal 4 2 2 4 3 2 3 2 3 2" xfId="25777"/>
    <cellStyle name="Normal 4 2 2 4 3 2 3 2 3 3" xfId="40820"/>
    <cellStyle name="Normal 4 2 2 4 3 2 3 2 4" xfId="18256"/>
    <cellStyle name="Normal 4 2 2 4 3 2 3 2 5" xfId="33299"/>
    <cellStyle name="Normal 4 2 2 4 3 2 3 3" xfId="5094"/>
    <cellStyle name="Normal 4 2 2 4 3 2 3 3 2" xfId="12617"/>
    <cellStyle name="Normal 4 2 2 4 3 2 3 3 2 2" xfId="27661"/>
    <cellStyle name="Normal 4 2 2 4 3 2 3 3 2 3" xfId="42704"/>
    <cellStyle name="Normal 4 2 2 4 3 2 3 3 3" xfId="20140"/>
    <cellStyle name="Normal 4 2 2 4 3 2 3 3 4" xfId="35183"/>
    <cellStyle name="Normal 4 2 2 4 3 2 3 4" xfId="8868"/>
    <cellStyle name="Normal 4 2 2 4 3 2 3 4 2" xfId="23912"/>
    <cellStyle name="Normal 4 2 2 4 3 2 3 4 3" xfId="38955"/>
    <cellStyle name="Normal 4 2 2 4 3 2 3 5" xfId="16391"/>
    <cellStyle name="Normal 4 2 2 4 3 2 3 6" xfId="31434"/>
    <cellStyle name="Normal 4 2 2 4 3 2 4" xfId="2231"/>
    <cellStyle name="Normal 4 2 2 4 3 2 4 2" xfId="6027"/>
    <cellStyle name="Normal 4 2 2 4 3 2 4 2 2" xfId="13550"/>
    <cellStyle name="Normal 4 2 2 4 3 2 4 2 2 2" xfId="28594"/>
    <cellStyle name="Normal 4 2 2 4 3 2 4 2 2 3" xfId="43637"/>
    <cellStyle name="Normal 4 2 2 4 3 2 4 2 3" xfId="21073"/>
    <cellStyle name="Normal 4 2 2 4 3 2 4 2 4" xfId="36116"/>
    <cellStyle name="Normal 4 2 2 4 3 2 4 3" xfId="9801"/>
    <cellStyle name="Normal 4 2 2 4 3 2 4 3 2" xfId="24845"/>
    <cellStyle name="Normal 4 2 2 4 3 2 4 3 3" xfId="39888"/>
    <cellStyle name="Normal 4 2 2 4 3 2 4 4" xfId="17324"/>
    <cellStyle name="Normal 4 2 2 4 3 2 4 5" xfId="32367"/>
    <cellStyle name="Normal 4 2 2 4 3 2 5" xfId="4159"/>
    <cellStyle name="Normal 4 2 2 4 3 2 5 2" xfId="11683"/>
    <cellStyle name="Normal 4 2 2 4 3 2 5 2 2" xfId="26727"/>
    <cellStyle name="Normal 4 2 2 4 3 2 5 2 3" xfId="41770"/>
    <cellStyle name="Normal 4 2 2 4 3 2 5 3" xfId="19206"/>
    <cellStyle name="Normal 4 2 2 4 3 2 5 4" xfId="34249"/>
    <cellStyle name="Normal 4 2 2 4 3 2 6" xfId="7922"/>
    <cellStyle name="Normal 4 2 2 4 3 2 6 2" xfId="22966"/>
    <cellStyle name="Normal 4 2 2 4 3 2 6 3" xfId="38009"/>
    <cellStyle name="Normal 4 2 2 4 3 2 7" xfId="15445"/>
    <cellStyle name="Normal 4 2 2 4 3 2 8" xfId="30488"/>
    <cellStyle name="Normal 4 2 2 4 3 3" xfId="785"/>
    <cellStyle name="Normal 4 2 2 4 3 3 2" xfId="1744"/>
    <cellStyle name="Normal 4 2 2 4 3 3 2 2" xfId="3615"/>
    <cellStyle name="Normal 4 2 2 4 3 3 2 2 2" xfId="7410"/>
    <cellStyle name="Normal 4 2 2 4 3 3 2 2 2 2" xfId="14933"/>
    <cellStyle name="Normal 4 2 2 4 3 3 2 2 2 2 2" xfId="29977"/>
    <cellStyle name="Normal 4 2 2 4 3 3 2 2 2 2 3" xfId="45020"/>
    <cellStyle name="Normal 4 2 2 4 3 3 2 2 2 3" xfId="22456"/>
    <cellStyle name="Normal 4 2 2 4 3 3 2 2 2 4" xfId="37499"/>
    <cellStyle name="Normal 4 2 2 4 3 3 2 2 3" xfId="11184"/>
    <cellStyle name="Normal 4 2 2 4 3 3 2 2 3 2" xfId="26228"/>
    <cellStyle name="Normal 4 2 2 4 3 3 2 2 3 3" xfId="41271"/>
    <cellStyle name="Normal 4 2 2 4 3 3 2 2 4" xfId="18707"/>
    <cellStyle name="Normal 4 2 2 4 3 3 2 2 5" xfId="33750"/>
    <cellStyle name="Normal 4 2 2 4 3 3 2 3" xfId="5545"/>
    <cellStyle name="Normal 4 2 2 4 3 3 2 3 2" xfId="13068"/>
    <cellStyle name="Normal 4 2 2 4 3 3 2 3 2 2" xfId="28112"/>
    <cellStyle name="Normal 4 2 2 4 3 3 2 3 2 3" xfId="43155"/>
    <cellStyle name="Normal 4 2 2 4 3 3 2 3 3" xfId="20591"/>
    <cellStyle name="Normal 4 2 2 4 3 3 2 3 4" xfId="35634"/>
    <cellStyle name="Normal 4 2 2 4 3 3 2 4" xfId="9319"/>
    <cellStyle name="Normal 4 2 2 4 3 3 2 4 2" xfId="24363"/>
    <cellStyle name="Normal 4 2 2 4 3 3 2 4 3" xfId="39406"/>
    <cellStyle name="Normal 4 2 2 4 3 3 2 5" xfId="16842"/>
    <cellStyle name="Normal 4 2 2 4 3 3 2 6" xfId="31885"/>
    <cellStyle name="Normal 4 2 2 4 3 3 3" xfId="2683"/>
    <cellStyle name="Normal 4 2 2 4 3 3 3 2" xfId="6478"/>
    <cellStyle name="Normal 4 2 2 4 3 3 3 2 2" xfId="14001"/>
    <cellStyle name="Normal 4 2 2 4 3 3 3 2 2 2" xfId="29045"/>
    <cellStyle name="Normal 4 2 2 4 3 3 3 2 2 3" xfId="44088"/>
    <cellStyle name="Normal 4 2 2 4 3 3 3 2 3" xfId="21524"/>
    <cellStyle name="Normal 4 2 2 4 3 3 3 2 4" xfId="36567"/>
    <cellStyle name="Normal 4 2 2 4 3 3 3 3" xfId="10252"/>
    <cellStyle name="Normal 4 2 2 4 3 3 3 3 2" xfId="25296"/>
    <cellStyle name="Normal 4 2 2 4 3 3 3 3 3" xfId="40339"/>
    <cellStyle name="Normal 4 2 2 4 3 3 3 4" xfId="17775"/>
    <cellStyle name="Normal 4 2 2 4 3 3 3 5" xfId="32818"/>
    <cellStyle name="Normal 4 2 2 4 3 3 4" xfId="4613"/>
    <cellStyle name="Normal 4 2 2 4 3 3 4 2" xfId="12136"/>
    <cellStyle name="Normal 4 2 2 4 3 3 4 2 2" xfId="27180"/>
    <cellStyle name="Normal 4 2 2 4 3 3 4 2 3" xfId="42223"/>
    <cellStyle name="Normal 4 2 2 4 3 3 4 3" xfId="19659"/>
    <cellStyle name="Normal 4 2 2 4 3 3 4 4" xfId="34702"/>
    <cellStyle name="Normal 4 2 2 4 3 3 5" xfId="8387"/>
    <cellStyle name="Normal 4 2 2 4 3 3 5 2" xfId="23431"/>
    <cellStyle name="Normal 4 2 2 4 3 3 5 3" xfId="38474"/>
    <cellStyle name="Normal 4 2 2 4 3 3 6" xfId="15910"/>
    <cellStyle name="Normal 4 2 2 4 3 3 7" xfId="30953"/>
    <cellStyle name="Normal 4 2 2 4 3 4" xfId="1292"/>
    <cellStyle name="Normal 4 2 2 4 3 4 2" xfId="3163"/>
    <cellStyle name="Normal 4 2 2 4 3 4 2 2" xfId="6958"/>
    <cellStyle name="Normal 4 2 2 4 3 4 2 2 2" xfId="14481"/>
    <cellStyle name="Normal 4 2 2 4 3 4 2 2 2 2" xfId="29525"/>
    <cellStyle name="Normal 4 2 2 4 3 4 2 2 2 3" xfId="44568"/>
    <cellStyle name="Normal 4 2 2 4 3 4 2 2 3" xfId="22004"/>
    <cellStyle name="Normal 4 2 2 4 3 4 2 2 4" xfId="37047"/>
    <cellStyle name="Normal 4 2 2 4 3 4 2 3" xfId="10732"/>
    <cellStyle name="Normal 4 2 2 4 3 4 2 3 2" xfId="25776"/>
    <cellStyle name="Normal 4 2 2 4 3 4 2 3 3" xfId="40819"/>
    <cellStyle name="Normal 4 2 2 4 3 4 2 4" xfId="18255"/>
    <cellStyle name="Normal 4 2 2 4 3 4 2 5" xfId="33298"/>
    <cellStyle name="Normal 4 2 2 4 3 4 3" xfId="5093"/>
    <cellStyle name="Normal 4 2 2 4 3 4 3 2" xfId="12616"/>
    <cellStyle name="Normal 4 2 2 4 3 4 3 2 2" xfId="27660"/>
    <cellStyle name="Normal 4 2 2 4 3 4 3 2 3" xfId="42703"/>
    <cellStyle name="Normal 4 2 2 4 3 4 3 3" xfId="20139"/>
    <cellStyle name="Normal 4 2 2 4 3 4 3 4" xfId="35182"/>
    <cellStyle name="Normal 4 2 2 4 3 4 4" xfId="8867"/>
    <cellStyle name="Normal 4 2 2 4 3 4 4 2" xfId="23911"/>
    <cellStyle name="Normal 4 2 2 4 3 4 4 3" xfId="38954"/>
    <cellStyle name="Normal 4 2 2 4 3 4 5" xfId="16390"/>
    <cellStyle name="Normal 4 2 2 4 3 4 6" xfId="31433"/>
    <cellStyle name="Normal 4 2 2 4 3 5" xfId="2230"/>
    <cellStyle name="Normal 4 2 2 4 3 5 2" xfId="6026"/>
    <cellStyle name="Normal 4 2 2 4 3 5 2 2" xfId="13549"/>
    <cellStyle name="Normal 4 2 2 4 3 5 2 2 2" xfId="28593"/>
    <cellStyle name="Normal 4 2 2 4 3 5 2 2 3" xfId="43636"/>
    <cellStyle name="Normal 4 2 2 4 3 5 2 3" xfId="21072"/>
    <cellStyle name="Normal 4 2 2 4 3 5 2 4" xfId="36115"/>
    <cellStyle name="Normal 4 2 2 4 3 5 3" xfId="9800"/>
    <cellStyle name="Normal 4 2 2 4 3 5 3 2" xfId="24844"/>
    <cellStyle name="Normal 4 2 2 4 3 5 3 3" xfId="39887"/>
    <cellStyle name="Normal 4 2 2 4 3 5 4" xfId="17323"/>
    <cellStyle name="Normal 4 2 2 4 3 5 5" xfId="32366"/>
    <cellStyle name="Normal 4 2 2 4 3 6" xfId="4158"/>
    <cellStyle name="Normal 4 2 2 4 3 6 2" xfId="11682"/>
    <cellStyle name="Normal 4 2 2 4 3 6 2 2" xfId="26726"/>
    <cellStyle name="Normal 4 2 2 4 3 6 2 3" xfId="41769"/>
    <cellStyle name="Normal 4 2 2 4 3 6 3" xfId="19205"/>
    <cellStyle name="Normal 4 2 2 4 3 6 4" xfId="34248"/>
    <cellStyle name="Normal 4 2 2 4 3 7" xfId="7921"/>
    <cellStyle name="Normal 4 2 2 4 3 7 2" xfId="22965"/>
    <cellStyle name="Normal 4 2 2 4 3 7 3" xfId="38008"/>
    <cellStyle name="Normal 4 2 2 4 3 8" xfId="15444"/>
    <cellStyle name="Normal 4 2 2 4 3 9" xfId="30487"/>
    <cellStyle name="Normal 4 2 2 4 4" xfId="263"/>
    <cellStyle name="Normal 4 2 2 4 4 2" xfId="787"/>
    <cellStyle name="Normal 4 2 2 4 4 2 2" xfId="1746"/>
    <cellStyle name="Normal 4 2 2 4 4 2 2 2" xfId="3617"/>
    <cellStyle name="Normal 4 2 2 4 4 2 2 2 2" xfId="7412"/>
    <cellStyle name="Normal 4 2 2 4 4 2 2 2 2 2" xfId="14935"/>
    <cellStyle name="Normal 4 2 2 4 4 2 2 2 2 2 2" xfId="29979"/>
    <cellStyle name="Normal 4 2 2 4 4 2 2 2 2 2 3" xfId="45022"/>
    <cellStyle name="Normal 4 2 2 4 4 2 2 2 2 3" xfId="22458"/>
    <cellStyle name="Normal 4 2 2 4 4 2 2 2 2 4" xfId="37501"/>
    <cellStyle name="Normal 4 2 2 4 4 2 2 2 3" xfId="11186"/>
    <cellStyle name="Normal 4 2 2 4 4 2 2 2 3 2" xfId="26230"/>
    <cellStyle name="Normal 4 2 2 4 4 2 2 2 3 3" xfId="41273"/>
    <cellStyle name="Normal 4 2 2 4 4 2 2 2 4" xfId="18709"/>
    <cellStyle name="Normal 4 2 2 4 4 2 2 2 5" xfId="33752"/>
    <cellStyle name="Normal 4 2 2 4 4 2 2 3" xfId="5547"/>
    <cellStyle name="Normal 4 2 2 4 4 2 2 3 2" xfId="13070"/>
    <cellStyle name="Normal 4 2 2 4 4 2 2 3 2 2" xfId="28114"/>
    <cellStyle name="Normal 4 2 2 4 4 2 2 3 2 3" xfId="43157"/>
    <cellStyle name="Normal 4 2 2 4 4 2 2 3 3" xfId="20593"/>
    <cellStyle name="Normal 4 2 2 4 4 2 2 3 4" xfId="35636"/>
    <cellStyle name="Normal 4 2 2 4 4 2 2 4" xfId="9321"/>
    <cellStyle name="Normal 4 2 2 4 4 2 2 4 2" xfId="24365"/>
    <cellStyle name="Normal 4 2 2 4 4 2 2 4 3" xfId="39408"/>
    <cellStyle name="Normal 4 2 2 4 4 2 2 5" xfId="16844"/>
    <cellStyle name="Normal 4 2 2 4 4 2 2 6" xfId="31887"/>
    <cellStyle name="Normal 4 2 2 4 4 2 3" xfId="2685"/>
    <cellStyle name="Normal 4 2 2 4 4 2 3 2" xfId="6480"/>
    <cellStyle name="Normal 4 2 2 4 4 2 3 2 2" xfId="14003"/>
    <cellStyle name="Normal 4 2 2 4 4 2 3 2 2 2" xfId="29047"/>
    <cellStyle name="Normal 4 2 2 4 4 2 3 2 2 3" xfId="44090"/>
    <cellStyle name="Normal 4 2 2 4 4 2 3 2 3" xfId="21526"/>
    <cellStyle name="Normal 4 2 2 4 4 2 3 2 4" xfId="36569"/>
    <cellStyle name="Normal 4 2 2 4 4 2 3 3" xfId="10254"/>
    <cellStyle name="Normal 4 2 2 4 4 2 3 3 2" xfId="25298"/>
    <cellStyle name="Normal 4 2 2 4 4 2 3 3 3" xfId="40341"/>
    <cellStyle name="Normal 4 2 2 4 4 2 3 4" xfId="17777"/>
    <cellStyle name="Normal 4 2 2 4 4 2 3 5" xfId="32820"/>
    <cellStyle name="Normal 4 2 2 4 4 2 4" xfId="4615"/>
    <cellStyle name="Normal 4 2 2 4 4 2 4 2" xfId="12138"/>
    <cellStyle name="Normal 4 2 2 4 4 2 4 2 2" xfId="27182"/>
    <cellStyle name="Normal 4 2 2 4 4 2 4 2 3" xfId="42225"/>
    <cellStyle name="Normal 4 2 2 4 4 2 4 3" xfId="19661"/>
    <cellStyle name="Normal 4 2 2 4 4 2 4 4" xfId="34704"/>
    <cellStyle name="Normal 4 2 2 4 4 2 5" xfId="8389"/>
    <cellStyle name="Normal 4 2 2 4 4 2 5 2" xfId="23433"/>
    <cellStyle name="Normal 4 2 2 4 4 2 5 3" xfId="38476"/>
    <cellStyle name="Normal 4 2 2 4 4 2 6" xfId="15912"/>
    <cellStyle name="Normal 4 2 2 4 4 2 7" xfId="30955"/>
    <cellStyle name="Normal 4 2 2 4 4 3" xfId="1294"/>
    <cellStyle name="Normal 4 2 2 4 4 3 2" xfId="3165"/>
    <cellStyle name="Normal 4 2 2 4 4 3 2 2" xfId="6960"/>
    <cellStyle name="Normal 4 2 2 4 4 3 2 2 2" xfId="14483"/>
    <cellStyle name="Normal 4 2 2 4 4 3 2 2 2 2" xfId="29527"/>
    <cellStyle name="Normal 4 2 2 4 4 3 2 2 2 3" xfId="44570"/>
    <cellStyle name="Normal 4 2 2 4 4 3 2 2 3" xfId="22006"/>
    <cellStyle name="Normal 4 2 2 4 4 3 2 2 4" xfId="37049"/>
    <cellStyle name="Normal 4 2 2 4 4 3 2 3" xfId="10734"/>
    <cellStyle name="Normal 4 2 2 4 4 3 2 3 2" xfId="25778"/>
    <cellStyle name="Normal 4 2 2 4 4 3 2 3 3" xfId="40821"/>
    <cellStyle name="Normal 4 2 2 4 4 3 2 4" xfId="18257"/>
    <cellStyle name="Normal 4 2 2 4 4 3 2 5" xfId="33300"/>
    <cellStyle name="Normal 4 2 2 4 4 3 3" xfId="5095"/>
    <cellStyle name="Normal 4 2 2 4 4 3 3 2" xfId="12618"/>
    <cellStyle name="Normal 4 2 2 4 4 3 3 2 2" xfId="27662"/>
    <cellStyle name="Normal 4 2 2 4 4 3 3 2 3" xfId="42705"/>
    <cellStyle name="Normal 4 2 2 4 4 3 3 3" xfId="20141"/>
    <cellStyle name="Normal 4 2 2 4 4 3 3 4" xfId="35184"/>
    <cellStyle name="Normal 4 2 2 4 4 3 4" xfId="8869"/>
    <cellStyle name="Normal 4 2 2 4 4 3 4 2" xfId="23913"/>
    <cellStyle name="Normal 4 2 2 4 4 3 4 3" xfId="38956"/>
    <cellStyle name="Normal 4 2 2 4 4 3 5" xfId="16392"/>
    <cellStyle name="Normal 4 2 2 4 4 3 6" xfId="31435"/>
    <cellStyle name="Normal 4 2 2 4 4 4" xfId="2232"/>
    <cellStyle name="Normal 4 2 2 4 4 4 2" xfId="6028"/>
    <cellStyle name="Normal 4 2 2 4 4 4 2 2" xfId="13551"/>
    <cellStyle name="Normal 4 2 2 4 4 4 2 2 2" xfId="28595"/>
    <cellStyle name="Normal 4 2 2 4 4 4 2 2 3" xfId="43638"/>
    <cellStyle name="Normal 4 2 2 4 4 4 2 3" xfId="21074"/>
    <cellStyle name="Normal 4 2 2 4 4 4 2 4" xfId="36117"/>
    <cellStyle name="Normal 4 2 2 4 4 4 3" xfId="9802"/>
    <cellStyle name="Normal 4 2 2 4 4 4 3 2" xfId="24846"/>
    <cellStyle name="Normal 4 2 2 4 4 4 3 3" xfId="39889"/>
    <cellStyle name="Normal 4 2 2 4 4 4 4" xfId="17325"/>
    <cellStyle name="Normal 4 2 2 4 4 4 5" xfId="32368"/>
    <cellStyle name="Normal 4 2 2 4 4 5" xfId="4160"/>
    <cellStyle name="Normal 4 2 2 4 4 5 2" xfId="11684"/>
    <cellStyle name="Normal 4 2 2 4 4 5 2 2" xfId="26728"/>
    <cellStyle name="Normal 4 2 2 4 4 5 2 3" xfId="41771"/>
    <cellStyle name="Normal 4 2 2 4 4 5 3" xfId="19207"/>
    <cellStyle name="Normal 4 2 2 4 4 5 4" xfId="34250"/>
    <cellStyle name="Normal 4 2 2 4 4 6" xfId="7923"/>
    <cellStyle name="Normal 4 2 2 4 4 6 2" xfId="22967"/>
    <cellStyle name="Normal 4 2 2 4 4 6 3" xfId="38010"/>
    <cellStyle name="Normal 4 2 2 4 4 7" xfId="15446"/>
    <cellStyle name="Normal 4 2 2 4 4 8" xfId="30489"/>
    <cellStyle name="Normal 4 2 2 4 5" xfId="782"/>
    <cellStyle name="Normal 4 2 2 4 5 2" xfId="1741"/>
    <cellStyle name="Normal 4 2 2 4 5 2 2" xfId="3612"/>
    <cellStyle name="Normal 4 2 2 4 5 2 2 2" xfId="7407"/>
    <cellStyle name="Normal 4 2 2 4 5 2 2 2 2" xfId="14930"/>
    <cellStyle name="Normal 4 2 2 4 5 2 2 2 2 2" xfId="29974"/>
    <cellStyle name="Normal 4 2 2 4 5 2 2 2 2 3" xfId="45017"/>
    <cellStyle name="Normal 4 2 2 4 5 2 2 2 3" xfId="22453"/>
    <cellStyle name="Normal 4 2 2 4 5 2 2 2 4" xfId="37496"/>
    <cellStyle name="Normal 4 2 2 4 5 2 2 3" xfId="11181"/>
    <cellStyle name="Normal 4 2 2 4 5 2 2 3 2" xfId="26225"/>
    <cellStyle name="Normal 4 2 2 4 5 2 2 3 3" xfId="41268"/>
    <cellStyle name="Normal 4 2 2 4 5 2 2 4" xfId="18704"/>
    <cellStyle name="Normal 4 2 2 4 5 2 2 5" xfId="33747"/>
    <cellStyle name="Normal 4 2 2 4 5 2 3" xfId="5542"/>
    <cellStyle name="Normal 4 2 2 4 5 2 3 2" xfId="13065"/>
    <cellStyle name="Normal 4 2 2 4 5 2 3 2 2" xfId="28109"/>
    <cellStyle name="Normal 4 2 2 4 5 2 3 2 3" xfId="43152"/>
    <cellStyle name="Normal 4 2 2 4 5 2 3 3" xfId="20588"/>
    <cellStyle name="Normal 4 2 2 4 5 2 3 4" xfId="35631"/>
    <cellStyle name="Normal 4 2 2 4 5 2 4" xfId="9316"/>
    <cellStyle name="Normal 4 2 2 4 5 2 4 2" xfId="24360"/>
    <cellStyle name="Normal 4 2 2 4 5 2 4 3" xfId="39403"/>
    <cellStyle name="Normal 4 2 2 4 5 2 5" xfId="16839"/>
    <cellStyle name="Normal 4 2 2 4 5 2 6" xfId="31882"/>
    <cellStyle name="Normal 4 2 2 4 5 3" xfId="2680"/>
    <cellStyle name="Normal 4 2 2 4 5 3 2" xfId="6475"/>
    <cellStyle name="Normal 4 2 2 4 5 3 2 2" xfId="13998"/>
    <cellStyle name="Normal 4 2 2 4 5 3 2 2 2" xfId="29042"/>
    <cellStyle name="Normal 4 2 2 4 5 3 2 2 3" xfId="44085"/>
    <cellStyle name="Normal 4 2 2 4 5 3 2 3" xfId="21521"/>
    <cellStyle name="Normal 4 2 2 4 5 3 2 4" xfId="36564"/>
    <cellStyle name="Normal 4 2 2 4 5 3 3" xfId="10249"/>
    <cellStyle name="Normal 4 2 2 4 5 3 3 2" xfId="25293"/>
    <cellStyle name="Normal 4 2 2 4 5 3 3 3" xfId="40336"/>
    <cellStyle name="Normal 4 2 2 4 5 3 4" xfId="17772"/>
    <cellStyle name="Normal 4 2 2 4 5 3 5" xfId="32815"/>
    <cellStyle name="Normal 4 2 2 4 5 4" xfId="4610"/>
    <cellStyle name="Normal 4 2 2 4 5 4 2" xfId="12133"/>
    <cellStyle name="Normal 4 2 2 4 5 4 2 2" xfId="27177"/>
    <cellStyle name="Normal 4 2 2 4 5 4 2 3" xfId="42220"/>
    <cellStyle name="Normal 4 2 2 4 5 4 3" xfId="19656"/>
    <cellStyle name="Normal 4 2 2 4 5 4 4" xfId="34699"/>
    <cellStyle name="Normal 4 2 2 4 5 5" xfId="8384"/>
    <cellStyle name="Normal 4 2 2 4 5 5 2" xfId="23428"/>
    <cellStyle name="Normal 4 2 2 4 5 5 3" xfId="38471"/>
    <cellStyle name="Normal 4 2 2 4 5 6" xfId="15907"/>
    <cellStyle name="Normal 4 2 2 4 5 7" xfId="30950"/>
    <cellStyle name="Normal 4 2 2 4 6" xfId="1289"/>
    <cellStyle name="Normal 4 2 2 4 6 2" xfId="3160"/>
    <cellStyle name="Normal 4 2 2 4 6 2 2" xfId="6955"/>
    <cellStyle name="Normal 4 2 2 4 6 2 2 2" xfId="14478"/>
    <cellStyle name="Normal 4 2 2 4 6 2 2 2 2" xfId="29522"/>
    <cellStyle name="Normal 4 2 2 4 6 2 2 2 3" xfId="44565"/>
    <cellStyle name="Normal 4 2 2 4 6 2 2 3" xfId="22001"/>
    <cellStyle name="Normal 4 2 2 4 6 2 2 4" xfId="37044"/>
    <cellStyle name="Normal 4 2 2 4 6 2 3" xfId="10729"/>
    <cellStyle name="Normal 4 2 2 4 6 2 3 2" xfId="25773"/>
    <cellStyle name="Normal 4 2 2 4 6 2 3 3" xfId="40816"/>
    <cellStyle name="Normal 4 2 2 4 6 2 4" xfId="18252"/>
    <cellStyle name="Normal 4 2 2 4 6 2 5" xfId="33295"/>
    <cellStyle name="Normal 4 2 2 4 6 3" xfId="5090"/>
    <cellStyle name="Normal 4 2 2 4 6 3 2" xfId="12613"/>
    <cellStyle name="Normal 4 2 2 4 6 3 2 2" xfId="27657"/>
    <cellStyle name="Normal 4 2 2 4 6 3 2 3" xfId="42700"/>
    <cellStyle name="Normal 4 2 2 4 6 3 3" xfId="20136"/>
    <cellStyle name="Normal 4 2 2 4 6 3 4" xfId="35179"/>
    <cellStyle name="Normal 4 2 2 4 6 4" xfId="8864"/>
    <cellStyle name="Normal 4 2 2 4 6 4 2" xfId="23908"/>
    <cellStyle name="Normal 4 2 2 4 6 4 3" xfId="38951"/>
    <cellStyle name="Normal 4 2 2 4 6 5" xfId="16387"/>
    <cellStyle name="Normal 4 2 2 4 6 6" xfId="31430"/>
    <cellStyle name="Normal 4 2 2 4 7" xfId="2227"/>
    <cellStyle name="Normal 4 2 2 4 7 2" xfId="6023"/>
    <cellStyle name="Normal 4 2 2 4 7 2 2" xfId="13546"/>
    <cellStyle name="Normal 4 2 2 4 7 2 2 2" xfId="28590"/>
    <cellStyle name="Normal 4 2 2 4 7 2 2 3" xfId="43633"/>
    <cellStyle name="Normal 4 2 2 4 7 2 3" xfId="21069"/>
    <cellStyle name="Normal 4 2 2 4 7 2 4" xfId="36112"/>
    <cellStyle name="Normal 4 2 2 4 7 3" xfId="9797"/>
    <cellStyle name="Normal 4 2 2 4 7 3 2" xfId="24841"/>
    <cellStyle name="Normal 4 2 2 4 7 3 3" xfId="39884"/>
    <cellStyle name="Normal 4 2 2 4 7 4" xfId="17320"/>
    <cellStyle name="Normal 4 2 2 4 7 5" xfId="32363"/>
    <cellStyle name="Normal 4 2 2 4 8" xfId="4155"/>
    <cellStyle name="Normal 4 2 2 4 8 2" xfId="11679"/>
    <cellStyle name="Normal 4 2 2 4 8 2 2" xfId="26723"/>
    <cellStyle name="Normal 4 2 2 4 8 2 3" xfId="41766"/>
    <cellStyle name="Normal 4 2 2 4 8 3" xfId="19202"/>
    <cellStyle name="Normal 4 2 2 4 8 4" xfId="34245"/>
    <cellStyle name="Normal 4 2 2 4 9" xfId="7918"/>
    <cellStyle name="Normal 4 2 2 4 9 2" xfId="22962"/>
    <cellStyle name="Normal 4 2 2 4 9 3" xfId="38005"/>
    <cellStyle name="Normal 4 2 2 5" xfId="264"/>
    <cellStyle name="Normal 4 2 2 5 2" xfId="265"/>
    <cellStyle name="Normal 4 2 2 5 2 2" xfId="789"/>
    <cellStyle name="Normal 4 2 2 5 2 2 2" xfId="1748"/>
    <cellStyle name="Normal 4 2 2 5 2 2 2 2" xfId="3619"/>
    <cellStyle name="Normal 4 2 2 5 2 2 2 2 2" xfId="7414"/>
    <cellStyle name="Normal 4 2 2 5 2 2 2 2 2 2" xfId="14937"/>
    <cellStyle name="Normal 4 2 2 5 2 2 2 2 2 2 2" xfId="29981"/>
    <cellStyle name="Normal 4 2 2 5 2 2 2 2 2 2 3" xfId="45024"/>
    <cellStyle name="Normal 4 2 2 5 2 2 2 2 2 3" xfId="22460"/>
    <cellStyle name="Normal 4 2 2 5 2 2 2 2 2 4" xfId="37503"/>
    <cellStyle name="Normal 4 2 2 5 2 2 2 2 3" xfId="11188"/>
    <cellStyle name="Normal 4 2 2 5 2 2 2 2 3 2" xfId="26232"/>
    <cellStyle name="Normal 4 2 2 5 2 2 2 2 3 3" xfId="41275"/>
    <cellStyle name="Normal 4 2 2 5 2 2 2 2 4" xfId="18711"/>
    <cellStyle name="Normal 4 2 2 5 2 2 2 2 5" xfId="33754"/>
    <cellStyle name="Normal 4 2 2 5 2 2 2 3" xfId="5549"/>
    <cellStyle name="Normal 4 2 2 5 2 2 2 3 2" xfId="13072"/>
    <cellStyle name="Normal 4 2 2 5 2 2 2 3 2 2" xfId="28116"/>
    <cellStyle name="Normal 4 2 2 5 2 2 2 3 2 3" xfId="43159"/>
    <cellStyle name="Normal 4 2 2 5 2 2 2 3 3" xfId="20595"/>
    <cellStyle name="Normal 4 2 2 5 2 2 2 3 4" xfId="35638"/>
    <cellStyle name="Normal 4 2 2 5 2 2 2 4" xfId="9323"/>
    <cellStyle name="Normal 4 2 2 5 2 2 2 4 2" xfId="24367"/>
    <cellStyle name="Normal 4 2 2 5 2 2 2 4 3" xfId="39410"/>
    <cellStyle name="Normal 4 2 2 5 2 2 2 5" xfId="16846"/>
    <cellStyle name="Normal 4 2 2 5 2 2 2 6" xfId="31889"/>
    <cellStyle name="Normal 4 2 2 5 2 2 3" xfId="2687"/>
    <cellStyle name="Normal 4 2 2 5 2 2 3 2" xfId="6482"/>
    <cellStyle name="Normal 4 2 2 5 2 2 3 2 2" xfId="14005"/>
    <cellStyle name="Normal 4 2 2 5 2 2 3 2 2 2" xfId="29049"/>
    <cellStyle name="Normal 4 2 2 5 2 2 3 2 2 3" xfId="44092"/>
    <cellStyle name="Normal 4 2 2 5 2 2 3 2 3" xfId="21528"/>
    <cellStyle name="Normal 4 2 2 5 2 2 3 2 4" xfId="36571"/>
    <cellStyle name="Normal 4 2 2 5 2 2 3 3" xfId="10256"/>
    <cellStyle name="Normal 4 2 2 5 2 2 3 3 2" xfId="25300"/>
    <cellStyle name="Normal 4 2 2 5 2 2 3 3 3" xfId="40343"/>
    <cellStyle name="Normal 4 2 2 5 2 2 3 4" xfId="17779"/>
    <cellStyle name="Normal 4 2 2 5 2 2 3 5" xfId="32822"/>
    <cellStyle name="Normal 4 2 2 5 2 2 4" xfId="4617"/>
    <cellStyle name="Normal 4 2 2 5 2 2 4 2" xfId="12140"/>
    <cellStyle name="Normal 4 2 2 5 2 2 4 2 2" xfId="27184"/>
    <cellStyle name="Normal 4 2 2 5 2 2 4 2 3" xfId="42227"/>
    <cellStyle name="Normal 4 2 2 5 2 2 4 3" xfId="19663"/>
    <cellStyle name="Normal 4 2 2 5 2 2 4 4" xfId="34706"/>
    <cellStyle name="Normal 4 2 2 5 2 2 5" xfId="8391"/>
    <cellStyle name="Normal 4 2 2 5 2 2 5 2" xfId="23435"/>
    <cellStyle name="Normal 4 2 2 5 2 2 5 3" xfId="38478"/>
    <cellStyle name="Normal 4 2 2 5 2 2 6" xfId="15914"/>
    <cellStyle name="Normal 4 2 2 5 2 2 7" xfId="30957"/>
    <cellStyle name="Normal 4 2 2 5 2 3" xfId="1296"/>
    <cellStyle name="Normal 4 2 2 5 2 3 2" xfId="3167"/>
    <cellStyle name="Normal 4 2 2 5 2 3 2 2" xfId="6962"/>
    <cellStyle name="Normal 4 2 2 5 2 3 2 2 2" xfId="14485"/>
    <cellStyle name="Normal 4 2 2 5 2 3 2 2 2 2" xfId="29529"/>
    <cellStyle name="Normal 4 2 2 5 2 3 2 2 2 3" xfId="44572"/>
    <cellStyle name="Normal 4 2 2 5 2 3 2 2 3" xfId="22008"/>
    <cellStyle name="Normal 4 2 2 5 2 3 2 2 4" xfId="37051"/>
    <cellStyle name="Normal 4 2 2 5 2 3 2 3" xfId="10736"/>
    <cellStyle name="Normal 4 2 2 5 2 3 2 3 2" xfId="25780"/>
    <cellStyle name="Normal 4 2 2 5 2 3 2 3 3" xfId="40823"/>
    <cellStyle name="Normal 4 2 2 5 2 3 2 4" xfId="18259"/>
    <cellStyle name="Normal 4 2 2 5 2 3 2 5" xfId="33302"/>
    <cellStyle name="Normal 4 2 2 5 2 3 3" xfId="5097"/>
    <cellStyle name="Normal 4 2 2 5 2 3 3 2" xfId="12620"/>
    <cellStyle name="Normal 4 2 2 5 2 3 3 2 2" xfId="27664"/>
    <cellStyle name="Normal 4 2 2 5 2 3 3 2 3" xfId="42707"/>
    <cellStyle name="Normal 4 2 2 5 2 3 3 3" xfId="20143"/>
    <cellStyle name="Normal 4 2 2 5 2 3 3 4" xfId="35186"/>
    <cellStyle name="Normal 4 2 2 5 2 3 4" xfId="8871"/>
    <cellStyle name="Normal 4 2 2 5 2 3 4 2" xfId="23915"/>
    <cellStyle name="Normal 4 2 2 5 2 3 4 3" xfId="38958"/>
    <cellStyle name="Normal 4 2 2 5 2 3 5" xfId="16394"/>
    <cellStyle name="Normal 4 2 2 5 2 3 6" xfId="31437"/>
    <cellStyle name="Normal 4 2 2 5 2 4" xfId="2234"/>
    <cellStyle name="Normal 4 2 2 5 2 4 2" xfId="6030"/>
    <cellStyle name="Normal 4 2 2 5 2 4 2 2" xfId="13553"/>
    <cellStyle name="Normal 4 2 2 5 2 4 2 2 2" xfId="28597"/>
    <cellStyle name="Normal 4 2 2 5 2 4 2 2 3" xfId="43640"/>
    <cellStyle name="Normal 4 2 2 5 2 4 2 3" xfId="21076"/>
    <cellStyle name="Normal 4 2 2 5 2 4 2 4" xfId="36119"/>
    <cellStyle name="Normal 4 2 2 5 2 4 3" xfId="9804"/>
    <cellStyle name="Normal 4 2 2 5 2 4 3 2" xfId="24848"/>
    <cellStyle name="Normal 4 2 2 5 2 4 3 3" xfId="39891"/>
    <cellStyle name="Normal 4 2 2 5 2 4 4" xfId="17327"/>
    <cellStyle name="Normal 4 2 2 5 2 4 5" xfId="32370"/>
    <cellStyle name="Normal 4 2 2 5 2 5" xfId="4162"/>
    <cellStyle name="Normal 4 2 2 5 2 5 2" xfId="11686"/>
    <cellStyle name="Normal 4 2 2 5 2 5 2 2" xfId="26730"/>
    <cellStyle name="Normal 4 2 2 5 2 5 2 3" xfId="41773"/>
    <cellStyle name="Normal 4 2 2 5 2 5 3" xfId="19209"/>
    <cellStyle name="Normal 4 2 2 5 2 5 4" xfId="34252"/>
    <cellStyle name="Normal 4 2 2 5 2 6" xfId="7925"/>
    <cellStyle name="Normal 4 2 2 5 2 6 2" xfId="22969"/>
    <cellStyle name="Normal 4 2 2 5 2 6 3" xfId="38012"/>
    <cellStyle name="Normal 4 2 2 5 2 7" xfId="15448"/>
    <cellStyle name="Normal 4 2 2 5 2 8" xfId="30491"/>
    <cellStyle name="Normal 4 2 2 5 3" xfId="788"/>
    <cellStyle name="Normal 4 2 2 5 3 2" xfId="1747"/>
    <cellStyle name="Normal 4 2 2 5 3 2 2" xfId="3618"/>
    <cellStyle name="Normal 4 2 2 5 3 2 2 2" xfId="7413"/>
    <cellStyle name="Normal 4 2 2 5 3 2 2 2 2" xfId="14936"/>
    <cellStyle name="Normal 4 2 2 5 3 2 2 2 2 2" xfId="29980"/>
    <cellStyle name="Normal 4 2 2 5 3 2 2 2 2 3" xfId="45023"/>
    <cellStyle name="Normal 4 2 2 5 3 2 2 2 3" xfId="22459"/>
    <cellStyle name="Normal 4 2 2 5 3 2 2 2 4" xfId="37502"/>
    <cellStyle name="Normal 4 2 2 5 3 2 2 3" xfId="11187"/>
    <cellStyle name="Normal 4 2 2 5 3 2 2 3 2" xfId="26231"/>
    <cellStyle name="Normal 4 2 2 5 3 2 2 3 3" xfId="41274"/>
    <cellStyle name="Normal 4 2 2 5 3 2 2 4" xfId="18710"/>
    <cellStyle name="Normal 4 2 2 5 3 2 2 5" xfId="33753"/>
    <cellStyle name="Normal 4 2 2 5 3 2 3" xfId="5548"/>
    <cellStyle name="Normal 4 2 2 5 3 2 3 2" xfId="13071"/>
    <cellStyle name="Normal 4 2 2 5 3 2 3 2 2" xfId="28115"/>
    <cellStyle name="Normal 4 2 2 5 3 2 3 2 3" xfId="43158"/>
    <cellStyle name="Normal 4 2 2 5 3 2 3 3" xfId="20594"/>
    <cellStyle name="Normal 4 2 2 5 3 2 3 4" xfId="35637"/>
    <cellStyle name="Normal 4 2 2 5 3 2 4" xfId="9322"/>
    <cellStyle name="Normal 4 2 2 5 3 2 4 2" xfId="24366"/>
    <cellStyle name="Normal 4 2 2 5 3 2 4 3" xfId="39409"/>
    <cellStyle name="Normal 4 2 2 5 3 2 5" xfId="16845"/>
    <cellStyle name="Normal 4 2 2 5 3 2 6" xfId="31888"/>
    <cellStyle name="Normal 4 2 2 5 3 3" xfId="2686"/>
    <cellStyle name="Normal 4 2 2 5 3 3 2" xfId="6481"/>
    <cellStyle name="Normal 4 2 2 5 3 3 2 2" xfId="14004"/>
    <cellStyle name="Normal 4 2 2 5 3 3 2 2 2" xfId="29048"/>
    <cellStyle name="Normal 4 2 2 5 3 3 2 2 3" xfId="44091"/>
    <cellStyle name="Normal 4 2 2 5 3 3 2 3" xfId="21527"/>
    <cellStyle name="Normal 4 2 2 5 3 3 2 4" xfId="36570"/>
    <cellStyle name="Normal 4 2 2 5 3 3 3" xfId="10255"/>
    <cellStyle name="Normal 4 2 2 5 3 3 3 2" xfId="25299"/>
    <cellStyle name="Normal 4 2 2 5 3 3 3 3" xfId="40342"/>
    <cellStyle name="Normal 4 2 2 5 3 3 4" xfId="17778"/>
    <cellStyle name="Normal 4 2 2 5 3 3 5" xfId="32821"/>
    <cellStyle name="Normal 4 2 2 5 3 4" xfId="4616"/>
    <cellStyle name="Normal 4 2 2 5 3 4 2" xfId="12139"/>
    <cellStyle name="Normal 4 2 2 5 3 4 2 2" xfId="27183"/>
    <cellStyle name="Normal 4 2 2 5 3 4 2 3" xfId="42226"/>
    <cellStyle name="Normal 4 2 2 5 3 4 3" xfId="19662"/>
    <cellStyle name="Normal 4 2 2 5 3 4 4" xfId="34705"/>
    <cellStyle name="Normal 4 2 2 5 3 5" xfId="8390"/>
    <cellStyle name="Normal 4 2 2 5 3 5 2" xfId="23434"/>
    <cellStyle name="Normal 4 2 2 5 3 5 3" xfId="38477"/>
    <cellStyle name="Normal 4 2 2 5 3 6" xfId="15913"/>
    <cellStyle name="Normal 4 2 2 5 3 7" xfId="30956"/>
    <cellStyle name="Normal 4 2 2 5 4" xfId="1295"/>
    <cellStyle name="Normal 4 2 2 5 4 2" xfId="3166"/>
    <cellStyle name="Normal 4 2 2 5 4 2 2" xfId="6961"/>
    <cellStyle name="Normal 4 2 2 5 4 2 2 2" xfId="14484"/>
    <cellStyle name="Normal 4 2 2 5 4 2 2 2 2" xfId="29528"/>
    <cellStyle name="Normal 4 2 2 5 4 2 2 2 3" xfId="44571"/>
    <cellStyle name="Normal 4 2 2 5 4 2 2 3" xfId="22007"/>
    <cellStyle name="Normal 4 2 2 5 4 2 2 4" xfId="37050"/>
    <cellStyle name="Normal 4 2 2 5 4 2 3" xfId="10735"/>
    <cellStyle name="Normal 4 2 2 5 4 2 3 2" xfId="25779"/>
    <cellStyle name="Normal 4 2 2 5 4 2 3 3" xfId="40822"/>
    <cellStyle name="Normal 4 2 2 5 4 2 4" xfId="18258"/>
    <cellStyle name="Normal 4 2 2 5 4 2 5" xfId="33301"/>
    <cellStyle name="Normal 4 2 2 5 4 3" xfId="5096"/>
    <cellStyle name="Normal 4 2 2 5 4 3 2" xfId="12619"/>
    <cellStyle name="Normal 4 2 2 5 4 3 2 2" xfId="27663"/>
    <cellStyle name="Normal 4 2 2 5 4 3 2 3" xfId="42706"/>
    <cellStyle name="Normal 4 2 2 5 4 3 3" xfId="20142"/>
    <cellStyle name="Normal 4 2 2 5 4 3 4" xfId="35185"/>
    <cellStyle name="Normal 4 2 2 5 4 4" xfId="8870"/>
    <cellStyle name="Normal 4 2 2 5 4 4 2" xfId="23914"/>
    <cellStyle name="Normal 4 2 2 5 4 4 3" xfId="38957"/>
    <cellStyle name="Normal 4 2 2 5 4 5" xfId="16393"/>
    <cellStyle name="Normal 4 2 2 5 4 6" xfId="31436"/>
    <cellStyle name="Normal 4 2 2 5 5" xfId="2233"/>
    <cellStyle name="Normal 4 2 2 5 5 2" xfId="6029"/>
    <cellStyle name="Normal 4 2 2 5 5 2 2" xfId="13552"/>
    <cellStyle name="Normal 4 2 2 5 5 2 2 2" xfId="28596"/>
    <cellStyle name="Normal 4 2 2 5 5 2 2 3" xfId="43639"/>
    <cellStyle name="Normal 4 2 2 5 5 2 3" xfId="21075"/>
    <cellStyle name="Normal 4 2 2 5 5 2 4" xfId="36118"/>
    <cellStyle name="Normal 4 2 2 5 5 3" xfId="9803"/>
    <cellStyle name="Normal 4 2 2 5 5 3 2" xfId="24847"/>
    <cellStyle name="Normal 4 2 2 5 5 3 3" xfId="39890"/>
    <cellStyle name="Normal 4 2 2 5 5 4" xfId="17326"/>
    <cellStyle name="Normal 4 2 2 5 5 5" xfId="32369"/>
    <cellStyle name="Normal 4 2 2 5 6" xfId="4161"/>
    <cellStyle name="Normal 4 2 2 5 6 2" xfId="11685"/>
    <cellStyle name="Normal 4 2 2 5 6 2 2" xfId="26729"/>
    <cellStyle name="Normal 4 2 2 5 6 2 3" xfId="41772"/>
    <cellStyle name="Normal 4 2 2 5 6 3" xfId="19208"/>
    <cellStyle name="Normal 4 2 2 5 6 4" xfId="34251"/>
    <cellStyle name="Normal 4 2 2 5 7" xfId="7924"/>
    <cellStyle name="Normal 4 2 2 5 7 2" xfId="22968"/>
    <cellStyle name="Normal 4 2 2 5 7 3" xfId="38011"/>
    <cellStyle name="Normal 4 2 2 5 8" xfId="15447"/>
    <cellStyle name="Normal 4 2 2 5 9" xfId="30490"/>
    <cellStyle name="Normal 4 2 2 6" xfId="266"/>
    <cellStyle name="Normal 4 2 2 6 2" xfId="267"/>
    <cellStyle name="Normal 4 2 2 6 2 2" xfId="791"/>
    <cellStyle name="Normal 4 2 2 6 2 2 2" xfId="1750"/>
    <cellStyle name="Normal 4 2 2 6 2 2 2 2" xfId="3621"/>
    <cellStyle name="Normal 4 2 2 6 2 2 2 2 2" xfId="7416"/>
    <cellStyle name="Normal 4 2 2 6 2 2 2 2 2 2" xfId="14939"/>
    <cellStyle name="Normal 4 2 2 6 2 2 2 2 2 2 2" xfId="29983"/>
    <cellStyle name="Normal 4 2 2 6 2 2 2 2 2 2 3" xfId="45026"/>
    <cellStyle name="Normal 4 2 2 6 2 2 2 2 2 3" xfId="22462"/>
    <cellStyle name="Normal 4 2 2 6 2 2 2 2 2 4" xfId="37505"/>
    <cellStyle name="Normal 4 2 2 6 2 2 2 2 3" xfId="11190"/>
    <cellStyle name="Normal 4 2 2 6 2 2 2 2 3 2" xfId="26234"/>
    <cellStyle name="Normal 4 2 2 6 2 2 2 2 3 3" xfId="41277"/>
    <cellStyle name="Normal 4 2 2 6 2 2 2 2 4" xfId="18713"/>
    <cellStyle name="Normal 4 2 2 6 2 2 2 2 5" xfId="33756"/>
    <cellStyle name="Normal 4 2 2 6 2 2 2 3" xfId="5551"/>
    <cellStyle name="Normal 4 2 2 6 2 2 2 3 2" xfId="13074"/>
    <cellStyle name="Normal 4 2 2 6 2 2 2 3 2 2" xfId="28118"/>
    <cellStyle name="Normal 4 2 2 6 2 2 2 3 2 3" xfId="43161"/>
    <cellStyle name="Normal 4 2 2 6 2 2 2 3 3" xfId="20597"/>
    <cellStyle name="Normal 4 2 2 6 2 2 2 3 4" xfId="35640"/>
    <cellStyle name="Normal 4 2 2 6 2 2 2 4" xfId="9325"/>
    <cellStyle name="Normal 4 2 2 6 2 2 2 4 2" xfId="24369"/>
    <cellStyle name="Normal 4 2 2 6 2 2 2 4 3" xfId="39412"/>
    <cellStyle name="Normal 4 2 2 6 2 2 2 5" xfId="16848"/>
    <cellStyle name="Normal 4 2 2 6 2 2 2 6" xfId="31891"/>
    <cellStyle name="Normal 4 2 2 6 2 2 3" xfId="2689"/>
    <cellStyle name="Normal 4 2 2 6 2 2 3 2" xfId="6484"/>
    <cellStyle name="Normal 4 2 2 6 2 2 3 2 2" xfId="14007"/>
    <cellStyle name="Normal 4 2 2 6 2 2 3 2 2 2" xfId="29051"/>
    <cellStyle name="Normal 4 2 2 6 2 2 3 2 2 3" xfId="44094"/>
    <cellStyle name="Normal 4 2 2 6 2 2 3 2 3" xfId="21530"/>
    <cellStyle name="Normal 4 2 2 6 2 2 3 2 4" xfId="36573"/>
    <cellStyle name="Normal 4 2 2 6 2 2 3 3" xfId="10258"/>
    <cellStyle name="Normal 4 2 2 6 2 2 3 3 2" xfId="25302"/>
    <cellStyle name="Normal 4 2 2 6 2 2 3 3 3" xfId="40345"/>
    <cellStyle name="Normal 4 2 2 6 2 2 3 4" xfId="17781"/>
    <cellStyle name="Normal 4 2 2 6 2 2 3 5" xfId="32824"/>
    <cellStyle name="Normal 4 2 2 6 2 2 4" xfId="4619"/>
    <cellStyle name="Normal 4 2 2 6 2 2 4 2" xfId="12142"/>
    <cellStyle name="Normal 4 2 2 6 2 2 4 2 2" xfId="27186"/>
    <cellStyle name="Normal 4 2 2 6 2 2 4 2 3" xfId="42229"/>
    <cellStyle name="Normal 4 2 2 6 2 2 4 3" xfId="19665"/>
    <cellStyle name="Normal 4 2 2 6 2 2 4 4" xfId="34708"/>
    <cellStyle name="Normal 4 2 2 6 2 2 5" xfId="8393"/>
    <cellStyle name="Normal 4 2 2 6 2 2 5 2" xfId="23437"/>
    <cellStyle name="Normal 4 2 2 6 2 2 5 3" xfId="38480"/>
    <cellStyle name="Normal 4 2 2 6 2 2 6" xfId="15916"/>
    <cellStyle name="Normal 4 2 2 6 2 2 7" xfId="30959"/>
    <cellStyle name="Normal 4 2 2 6 2 3" xfId="1298"/>
    <cellStyle name="Normal 4 2 2 6 2 3 2" xfId="3169"/>
    <cellStyle name="Normal 4 2 2 6 2 3 2 2" xfId="6964"/>
    <cellStyle name="Normal 4 2 2 6 2 3 2 2 2" xfId="14487"/>
    <cellStyle name="Normal 4 2 2 6 2 3 2 2 2 2" xfId="29531"/>
    <cellStyle name="Normal 4 2 2 6 2 3 2 2 2 3" xfId="44574"/>
    <cellStyle name="Normal 4 2 2 6 2 3 2 2 3" xfId="22010"/>
    <cellStyle name="Normal 4 2 2 6 2 3 2 2 4" xfId="37053"/>
    <cellStyle name="Normal 4 2 2 6 2 3 2 3" xfId="10738"/>
    <cellStyle name="Normal 4 2 2 6 2 3 2 3 2" xfId="25782"/>
    <cellStyle name="Normal 4 2 2 6 2 3 2 3 3" xfId="40825"/>
    <cellStyle name="Normal 4 2 2 6 2 3 2 4" xfId="18261"/>
    <cellStyle name="Normal 4 2 2 6 2 3 2 5" xfId="33304"/>
    <cellStyle name="Normal 4 2 2 6 2 3 3" xfId="5099"/>
    <cellStyle name="Normal 4 2 2 6 2 3 3 2" xfId="12622"/>
    <cellStyle name="Normal 4 2 2 6 2 3 3 2 2" xfId="27666"/>
    <cellStyle name="Normal 4 2 2 6 2 3 3 2 3" xfId="42709"/>
    <cellStyle name="Normal 4 2 2 6 2 3 3 3" xfId="20145"/>
    <cellStyle name="Normal 4 2 2 6 2 3 3 4" xfId="35188"/>
    <cellStyle name="Normal 4 2 2 6 2 3 4" xfId="8873"/>
    <cellStyle name="Normal 4 2 2 6 2 3 4 2" xfId="23917"/>
    <cellStyle name="Normal 4 2 2 6 2 3 4 3" xfId="38960"/>
    <cellStyle name="Normal 4 2 2 6 2 3 5" xfId="16396"/>
    <cellStyle name="Normal 4 2 2 6 2 3 6" xfId="31439"/>
    <cellStyle name="Normal 4 2 2 6 2 4" xfId="2236"/>
    <cellStyle name="Normal 4 2 2 6 2 4 2" xfId="6032"/>
    <cellStyle name="Normal 4 2 2 6 2 4 2 2" xfId="13555"/>
    <cellStyle name="Normal 4 2 2 6 2 4 2 2 2" xfId="28599"/>
    <cellStyle name="Normal 4 2 2 6 2 4 2 2 3" xfId="43642"/>
    <cellStyle name="Normal 4 2 2 6 2 4 2 3" xfId="21078"/>
    <cellStyle name="Normal 4 2 2 6 2 4 2 4" xfId="36121"/>
    <cellStyle name="Normal 4 2 2 6 2 4 3" xfId="9806"/>
    <cellStyle name="Normal 4 2 2 6 2 4 3 2" xfId="24850"/>
    <cellStyle name="Normal 4 2 2 6 2 4 3 3" xfId="39893"/>
    <cellStyle name="Normal 4 2 2 6 2 4 4" xfId="17329"/>
    <cellStyle name="Normal 4 2 2 6 2 4 5" xfId="32372"/>
    <cellStyle name="Normal 4 2 2 6 2 5" xfId="4164"/>
    <cellStyle name="Normal 4 2 2 6 2 5 2" xfId="11688"/>
    <cellStyle name="Normal 4 2 2 6 2 5 2 2" xfId="26732"/>
    <cellStyle name="Normal 4 2 2 6 2 5 2 3" xfId="41775"/>
    <cellStyle name="Normal 4 2 2 6 2 5 3" xfId="19211"/>
    <cellStyle name="Normal 4 2 2 6 2 5 4" xfId="34254"/>
    <cellStyle name="Normal 4 2 2 6 2 6" xfId="7927"/>
    <cellStyle name="Normal 4 2 2 6 2 6 2" xfId="22971"/>
    <cellStyle name="Normal 4 2 2 6 2 6 3" xfId="38014"/>
    <cellStyle name="Normal 4 2 2 6 2 7" xfId="15450"/>
    <cellStyle name="Normal 4 2 2 6 2 8" xfId="30493"/>
    <cellStyle name="Normal 4 2 2 6 3" xfId="790"/>
    <cellStyle name="Normal 4 2 2 6 3 2" xfId="1749"/>
    <cellStyle name="Normal 4 2 2 6 3 2 2" xfId="3620"/>
    <cellStyle name="Normal 4 2 2 6 3 2 2 2" xfId="7415"/>
    <cellStyle name="Normal 4 2 2 6 3 2 2 2 2" xfId="14938"/>
    <cellStyle name="Normal 4 2 2 6 3 2 2 2 2 2" xfId="29982"/>
    <cellStyle name="Normal 4 2 2 6 3 2 2 2 2 3" xfId="45025"/>
    <cellStyle name="Normal 4 2 2 6 3 2 2 2 3" xfId="22461"/>
    <cellStyle name="Normal 4 2 2 6 3 2 2 2 4" xfId="37504"/>
    <cellStyle name="Normal 4 2 2 6 3 2 2 3" xfId="11189"/>
    <cellStyle name="Normal 4 2 2 6 3 2 2 3 2" xfId="26233"/>
    <cellStyle name="Normal 4 2 2 6 3 2 2 3 3" xfId="41276"/>
    <cellStyle name="Normal 4 2 2 6 3 2 2 4" xfId="18712"/>
    <cellStyle name="Normal 4 2 2 6 3 2 2 5" xfId="33755"/>
    <cellStyle name="Normal 4 2 2 6 3 2 3" xfId="5550"/>
    <cellStyle name="Normal 4 2 2 6 3 2 3 2" xfId="13073"/>
    <cellStyle name="Normal 4 2 2 6 3 2 3 2 2" xfId="28117"/>
    <cellStyle name="Normal 4 2 2 6 3 2 3 2 3" xfId="43160"/>
    <cellStyle name="Normal 4 2 2 6 3 2 3 3" xfId="20596"/>
    <cellStyle name="Normal 4 2 2 6 3 2 3 4" xfId="35639"/>
    <cellStyle name="Normal 4 2 2 6 3 2 4" xfId="9324"/>
    <cellStyle name="Normal 4 2 2 6 3 2 4 2" xfId="24368"/>
    <cellStyle name="Normal 4 2 2 6 3 2 4 3" xfId="39411"/>
    <cellStyle name="Normal 4 2 2 6 3 2 5" xfId="16847"/>
    <cellStyle name="Normal 4 2 2 6 3 2 6" xfId="31890"/>
    <cellStyle name="Normal 4 2 2 6 3 3" xfId="2688"/>
    <cellStyle name="Normal 4 2 2 6 3 3 2" xfId="6483"/>
    <cellStyle name="Normal 4 2 2 6 3 3 2 2" xfId="14006"/>
    <cellStyle name="Normal 4 2 2 6 3 3 2 2 2" xfId="29050"/>
    <cellStyle name="Normal 4 2 2 6 3 3 2 2 3" xfId="44093"/>
    <cellStyle name="Normal 4 2 2 6 3 3 2 3" xfId="21529"/>
    <cellStyle name="Normal 4 2 2 6 3 3 2 4" xfId="36572"/>
    <cellStyle name="Normal 4 2 2 6 3 3 3" xfId="10257"/>
    <cellStyle name="Normal 4 2 2 6 3 3 3 2" xfId="25301"/>
    <cellStyle name="Normal 4 2 2 6 3 3 3 3" xfId="40344"/>
    <cellStyle name="Normal 4 2 2 6 3 3 4" xfId="17780"/>
    <cellStyle name="Normal 4 2 2 6 3 3 5" xfId="32823"/>
    <cellStyle name="Normal 4 2 2 6 3 4" xfId="4618"/>
    <cellStyle name="Normal 4 2 2 6 3 4 2" xfId="12141"/>
    <cellStyle name="Normal 4 2 2 6 3 4 2 2" xfId="27185"/>
    <cellStyle name="Normal 4 2 2 6 3 4 2 3" xfId="42228"/>
    <cellStyle name="Normal 4 2 2 6 3 4 3" xfId="19664"/>
    <cellStyle name="Normal 4 2 2 6 3 4 4" xfId="34707"/>
    <cellStyle name="Normal 4 2 2 6 3 5" xfId="8392"/>
    <cellStyle name="Normal 4 2 2 6 3 5 2" xfId="23436"/>
    <cellStyle name="Normal 4 2 2 6 3 5 3" xfId="38479"/>
    <cellStyle name="Normal 4 2 2 6 3 6" xfId="15915"/>
    <cellStyle name="Normal 4 2 2 6 3 7" xfId="30958"/>
    <cellStyle name="Normal 4 2 2 6 4" xfId="1297"/>
    <cellStyle name="Normal 4 2 2 6 4 2" xfId="3168"/>
    <cellStyle name="Normal 4 2 2 6 4 2 2" xfId="6963"/>
    <cellStyle name="Normal 4 2 2 6 4 2 2 2" xfId="14486"/>
    <cellStyle name="Normal 4 2 2 6 4 2 2 2 2" xfId="29530"/>
    <cellStyle name="Normal 4 2 2 6 4 2 2 2 3" xfId="44573"/>
    <cellStyle name="Normal 4 2 2 6 4 2 2 3" xfId="22009"/>
    <cellStyle name="Normal 4 2 2 6 4 2 2 4" xfId="37052"/>
    <cellStyle name="Normal 4 2 2 6 4 2 3" xfId="10737"/>
    <cellStyle name="Normal 4 2 2 6 4 2 3 2" xfId="25781"/>
    <cellStyle name="Normal 4 2 2 6 4 2 3 3" xfId="40824"/>
    <cellStyle name="Normal 4 2 2 6 4 2 4" xfId="18260"/>
    <cellStyle name="Normal 4 2 2 6 4 2 5" xfId="33303"/>
    <cellStyle name="Normal 4 2 2 6 4 3" xfId="5098"/>
    <cellStyle name="Normal 4 2 2 6 4 3 2" xfId="12621"/>
    <cellStyle name="Normal 4 2 2 6 4 3 2 2" xfId="27665"/>
    <cellStyle name="Normal 4 2 2 6 4 3 2 3" xfId="42708"/>
    <cellStyle name="Normal 4 2 2 6 4 3 3" xfId="20144"/>
    <cellStyle name="Normal 4 2 2 6 4 3 4" xfId="35187"/>
    <cellStyle name="Normal 4 2 2 6 4 4" xfId="8872"/>
    <cellStyle name="Normal 4 2 2 6 4 4 2" xfId="23916"/>
    <cellStyle name="Normal 4 2 2 6 4 4 3" xfId="38959"/>
    <cellStyle name="Normal 4 2 2 6 4 5" xfId="16395"/>
    <cellStyle name="Normal 4 2 2 6 4 6" xfId="31438"/>
    <cellStyle name="Normal 4 2 2 6 5" xfId="2235"/>
    <cellStyle name="Normal 4 2 2 6 5 2" xfId="6031"/>
    <cellStyle name="Normal 4 2 2 6 5 2 2" xfId="13554"/>
    <cellStyle name="Normal 4 2 2 6 5 2 2 2" xfId="28598"/>
    <cellStyle name="Normal 4 2 2 6 5 2 2 3" xfId="43641"/>
    <cellStyle name="Normal 4 2 2 6 5 2 3" xfId="21077"/>
    <cellStyle name="Normal 4 2 2 6 5 2 4" xfId="36120"/>
    <cellStyle name="Normal 4 2 2 6 5 3" xfId="9805"/>
    <cellStyle name="Normal 4 2 2 6 5 3 2" xfId="24849"/>
    <cellStyle name="Normal 4 2 2 6 5 3 3" xfId="39892"/>
    <cellStyle name="Normal 4 2 2 6 5 4" xfId="17328"/>
    <cellStyle name="Normal 4 2 2 6 5 5" xfId="32371"/>
    <cellStyle name="Normal 4 2 2 6 6" xfId="4163"/>
    <cellStyle name="Normal 4 2 2 6 6 2" xfId="11687"/>
    <cellStyle name="Normal 4 2 2 6 6 2 2" xfId="26731"/>
    <cellStyle name="Normal 4 2 2 6 6 2 3" xfId="41774"/>
    <cellStyle name="Normal 4 2 2 6 6 3" xfId="19210"/>
    <cellStyle name="Normal 4 2 2 6 6 4" xfId="34253"/>
    <cellStyle name="Normal 4 2 2 6 7" xfId="7926"/>
    <cellStyle name="Normal 4 2 2 6 7 2" xfId="22970"/>
    <cellStyle name="Normal 4 2 2 6 7 3" xfId="38013"/>
    <cellStyle name="Normal 4 2 2 6 8" xfId="15449"/>
    <cellStyle name="Normal 4 2 2 6 9" xfId="30492"/>
    <cellStyle name="Normal 4 2 2 7" xfId="268"/>
    <cellStyle name="Normal 4 2 2 7 2" xfId="792"/>
    <cellStyle name="Normal 4 2 2 7 2 2" xfId="1751"/>
    <cellStyle name="Normal 4 2 2 7 2 2 2" xfId="3622"/>
    <cellStyle name="Normal 4 2 2 7 2 2 2 2" xfId="7417"/>
    <cellStyle name="Normal 4 2 2 7 2 2 2 2 2" xfId="14940"/>
    <cellStyle name="Normal 4 2 2 7 2 2 2 2 2 2" xfId="29984"/>
    <cellStyle name="Normal 4 2 2 7 2 2 2 2 2 3" xfId="45027"/>
    <cellStyle name="Normal 4 2 2 7 2 2 2 2 3" xfId="22463"/>
    <cellStyle name="Normal 4 2 2 7 2 2 2 2 4" xfId="37506"/>
    <cellStyle name="Normal 4 2 2 7 2 2 2 3" xfId="11191"/>
    <cellStyle name="Normal 4 2 2 7 2 2 2 3 2" xfId="26235"/>
    <cellStyle name="Normal 4 2 2 7 2 2 2 3 3" xfId="41278"/>
    <cellStyle name="Normal 4 2 2 7 2 2 2 4" xfId="18714"/>
    <cellStyle name="Normal 4 2 2 7 2 2 2 5" xfId="33757"/>
    <cellStyle name="Normal 4 2 2 7 2 2 3" xfId="5552"/>
    <cellStyle name="Normal 4 2 2 7 2 2 3 2" xfId="13075"/>
    <cellStyle name="Normal 4 2 2 7 2 2 3 2 2" xfId="28119"/>
    <cellStyle name="Normal 4 2 2 7 2 2 3 2 3" xfId="43162"/>
    <cellStyle name="Normal 4 2 2 7 2 2 3 3" xfId="20598"/>
    <cellStyle name="Normal 4 2 2 7 2 2 3 4" xfId="35641"/>
    <cellStyle name="Normal 4 2 2 7 2 2 4" xfId="9326"/>
    <cellStyle name="Normal 4 2 2 7 2 2 4 2" xfId="24370"/>
    <cellStyle name="Normal 4 2 2 7 2 2 4 3" xfId="39413"/>
    <cellStyle name="Normal 4 2 2 7 2 2 5" xfId="16849"/>
    <cellStyle name="Normal 4 2 2 7 2 2 6" xfId="31892"/>
    <cellStyle name="Normal 4 2 2 7 2 3" xfId="2690"/>
    <cellStyle name="Normal 4 2 2 7 2 3 2" xfId="6485"/>
    <cellStyle name="Normal 4 2 2 7 2 3 2 2" xfId="14008"/>
    <cellStyle name="Normal 4 2 2 7 2 3 2 2 2" xfId="29052"/>
    <cellStyle name="Normal 4 2 2 7 2 3 2 2 3" xfId="44095"/>
    <cellStyle name="Normal 4 2 2 7 2 3 2 3" xfId="21531"/>
    <cellStyle name="Normal 4 2 2 7 2 3 2 4" xfId="36574"/>
    <cellStyle name="Normal 4 2 2 7 2 3 3" xfId="10259"/>
    <cellStyle name="Normal 4 2 2 7 2 3 3 2" xfId="25303"/>
    <cellStyle name="Normal 4 2 2 7 2 3 3 3" xfId="40346"/>
    <cellStyle name="Normal 4 2 2 7 2 3 4" xfId="17782"/>
    <cellStyle name="Normal 4 2 2 7 2 3 5" xfId="32825"/>
    <cellStyle name="Normal 4 2 2 7 2 4" xfId="4620"/>
    <cellStyle name="Normal 4 2 2 7 2 4 2" xfId="12143"/>
    <cellStyle name="Normal 4 2 2 7 2 4 2 2" xfId="27187"/>
    <cellStyle name="Normal 4 2 2 7 2 4 2 3" xfId="42230"/>
    <cellStyle name="Normal 4 2 2 7 2 4 3" xfId="19666"/>
    <cellStyle name="Normal 4 2 2 7 2 4 4" xfId="34709"/>
    <cellStyle name="Normal 4 2 2 7 2 5" xfId="8394"/>
    <cellStyle name="Normal 4 2 2 7 2 5 2" xfId="23438"/>
    <cellStyle name="Normal 4 2 2 7 2 5 3" xfId="38481"/>
    <cellStyle name="Normal 4 2 2 7 2 6" xfId="15917"/>
    <cellStyle name="Normal 4 2 2 7 2 7" xfId="30960"/>
    <cellStyle name="Normal 4 2 2 7 3" xfId="1299"/>
    <cellStyle name="Normal 4 2 2 7 3 2" xfId="3170"/>
    <cellStyle name="Normal 4 2 2 7 3 2 2" xfId="6965"/>
    <cellStyle name="Normal 4 2 2 7 3 2 2 2" xfId="14488"/>
    <cellStyle name="Normal 4 2 2 7 3 2 2 2 2" xfId="29532"/>
    <cellStyle name="Normal 4 2 2 7 3 2 2 2 3" xfId="44575"/>
    <cellStyle name="Normal 4 2 2 7 3 2 2 3" xfId="22011"/>
    <cellStyle name="Normal 4 2 2 7 3 2 2 4" xfId="37054"/>
    <cellStyle name="Normal 4 2 2 7 3 2 3" xfId="10739"/>
    <cellStyle name="Normal 4 2 2 7 3 2 3 2" xfId="25783"/>
    <cellStyle name="Normal 4 2 2 7 3 2 3 3" xfId="40826"/>
    <cellStyle name="Normal 4 2 2 7 3 2 4" xfId="18262"/>
    <cellStyle name="Normal 4 2 2 7 3 2 5" xfId="33305"/>
    <cellStyle name="Normal 4 2 2 7 3 3" xfId="5100"/>
    <cellStyle name="Normal 4 2 2 7 3 3 2" xfId="12623"/>
    <cellStyle name="Normal 4 2 2 7 3 3 2 2" xfId="27667"/>
    <cellStyle name="Normal 4 2 2 7 3 3 2 3" xfId="42710"/>
    <cellStyle name="Normal 4 2 2 7 3 3 3" xfId="20146"/>
    <cellStyle name="Normal 4 2 2 7 3 3 4" xfId="35189"/>
    <cellStyle name="Normal 4 2 2 7 3 4" xfId="8874"/>
    <cellStyle name="Normal 4 2 2 7 3 4 2" xfId="23918"/>
    <cellStyle name="Normal 4 2 2 7 3 4 3" xfId="38961"/>
    <cellStyle name="Normal 4 2 2 7 3 5" xfId="16397"/>
    <cellStyle name="Normal 4 2 2 7 3 6" xfId="31440"/>
    <cellStyle name="Normal 4 2 2 7 4" xfId="2237"/>
    <cellStyle name="Normal 4 2 2 7 4 2" xfId="6033"/>
    <cellStyle name="Normal 4 2 2 7 4 2 2" xfId="13556"/>
    <cellStyle name="Normal 4 2 2 7 4 2 2 2" xfId="28600"/>
    <cellStyle name="Normal 4 2 2 7 4 2 2 3" xfId="43643"/>
    <cellStyle name="Normal 4 2 2 7 4 2 3" xfId="21079"/>
    <cellStyle name="Normal 4 2 2 7 4 2 4" xfId="36122"/>
    <cellStyle name="Normal 4 2 2 7 4 3" xfId="9807"/>
    <cellStyle name="Normal 4 2 2 7 4 3 2" xfId="24851"/>
    <cellStyle name="Normal 4 2 2 7 4 3 3" xfId="39894"/>
    <cellStyle name="Normal 4 2 2 7 4 4" xfId="17330"/>
    <cellStyle name="Normal 4 2 2 7 4 5" xfId="32373"/>
    <cellStyle name="Normal 4 2 2 7 5" xfId="4165"/>
    <cellStyle name="Normal 4 2 2 7 5 2" xfId="11689"/>
    <cellStyle name="Normal 4 2 2 7 5 2 2" xfId="26733"/>
    <cellStyle name="Normal 4 2 2 7 5 2 3" xfId="41776"/>
    <cellStyle name="Normal 4 2 2 7 5 3" xfId="19212"/>
    <cellStyle name="Normal 4 2 2 7 5 4" xfId="34255"/>
    <cellStyle name="Normal 4 2 2 7 6" xfId="7928"/>
    <cellStyle name="Normal 4 2 2 7 6 2" xfId="22972"/>
    <cellStyle name="Normal 4 2 2 7 6 3" xfId="38015"/>
    <cellStyle name="Normal 4 2 2 7 7" xfId="15451"/>
    <cellStyle name="Normal 4 2 2 7 8" xfId="30494"/>
    <cellStyle name="Normal 4 2 2 8" xfId="749"/>
    <cellStyle name="Normal 4 2 2 8 2" xfId="1708"/>
    <cellStyle name="Normal 4 2 2 8 2 2" xfId="3579"/>
    <cellStyle name="Normal 4 2 2 8 2 2 2" xfId="7374"/>
    <cellStyle name="Normal 4 2 2 8 2 2 2 2" xfId="14897"/>
    <cellStyle name="Normal 4 2 2 8 2 2 2 2 2" xfId="29941"/>
    <cellStyle name="Normal 4 2 2 8 2 2 2 2 3" xfId="44984"/>
    <cellStyle name="Normal 4 2 2 8 2 2 2 3" xfId="22420"/>
    <cellStyle name="Normal 4 2 2 8 2 2 2 4" xfId="37463"/>
    <cellStyle name="Normal 4 2 2 8 2 2 3" xfId="11148"/>
    <cellStyle name="Normal 4 2 2 8 2 2 3 2" xfId="26192"/>
    <cellStyle name="Normal 4 2 2 8 2 2 3 3" xfId="41235"/>
    <cellStyle name="Normal 4 2 2 8 2 2 4" xfId="18671"/>
    <cellStyle name="Normal 4 2 2 8 2 2 5" xfId="33714"/>
    <cellStyle name="Normal 4 2 2 8 2 3" xfId="5509"/>
    <cellStyle name="Normal 4 2 2 8 2 3 2" xfId="13032"/>
    <cellStyle name="Normal 4 2 2 8 2 3 2 2" xfId="28076"/>
    <cellStyle name="Normal 4 2 2 8 2 3 2 3" xfId="43119"/>
    <cellStyle name="Normal 4 2 2 8 2 3 3" xfId="20555"/>
    <cellStyle name="Normal 4 2 2 8 2 3 4" xfId="35598"/>
    <cellStyle name="Normal 4 2 2 8 2 4" xfId="9283"/>
    <cellStyle name="Normal 4 2 2 8 2 4 2" xfId="24327"/>
    <cellStyle name="Normal 4 2 2 8 2 4 3" xfId="39370"/>
    <cellStyle name="Normal 4 2 2 8 2 5" xfId="16806"/>
    <cellStyle name="Normal 4 2 2 8 2 6" xfId="31849"/>
    <cellStyle name="Normal 4 2 2 8 3" xfId="2647"/>
    <cellStyle name="Normal 4 2 2 8 3 2" xfId="6442"/>
    <cellStyle name="Normal 4 2 2 8 3 2 2" xfId="13965"/>
    <cellStyle name="Normal 4 2 2 8 3 2 2 2" xfId="29009"/>
    <cellStyle name="Normal 4 2 2 8 3 2 2 3" xfId="44052"/>
    <cellStyle name="Normal 4 2 2 8 3 2 3" xfId="21488"/>
    <cellStyle name="Normal 4 2 2 8 3 2 4" xfId="36531"/>
    <cellStyle name="Normal 4 2 2 8 3 3" xfId="10216"/>
    <cellStyle name="Normal 4 2 2 8 3 3 2" xfId="25260"/>
    <cellStyle name="Normal 4 2 2 8 3 3 3" xfId="40303"/>
    <cellStyle name="Normal 4 2 2 8 3 4" xfId="17739"/>
    <cellStyle name="Normal 4 2 2 8 3 5" xfId="32782"/>
    <cellStyle name="Normal 4 2 2 8 4" xfId="4577"/>
    <cellStyle name="Normal 4 2 2 8 4 2" xfId="12100"/>
    <cellStyle name="Normal 4 2 2 8 4 2 2" xfId="27144"/>
    <cellStyle name="Normal 4 2 2 8 4 2 3" xfId="42187"/>
    <cellStyle name="Normal 4 2 2 8 4 3" xfId="19623"/>
    <cellStyle name="Normal 4 2 2 8 4 4" xfId="34666"/>
    <cellStyle name="Normal 4 2 2 8 5" xfId="8351"/>
    <cellStyle name="Normal 4 2 2 8 5 2" xfId="23395"/>
    <cellStyle name="Normal 4 2 2 8 5 3" xfId="38438"/>
    <cellStyle name="Normal 4 2 2 8 6" xfId="15874"/>
    <cellStyle name="Normal 4 2 2 8 7" xfId="30917"/>
    <cellStyle name="Normal 4 2 2 9" xfId="1256"/>
    <cellStyle name="Normal 4 2 2 9 2" xfId="3127"/>
    <cellStyle name="Normal 4 2 2 9 2 2" xfId="6922"/>
    <cellStyle name="Normal 4 2 2 9 2 2 2" xfId="14445"/>
    <cellStyle name="Normal 4 2 2 9 2 2 2 2" xfId="29489"/>
    <cellStyle name="Normal 4 2 2 9 2 2 2 3" xfId="44532"/>
    <cellStyle name="Normal 4 2 2 9 2 2 3" xfId="21968"/>
    <cellStyle name="Normal 4 2 2 9 2 2 4" xfId="37011"/>
    <cellStyle name="Normal 4 2 2 9 2 3" xfId="10696"/>
    <cellStyle name="Normal 4 2 2 9 2 3 2" xfId="25740"/>
    <cellStyle name="Normal 4 2 2 9 2 3 3" xfId="40783"/>
    <cellStyle name="Normal 4 2 2 9 2 4" xfId="18219"/>
    <cellStyle name="Normal 4 2 2 9 2 5" xfId="33262"/>
    <cellStyle name="Normal 4 2 2 9 3" xfId="5057"/>
    <cellStyle name="Normal 4 2 2 9 3 2" xfId="12580"/>
    <cellStyle name="Normal 4 2 2 9 3 2 2" xfId="27624"/>
    <cellStyle name="Normal 4 2 2 9 3 2 3" xfId="42667"/>
    <cellStyle name="Normal 4 2 2 9 3 3" xfId="20103"/>
    <cellStyle name="Normal 4 2 2 9 3 4" xfId="35146"/>
    <cellStyle name="Normal 4 2 2 9 4" xfId="8831"/>
    <cellStyle name="Normal 4 2 2 9 4 2" xfId="23875"/>
    <cellStyle name="Normal 4 2 2 9 4 3" xfId="38918"/>
    <cellStyle name="Normal 4 2 2 9 5" xfId="16354"/>
    <cellStyle name="Normal 4 2 2 9 6" xfId="31397"/>
    <cellStyle name="Normal 4 2 3" xfId="269"/>
    <cellStyle name="Normal 4 2 3 10" xfId="4166"/>
    <cellStyle name="Normal 4 2 3 10 2" xfId="11690"/>
    <cellStyle name="Normal 4 2 3 10 2 2" xfId="26734"/>
    <cellStyle name="Normal 4 2 3 10 2 3" xfId="41777"/>
    <cellStyle name="Normal 4 2 3 10 3" xfId="19213"/>
    <cellStyle name="Normal 4 2 3 10 4" xfId="34256"/>
    <cellStyle name="Normal 4 2 3 11" xfId="7929"/>
    <cellStyle name="Normal 4 2 3 11 2" xfId="22973"/>
    <cellStyle name="Normal 4 2 3 11 3" xfId="38016"/>
    <cellStyle name="Normal 4 2 3 12" xfId="15452"/>
    <cellStyle name="Normal 4 2 3 13" xfId="30495"/>
    <cellStyle name="Normal 4 2 3 2" xfId="270"/>
    <cellStyle name="Normal 4 2 3 2 10" xfId="7930"/>
    <cellStyle name="Normal 4 2 3 2 10 2" xfId="22974"/>
    <cellStyle name="Normal 4 2 3 2 10 3" xfId="38017"/>
    <cellStyle name="Normal 4 2 3 2 11" xfId="15453"/>
    <cellStyle name="Normal 4 2 3 2 12" xfId="30496"/>
    <cellStyle name="Normal 4 2 3 2 2" xfId="271"/>
    <cellStyle name="Normal 4 2 3 2 2 10" xfId="30497"/>
    <cellStyle name="Normal 4 2 3 2 2 2" xfId="272"/>
    <cellStyle name="Normal 4 2 3 2 2 2 2" xfId="273"/>
    <cellStyle name="Normal 4 2 3 2 2 2 2 2" xfId="797"/>
    <cellStyle name="Normal 4 2 3 2 2 2 2 2 2" xfId="1756"/>
    <cellStyle name="Normal 4 2 3 2 2 2 2 2 2 2" xfId="3627"/>
    <cellStyle name="Normal 4 2 3 2 2 2 2 2 2 2 2" xfId="7422"/>
    <cellStyle name="Normal 4 2 3 2 2 2 2 2 2 2 2 2" xfId="14945"/>
    <cellStyle name="Normal 4 2 3 2 2 2 2 2 2 2 2 2 2" xfId="29989"/>
    <cellStyle name="Normal 4 2 3 2 2 2 2 2 2 2 2 2 3" xfId="45032"/>
    <cellStyle name="Normal 4 2 3 2 2 2 2 2 2 2 2 3" xfId="22468"/>
    <cellStyle name="Normal 4 2 3 2 2 2 2 2 2 2 2 4" xfId="37511"/>
    <cellStyle name="Normal 4 2 3 2 2 2 2 2 2 2 3" xfId="11196"/>
    <cellStyle name="Normal 4 2 3 2 2 2 2 2 2 2 3 2" xfId="26240"/>
    <cellStyle name="Normal 4 2 3 2 2 2 2 2 2 2 3 3" xfId="41283"/>
    <cellStyle name="Normal 4 2 3 2 2 2 2 2 2 2 4" xfId="18719"/>
    <cellStyle name="Normal 4 2 3 2 2 2 2 2 2 2 5" xfId="33762"/>
    <cellStyle name="Normal 4 2 3 2 2 2 2 2 2 3" xfId="5557"/>
    <cellStyle name="Normal 4 2 3 2 2 2 2 2 2 3 2" xfId="13080"/>
    <cellStyle name="Normal 4 2 3 2 2 2 2 2 2 3 2 2" xfId="28124"/>
    <cellStyle name="Normal 4 2 3 2 2 2 2 2 2 3 2 3" xfId="43167"/>
    <cellStyle name="Normal 4 2 3 2 2 2 2 2 2 3 3" xfId="20603"/>
    <cellStyle name="Normal 4 2 3 2 2 2 2 2 2 3 4" xfId="35646"/>
    <cellStyle name="Normal 4 2 3 2 2 2 2 2 2 4" xfId="9331"/>
    <cellStyle name="Normal 4 2 3 2 2 2 2 2 2 4 2" xfId="24375"/>
    <cellStyle name="Normal 4 2 3 2 2 2 2 2 2 4 3" xfId="39418"/>
    <cellStyle name="Normal 4 2 3 2 2 2 2 2 2 5" xfId="16854"/>
    <cellStyle name="Normal 4 2 3 2 2 2 2 2 2 6" xfId="31897"/>
    <cellStyle name="Normal 4 2 3 2 2 2 2 2 3" xfId="2695"/>
    <cellStyle name="Normal 4 2 3 2 2 2 2 2 3 2" xfId="6490"/>
    <cellStyle name="Normal 4 2 3 2 2 2 2 2 3 2 2" xfId="14013"/>
    <cellStyle name="Normal 4 2 3 2 2 2 2 2 3 2 2 2" xfId="29057"/>
    <cellStyle name="Normal 4 2 3 2 2 2 2 2 3 2 2 3" xfId="44100"/>
    <cellStyle name="Normal 4 2 3 2 2 2 2 2 3 2 3" xfId="21536"/>
    <cellStyle name="Normal 4 2 3 2 2 2 2 2 3 2 4" xfId="36579"/>
    <cellStyle name="Normal 4 2 3 2 2 2 2 2 3 3" xfId="10264"/>
    <cellStyle name="Normal 4 2 3 2 2 2 2 2 3 3 2" xfId="25308"/>
    <cellStyle name="Normal 4 2 3 2 2 2 2 2 3 3 3" xfId="40351"/>
    <cellStyle name="Normal 4 2 3 2 2 2 2 2 3 4" xfId="17787"/>
    <cellStyle name="Normal 4 2 3 2 2 2 2 2 3 5" xfId="32830"/>
    <cellStyle name="Normal 4 2 3 2 2 2 2 2 4" xfId="4625"/>
    <cellStyle name="Normal 4 2 3 2 2 2 2 2 4 2" xfId="12148"/>
    <cellStyle name="Normal 4 2 3 2 2 2 2 2 4 2 2" xfId="27192"/>
    <cellStyle name="Normal 4 2 3 2 2 2 2 2 4 2 3" xfId="42235"/>
    <cellStyle name="Normal 4 2 3 2 2 2 2 2 4 3" xfId="19671"/>
    <cellStyle name="Normal 4 2 3 2 2 2 2 2 4 4" xfId="34714"/>
    <cellStyle name="Normal 4 2 3 2 2 2 2 2 5" xfId="8399"/>
    <cellStyle name="Normal 4 2 3 2 2 2 2 2 5 2" xfId="23443"/>
    <cellStyle name="Normal 4 2 3 2 2 2 2 2 5 3" xfId="38486"/>
    <cellStyle name="Normal 4 2 3 2 2 2 2 2 6" xfId="15922"/>
    <cellStyle name="Normal 4 2 3 2 2 2 2 2 7" xfId="30965"/>
    <cellStyle name="Normal 4 2 3 2 2 2 2 3" xfId="1304"/>
    <cellStyle name="Normal 4 2 3 2 2 2 2 3 2" xfId="3175"/>
    <cellStyle name="Normal 4 2 3 2 2 2 2 3 2 2" xfId="6970"/>
    <cellStyle name="Normal 4 2 3 2 2 2 2 3 2 2 2" xfId="14493"/>
    <cellStyle name="Normal 4 2 3 2 2 2 2 3 2 2 2 2" xfId="29537"/>
    <cellStyle name="Normal 4 2 3 2 2 2 2 3 2 2 2 3" xfId="44580"/>
    <cellStyle name="Normal 4 2 3 2 2 2 2 3 2 2 3" xfId="22016"/>
    <cellStyle name="Normal 4 2 3 2 2 2 2 3 2 2 4" xfId="37059"/>
    <cellStyle name="Normal 4 2 3 2 2 2 2 3 2 3" xfId="10744"/>
    <cellStyle name="Normal 4 2 3 2 2 2 2 3 2 3 2" xfId="25788"/>
    <cellStyle name="Normal 4 2 3 2 2 2 2 3 2 3 3" xfId="40831"/>
    <cellStyle name="Normal 4 2 3 2 2 2 2 3 2 4" xfId="18267"/>
    <cellStyle name="Normal 4 2 3 2 2 2 2 3 2 5" xfId="33310"/>
    <cellStyle name="Normal 4 2 3 2 2 2 2 3 3" xfId="5105"/>
    <cellStyle name="Normal 4 2 3 2 2 2 2 3 3 2" xfId="12628"/>
    <cellStyle name="Normal 4 2 3 2 2 2 2 3 3 2 2" xfId="27672"/>
    <cellStyle name="Normal 4 2 3 2 2 2 2 3 3 2 3" xfId="42715"/>
    <cellStyle name="Normal 4 2 3 2 2 2 2 3 3 3" xfId="20151"/>
    <cellStyle name="Normal 4 2 3 2 2 2 2 3 3 4" xfId="35194"/>
    <cellStyle name="Normal 4 2 3 2 2 2 2 3 4" xfId="8879"/>
    <cellStyle name="Normal 4 2 3 2 2 2 2 3 4 2" xfId="23923"/>
    <cellStyle name="Normal 4 2 3 2 2 2 2 3 4 3" xfId="38966"/>
    <cellStyle name="Normal 4 2 3 2 2 2 2 3 5" xfId="16402"/>
    <cellStyle name="Normal 4 2 3 2 2 2 2 3 6" xfId="31445"/>
    <cellStyle name="Normal 4 2 3 2 2 2 2 4" xfId="2242"/>
    <cellStyle name="Normal 4 2 3 2 2 2 2 4 2" xfId="6038"/>
    <cellStyle name="Normal 4 2 3 2 2 2 2 4 2 2" xfId="13561"/>
    <cellStyle name="Normal 4 2 3 2 2 2 2 4 2 2 2" xfId="28605"/>
    <cellStyle name="Normal 4 2 3 2 2 2 2 4 2 2 3" xfId="43648"/>
    <cellStyle name="Normal 4 2 3 2 2 2 2 4 2 3" xfId="21084"/>
    <cellStyle name="Normal 4 2 3 2 2 2 2 4 2 4" xfId="36127"/>
    <cellStyle name="Normal 4 2 3 2 2 2 2 4 3" xfId="9812"/>
    <cellStyle name="Normal 4 2 3 2 2 2 2 4 3 2" xfId="24856"/>
    <cellStyle name="Normal 4 2 3 2 2 2 2 4 3 3" xfId="39899"/>
    <cellStyle name="Normal 4 2 3 2 2 2 2 4 4" xfId="17335"/>
    <cellStyle name="Normal 4 2 3 2 2 2 2 4 5" xfId="32378"/>
    <cellStyle name="Normal 4 2 3 2 2 2 2 5" xfId="4170"/>
    <cellStyle name="Normal 4 2 3 2 2 2 2 5 2" xfId="11694"/>
    <cellStyle name="Normal 4 2 3 2 2 2 2 5 2 2" xfId="26738"/>
    <cellStyle name="Normal 4 2 3 2 2 2 2 5 2 3" xfId="41781"/>
    <cellStyle name="Normal 4 2 3 2 2 2 2 5 3" xfId="19217"/>
    <cellStyle name="Normal 4 2 3 2 2 2 2 5 4" xfId="34260"/>
    <cellStyle name="Normal 4 2 3 2 2 2 2 6" xfId="7933"/>
    <cellStyle name="Normal 4 2 3 2 2 2 2 6 2" xfId="22977"/>
    <cellStyle name="Normal 4 2 3 2 2 2 2 6 3" xfId="38020"/>
    <cellStyle name="Normal 4 2 3 2 2 2 2 7" xfId="15456"/>
    <cellStyle name="Normal 4 2 3 2 2 2 2 8" xfId="30499"/>
    <cellStyle name="Normal 4 2 3 2 2 2 3" xfId="796"/>
    <cellStyle name="Normal 4 2 3 2 2 2 3 2" xfId="1755"/>
    <cellStyle name="Normal 4 2 3 2 2 2 3 2 2" xfId="3626"/>
    <cellStyle name="Normal 4 2 3 2 2 2 3 2 2 2" xfId="7421"/>
    <cellStyle name="Normal 4 2 3 2 2 2 3 2 2 2 2" xfId="14944"/>
    <cellStyle name="Normal 4 2 3 2 2 2 3 2 2 2 2 2" xfId="29988"/>
    <cellStyle name="Normal 4 2 3 2 2 2 3 2 2 2 2 3" xfId="45031"/>
    <cellStyle name="Normal 4 2 3 2 2 2 3 2 2 2 3" xfId="22467"/>
    <cellStyle name="Normal 4 2 3 2 2 2 3 2 2 2 4" xfId="37510"/>
    <cellStyle name="Normal 4 2 3 2 2 2 3 2 2 3" xfId="11195"/>
    <cellStyle name="Normal 4 2 3 2 2 2 3 2 2 3 2" xfId="26239"/>
    <cellStyle name="Normal 4 2 3 2 2 2 3 2 2 3 3" xfId="41282"/>
    <cellStyle name="Normal 4 2 3 2 2 2 3 2 2 4" xfId="18718"/>
    <cellStyle name="Normal 4 2 3 2 2 2 3 2 2 5" xfId="33761"/>
    <cellStyle name="Normal 4 2 3 2 2 2 3 2 3" xfId="5556"/>
    <cellStyle name="Normal 4 2 3 2 2 2 3 2 3 2" xfId="13079"/>
    <cellStyle name="Normal 4 2 3 2 2 2 3 2 3 2 2" xfId="28123"/>
    <cellStyle name="Normal 4 2 3 2 2 2 3 2 3 2 3" xfId="43166"/>
    <cellStyle name="Normal 4 2 3 2 2 2 3 2 3 3" xfId="20602"/>
    <cellStyle name="Normal 4 2 3 2 2 2 3 2 3 4" xfId="35645"/>
    <cellStyle name="Normal 4 2 3 2 2 2 3 2 4" xfId="9330"/>
    <cellStyle name="Normal 4 2 3 2 2 2 3 2 4 2" xfId="24374"/>
    <cellStyle name="Normal 4 2 3 2 2 2 3 2 4 3" xfId="39417"/>
    <cellStyle name="Normal 4 2 3 2 2 2 3 2 5" xfId="16853"/>
    <cellStyle name="Normal 4 2 3 2 2 2 3 2 6" xfId="31896"/>
    <cellStyle name="Normal 4 2 3 2 2 2 3 3" xfId="2694"/>
    <cellStyle name="Normal 4 2 3 2 2 2 3 3 2" xfId="6489"/>
    <cellStyle name="Normal 4 2 3 2 2 2 3 3 2 2" xfId="14012"/>
    <cellStyle name="Normal 4 2 3 2 2 2 3 3 2 2 2" xfId="29056"/>
    <cellStyle name="Normal 4 2 3 2 2 2 3 3 2 2 3" xfId="44099"/>
    <cellStyle name="Normal 4 2 3 2 2 2 3 3 2 3" xfId="21535"/>
    <cellStyle name="Normal 4 2 3 2 2 2 3 3 2 4" xfId="36578"/>
    <cellStyle name="Normal 4 2 3 2 2 2 3 3 3" xfId="10263"/>
    <cellStyle name="Normal 4 2 3 2 2 2 3 3 3 2" xfId="25307"/>
    <cellStyle name="Normal 4 2 3 2 2 2 3 3 3 3" xfId="40350"/>
    <cellStyle name="Normal 4 2 3 2 2 2 3 3 4" xfId="17786"/>
    <cellStyle name="Normal 4 2 3 2 2 2 3 3 5" xfId="32829"/>
    <cellStyle name="Normal 4 2 3 2 2 2 3 4" xfId="4624"/>
    <cellStyle name="Normal 4 2 3 2 2 2 3 4 2" xfId="12147"/>
    <cellStyle name="Normal 4 2 3 2 2 2 3 4 2 2" xfId="27191"/>
    <cellStyle name="Normal 4 2 3 2 2 2 3 4 2 3" xfId="42234"/>
    <cellStyle name="Normal 4 2 3 2 2 2 3 4 3" xfId="19670"/>
    <cellStyle name="Normal 4 2 3 2 2 2 3 4 4" xfId="34713"/>
    <cellStyle name="Normal 4 2 3 2 2 2 3 5" xfId="8398"/>
    <cellStyle name="Normal 4 2 3 2 2 2 3 5 2" xfId="23442"/>
    <cellStyle name="Normal 4 2 3 2 2 2 3 5 3" xfId="38485"/>
    <cellStyle name="Normal 4 2 3 2 2 2 3 6" xfId="15921"/>
    <cellStyle name="Normal 4 2 3 2 2 2 3 7" xfId="30964"/>
    <cellStyle name="Normal 4 2 3 2 2 2 4" xfId="1303"/>
    <cellStyle name="Normal 4 2 3 2 2 2 4 2" xfId="3174"/>
    <cellStyle name="Normal 4 2 3 2 2 2 4 2 2" xfId="6969"/>
    <cellStyle name="Normal 4 2 3 2 2 2 4 2 2 2" xfId="14492"/>
    <cellStyle name="Normal 4 2 3 2 2 2 4 2 2 2 2" xfId="29536"/>
    <cellStyle name="Normal 4 2 3 2 2 2 4 2 2 2 3" xfId="44579"/>
    <cellStyle name="Normal 4 2 3 2 2 2 4 2 2 3" xfId="22015"/>
    <cellStyle name="Normal 4 2 3 2 2 2 4 2 2 4" xfId="37058"/>
    <cellStyle name="Normal 4 2 3 2 2 2 4 2 3" xfId="10743"/>
    <cellStyle name="Normal 4 2 3 2 2 2 4 2 3 2" xfId="25787"/>
    <cellStyle name="Normal 4 2 3 2 2 2 4 2 3 3" xfId="40830"/>
    <cellStyle name="Normal 4 2 3 2 2 2 4 2 4" xfId="18266"/>
    <cellStyle name="Normal 4 2 3 2 2 2 4 2 5" xfId="33309"/>
    <cellStyle name="Normal 4 2 3 2 2 2 4 3" xfId="5104"/>
    <cellStyle name="Normal 4 2 3 2 2 2 4 3 2" xfId="12627"/>
    <cellStyle name="Normal 4 2 3 2 2 2 4 3 2 2" xfId="27671"/>
    <cellStyle name="Normal 4 2 3 2 2 2 4 3 2 3" xfId="42714"/>
    <cellStyle name="Normal 4 2 3 2 2 2 4 3 3" xfId="20150"/>
    <cellStyle name="Normal 4 2 3 2 2 2 4 3 4" xfId="35193"/>
    <cellStyle name="Normal 4 2 3 2 2 2 4 4" xfId="8878"/>
    <cellStyle name="Normal 4 2 3 2 2 2 4 4 2" xfId="23922"/>
    <cellStyle name="Normal 4 2 3 2 2 2 4 4 3" xfId="38965"/>
    <cellStyle name="Normal 4 2 3 2 2 2 4 5" xfId="16401"/>
    <cellStyle name="Normal 4 2 3 2 2 2 4 6" xfId="31444"/>
    <cellStyle name="Normal 4 2 3 2 2 2 5" xfId="2241"/>
    <cellStyle name="Normal 4 2 3 2 2 2 5 2" xfId="6037"/>
    <cellStyle name="Normal 4 2 3 2 2 2 5 2 2" xfId="13560"/>
    <cellStyle name="Normal 4 2 3 2 2 2 5 2 2 2" xfId="28604"/>
    <cellStyle name="Normal 4 2 3 2 2 2 5 2 2 3" xfId="43647"/>
    <cellStyle name="Normal 4 2 3 2 2 2 5 2 3" xfId="21083"/>
    <cellStyle name="Normal 4 2 3 2 2 2 5 2 4" xfId="36126"/>
    <cellStyle name="Normal 4 2 3 2 2 2 5 3" xfId="9811"/>
    <cellStyle name="Normal 4 2 3 2 2 2 5 3 2" xfId="24855"/>
    <cellStyle name="Normal 4 2 3 2 2 2 5 3 3" xfId="39898"/>
    <cellStyle name="Normal 4 2 3 2 2 2 5 4" xfId="17334"/>
    <cellStyle name="Normal 4 2 3 2 2 2 5 5" xfId="32377"/>
    <cellStyle name="Normal 4 2 3 2 2 2 6" xfId="4169"/>
    <cellStyle name="Normal 4 2 3 2 2 2 6 2" xfId="11693"/>
    <cellStyle name="Normal 4 2 3 2 2 2 6 2 2" xfId="26737"/>
    <cellStyle name="Normal 4 2 3 2 2 2 6 2 3" xfId="41780"/>
    <cellStyle name="Normal 4 2 3 2 2 2 6 3" xfId="19216"/>
    <cellStyle name="Normal 4 2 3 2 2 2 6 4" xfId="34259"/>
    <cellStyle name="Normal 4 2 3 2 2 2 7" xfId="7932"/>
    <cellStyle name="Normal 4 2 3 2 2 2 7 2" xfId="22976"/>
    <cellStyle name="Normal 4 2 3 2 2 2 7 3" xfId="38019"/>
    <cellStyle name="Normal 4 2 3 2 2 2 8" xfId="15455"/>
    <cellStyle name="Normal 4 2 3 2 2 2 9" xfId="30498"/>
    <cellStyle name="Normal 4 2 3 2 2 3" xfId="274"/>
    <cellStyle name="Normal 4 2 3 2 2 3 2" xfId="798"/>
    <cellStyle name="Normal 4 2 3 2 2 3 2 2" xfId="1757"/>
    <cellStyle name="Normal 4 2 3 2 2 3 2 2 2" xfId="3628"/>
    <cellStyle name="Normal 4 2 3 2 2 3 2 2 2 2" xfId="7423"/>
    <cellStyle name="Normal 4 2 3 2 2 3 2 2 2 2 2" xfId="14946"/>
    <cellStyle name="Normal 4 2 3 2 2 3 2 2 2 2 2 2" xfId="29990"/>
    <cellStyle name="Normal 4 2 3 2 2 3 2 2 2 2 2 3" xfId="45033"/>
    <cellStyle name="Normal 4 2 3 2 2 3 2 2 2 2 3" xfId="22469"/>
    <cellStyle name="Normal 4 2 3 2 2 3 2 2 2 2 4" xfId="37512"/>
    <cellStyle name="Normal 4 2 3 2 2 3 2 2 2 3" xfId="11197"/>
    <cellStyle name="Normal 4 2 3 2 2 3 2 2 2 3 2" xfId="26241"/>
    <cellStyle name="Normal 4 2 3 2 2 3 2 2 2 3 3" xfId="41284"/>
    <cellStyle name="Normal 4 2 3 2 2 3 2 2 2 4" xfId="18720"/>
    <cellStyle name="Normal 4 2 3 2 2 3 2 2 2 5" xfId="33763"/>
    <cellStyle name="Normal 4 2 3 2 2 3 2 2 3" xfId="5558"/>
    <cellStyle name="Normal 4 2 3 2 2 3 2 2 3 2" xfId="13081"/>
    <cellStyle name="Normal 4 2 3 2 2 3 2 2 3 2 2" xfId="28125"/>
    <cellStyle name="Normal 4 2 3 2 2 3 2 2 3 2 3" xfId="43168"/>
    <cellStyle name="Normal 4 2 3 2 2 3 2 2 3 3" xfId="20604"/>
    <cellStyle name="Normal 4 2 3 2 2 3 2 2 3 4" xfId="35647"/>
    <cellStyle name="Normal 4 2 3 2 2 3 2 2 4" xfId="9332"/>
    <cellStyle name="Normal 4 2 3 2 2 3 2 2 4 2" xfId="24376"/>
    <cellStyle name="Normal 4 2 3 2 2 3 2 2 4 3" xfId="39419"/>
    <cellStyle name="Normal 4 2 3 2 2 3 2 2 5" xfId="16855"/>
    <cellStyle name="Normal 4 2 3 2 2 3 2 2 6" xfId="31898"/>
    <cellStyle name="Normal 4 2 3 2 2 3 2 3" xfId="2696"/>
    <cellStyle name="Normal 4 2 3 2 2 3 2 3 2" xfId="6491"/>
    <cellStyle name="Normal 4 2 3 2 2 3 2 3 2 2" xfId="14014"/>
    <cellStyle name="Normal 4 2 3 2 2 3 2 3 2 2 2" xfId="29058"/>
    <cellStyle name="Normal 4 2 3 2 2 3 2 3 2 2 3" xfId="44101"/>
    <cellStyle name="Normal 4 2 3 2 2 3 2 3 2 3" xfId="21537"/>
    <cellStyle name="Normal 4 2 3 2 2 3 2 3 2 4" xfId="36580"/>
    <cellStyle name="Normal 4 2 3 2 2 3 2 3 3" xfId="10265"/>
    <cellStyle name="Normal 4 2 3 2 2 3 2 3 3 2" xfId="25309"/>
    <cellStyle name="Normal 4 2 3 2 2 3 2 3 3 3" xfId="40352"/>
    <cellStyle name="Normal 4 2 3 2 2 3 2 3 4" xfId="17788"/>
    <cellStyle name="Normal 4 2 3 2 2 3 2 3 5" xfId="32831"/>
    <cellStyle name="Normal 4 2 3 2 2 3 2 4" xfId="4626"/>
    <cellStyle name="Normal 4 2 3 2 2 3 2 4 2" xfId="12149"/>
    <cellStyle name="Normal 4 2 3 2 2 3 2 4 2 2" xfId="27193"/>
    <cellStyle name="Normal 4 2 3 2 2 3 2 4 2 3" xfId="42236"/>
    <cellStyle name="Normal 4 2 3 2 2 3 2 4 3" xfId="19672"/>
    <cellStyle name="Normal 4 2 3 2 2 3 2 4 4" xfId="34715"/>
    <cellStyle name="Normal 4 2 3 2 2 3 2 5" xfId="8400"/>
    <cellStyle name="Normal 4 2 3 2 2 3 2 5 2" xfId="23444"/>
    <cellStyle name="Normal 4 2 3 2 2 3 2 5 3" xfId="38487"/>
    <cellStyle name="Normal 4 2 3 2 2 3 2 6" xfId="15923"/>
    <cellStyle name="Normal 4 2 3 2 2 3 2 7" xfId="30966"/>
    <cellStyle name="Normal 4 2 3 2 2 3 3" xfId="1305"/>
    <cellStyle name="Normal 4 2 3 2 2 3 3 2" xfId="3176"/>
    <cellStyle name="Normal 4 2 3 2 2 3 3 2 2" xfId="6971"/>
    <cellStyle name="Normal 4 2 3 2 2 3 3 2 2 2" xfId="14494"/>
    <cellStyle name="Normal 4 2 3 2 2 3 3 2 2 2 2" xfId="29538"/>
    <cellStyle name="Normal 4 2 3 2 2 3 3 2 2 2 3" xfId="44581"/>
    <cellStyle name="Normal 4 2 3 2 2 3 3 2 2 3" xfId="22017"/>
    <cellStyle name="Normal 4 2 3 2 2 3 3 2 2 4" xfId="37060"/>
    <cellStyle name="Normal 4 2 3 2 2 3 3 2 3" xfId="10745"/>
    <cellStyle name="Normal 4 2 3 2 2 3 3 2 3 2" xfId="25789"/>
    <cellStyle name="Normal 4 2 3 2 2 3 3 2 3 3" xfId="40832"/>
    <cellStyle name="Normal 4 2 3 2 2 3 3 2 4" xfId="18268"/>
    <cellStyle name="Normal 4 2 3 2 2 3 3 2 5" xfId="33311"/>
    <cellStyle name="Normal 4 2 3 2 2 3 3 3" xfId="5106"/>
    <cellStyle name="Normal 4 2 3 2 2 3 3 3 2" xfId="12629"/>
    <cellStyle name="Normal 4 2 3 2 2 3 3 3 2 2" xfId="27673"/>
    <cellStyle name="Normal 4 2 3 2 2 3 3 3 2 3" xfId="42716"/>
    <cellStyle name="Normal 4 2 3 2 2 3 3 3 3" xfId="20152"/>
    <cellStyle name="Normal 4 2 3 2 2 3 3 3 4" xfId="35195"/>
    <cellStyle name="Normal 4 2 3 2 2 3 3 4" xfId="8880"/>
    <cellStyle name="Normal 4 2 3 2 2 3 3 4 2" xfId="23924"/>
    <cellStyle name="Normal 4 2 3 2 2 3 3 4 3" xfId="38967"/>
    <cellStyle name="Normal 4 2 3 2 2 3 3 5" xfId="16403"/>
    <cellStyle name="Normal 4 2 3 2 2 3 3 6" xfId="31446"/>
    <cellStyle name="Normal 4 2 3 2 2 3 4" xfId="2243"/>
    <cellStyle name="Normal 4 2 3 2 2 3 4 2" xfId="6039"/>
    <cellStyle name="Normal 4 2 3 2 2 3 4 2 2" xfId="13562"/>
    <cellStyle name="Normal 4 2 3 2 2 3 4 2 2 2" xfId="28606"/>
    <cellStyle name="Normal 4 2 3 2 2 3 4 2 2 3" xfId="43649"/>
    <cellStyle name="Normal 4 2 3 2 2 3 4 2 3" xfId="21085"/>
    <cellStyle name="Normal 4 2 3 2 2 3 4 2 4" xfId="36128"/>
    <cellStyle name="Normal 4 2 3 2 2 3 4 3" xfId="9813"/>
    <cellStyle name="Normal 4 2 3 2 2 3 4 3 2" xfId="24857"/>
    <cellStyle name="Normal 4 2 3 2 2 3 4 3 3" xfId="39900"/>
    <cellStyle name="Normal 4 2 3 2 2 3 4 4" xfId="17336"/>
    <cellStyle name="Normal 4 2 3 2 2 3 4 5" xfId="32379"/>
    <cellStyle name="Normal 4 2 3 2 2 3 5" xfId="4171"/>
    <cellStyle name="Normal 4 2 3 2 2 3 5 2" xfId="11695"/>
    <cellStyle name="Normal 4 2 3 2 2 3 5 2 2" xfId="26739"/>
    <cellStyle name="Normal 4 2 3 2 2 3 5 2 3" xfId="41782"/>
    <cellStyle name="Normal 4 2 3 2 2 3 5 3" xfId="19218"/>
    <cellStyle name="Normal 4 2 3 2 2 3 5 4" xfId="34261"/>
    <cellStyle name="Normal 4 2 3 2 2 3 6" xfId="7934"/>
    <cellStyle name="Normal 4 2 3 2 2 3 6 2" xfId="22978"/>
    <cellStyle name="Normal 4 2 3 2 2 3 6 3" xfId="38021"/>
    <cellStyle name="Normal 4 2 3 2 2 3 7" xfId="15457"/>
    <cellStyle name="Normal 4 2 3 2 2 3 8" xfId="30500"/>
    <cellStyle name="Normal 4 2 3 2 2 4" xfId="795"/>
    <cellStyle name="Normal 4 2 3 2 2 4 2" xfId="1754"/>
    <cellStyle name="Normal 4 2 3 2 2 4 2 2" xfId="3625"/>
    <cellStyle name="Normal 4 2 3 2 2 4 2 2 2" xfId="7420"/>
    <cellStyle name="Normal 4 2 3 2 2 4 2 2 2 2" xfId="14943"/>
    <cellStyle name="Normal 4 2 3 2 2 4 2 2 2 2 2" xfId="29987"/>
    <cellStyle name="Normal 4 2 3 2 2 4 2 2 2 2 3" xfId="45030"/>
    <cellStyle name="Normal 4 2 3 2 2 4 2 2 2 3" xfId="22466"/>
    <cellStyle name="Normal 4 2 3 2 2 4 2 2 2 4" xfId="37509"/>
    <cellStyle name="Normal 4 2 3 2 2 4 2 2 3" xfId="11194"/>
    <cellStyle name="Normal 4 2 3 2 2 4 2 2 3 2" xfId="26238"/>
    <cellStyle name="Normal 4 2 3 2 2 4 2 2 3 3" xfId="41281"/>
    <cellStyle name="Normal 4 2 3 2 2 4 2 2 4" xfId="18717"/>
    <cellStyle name="Normal 4 2 3 2 2 4 2 2 5" xfId="33760"/>
    <cellStyle name="Normal 4 2 3 2 2 4 2 3" xfId="5555"/>
    <cellStyle name="Normal 4 2 3 2 2 4 2 3 2" xfId="13078"/>
    <cellStyle name="Normal 4 2 3 2 2 4 2 3 2 2" xfId="28122"/>
    <cellStyle name="Normal 4 2 3 2 2 4 2 3 2 3" xfId="43165"/>
    <cellStyle name="Normal 4 2 3 2 2 4 2 3 3" xfId="20601"/>
    <cellStyle name="Normal 4 2 3 2 2 4 2 3 4" xfId="35644"/>
    <cellStyle name="Normal 4 2 3 2 2 4 2 4" xfId="9329"/>
    <cellStyle name="Normal 4 2 3 2 2 4 2 4 2" xfId="24373"/>
    <cellStyle name="Normal 4 2 3 2 2 4 2 4 3" xfId="39416"/>
    <cellStyle name="Normal 4 2 3 2 2 4 2 5" xfId="16852"/>
    <cellStyle name="Normal 4 2 3 2 2 4 2 6" xfId="31895"/>
    <cellStyle name="Normal 4 2 3 2 2 4 3" xfId="2693"/>
    <cellStyle name="Normal 4 2 3 2 2 4 3 2" xfId="6488"/>
    <cellStyle name="Normal 4 2 3 2 2 4 3 2 2" xfId="14011"/>
    <cellStyle name="Normal 4 2 3 2 2 4 3 2 2 2" xfId="29055"/>
    <cellStyle name="Normal 4 2 3 2 2 4 3 2 2 3" xfId="44098"/>
    <cellStyle name="Normal 4 2 3 2 2 4 3 2 3" xfId="21534"/>
    <cellStyle name="Normal 4 2 3 2 2 4 3 2 4" xfId="36577"/>
    <cellStyle name="Normal 4 2 3 2 2 4 3 3" xfId="10262"/>
    <cellStyle name="Normal 4 2 3 2 2 4 3 3 2" xfId="25306"/>
    <cellStyle name="Normal 4 2 3 2 2 4 3 3 3" xfId="40349"/>
    <cellStyle name="Normal 4 2 3 2 2 4 3 4" xfId="17785"/>
    <cellStyle name="Normal 4 2 3 2 2 4 3 5" xfId="32828"/>
    <cellStyle name="Normal 4 2 3 2 2 4 4" xfId="4623"/>
    <cellStyle name="Normal 4 2 3 2 2 4 4 2" xfId="12146"/>
    <cellStyle name="Normal 4 2 3 2 2 4 4 2 2" xfId="27190"/>
    <cellStyle name="Normal 4 2 3 2 2 4 4 2 3" xfId="42233"/>
    <cellStyle name="Normal 4 2 3 2 2 4 4 3" xfId="19669"/>
    <cellStyle name="Normal 4 2 3 2 2 4 4 4" xfId="34712"/>
    <cellStyle name="Normal 4 2 3 2 2 4 5" xfId="8397"/>
    <cellStyle name="Normal 4 2 3 2 2 4 5 2" xfId="23441"/>
    <cellStyle name="Normal 4 2 3 2 2 4 5 3" xfId="38484"/>
    <cellStyle name="Normal 4 2 3 2 2 4 6" xfId="15920"/>
    <cellStyle name="Normal 4 2 3 2 2 4 7" xfId="30963"/>
    <cellStyle name="Normal 4 2 3 2 2 5" xfId="1302"/>
    <cellStyle name="Normal 4 2 3 2 2 5 2" xfId="3173"/>
    <cellStyle name="Normal 4 2 3 2 2 5 2 2" xfId="6968"/>
    <cellStyle name="Normal 4 2 3 2 2 5 2 2 2" xfId="14491"/>
    <cellStyle name="Normal 4 2 3 2 2 5 2 2 2 2" xfId="29535"/>
    <cellStyle name="Normal 4 2 3 2 2 5 2 2 2 3" xfId="44578"/>
    <cellStyle name="Normal 4 2 3 2 2 5 2 2 3" xfId="22014"/>
    <cellStyle name="Normal 4 2 3 2 2 5 2 2 4" xfId="37057"/>
    <cellStyle name="Normal 4 2 3 2 2 5 2 3" xfId="10742"/>
    <cellStyle name="Normal 4 2 3 2 2 5 2 3 2" xfId="25786"/>
    <cellStyle name="Normal 4 2 3 2 2 5 2 3 3" xfId="40829"/>
    <cellStyle name="Normal 4 2 3 2 2 5 2 4" xfId="18265"/>
    <cellStyle name="Normal 4 2 3 2 2 5 2 5" xfId="33308"/>
    <cellStyle name="Normal 4 2 3 2 2 5 3" xfId="5103"/>
    <cellStyle name="Normal 4 2 3 2 2 5 3 2" xfId="12626"/>
    <cellStyle name="Normal 4 2 3 2 2 5 3 2 2" xfId="27670"/>
    <cellStyle name="Normal 4 2 3 2 2 5 3 2 3" xfId="42713"/>
    <cellStyle name="Normal 4 2 3 2 2 5 3 3" xfId="20149"/>
    <cellStyle name="Normal 4 2 3 2 2 5 3 4" xfId="35192"/>
    <cellStyle name="Normal 4 2 3 2 2 5 4" xfId="8877"/>
    <cellStyle name="Normal 4 2 3 2 2 5 4 2" xfId="23921"/>
    <cellStyle name="Normal 4 2 3 2 2 5 4 3" xfId="38964"/>
    <cellStyle name="Normal 4 2 3 2 2 5 5" xfId="16400"/>
    <cellStyle name="Normal 4 2 3 2 2 5 6" xfId="31443"/>
    <cellStyle name="Normal 4 2 3 2 2 6" xfId="2240"/>
    <cellStyle name="Normal 4 2 3 2 2 6 2" xfId="6036"/>
    <cellStyle name="Normal 4 2 3 2 2 6 2 2" xfId="13559"/>
    <cellStyle name="Normal 4 2 3 2 2 6 2 2 2" xfId="28603"/>
    <cellStyle name="Normal 4 2 3 2 2 6 2 2 3" xfId="43646"/>
    <cellStyle name="Normal 4 2 3 2 2 6 2 3" xfId="21082"/>
    <cellStyle name="Normal 4 2 3 2 2 6 2 4" xfId="36125"/>
    <cellStyle name="Normal 4 2 3 2 2 6 3" xfId="9810"/>
    <cellStyle name="Normal 4 2 3 2 2 6 3 2" xfId="24854"/>
    <cellStyle name="Normal 4 2 3 2 2 6 3 3" xfId="39897"/>
    <cellStyle name="Normal 4 2 3 2 2 6 4" xfId="17333"/>
    <cellStyle name="Normal 4 2 3 2 2 6 5" xfId="32376"/>
    <cellStyle name="Normal 4 2 3 2 2 7" xfId="4168"/>
    <cellStyle name="Normal 4 2 3 2 2 7 2" xfId="11692"/>
    <cellStyle name="Normal 4 2 3 2 2 7 2 2" xfId="26736"/>
    <cellStyle name="Normal 4 2 3 2 2 7 2 3" xfId="41779"/>
    <cellStyle name="Normal 4 2 3 2 2 7 3" xfId="19215"/>
    <cellStyle name="Normal 4 2 3 2 2 7 4" xfId="34258"/>
    <cellStyle name="Normal 4 2 3 2 2 8" xfId="7931"/>
    <cellStyle name="Normal 4 2 3 2 2 8 2" xfId="22975"/>
    <cellStyle name="Normal 4 2 3 2 2 8 3" xfId="38018"/>
    <cellStyle name="Normal 4 2 3 2 2 9" xfId="15454"/>
    <cellStyle name="Normal 4 2 3 2 3" xfId="275"/>
    <cellStyle name="Normal 4 2 3 2 3 2" xfId="276"/>
    <cellStyle name="Normal 4 2 3 2 3 2 2" xfId="800"/>
    <cellStyle name="Normal 4 2 3 2 3 2 2 2" xfId="1759"/>
    <cellStyle name="Normal 4 2 3 2 3 2 2 2 2" xfId="3630"/>
    <cellStyle name="Normal 4 2 3 2 3 2 2 2 2 2" xfId="7425"/>
    <cellStyle name="Normal 4 2 3 2 3 2 2 2 2 2 2" xfId="14948"/>
    <cellStyle name="Normal 4 2 3 2 3 2 2 2 2 2 2 2" xfId="29992"/>
    <cellStyle name="Normal 4 2 3 2 3 2 2 2 2 2 2 3" xfId="45035"/>
    <cellStyle name="Normal 4 2 3 2 3 2 2 2 2 2 3" xfId="22471"/>
    <cellStyle name="Normal 4 2 3 2 3 2 2 2 2 2 4" xfId="37514"/>
    <cellStyle name="Normal 4 2 3 2 3 2 2 2 2 3" xfId="11199"/>
    <cellStyle name="Normal 4 2 3 2 3 2 2 2 2 3 2" xfId="26243"/>
    <cellStyle name="Normal 4 2 3 2 3 2 2 2 2 3 3" xfId="41286"/>
    <cellStyle name="Normal 4 2 3 2 3 2 2 2 2 4" xfId="18722"/>
    <cellStyle name="Normal 4 2 3 2 3 2 2 2 2 5" xfId="33765"/>
    <cellStyle name="Normal 4 2 3 2 3 2 2 2 3" xfId="5560"/>
    <cellStyle name="Normal 4 2 3 2 3 2 2 2 3 2" xfId="13083"/>
    <cellStyle name="Normal 4 2 3 2 3 2 2 2 3 2 2" xfId="28127"/>
    <cellStyle name="Normal 4 2 3 2 3 2 2 2 3 2 3" xfId="43170"/>
    <cellStyle name="Normal 4 2 3 2 3 2 2 2 3 3" xfId="20606"/>
    <cellStyle name="Normal 4 2 3 2 3 2 2 2 3 4" xfId="35649"/>
    <cellStyle name="Normal 4 2 3 2 3 2 2 2 4" xfId="9334"/>
    <cellStyle name="Normal 4 2 3 2 3 2 2 2 4 2" xfId="24378"/>
    <cellStyle name="Normal 4 2 3 2 3 2 2 2 4 3" xfId="39421"/>
    <cellStyle name="Normal 4 2 3 2 3 2 2 2 5" xfId="16857"/>
    <cellStyle name="Normal 4 2 3 2 3 2 2 2 6" xfId="31900"/>
    <cellStyle name="Normal 4 2 3 2 3 2 2 3" xfId="2698"/>
    <cellStyle name="Normal 4 2 3 2 3 2 2 3 2" xfId="6493"/>
    <cellStyle name="Normal 4 2 3 2 3 2 2 3 2 2" xfId="14016"/>
    <cellStyle name="Normal 4 2 3 2 3 2 2 3 2 2 2" xfId="29060"/>
    <cellStyle name="Normal 4 2 3 2 3 2 2 3 2 2 3" xfId="44103"/>
    <cellStyle name="Normal 4 2 3 2 3 2 2 3 2 3" xfId="21539"/>
    <cellStyle name="Normal 4 2 3 2 3 2 2 3 2 4" xfId="36582"/>
    <cellStyle name="Normal 4 2 3 2 3 2 2 3 3" xfId="10267"/>
    <cellStyle name="Normal 4 2 3 2 3 2 2 3 3 2" xfId="25311"/>
    <cellStyle name="Normal 4 2 3 2 3 2 2 3 3 3" xfId="40354"/>
    <cellStyle name="Normal 4 2 3 2 3 2 2 3 4" xfId="17790"/>
    <cellStyle name="Normal 4 2 3 2 3 2 2 3 5" xfId="32833"/>
    <cellStyle name="Normal 4 2 3 2 3 2 2 4" xfId="4628"/>
    <cellStyle name="Normal 4 2 3 2 3 2 2 4 2" xfId="12151"/>
    <cellStyle name="Normal 4 2 3 2 3 2 2 4 2 2" xfId="27195"/>
    <cellStyle name="Normal 4 2 3 2 3 2 2 4 2 3" xfId="42238"/>
    <cellStyle name="Normal 4 2 3 2 3 2 2 4 3" xfId="19674"/>
    <cellStyle name="Normal 4 2 3 2 3 2 2 4 4" xfId="34717"/>
    <cellStyle name="Normal 4 2 3 2 3 2 2 5" xfId="8402"/>
    <cellStyle name="Normal 4 2 3 2 3 2 2 5 2" xfId="23446"/>
    <cellStyle name="Normal 4 2 3 2 3 2 2 5 3" xfId="38489"/>
    <cellStyle name="Normal 4 2 3 2 3 2 2 6" xfId="15925"/>
    <cellStyle name="Normal 4 2 3 2 3 2 2 7" xfId="30968"/>
    <cellStyle name="Normal 4 2 3 2 3 2 3" xfId="1307"/>
    <cellStyle name="Normal 4 2 3 2 3 2 3 2" xfId="3178"/>
    <cellStyle name="Normal 4 2 3 2 3 2 3 2 2" xfId="6973"/>
    <cellStyle name="Normal 4 2 3 2 3 2 3 2 2 2" xfId="14496"/>
    <cellStyle name="Normal 4 2 3 2 3 2 3 2 2 2 2" xfId="29540"/>
    <cellStyle name="Normal 4 2 3 2 3 2 3 2 2 2 3" xfId="44583"/>
    <cellStyle name="Normal 4 2 3 2 3 2 3 2 2 3" xfId="22019"/>
    <cellStyle name="Normal 4 2 3 2 3 2 3 2 2 4" xfId="37062"/>
    <cellStyle name="Normal 4 2 3 2 3 2 3 2 3" xfId="10747"/>
    <cellStyle name="Normal 4 2 3 2 3 2 3 2 3 2" xfId="25791"/>
    <cellStyle name="Normal 4 2 3 2 3 2 3 2 3 3" xfId="40834"/>
    <cellStyle name="Normal 4 2 3 2 3 2 3 2 4" xfId="18270"/>
    <cellStyle name="Normal 4 2 3 2 3 2 3 2 5" xfId="33313"/>
    <cellStyle name="Normal 4 2 3 2 3 2 3 3" xfId="5108"/>
    <cellStyle name="Normal 4 2 3 2 3 2 3 3 2" xfId="12631"/>
    <cellStyle name="Normal 4 2 3 2 3 2 3 3 2 2" xfId="27675"/>
    <cellStyle name="Normal 4 2 3 2 3 2 3 3 2 3" xfId="42718"/>
    <cellStyle name="Normal 4 2 3 2 3 2 3 3 3" xfId="20154"/>
    <cellStyle name="Normal 4 2 3 2 3 2 3 3 4" xfId="35197"/>
    <cellStyle name="Normal 4 2 3 2 3 2 3 4" xfId="8882"/>
    <cellStyle name="Normal 4 2 3 2 3 2 3 4 2" xfId="23926"/>
    <cellStyle name="Normal 4 2 3 2 3 2 3 4 3" xfId="38969"/>
    <cellStyle name="Normal 4 2 3 2 3 2 3 5" xfId="16405"/>
    <cellStyle name="Normal 4 2 3 2 3 2 3 6" xfId="31448"/>
    <cellStyle name="Normal 4 2 3 2 3 2 4" xfId="2245"/>
    <cellStyle name="Normal 4 2 3 2 3 2 4 2" xfId="6041"/>
    <cellStyle name="Normal 4 2 3 2 3 2 4 2 2" xfId="13564"/>
    <cellStyle name="Normal 4 2 3 2 3 2 4 2 2 2" xfId="28608"/>
    <cellStyle name="Normal 4 2 3 2 3 2 4 2 2 3" xfId="43651"/>
    <cellStyle name="Normal 4 2 3 2 3 2 4 2 3" xfId="21087"/>
    <cellStyle name="Normal 4 2 3 2 3 2 4 2 4" xfId="36130"/>
    <cellStyle name="Normal 4 2 3 2 3 2 4 3" xfId="9815"/>
    <cellStyle name="Normal 4 2 3 2 3 2 4 3 2" xfId="24859"/>
    <cellStyle name="Normal 4 2 3 2 3 2 4 3 3" xfId="39902"/>
    <cellStyle name="Normal 4 2 3 2 3 2 4 4" xfId="17338"/>
    <cellStyle name="Normal 4 2 3 2 3 2 4 5" xfId="32381"/>
    <cellStyle name="Normal 4 2 3 2 3 2 5" xfId="4173"/>
    <cellStyle name="Normal 4 2 3 2 3 2 5 2" xfId="11697"/>
    <cellStyle name="Normal 4 2 3 2 3 2 5 2 2" xfId="26741"/>
    <cellStyle name="Normal 4 2 3 2 3 2 5 2 3" xfId="41784"/>
    <cellStyle name="Normal 4 2 3 2 3 2 5 3" xfId="19220"/>
    <cellStyle name="Normal 4 2 3 2 3 2 5 4" xfId="34263"/>
    <cellStyle name="Normal 4 2 3 2 3 2 6" xfId="7936"/>
    <cellStyle name="Normal 4 2 3 2 3 2 6 2" xfId="22980"/>
    <cellStyle name="Normal 4 2 3 2 3 2 6 3" xfId="38023"/>
    <cellStyle name="Normal 4 2 3 2 3 2 7" xfId="15459"/>
    <cellStyle name="Normal 4 2 3 2 3 2 8" xfId="30502"/>
    <cellStyle name="Normal 4 2 3 2 3 3" xfId="799"/>
    <cellStyle name="Normal 4 2 3 2 3 3 2" xfId="1758"/>
    <cellStyle name="Normal 4 2 3 2 3 3 2 2" xfId="3629"/>
    <cellStyle name="Normal 4 2 3 2 3 3 2 2 2" xfId="7424"/>
    <cellStyle name="Normal 4 2 3 2 3 3 2 2 2 2" xfId="14947"/>
    <cellStyle name="Normal 4 2 3 2 3 3 2 2 2 2 2" xfId="29991"/>
    <cellStyle name="Normal 4 2 3 2 3 3 2 2 2 2 3" xfId="45034"/>
    <cellStyle name="Normal 4 2 3 2 3 3 2 2 2 3" xfId="22470"/>
    <cellStyle name="Normal 4 2 3 2 3 3 2 2 2 4" xfId="37513"/>
    <cellStyle name="Normal 4 2 3 2 3 3 2 2 3" xfId="11198"/>
    <cellStyle name="Normal 4 2 3 2 3 3 2 2 3 2" xfId="26242"/>
    <cellStyle name="Normal 4 2 3 2 3 3 2 2 3 3" xfId="41285"/>
    <cellStyle name="Normal 4 2 3 2 3 3 2 2 4" xfId="18721"/>
    <cellStyle name="Normal 4 2 3 2 3 3 2 2 5" xfId="33764"/>
    <cellStyle name="Normal 4 2 3 2 3 3 2 3" xfId="5559"/>
    <cellStyle name="Normal 4 2 3 2 3 3 2 3 2" xfId="13082"/>
    <cellStyle name="Normal 4 2 3 2 3 3 2 3 2 2" xfId="28126"/>
    <cellStyle name="Normal 4 2 3 2 3 3 2 3 2 3" xfId="43169"/>
    <cellStyle name="Normal 4 2 3 2 3 3 2 3 3" xfId="20605"/>
    <cellStyle name="Normal 4 2 3 2 3 3 2 3 4" xfId="35648"/>
    <cellStyle name="Normal 4 2 3 2 3 3 2 4" xfId="9333"/>
    <cellStyle name="Normal 4 2 3 2 3 3 2 4 2" xfId="24377"/>
    <cellStyle name="Normal 4 2 3 2 3 3 2 4 3" xfId="39420"/>
    <cellStyle name="Normal 4 2 3 2 3 3 2 5" xfId="16856"/>
    <cellStyle name="Normal 4 2 3 2 3 3 2 6" xfId="31899"/>
    <cellStyle name="Normal 4 2 3 2 3 3 3" xfId="2697"/>
    <cellStyle name="Normal 4 2 3 2 3 3 3 2" xfId="6492"/>
    <cellStyle name="Normal 4 2 3 2 3 3 3 2 2" xfId="14015"/>
    <cellStyle name="Normal 4 2 3 2 3 3 3 2 2 2" xfId="29059"/>
    <cellStyle name="Normal 4 2 3 2 3 3 3 2 2 3" xfId="44102"/>
    <cellStyle name="Normal 4 2 3 2 3 3 3 2 3" xfId="21538"/>
    <cellStyle name="Normal 4 2 3 2 3 3 3 2 4" xfId="36581"/>
    <cellStyle name="Normal 4 2 3 2 3 3 3 3" xfId="10266"/>
    <cellStyle name="Normal 4 2 3 2 3 3 3 3 2" xfId="25310"/>
    <cellStyle name="Normal 4 2 3 2 3 3 3 3 3" xfId="40353"/>
    <cellStyle name="Normal 4 2 3 2 3 3 3 4" xfId="17789"/>
    <cellStyle name="Normal 4 2 3 2 3 3 3 5" xfId="32832"/>
    <cellStyle name="Normal 4 2 3 2 3 3 4" xfId="4627"/>
    <cellStyle name="Normal 4 2 3 2 3 3 4 2" xfId="12150"/>
    <cellStyle name="Normal 4 2 3 2 3 3 4 2 2" xfId="27194"/>
    <cellStyle name="Normal 4 2 3 2 3 3 4 2 3" xfId="42237"/>
    <cellStyle name="Normal 4 2 3 2 3 3 4 3" xfId="19673"/>
    <cellStyle name="Normal 4 2 3 2 3 3 4 4" xfId="34716"/>
    <cellStyle name="Normal 4 2 3 2 3 3 5" xfId="8401"/>
    <cellStyle name="Normal 4 2 3 2 3 3 5 2" xfId="23445"/>
    <cellStyle name="Normal 4 2 3 2 3 3 5 3" xfId="38488"/>
    <cellStyle name="Normal 4 2 3 2 3 3 6" xfId="15924"/>
    <cellStyle name="Normal 4 2 3 2 3 3 7" xfId="30967"/>
    <cellStyle name="Normal 4 2 3 2 3 4" xfId="1306"/>
    <cellStyle name="Normal 4 2 3 2 3 4 2" xfId="3177"/>
    <cellStyle name="Normal 4 2 3 2 3 4 2 2" xfId="6972"/>
    <cellStyle name="Normal 4 2 3 2 3 4 2 2 2" xfId="14495"/>
    <cellStyle name="Normal 4 2 3 2 3 4 2 2 2 2" xfId="29539"/>
    <cellStyle name="Normal 4 2 3 2 3 4 2 2 2 3" xfId="44582"/>
    <cellStyle name="Normal 4 2 3 2 3 4 2 2 3" xfId="22018"/>
    <cellStyle name="Normal 4 2 3 2 3 4 2 2 4" xfId="37061"/>
    <cellStyle name="Normal 4 2 3 2 3 4 2 3" xfId="10746"/>
    <cellStyle name="Normal 4 2 3 2 3 4 2 3 2" xfId="25790"/>
    <cellStyle name="Normal 4 2 3 2 3 4 2 3 3" xfId="40833"/>
    <cellStyle name="Normal 4 2 3 2 3 4 2 4" xfId="18269"/>
    <cellStyle name="Normal 4 2 3 2 3 4 2 5" xfId="33312"/>
    <cellStyle name="Normal 4 2 3 2 3 4 3" xfId="5107"/>
    <cellStyle name="Normal 4 2 3 2 3 4 3 2" xfId="12630"/>
    <cellStyle name="Normal 4 2 3 2 3 4 3 2 2" xfId="27674"/>
    <cellStyle name="Normal 4 2 3 2 3 4 3 2 3" xfId="42717"/>
    <cellStyle name="Normal 4 2 3 2 3 4 3 3" xfId="20153"/>
    <cellStyle name="Normal 4 2 3 2 3 4 3 4" xfId="35196"/>
    <cellStyle name="Normal 4 2 3 2 3 4 4" xfId="8881"/>
    <cellStyle name="Normal 4 2 3 2 3 4 4 2" xfId="23925"/>
    <cellStyle name="Normal 4 2 3 2 3 4 4 3" xfId="38968"/>
    <cellStyle name="Normal 4 2 3 2 3 4 5" xfId="16404"/>
    <cellStyle name="Normal 4 2 3 2 3 4 6" xfId="31447"/>
    <cellStyle name="Normal 4 2 3 2 3 5" xfId="2244"/>
    <cellStyle name="Normal 4 2 3 2 3 5 2" xfId="6040"/>
    <cellStyle name="Normal 4 2 3 2 3 5 2 2" xfId="13563"/>
    <cellStyle name="Normal 4 2 3 2 3 5 2 2 2" xfId="28607"/>
    <cellStyle name="Normal 4 2 3 2 3 5 2 2 3" xfId="43650"/>
    <cellStyle name="Normal 4 2 3 2 3 5 2 3" xfId="21086"/>
    <cellStyle name="Normal 4 2 3 2 3 5 2 4" xfId="36129"/>
    <cellStyle name="Normal 4 2 3 2 3 5 3" xfId="9814"/>
    <cellStyle name="Normal 4 2 3 2 3 5 3 2" xfId="24858"/>
    <cellStyle name="Normal 4 2 3 2 3 5 3 3" xfId="39901"/>
    <cellStyle name="Normal 4 2 3 2 3 5 4" xfId="17337"/>
    <cellStyle name="Normal 4 2 3 2 3 5 5" xfId="32380"/>
    <cellStyle name="Normal 4 2 3 2 3 6" xfId="4172"/>
    <cellStyle name="Normal 4 2 3 2 3 6 2" xfId="11696"/>
    <cellStyle name="Normal 4 2 3 2 3 6 2 2" xfId="26740"/>
    <cellStyle name="Normal 4 2 3 2 3 6 2 3" xfId="41783"/>
    <cellStyle name="Normal 4 2 3 2 3 6 3" xfId="19219"/>
    <cellStyle name="Normal 4 2 3 2 3 6 4" xfId="34262"/>
    <cellStyle name="Normal 4 2 3 2 3 7" xfId="7935"/>
    <cellStyle name="Normal 4 2 3 2 3 7 2" xfId="22979"/>
    <cellStyle name="Normal 4 2 3 2 3 7 3" xfId="38022"/>
    <cellStyle name="Normal 4 2 3 2 3 8" xfId="15458"/>
    <cellStyle name="Normal 4 2 3 2 3 9" xfId="30501"/>
    <cellStyle name="Normal 4 2 3 2 4" xfId="277"/>
    <cellStyle name="Normal 4 2 3 2 4 2" xfId="278"/>
    <cellStyle name="Normal 4 2 3 2 4 2 2" xfId="802"/>
    <cellStyle name="Normal 4 2 3 2 4 2 2 2" xfId="1761"/>
    <cellStyle name="Normal 4 2 3 2 4 2 2 2 2" xfId="3632"/>
    <cellStyle name="Normal 4 2 3 2 4 2 2 2 2 2" xfId="7427"/>
    <cellStyle name="Normal 4 2 3 2 4 2 2 2 2 2 2" xfId="14950"/>
    <cellStyle name="Normal 4 2 3 2 4 2 2 2 2 2 2 2" xfId="29994"/>
    <cellStyle name="Normal 4 2 3 2 4 2 2 2 2 2 2 3" xfId="45037"/>
    <cellStyle name="Normal 4 2 3 2 4 2 2 2 2 2 3" xfId="22473"/>
    <cellStyle name="Normal 4 2 3 2 4 2 2 2 2 2 4" xfId="37516"/>
    <cellStyle name="Normal 4 2 3 2 4 2 2 2 2 3" xfId="11201"/>
    <cellStyle name="Normal 4 2 3 2 4 2 2 2 2 3 2" xfId="26245"/>
    <cellStyle name="Normal 4 2 3 2 4 2 2 2 2 3 3" xfId="41288"/>
    <cellStyle name="Normal 4 2 3 2 4 2 2 2 2 4" xfId="18724"/>
    <cellStyle name="Normal 4 2 3 2 4 2 2 2 2 5" xfId="33767"/>
    <cellStyle name="Normal 4 2 3 2 4 2 2 2 3" xfId="5562"/>
    <cellStyle name="Normal 4 2 3 2 4 2 2 2 3 2" xfId="13085"/>
    <cellStyle name="Normal 4 2 3 2 4 2 2 2 3 2 2" xfId="28129"/>
    <cellStyle name="Normal 4 2 3 2 4 2 2 2 3 2 3" xfId="43172"/>
    <cellStyle name="Normal 4 2 3 2 4 2 2 2 3 3" xfId="20608"/>
    <cellStyle name="Normal 4 2 3 2 4 2 2 2 3 4" xfId="35651"/>
    <cellStyle name="Normal 4 2 3 2 4 2 2 2 4" xfId="9336"/>
    <cellStyle name="Normal 4 2 3 2 4 2 2 2 4 2" xfId="24380"/>
    <cellStyle name="Normal 4 2 3 2 4 2 2 2 4 3" xfId="39423"/>
    <cellStyle name="Normal 4 2 3 2 4 2 2 2 5" xfId="16859"/>
    <cellStyle name="Normal 4 2 3 2 4 2 2 2 6" xfId="31902"/>
    <cellStyle name="Normal 4 2 3 2 4 2 2 3" xfId="2700"/>
    <cellStyle name="Normal 4 2 3 2 4 2 2 3 2" xfId="6495"/>
    <cellStyle name="Normal 4 2 3 2 4 2 2 3 2 2" xfId="14018"/>
    <cellStyle name="Normal 4 2 3 2 4 2 2 3 2 2 2" xfId="29062"/>
    <cellStyle name="Normal 4 2 3 2 4 2 2 3 2 2 3" xfId="44105"/>
    <cellStyle name="Normal 4 2 3 2 4 2 2 3 2 3" xfId="21541"/>
    <cellStyle name="Normal 4 2 3 2 4 2 2 3 2 4" xfId="36584"/>
    <cellStyle name="Normal 4 2 3 2 4 2 2 3 3" xfId="10269"/>
    <cellStyle name="Normal 4 2 3 2 4 2 2 3 3 2" xfId="25313"/>
    <cellStyle name="Normal 4 2 3 2 4 2 2 3 3 3" xfId="40356"/>
    <cellStyle name="Normal 4 2 3 2 4 2 2 3 4" xfId="17792"/>
    <cellStyle name="Normal 4 2 3 2 4 2 2 3 5" xfId="32835"/>
    <cellStyle name="Normal 4 2 3 2 4 2 2 4" xfId="4630"/>
    <cellStyle name="Normal 4 2 3 2 4 2 2 4 2" xfId="12153"/>
    <cellStyle name="Normal 4 2 3 2 4 2 2 4 2 2" xfId="27197"/>
    <cellStyle name="Normal 4 2 3 2 4 2 2 4 2 3" xfId="42240"/>
    <cellStyle name="Normal 4 2 3 2 4 2 2 4 3" xfId="19676"/>
    <cellStyle name="Normal 4 2 3 2 4 2 2 4 4" xfId="34719"/>
    <cellStyle name="Normal 4 2 3 2 4 2 2 5" xfId="8404"/>
    <cellStyle name="Normal 4 2 3 2 4 2 2 5 2" xfId="23448"/>
    <cellStyle name="Normal 4 2 3 2 4 2 2 5 3" xfId="38491"/>
    <cellStyle name="Normal 4 2 3 2 4 2 2 6" xfId="15927"/>
    <cellStyle name="Normal 4 2 3 2 4 2 2 7" xfId="30970"/>
    <cellStyle name="Normal 4 2 3 2 4 2 3" xfId="1309"/>
    <cellStyle name="Normal 4 2 3 2 4 2 3 2" xfId="3180"/>
    <cellStyle name="Normal 4 2 3 2 4 2 3 2 2" xfId="6975"/>
    <cellStyle name="Normal 4 2 3 2 4 2 3 2 2 2" xfId="14498"/>
    <cellStyle name="Normal 4 2 3 2 4 2 3 2 2 2 2" xfId="29542"/>
    <cellStyle name="Normal 4 2 3 2 4 2 3 2 2 2 3" xfId="44585"/>
    <cellStyle name="Normal 4 2 3 2 4 2 3 2 2 3" xfId="22021"/>
    <cellStyle name="Normal 4 2 3 2 4 2 3 2 2 4" xfId="37064"/>
    <cellStyle name="Normal 4 2 3 2 4 2 3 2 3" xfId="10749"/>
    <cellStyle name="Normal 4 2 3 2 4 2 3 2 3 2" xfId="25793"/>
    <cellStyle name="Normal 4 2 3 2 4 2 3 2 3 3" xfId="40836"/>
    <cellStyle name="Normal 4 2 3 2 4 2 3 2 4" xfId="18272"/>
    <cellStyle name="Normal 4 2 3 2 4 2 3 2 5" xfId="33315"/>
    <cellStyle name="Normal 4 2 3 2 4 2 3 3" xfId="5110"/>
    <cellStyle name="Normal 4 2 3 2 4 2 3 3 2" xfId="12633"/>
    <cellStyle name="Normal 4 2 3 2 4 2 3 3 2 2" xfId="27677"/>
    <cellStyle name="Normal 4 2 3 2 4 2 3 3 2 3" xfId="42720"/>
    <cellStyle name="Normal 4 2 3 2 4 2 3 3 3" xfId="20156"/>
    <cellStyle name="Normal 4 2 3 2 4 2 3 3 4" xfId="35199"/>
    <cellStyle name="Normal 4 2 3 2 4 2 3 4" xfId="8884"/>
    <cellStyle name="Normal 4 2 3 2 4 2 3 4 2" xfId="23928"/>
    <cellStyle name="Normal 4 2 3 2 4 2 3 4 3" xfId="38971"/>
    <cellStyle name="Normal 4 2 3 2 4 2 3 5" xfId="16407"/>
    <cellStyle name="Normal 4 2 3 2 4 2 3 6" xfId="31450"/>
    <cellStyle name="Normal 4 2 3 2 4 2 4" xfId="2247"/>
    <cellStyle name="Normal 4 2 3 2 4 2 4 2" xfId="6043"/>
    <cellStyle name="Normal 4 2 3 2 4 2 4 2 2" xfId="13566"/>
    <cellStyle name="Normal 4 2 3 2 4 2 4 2 2 2" xfId="28610"/>
    <cellStyle name="Normal 4 2 3 2 4 2 4 2 2 3" xfId="43653"/>
    <cellStyle name="Normal 4 2 3 2 4 2 4 2 3" xfId="21089"/>
    <cellStyle name="Normal 4 2 3 2 4 2 4 2 4" xfId="36132"/>
    <cellStyle name="Normal 4 2 3 2 4 2 4 3" xfId="9817"/>
    <cellStyle name="Normal 4 2 3 2 4 2 4 3 2" xfId="24861"/>
    <cellStyle name="Normal 4 2 3 2 4 2 4 3 3" xfId="39904"/>
    <cellStyle name="Normal 4 2 3 2 4 2 4 4" xfId="17340"/>
    <cellStyle name="Normal 4 2 3 2 4 2 4 5" xfId="32383"/>
    <cellStyle name="Normal 4 2 3 2 4 2 5" xfId="4175"/>
    <cellStyle name="Normal 4 2 3 2 4 2 5 2" xfId="11699"/>
    <cellStyle name="Normal 4 2 3 2 4 2 5 2 2" xfId="26743"/>
    <cellStyle name="Normal 4 2 3 2 4 2 5 2 3" xfId="41786"/>
    <cellStyle name="Normal 4 2 3 2 4 2 5 3" xfId="19222"/>
    <cellStyle name="Normal 4 2 3 2 4 2 5 4" xfId="34265"/>
    <cellStyle name="Normal 4 2 3 2 4 2 6" xfId="7938"/>
    <cellStyle name="Normal 4 2 3 2 4 2 6 2" xfId="22982"/>
    <cellStyle name="Normal 4 2 3 2 4 2 6 3" xfId="38025"/>
    <cellStyle name="Normal 4 2 3 2 4 2 7" xfId="15461"/>
    <cellStyle name="Normal 4 2 3 2 4 2 8" xfId="30504"/>
    <cellStyle name="Normal 4 2 3 2 4 3" xfId="801"/>
    <cellStyle name="Normal 4 2 3 2 4 3 2" xfId="1760"/>
    <cellStyle name="Normal 4 2 3 2 4 3 2 2" xfId="3631"/>
    <cellStyle name="Normal 4 2 3 2 4 3 2 2 2" xfId="7426"/>
    <cellStyle name="Normal 4 2 3 2 4 3 2 2 2 2" xfId="14949"/>
    <cellStyle name="Normal 4 2 3 2 4 3 2 2 2 2 2" xfId="29993"/>
    <cellStyle name="Normal 4 2 3 2 4 3 2 2 2 2 3" xfId="45036"/>
    <cellStyle name="Normal 4 2 3 2 4 3 2 2 2 3" xfId="22472"/>
    <cellStyle name="Normal 4 2 3 2 4 3 2 2 2 4" xfId="37515"/>
    <cellStyle name="Normal 4 2 3 2 4 3 2 2 3" xfId="11200"/>
    <cellStyle name="Normal 4 2 3 2 4 3 2 2 3 2" xfId="26244"/>
    <cellStyle name="Normal 4 2 3 2 4 3 2 2 3 3" xfId="41287"/>
    <cellStyle name="Normal 4 2 3 2 4 3 2 2 4" xfId="18723"/>
    <cellStyle name="Normal 4 2 3 2 4 3 2 2 5" xfId="33766"/>
    <cellStyle name="Normal 4 2 3 2 4 3 2 3" xfId="5561"/>
    <cellStyle name="Normal 4 2 3 2 4 3 2 3 2" xfId="13084"/>
    <cellStyle name="Normal 4 2 3 2 4 3 2 3 2 2" xfId="28128"/>
    <cellStyle name="Normal 4 2 3 2 4 3 2 3 2 3" xfId="43171"/>
    <cellStyle name="Normal 4 2 3 2 4 3 2 3 3" xfId="20607"/>
    <cellStyle name="Normal 4 2 3 2 4 3 2 3 4" xfId="35650"/>
    <cellStyle name="Normal 4 2 3 2 4 3 2 4" xfId="9335"/>
    <cellStyle name="Normal 4 2 3 2 4 3 2 4 2" xfId="24379"/>
    <cellStyle name="Normal 4 2 3 2 4 3 2 4 3" xfId="39422"/>
    <cellStyle name="Normal 4 2 3 2 4 3 2 5" xfId="16858"/>
    <cellStyle name="Normal 4 2 3 2 4 3 2 6" xfId="31901"/>
    <cellStyle name="Normal 4 2 3 2 4 3 3" xfId="2699"/>
    <cellStyle name="Normal 4 2 3 2 4 3 3 2" xfId="6494"/>
    <cellStyle name="Normal 4 2 3 2 4 3 3 2 2" xfId="14017"/>
    <cellStyle name="Normal 4 2 3 2 4 3 3 2 2 2" xfId="29061"/>
    <cellStyle name="Normal 4 2 3 2 4 3 3 2 2 3" xfId="44104"/>
    <cellStyle name="Normal 4 2 3 2 4 3 3 2 3" xfId="21540"/>
    <cellStyle name="Normal 4 2 3 2 4 3 3 2 4" xfId="36583"/>
    <cellStyle name="Normal 4 2 3 2 4 3 3 3" xfId="10268"/>
    <cellStyle name="Normal 4 2 3 2 4 3 3 3 2" xfId="25312"/>
    <cellStyle name="Normal 4 2 3 2 4 3 3 3 3" xfId="40355"/>
    <cellStyle name="Normal 4 2 3 2 4 3 3 4" xfId="17791"/>
    <cellStyle name="Normal 4 2 3 2 4 3 3 5" xfId="32834"/>
    <cellStyle name="Normal 4 2 3 2 4 3 4" xfId="4629"/>
    <cellStyle name="Normal 4 2 3 2 4 3 4 2" xfId="12152"/>
    <cellStyle name="Normal 4 2 3 2 4 3 4 2 2" xfId="27196"/>
    <cellStyle name="Normal 4 2 3 2 4 3 4 2 3" xfId="42239"/>
    <cellStyle name="Normal 4 2 3 2 4 3 4 3" xfId="19675"/>
    <cellStyle name="Normal 4 2 3 2 4 3 4 4" xfId="34718"/>
    <cellStyle name="Normal 4 2 3 2 4 3 5" xfId="8403"/>
    <cellStyle name="Normal 4 2 3 2 4 3 5 2" xfId="23447"/>
    <cellStyle name="Normal 4 2 3 2 4 3 5 3" xfId="38490"/>
    <cellStyle name="Normal 4 2 3 2 4 3 6" xfId="15926"/>
    <cellStyle name="Normal 4 2 3 2 4 3 7" xfId="30969"/>
    <cellStyle name="Normal 4 2 3 2 4 4" xfId="1308"/>
    <cellStyle name="Normal 4 2 3 2 4 4 2" xfId="3179"/>
    <cellStyle name="Normal 4 2 3 2 4 4 2 2" xfId="6974"/>
    <cellStyle name="Normal 4 2 3 2 4 4 2 2 2" xfId="14497"/>
    <cellStyle name="Normal 4 2 3 2 4 4 2 2 2 2" xfId="29541"/>
    <cellStyle name="Normal 4 2 3 2 4 4 2 2 2 3" xfId="44584"/>
    <cellStyle name="Normal 4 2 3 2 4 4 2 2 3" xfId="22020"/>
    <cellStyle name="Normal 4 2 3 2 4 4 2 2 4" xfId="37063"/>
    <cellStyle name="Normal 4 2 3 2 4 4 2 3" xfId="10748"/>
    <cellStyle name="Normal 4 2 3 2 4 4 2 3 2" xfId="25792"/>
    <cellStyle name="Normal 4 2 3 2 4 4 2 3 3" xfId="40835"/>
    <cellStyle name="Normal 4 2 3 2 4 4 2 4" xfId="18271"/>
    <cellStyle name="Normal 4 2 3 2 4 4 2 5" xfId="33314"/>
    <cellStyle name="Normal 4 2 3 2 4 4 3" xfId="5109"/>
    <cellStyle name="Normal 4 2 3 2 4 4 3 2" xfId="12632"/>
    <cellStyle name="Normal 4 2 3 2 4 4 3 2 2" xfId="27676"/>
    <cellStyle name="Normal 4 2 3 2 4 4 3 2 3" xfId="42719"/>
    <cellStyle name="Normal 4 2 3 2 4 4 3 3" xfId="20155"/>
    <cellStyle name="Normal 4 2 3 2 4 4 3 4" xfId="35198"/>
    <cellStyle name="Normal 4 2 3 2 4 4 4" xfId="8883"/>
    <cellStyle name="Normal 4 2 3 2 4 4 4 2" xfId="23927"/>
    <cellStyle name="Normal 4 2 3 2 4 4 4 3" xfId="38970"/>
    <cellStyle name="Normal 4 2 3 2 4 4 5" xfId="16406"/>
    <cellStyle name="Normal 4 2 3 2 4 4 6" xfId="31449"/>
    <cellStyle name="Normal 4 2 3 2 4 5" xfId="2246"/>
    <cellStyle name="Normal 4 2 3 2 4 5 2" xfId="6042"/>
    <cellStyle name="Normal 4 2 3 2 4 5 2 2" xfId="13565"/>
    <cellStyle name="Normal 4 2 3 2 4 5 2 2 2" xfId="28609"/>
    <cellStyle name="Normal 4 2 3 2 4 5 2 2 3" xfId="43652"/>
    <cellStyle name="Normal 4 2 3 2 4 5 2 3" xfId="21088"/>
    <cellStyle name="Normal 4 2 3 2 4 5 2 4" xfId="36131"/>
    <cellStyle name="Normal 4 2 3 2 4 5 3" xfId="9816"/>
    <cellStyle name="Normal 4 2 3 2 4 5 3 2" xfId="24860"/>
    <cellStyle name="Normal 4 2 3 2 4 5 3 3" xfId="39903"/>
    <cellStyle name="Normal 4 2 3 2 4 5 4" xfId="17339"/>
    <cellStyle name="Normal 4 2 3 2 4 5 5" xfId="32382"/>
    <cellStyle name="Normal 4 2 3 2 4 6" xfId="4174"/>
    <cellStyle name="Normal 4 2 3 2 4 6 2" xfId="11698"/>
    <cellStyle name="Normal 4 2 3 2 4 6 2 2" xfId="26742"/>
    <cellStyle name="Normal 4 2 3 2 4 6 2 3" xfId="41785"/>
    <cellStyle name="Normal 4 2 3 2 4 6 3" xfId="19221"/>
    <cellStyle name="Normal 4 2 3 2 4 6 4" xfId="34264"/>
    <cellStyle name="Normal 4 2 3 2 4 7" xfId="7937"/>
    <cellStyle name="Normal 4 2 3 2 4 7 2" xfId="22981"/>
    <cellStyle name="Normal 4 2 3 2 4 7 3" xfId="38024"/>
    <cellStyle name="Normal 4 2 3 2 4 8" xfId="15460"/>
    <cellStyle name="Normal 4 2 3 2 4 9" xfId="30503"/>
    <cellStyle name="Normal 4 2 3 2 5" xfId="279"/>
    <cellStyle name="Normal 4 2 3 2 5 2" xfId="803"/>
    <cellStyle name="Normal 4 2 3 2 5 2 2" xfId="1762"/>
    <cellStyle name="Normal 4 2 3 2 5 2 2 2" xfId="3633"/>
    <cellStyle name="Normal 4 2 3 2 5 2 2 2 2" xfId="7428"/>
    <cellStyle name="Normal 4 2 3 2 5 2 2 2 2 2" xfId="14951"/>
    <cellStyle name="Normal 4 2 3 2 5 2 2 2 2 2 2" xfId="29995"/>
    <cellStyle name="Normal 4 2 3 2 5 2 2 2 2 2 3" xfId="45038"/>
    <cellStyle name="Normal 4 2 3 2 5 2 2 2 2 3" xfId="22474"/>
    <cellStyle name="Normal 4 2 3 2 5 2 2 2 2 4" xfId="37517"/>
    <cellStyle name="Normal 4 2 3 2 5 2 2 2 3" xfId="11202"/>
    <cellStyle name="Normal 4 2 3 2 5 2 2 2 3 2" xfId="26246"/>
    <cellStyle name="Normal 4 2 3 2 5 2 2 2 3 3" xfId="41289"/>
    <cellStyle name="Normal 4 2 3 2 5 2 2 2 4" xfId="18725"/>
    <cellStyle name="Normal 4 2 3 2 5 2 2 2 5" xfId="33768"/>
    <cellStyle name="Normal 4 2 3 2 5 2 2 3" xfId="5563"/>
    <cellStyle name="Normal 4 2 3 2 5 2 2 3 2" xfId="13086"/>
    <cellStyle name="Normal 4 2 3 2 5 2 2 3 2 2" xfId="28130"/>
    <cellStyle name="Normal 4 2 3 2 5 2 2 3 2 3" xfId="43173"/>
    <cellStyle name="Normal 4 2 3 2 5 2 2 3 3" xfId="20609"/>
    <cellStyle name="Normal 4 2 3 2 5 2 2 3 4" xfId="35652"/>
    <cellStyle name="Normal 4 2 3 2 5 2 2 4" xfId="9337"/>
    <cellStyle name="Normal 4 2 3 2 5 2 2 4 2" xfId="24381"/>
    <cellStyle name="Normal 4 2 3 2 5 2 2 4 3" xfId="39424"/>
    <cellStyle name="Normal 4 2 3 2 5 2 2 5" xfId="16860"/>
    <cellStyle name="Normal 4 2 3 2 5 2 2 6" xfId="31903"/>
    <cellStyle name="Normal 4 2 3 2 5 2 3" xfId="2701"/>
    <cellStyle name="Normal 4 2 3 2 5 2 3 2" xfId="6496"/>
    <cellStyle name="Normal 4 2 3 2 5 2 3 2 2" xfId="14019"/>
    <cellStyle name="Normal 4 2 3 2 5 2 3 2 2 2" xfId="29063"/>
    <cellStyle name="Normal 4 2 3 2 5 2 3 2 2 3" xfId="44106"/>
    <cellStyle name="Normal 4 2 3 2 5 2 3 2 3" xfId="21542"/>
    <cellStyle name="Normal 4 2 3 2 5 2 3 2 4" xfId="36585"/>
    <cellStyle name="Normal 4 2 3 2 5 2 3 3" xfId="10270"/>
    <cellStyle name="Normal 4 2 3 2 5 2 3 3 2" xfId="25314"/>
    <cellStyle name="Normal 4 2 3 2 5 2 3 3 3" xfId="40357"/>
    <cellStyle name="Normal 4 2 3 2 5 2 3 4" xfId="17793"/>
    <cellStyle name="Normal 4 2 3 2 5 2 3 5" xfId="32836"/>
    <cellStyle name="Normal 4 2 3 2 5 2 4" xfId="4631"/>
    <cellStyle name="Normal 4 2 3 2 5 2 4 2" xfId="12154"/>
    <cellStyle name="Normal 4 2 3 2 5 2 4 2 2" xfId="27198"/>
    <cellStyle name="Normal 4 2 3 2 5 2 4 2 3" xfId="42241"/>
    <cellStyle name="Normal 4 2 3 2 5 2 4 3" xfId="19677"/>
    <cellStyle name="Normal 4 2 3 2 5 2 4 4" xfId="34720"/>
    <cellStyle name="Normal 4 2 3 2 5 2 5" xfId="8405"/>
    <cellStyle name="Normal 4 2 3 2 5 2 5 2" xfId="23449"/>
    <cellStyle name="Normal 4 2 3 2 5 2 5 3" xfId="38492"/>
    <cellStyle name="Normal 4 2 3 2 5 2 6" xfId="15928"/>
    <cellStyle name="Normal 4 2 3 2 5 2 7" xfId="30971"/>
    <cellStyle name="Normal 4 2 3 2 5 3" xfId="1310"/>
    <cellStyle name="Normal 4 2 3 2 5 3 2" xfId="3181"/>
    <cellStyle name="Normal 4 2 3 2 5 3 2 2" xfId="6976"/>
    <cellStyle name="Normal 4 2 3 2 5 3 2 2 2" xfId="14499"/>
    <cellStyle name="Normal 4 2 3 2 5 3 2 2 2 2" xfId="29543"/>
    <cellStyle name="Normal 4 2 3 2 5 3 2 2 2 3" xfId="44586"/>
    <cellStyle name="Normal 4 2 3 2 5 3 2 2 3" xfId="22022"/>
    <cellStyle name="Normal 4 2 3 2 5 3 2 2 4" xfId="37065"/>
    <cellStyle name="Normal 4 2 3 2 5 3 2 3" xfId="10750"/>
    <cellStyle name="Normal 4 2 3 2 5 3 2 3 2" xfId="25794"/>
    <cellStyle name="Normal 4 2 3 2 5 3 2 3 3" xfId="40837"/>
    <cellStyle name="Normal 4 2 3 2 5 3 2 4" xfId="18273"/>
    <cellStyle name="Normal 4 2 3 2 5 3 2 5" xfId="33316"/>
    <cellStyle name="Normal 4 2 3 2 5 3 3" xfId="5111"/>
    <cellStyle name="Normal 4 2 3 2 5 3 3 2" xfId="12634"/>
    <cellStyle name="Normal 4 2 3 2 5 3 3 2 2" xfId="27678"/>
    <cellStyle name="Normal 4 2 3 2 5 3 3 2 3" xfId="42721"/>
    <cellStyle name="Normal 4 2 3 2 5 3 3 3" xfId="20157"/>
    <cellStyle name="Normal 4 2 3 2 5 3 3 4" xfId="35200"/>
    <cellStyle name="Normal 4 2 3 2 5 3 4" xfId="8885"/>
    <cellStyle name="Normal 4 2 3 2 5 3 4 2" xfId="23929"/>
    <cellStyle name="Normal 4 2 3 2 5 3 4 3" xfId="38972"/>
    <cellStyle name="Normal 4 2 3 2 5 3 5" xfId="16408"/>
    <cellStyle name="Normal 4 2 3 2 5 3 6" xfId="31451"/>
    <cellStyle name="Normal 4 2 3 2 5 4" xfId="2248"/>
    <cellStyle name="Normal 4 2 3 2 5 4 2" xfId="6044"/>
    <cellStyle name="Normal 4 2 3 2 5 4 2 2" xfId="13567"/>
    <cellStyle name="Normal 4 2 3 2 5 4 2 2 2" xfId="28611"/>
    <cellStyle name="Normal 4 2 3 2 5 4 2 2 3" xfId="43654"/>
    <cellStyle name="Normal 4 2 3 2 5 4 2 3" xfId="21090"/>
    <cellStyle name="Normal 4 2 3 2 5 4 2 4" xfId="36133"/>
    <cellStyle name="Normal 4 2 3 2 5 4 3" xfId="9818"/>
    <cellStyle name="Normal 4 2 3 2 5 4 3 2" xfId="24862"/>
    <cellStyle name="Normal 4 2 3 2 5 4 3 3" xfId="39905"/>
    <cellStyle name="Normal 4 2 3 2 5 4 4" xfId="17341"/>
    <cellStyle name="Normal 4 2 3 2 5 4 5" xfId="32384"/>
    <cellStyle name="Normal 4 2 3 2 5 5" xfId="4176"/>
    <cellStyle name="Normal 4 2 3 2 5 5 2" xfId="11700"/>
    <cellStyle name="Normal 4 2 3 2 5 5 2 2" xfId="26744"/>
    <cellStyle name="Normal 4 2 3 2 5 5 2 3" xfId="41787"/>
    <cellStyle name="Normal 4 2 3 2 5 5 3" xfId="19223"/>
    <cellStyle name="Normal 4 2 3 2 5 5 4" xfId="34266"/>
    <cellStyle name="Normal 4 2 3 2 5 6" xfId="7939"/>
    <cellStyle name="Normal 4 2 3 2 5 6 2" xfId="22983"/>
    <cellStyle name="Normal 4 2 3 2 5 6 3" xfId="38026"/>
    <cellStyle name="Normal 4 2 3 2 5 7" xfId="15462"/>
    <cellStyle name="Normal 4 2 3 2 5 8" xfId="30505"/>
    <cellStyle name="Normal 4 2 3 2 6" xfId="794"/>
    <cellStyle name="Normal 4 2 3 2 6 2" xfId="1753"/>
    <cellStyle name="Normal 4 2 3 2 6 2 2" xfId="3624"/>
    <cellStyle name="Normal 4 2 3 2 6 2 2 2" xfId="7419"/>
    <cellStyle name="Normal 4 2 3 2 6 2 2 2 2" xfId="14942"/>
    <cellStyle name="Normal 4 2 3 2 6 2 2 2 2 2" xfId="29986"/>
    <cellStyle name="Normal 4 2 3 2 6 2 2 2 2 3" xfId="45029"/>
    <cellStyle name="Normal 4 2 3 2 6 2 2 2 3" xfId="22465"/>
    <cellStyle name="Normal 4 2 3 2 6 2 2 2 4" xfId="37508"/>
    <cellStyle name="Normal 4 2 3 2 6 2 2 3" xfId="11193"/>
    <cellStyle name="Normal 4 2 3 2 6 2 2 3 2" xfId="26237"/>
    <cellStyle name="Normal 4 2 3 2 6 2 2 3 3" xfId="41280"/>
    <cellStyle name="Normal 4 2 3 2 6 2 2 4" xfId="18716"/>
    <cellStyle name="Normal 4 2 3 2 6 2 2 5" xfId="33759"/>
    <cellStyle name="Normal 4 2 3 2 6 2 3" xfId="5554"/>
    <cellStyle name="Normal 4 2 3 2 6 2 3 2" xfId="13077"/>
    <cellStyle name="Normal 4 2 3 2 6 2 3 2 2" xfId="28121"/>
    <cellStyle name="Normal 4 2 3 2 6 2 3 2 3" xfId="43164"/>
    <cellStyle name="Normal 4 2 3 2 6 2 3 3" xfId="20600"/>
    <cellStyle name="Normal 4 2 3 2 6 2 3 4" xfId="35643"/>
    <cellStyle name="Normal 4 2 3 2 6 2 4" xfId="9328"/>
    <cellStyle name="Normal 4 2 3 2 6 2 4 2" xfId="24372"/>
    <cellStyle name="Normal 4 2 3 2 6 2 4 3" xfId="39415"/>
    <cellStyle name="Normal 4 2 3 2 6 2 5" xfId="16851"/>
    <cellStyle name="Normal 4 2 3 2 6 2 6" xfId="31894"/>
    <cellStyle name="Normal 4 2 3 2 6 3" xfId="2692"/>
    <cellStyle name="Normal 4 2 3 2 6 3 2" xfId="6487"/>
    <cellStyle name="Normal 4 2 3 2 6 3 2 2" xfId="14010"/>
    <cellStyle name="Normal 4 2 3 2 6 3 2 2 2" xfId="29054"/>
    <cellStyle name="Normal 4 2 3 2 6 3 2 2 3" xfId="44097"/>
    <cellStyle name="Normal 4 2 3 2 6 3 2 3" xfId="21533"/>
    <cellStyle name="Normal 4 2 3 2 6 3 2 4" xfId="36576"/>
    <cellStyle name="Normal 4 2 3 2 6 3 3" xfId="10261"/>
    <cellStyle name="Normal 4 2 3 2 6 3 3 2" xfId="25305"/>
    <cellStyle name="Normal 4 2 3 2 6 3 3 3" xfId="40348"/>
    <cellStyle name="Normal 4 2 3 2 6 3 4" xfId="17784"/>
    <cellStyle name="Normal 4 2 3 2 6 3 5" xfId="32827"/>
    <cellStyle name="Normal 4 2 3 2 6 4" xfId="4622"/>
    <cellStyle name="Normal 4 2 3 2 6 4 2" xfId="12145"/>
    <cellStyle name="Normal 4 2 3 2 6 4 2 2" xfId="27189"/>
    <cellStyle name="Normal 4 2 3 2 6 4 2 3" xfId="42232"/>
    <cellStyle name="Normal 4 2 3 2 6 4 3" xfId="19668"/>
    <cellStyle name="Normal 4 2 3 2 6 4 4" xfId="34711"/>
    <cellStyle name="Normal 4 2 3 2 6 5" xfId="8396"/>
    <cellStyle name="Normal 4 2 3 2 6 5 2" xfId="23440"/>
    <cellStyle name="Normal 4 2 3 2 6 5 3" xfId="38483"/>
    <cellStyle name="Normal 4 2 3 2 6 6" xfId="15919"/>
    <cellStyle name="Normal 4 2 3 2 6 7" xfId="30962"/>
    <cellStyle name="Normal 4 2 3 2 7" xfId="1301"/>
    <cellStyle name="Normal 4 2 3 2 7 2" xfId="3172"/>
    <cellStyle name="Normal 4 2 3 2 7 2 2" xfId="6967"/>
    <cellStyle name="Normal 4 2 3 2 7 2 2 2" xfId="14490"/>
    <cellStyle name="Normal 4 2 3 2 7 2 2 2 2" xfId="29534"/>
    <cellStyle name="Normal 4 2 3 2 7 2 2 2 3" xfId="44577"/>
    <cellStyle name="Normal 4 2 3 2 7 2 2 3" xfId="22013"/>
    <cellStyle name="Normal 4 2 3 2 7 2 2 4" xfId="37056"/>
    <cellStyle name="Normal 4 2 3 2 7 2 3" xfId="10741"/>
    <cellStyle name="Normal 4 2 3 2 7 2 3 2" xfId="25785"/>
    <cellStyle name="Normal 4 2 3 2 7 2 3 3" xfId="40828"/>
    <cellStyle name="Normal 4 2 3 2 7 2 4" xfId="18264"/>
    <cellStyle name="Normal 4 2 3 2 7 2 5" xfId="33307"/>
    <cellStyle name="Normal 4 2 3 2 7 3" xfId="5102"/>
    <cellStyle name="Normal 4 2 3 2 7 3 2" xfId="12625"/>
    <cellStyle name="Normal 4 2 3 2 7 3 2 2" xfId="27669"/>
    <cellStyle name="Normal 4 2 3 2 7 3 2 3" xfId="42712"/>
    <cellStyle name="Normal 4 2 3 2 7 3 3" xfId="20148"/>
    <cellStyle name="Normal 4 2 3 2 7 3 4" xfId="35191"/>
    <cellStyle name="Normal 4 2 3 2 7 4" xfId="8876"/>
    <cellStyle name="Normal 4 2 3 2 7 4 2" xfId="23920"/>
    <cellStyle name="Normal 4 2 3 2 7 4 3" xfId="38963"/>
    <cellStyle name="Normal 4 2 3 2 7 5" xfId="16399"/>
    <cellStyle name="Normal 4 2 3 2 7 6" xfId="31442"/>
    <cellStyle name="Normal 4 2 3 2 8" xfId="2239"/>
    <cellStyle name="Normal 4 2 3 2 8 2" xfId="6035"/>
    <cellStyle name="Normal 4 2 3 2 8 2 2" xfId="13558"/>
    <cellStyle name="Normal 4 2 3 2 8 2 2 2" xfId="28602"/>
    <cellStyle name="Normal 4 2 3 2 8 2 2 3" xfId="43645"/>
    <cellStyle name="Normal 4 2 3 2 8 2 3" xfId="21081"/>
    <cellStyle name="Normal 4 2 3 2 8 2 4" xfId="36124"/>
    <cellStyle name="Normal 4 2 3 2 8 3" xfId="9809"/>
    <cellStyle name="Normal 4 2 3 2 8 3 2" xfId="24853"/>
    <cellStyle name="Normal 4 2 3 2 8 3 3" xfId="39896"/>
    <cellStyle name="Normal 4 2 3 2 8 4" xfId="17332"/>
    <cellStyle name="Normal 4 2 3 2 8 5" xfId="32375"/>
    <cellStyle name="Normal 4 2 3 2 9" xfId="4167"/>
    <cellStyle name="Normal 4 2 3 2 9 2" xfId="11691"/>
    <cellStyle name="Normal 4 2 3 2 9 2 2" xfId="26735"/>
    <cellStyle name="Normal 4 2 3 2 9 2 3" xfId="41778"/>
    <cellStyle name="Normal 4 2 3 2 9 3" xfId="19214"/>
    <cellStyle name="Normal 4 2 3 2 9 4" xfId="34257"/>
    <cellStyle name="Normal 4 2 3 3" xfId="280"/>
    <cellStyle name="Normal 4 2 3 3 10" xfId="15463"/>
    <cellStyle name="Normal 4 2 3 3 11" xfId="30506"/>
    <cellStyle name="Normal 4 2 3 3 2" xfId="281"/>
    <cellStyle name="Normal 4 2 3 3 2 2" xfId="282"/>
    <cellStyle name="Normal 4 2 3 3 2 2 2" xfId="806"/>
    <cellStyle name="Normal 4 2 3 3 2 2 2 2" xfId="1765"/>
    <cellStyle name="Normal 4 2 3 3 2 2 2 2 2" xfId="3636"/>
    <cellStyle name="Normal 4 2 3 3 2 2 2 2 2 2" xfId="7431"/>
    <cellStyle name="Normal 4 2 3 3 2 2 2 2 2 2 2" xfId="14954"/>
    <cellStyle name="Normal 4 2 3 3 2 2 2 2 2 2 2 2" xfId="29998"/>
    <cellStyle name="Normal 4 2 3 3 2 2 2 2 2 2 2 3" xfId="45041"/>
    <cellStyle name="Normal 4 2 3 3 2 2 2 2 2 2 3" xfId="22477"/>
    <cellStyle name="Normal 4 2 3 3 2 2 2 2 2 2 4" xfId="37520"/>
    <cellStyle name="Normal 4 2 3 3 2 2 2 2 2 3" xfId="11205"/>
    <cellStyle name="Normal 4 2 3 3 2 2 2 2 2 3 2" xfId="26249"/>
    <cellStyle name="Normal 4 2 3 3 2 2 2 2 2 3 3" xfId="41292"/>
    <cellStyle name="Normal 4 2 3 3 2 2 2 2 2 4" xfId="18728"/>
    <cellStyle name="Normal 4 2 3 3 2 2 2 2 2 5" xfId="33771"/>
    <cellStyle name="Normal 4 2 3 3 2 2 2 2 3" xfId="5566"/>
    <cellStyle name="Normal 4 2 3 3 2 2 2 2 3 2" xfId="13089"/>
    <cellStyle name="Normal 4 2 3 3 2 2 2 2 3 2 2" xfId="28133"/>
    <cellStyle name="Normal 4 2 3 3 2 2 2 2 3 2 3" xfId="43176"/>
    <cellStyle name="Normal 4 2 3 3 2 2 2 2 3 3" xfId="20612"/>
    <cellStyle name="Normal 4 2 3 3 2 2 2 2 3 4" xfId="35655"/>
    <cellStyle name="Normal 4 2 3 3 2 2 2 2 4" xfId="9340"/>
    <cellStyle name="Normal 4 2 3 3 2 2 2 2 4 2" xfId="24384"/>
    <cellStyle name="Normal 4 2 3 3 2 2 2 2 4 3" xfId="39427"/>
    <cellStyle name="Normal 4 2 3 3 2 2 2 2 5" xfId="16863"/>
    <cellStyle name="Normal 4 2 3 3 2 2 2 2 6" xfId="31906"/>
    <cellStyle name="Normal 4 2 3 3 2 2 2 3" xfId="2704"/>
    <cellStyle name="Normal 4 2 3 3 2 2 2 3 2" xfId="6499"/>
    <cellStyle name="Normal 4 2 3 3 2 2 2 3 2 2" xfId="14022"/>
    <cellStyle name="Normal 4 2 3 3 2 2 2 3 2 2 2" xfId="29066"/>
    <cellStyle name="Normal 4 2 3 3 2 2 2 3 2 2 3" xfId="44109"/>
    <cellStyle name="Normal 4 2 3 3 2 2 2 3 2 3" xfId="21545"/>
    <cellStyle name="Normal 4 2 3 3 2 2 2 3 2 4" xfId="36588"/>
    <cellStyle name="Normal 4 2 3 3 2 2 2 3 3" xfId="10273"/>
    <cellStyle name="Normal 4 2 3 3 2 2 2 3 3 2" xfId="25317"/>
    <cellStyle name="Normal 4 2 3 3 2 2 2 3 3 3" xfId="40360"/>
    <cellStyle name="Normal 4 2 3 3 2 2 2 3 4" xfId="17796"/>
    <cellStyle name="Normal 4 2 3 3 2 2 2 3 5" xfId="32839"/>
    <cellStyle name="Normal 4 2 3 3 2 2 2 4" xfId="4634"/>
    <cellStyle name="Normal 4 2 3 3 2 2 2 4 2" xfId="12157"/>
    <cellStyle name="Normal 4 2 3 3 2 2 2 4 2 2" xfId="27201"/>
    <cellStyle name="Normal 4 2 3 3 2 2 2 4 2 3" xfId="42244"/>
    <cellStyle name="Normal 4 2 3 3 2 2 2 4 3" xfId="19680"/>
    <cellStyle name="Normal 4 2 3 3 2 2 2 4 4" xfId="34723"/>
    <cellStyle name="Normal 4 2 3 3 2 2 2 5" xfId="8408"/>
    <cellStyle name="Normal 4 2 3 3 2 2 2 5 2" xfId="23452"/>
    <cellStyle name="Normal 4 2 3 3 2 2 2 5 3" xfId="38495"/>
    <cellStyle name="Normal 4 2 3 3 2 2 2 6" xfId="15931"/>
    <cellStyle name="Normal 4 2 3 3 2 2 2 7" xfId="30974"/>
    <cellStyle name="Normal 4 2 3 3 2 2 3" xfId="1313"/>
    <cellStyle name="Normal 4 2 3 3 2 2 3 2" xfId="3184"/>
    <cellStyle name="Normal 4 2 3 3 2 2 3 2 2" xfId="6979"/>
    <cellStyle name="Normal 4 2 3 3 2 2 3 2 2 2" xfId="14502"/>
    <cellStyle name="Normal 4 2 3 3 2 2 3 2 2 2 2" xfId="29546"/>
    <cellStyle name="Normal 4 2 3 3 2 2 3 2 2 2 3" xfId="44589"/>
    <cellStyle name="Normal 4 2 3 3 2 2 3 2 2 3" xfId="22025"/>
    <cellStyle name="Normal 4 2 3 3 2 2 3 2 2 4" xfId="37068"/>
    <cellStyle name="Normal 4 2 3 3 2 2 3 2 3" xfId="10753"/>
    <cellStyle name="Normal 4 2 3 3 2 2 3 2 3 2" xfId="25797"/>
    <cellStyle name="Normal 4 2 3 3 2 2 3 2 3 3" xfId="40840"/>
    <cellStyle name="Normal 4 2 3 3 2 2 3 2 4" xfId="18276"/>
    <cellStyle name="Normal 4 2 3 3 2 2 3 2 5" xfId="33319"/>
    <cellStyle name="Normal 4 2 3 3 2 2 3 3" xfId="5114"/>
    <cellStyle name="Normal 4 2 3 3 2 2 3 3 2" xfId="12637"/>
    <cellStyle name="Normal 4 2 3 3 2 2 3 3 2 2" xfId="27681"/>
    <cellStyle name="Normal 4 2 3 3 2 2 3 3 2 3" xfId="42724"/>
    <cellStyle name="Normal 4 2 3 3 2 2 3 3 3" xfId="20160"/>
    <cellStyle name="Normal 4 2 3 3 2 2 3 3 4" xfId="35203"/>
    <cellStyle name="Normal 4 2 3 3 2 2 3 4" xfId="8888"/>
    <cellStyle name="Normal 4 2 3 3 2 2 3 4 2" xfId="23932"/>
    <cellStyle name="Normal 4 2 3 3 2 2 3 4 3" xfId="38975"/>
    <cellStyle name="Normal 4 2 3 3 2 2 3 5" xfId="16411"/>
    <cellStyle name="Normal 4 2 3 3 2 2 3 6" xfId="31454"/>
    <cellStyle name="Normal 4 2 3 3 2 2 4" xfId="2251"/>
    <cellStyle name="Normal 4 2 3 3 2 2 4 2" xfId="6047"/>
    <cellStyle name="Normal 4 2 3 3 2 2 4 2 2" xfId="13570"/>
    <cellStyle name="Normal 4 2 3 3 2 2 4 2 2 2" xfId="28614"/>
    <cellStyle name="Normal 4 2 3 3 2 2 4 2 2 3" xfId="43657"/>
    <cellStyle name="Normal 4 2 3 3 2 2 4 2 3" xfId="21093"/>
    <cellStyle name="Normal 4 2 3 3 2 2 4 2 4" xfId="36136"/>
    <cellStyle name="Normal 4 2 3 3 2 2 4 3" xfId="9821"/>
    <cellStyle name="Normal 4 2 3 3 2 2 4 3 2" xfId="24865"/>
    <cellStyle name="Normal 4 2 3 3 2 2 4 3 3" xfId="39908"/>
    <cellStyle name="Normal 4 2 3 3 2 2 4 4" xfId="17344"/>
    <cellStyle name="Normal 4 2 3 3 2 2 4 5" xfId="32387"/>
    <cellStyle name="Normal 4 2 3 3 2 2 5" xfId="4179"/>
    <cellStyle name="Normal 4 2 3 3 2 2 5 2" xfId="11703"/>
    <cellStyle name="Normal 4 2 3 3 2 2 5 2 2" xfId="26747"/>
    <cellStyle name="Normal 4 2 3 3 2 2 5 2 3" xfId="41790"/>
    <cellStyle name="Normal 4 2 3 3 2 2 5 3" xfId="19226"/>
    <cellStyle name="Normal 4 2 3 3 2 2 5 4" xfId="34269"/>
    <cellStyle name="Normal 4 2 3 3 2 2 6" xfId="7942"/>
    <cellStyle name="Normal 4 2 3 3 2 2 6 2" xfId="22986"/>
    <cellStyle name="Normal 4 2 3 3 2 2 6 3" xfId="38029"/>
    <cellStyle name="Normal 4 2 3 3 2 2 7" xfId="15465"/>
    <cellStyle name="Normal 4 2 3 3 2 2 8" xfId="30508"/>
    <cellStyle name="Normal 4 2 3 3 2 3" xfId="805"/>
    <cellStyle name="Normal 4 2 3 3 2 3 2" xfId="1764"/>
    <cellStyle name="Normal 4 2 3 3 2 3 2 2" xfId="3635"/>
    <cellStyle name="Normal 4 2 3 3 2 3 2 2 2" xfId="7430"/>
    <cellStyle name="Normal 4 2 3 3 2 3 2 2 2 2" xfId="14953"/>
    <cellStyle name="Normal 4 2 3 3 2 3 2 2 2 2 2" xfId="29997"/>
    <cellStyle name="Normal 4 2 3 3 2 3 2 2 2 2 3" xfId="45040"/>
    <cellStyle name="Normal 4 2 3 3 2 3 2 2 2 3" xfId="22476"/>
    <cellStyle name="Normal 4 2 3 3 2 3 2 2 2 4" xfId="37519"/>
    <cellStyle name="Normal 4 2 3 3 2 3 2 2 3" xfId="11204"/>
    <cellStyle name="Normal 4 2 3 3 2 3 2 2 3 2" xfId="26248"/>
    <cellStyle name="Normal 4 2 3 3 2 3 2 2 3 3" xfId="41291"/>
    <cellStyle name="Normal 4 2 3 3 2 3 2 2 4" xfId="18727"/>
    <cellStyle name="Normal 4 2 3 3 2 3 2 2 5" xfId="33770"/>
    <cellStyle name="Normal 4 2 3 3 2 3 2 3" xfId="5565"/>
    <cellStyle name="Normal 4 2 3 3 2 3 2 3 2" xfId="13088"/>
    <cellStyle name="Normal 4 2 3 3 2 3 2 3 2 2" xfId="28132"/>
    <cellStyle name="Normal 4 2 3 3 2 3 2 3 2 3" xfId="43175"/>
    <cellStyle name="Normal 4 2 3 3 2 3 2 3 3" xfId="20611"/>
    <cellStyle name="Normal 4 2 3 3 2 3 2 3 4" xfId="35654"/>
    <cellStyle name="Normal 4 2 3 3 2 3 2 4" xfId="9339"/>
    <cellStyle name="Normal 4 2 3 3 2 3 2 4 2" xfId="24383"/>
    <cellStyle name="Normal 4 2 3 3 2 3 2 4 3" xfId="39426"/>
    <cellStyle name="Normal 4 2 3 3 2 3 2 5" xfId="16862"/>
    <cellStyle name="Normal 4 2 3 3 2 3 2 6" xfId="31905"/>
    <cellStyle name="Normal 4 2 3 3 2 3 3" xfId="2703"/>
    <cellStyle name="Normal 4 2 3 3 2 3 3 2" xfId="6498"/>
    <cellStyle name="Normal 4 2 3 3 2 3 3 2 2" xfId="14021"/>
    <cellStyle name="Normal 4 2 3 3 2 3 3 2 2 2" xfId="29065"/>
    <cellStyle name="Normal 4 2 3 3 2 3 3 2 2 3" xfId="44108"/>
    <cellStyle name="Normal 4 2 3 3 2 3 3 2 3" xfId="21544"/>
    <cellStyle name="Normal 4 2 3 3 2 3 3 2 4" xfId="36587"/>
    <cellStyle name="Normal 4 2 3 3 2 3 3 3" xfId="10272"/>
    <cellStyle name="Normal 4 2 3 3 2 3 3 3 2" xfId="25316"/>
    <cellStyle name="Normal 4 2 3 3 2 3 3 3 3" xfId="40359"/>
    <cellStyle name="Normal 4 2 3 3 2 3 3 4" xfId="17795"/>
    <cellStyle name="Normal 4 2 3 3 2 3 3 5" xfId="32838"/>
    <cellStyle name="Normal 4 2 3 3 2 3 4" xfId="4633"/>
    <cellStyle name="Normal 4 2 3 3 2 3 4 2" xfId="12156"/>
    <cellStyle name="Normal 4 2 3 3 2 3 4 2 2" xfId="27200"/>
    <cellStyle name="Normal 4 2 3 3 2 3 4 2 3" xfId="42243"/>
    <cellStyle name="Normal 4 2 3 3 2 3 4 3" xfId="19679"/>
    <cellStyle name="Normal 4 2 3 3 2 3 4 4" xfId="34722"/>
    <cellStyle name="Normal 4 2 3 3 2 3 5" xfId="8407"/>
    <cellStyle name="Normal 4 2 3 3 2 3 5 2" xfId="23451"/>
    <cellStyle name="Normal 4 2 3 3 2 3 5 3" xfId="38494"/>
    <cellStyle name="Normal 4 2 3 3 2 3 6" xfId="15930"/>
    <cellStyle name="Normal 4 2 3 3 2 3 7" xfId="30973"/>
    <cellStyle name="Normal 4 2 3 3 2 4" xfId="1312"/>
    <cellStyle name="Normal 4 2 3 3 2 4 2" xfId="3183"/>
    <cellStyle name="Normal 4 2 3 3 2 4 2 2" xfId="6978"/>
    <cellStyle name="Normal 4 2 3 3 2 4 2 2 2" xfId="14501"/>
    <cellStyle name="Normal 4 2 3 3 2 4 2 2 2 2" xfId="29545"/>
    <cellStyle name="Normal 4 2 3 3 2 4 2 2 2 3" xfId="44588"/>
    <cellStyle name="Normal 4 2 3 3 2 4 2 2 3" xfId="22024"/>
    <cellStyle name="Normal 4 2 3 3 2 4 2 2 4" xfId="37067"/>
    <cellStyle name="Normal 4 2 3 3 2 4 2 3" xfId="10752"/>
    <cellStyle name="Normal 4 2 3 3 2 4 2 3 2" xfId="25796"/>
    <cellStyle name="Normal 4 2 3 3 2 4 2 3 3" xfId="40839"/>
    <cellStyle name="Normal 4 2 3 3 2 4 2 4" xfId="18275"/>
    <cellStyle name="Normal 4 2 3 3 2 4 2 5" xfId="33318"/>
    <cellStyle name="Normal 4 2 3 3 2 4 3" xfId="5113"/>
    <cellStyle name="Normal 4 2 3 3 2 4 3 2" xfId="12636"/>
    <cellStyle name="Normal 4 2 3 3 2 4 3 2 2" xfId="27680"/>
    <cellStyle name="Normal 4 2 3 3 2 4 3 2 3" xfId="42723"/>
    <cellStyle name="Normal 4 2 3 3 2 4 3 3" xfId="20159"/>
    <cellStyle name="Normal 4 2 3 3 2 4 3 4" xfId="35202"/>
    <cellStyle name="Normal 4 2 3 3 2 4 4" xfId="8887"/>
    <cellStyle name="Normal 4 2 3 3 2 4 4 2" xfId="23931"/>
    <cellStyle name="Normal 4 2 3 3 2 4 4 3" xfId="38974"/>
    <cellStyle name="Normal 4 2 3 3 2 4 5" xfId="16410"/>
    <cellStyle name="Normal 4 2 3 3 2 4 6" xfId="31453"/>
    <cellStyle name="Normal 4 2 3 3 2 5" xfId="2250"/>
    <cellStyle name="Normal 4 2 3 3 2 5 2" xfId="6046"/>
    <cellStyle name="Normal 4 2 3 3 2 5 2 2" xfId="13569"/>
    <cellStyle name="Normal 4 2 3 3 2 5 2 2 2" xfId="28613"/>
    <cellStyle name="Normal 4 2 3 3 2 5 2 2 3" xfId="43656"/>
    <cellStyle name="Normal 4 2 3 3 2 5 2 3" xfId="21092"/>
    <cellStyle name="Normal 4 2 3 3 2 5 2 4" xfId="36135"/>
    <cellStyle name="Normal 4 2 3 3 2 5 3" xfId="9820"/>
    <cellStyle name="Normal 4 2 3 3 2 5 3 2" xfId="24864"/>
    <cellStyle name="Normal 4 2 3 3 2 5 3 3" xfId="39907"/>
    <cellStyle name="Normal 4 2 3 3 2 5 4" xfId="17343"/>
    <cellStyle name="Normal 4 2 3 3 2 5 5" xfId="32386"/>
    <cellStyle name="Normal 4 2 3 3 2 6" xfId="4178"/>
    <cellStyle name="Normal 4 2 3 3 2 6 2" xfId="11702"/>
    <cellStyle name="Normal 4 2 3 3 2 6 2 2" xfId="26746"/>
    <cellStyle name="Normal 4 2 3 3 2 6 2 3" xfId="41789"/>
    <cellStyle name="Normal 4 2 3 3 2 6 3" xfId="19225"/>
    <cellStyle name="Normal 4 2 3 3 2 6 4" xfId="34268"/>
    <cellStyle name="Normal 4 2 3 3 2 7" xfId="7941"/>
    <cellStyle name="Normal 4 2 3 3 2 7 2" xfId="22985"/>
    <cellStyle name="Normal 4 2 3 3 2 7 3" xfId="38028"/>
    <cellStyle name="Normal 4 2 3 3 2 8" xfId="15464"/>
    <cellStyle name="Normal 4 2 3 3 2 9" xfId="30507"/>
    <cellStyle name="Normal 4 2 3 3 3" xfId="283"/>
    <cellStyle name="Normal 4 2 3 3 3 2" xfId="284"/>
    <cellStyle name="Normal 4 2 3 3 3 2 2" xfId="808"/>
    <cellStyle name="Normal 4 2 3 3 3 2 2 2" xfId="1767"/>
    <cellStyle name="Normal 4 2 3 3 3 2 2 2 2" xfId="3638"/>
    <cellStyle name="Normal 4 2 3 3 3 2 2 2 2 2" xfId="7433"/>
    <cellStyle name="Normal 4 2 3 3 3 2 2 2 2 2 2" xfId="14956"/>
    <cellStyle name="Normal 4 2 3 3 3 2 2 2 2 2 2 2" xfId="30000"/>
    <cellStyle name="Normal 4 2 3 3 3 2 2 2 2 2 2 3" xfId="45043"/>
    <cellStyle name="Normal 4 2 3 3 3 2 2 2 2 2 3" xfId="22479"/>
    <cellStyle name="Normal 4 2 3 3 3 2 2 2 2 2 4" xfId="37522"/>
    <cellStyle name="Normal 4 2 3 3 3 2 2 2 2 3" xfId="11207"/>
    <cellStyle name="Normal 4 2 3 3 3 2 2 2 2 3 2" xfId="26251"/>
    <cellStyle name="Normal 4 2 3 3 3 2 2 2 2 3 3" xfId="41294"/>
    <cellStyle name="Normal 4 2 3 3 3 2 2 2 2 4" xfId="18730"/>
    <cellStyle name="Normal 4 2 3 3 3 2 2 2 2 5" xfId="33773"/>
    <cellStyle name="Normal 4 2 3 3 3 2 2 2 3" xfId="5568"/>
    <cellStyle name="Normal 4 2 3 3 3 2 2 2 3 2" xfId="13091"/>
    <cellStyle name="Normal 4 2 3 3 3 2 2 2 3 2 2" xfId="28135"/>
    <cellStyle name="Normal 4 2 3 3 3 2 2 2 3 2 3" xfId="43178"/>
    <cellStyle name="Normal 4 2 3 3 3 2 2 2 3 3" xfId="20614"/>
    <cellStyle name="Normal 4 2 3 3 3 2 2 2 3 4" xfId="35657"/>
    <cellStyle name="Normal 4 2 3 3 3 2 2 2 4" xfId="9342"/>
    <cellStyle name="Normal 4 2 3 3 3 2 2 2 4 2" xfId="24386"/>
    <cellStyle name="Normal 4 2 3 3 3 2 2 2 4 3" xfId="39429"/>
    <cellStyle name="Normal 4 2 3 3 3 2 2 2 5" xfId="16865"/>
    <cellStyle name="Normal 4 2 3 3 3 2 2 2 6" xfId="31908"/>
    <cellStyle name="Normal 4 2 3 3 3 2 2 3" xfId="2706"/>
    <cellStyle name="Normal 4 2 3 3 3 2 2 3 2" xfId="6501"/>
    <cellStyle name="Normal 4 2 3 3 3 2 2 3 2 2" xfId="14024"/>
    <cellStyle name="Normal 4 2 3 3 3 2 2 3 2 2 2" xfId="29068"/>
    <cellStyle name="Normal 4 2 3 3 3 2 2 3 2 2 3" xfId="44111"/>
    <cellStyle name="Normal 4 2 3 3 3 2 2 3 2 3" xfId="21547"/>
    <cellStyle name="Normal 4 2 3 3 3 2 2 3 2 4" xfId="36590"/>
    <cellStyle name="Normal 4 2 3 3 3 2 2 3 3" xfId="10275"/>
    <cellStyle name="Normal 4 2 3 3 3 2 2 3 3 2" xfId="25319"/>
    <cellStyle name="Normal 4 2 3 3 3 2 2 3 3 3" xfId="40362"/>
    <cellStyle name="Normal 4 2 3 3 3 2 2 3 4" xfId="17798"/>
    <cellStyle name="Normal 4 2 3 3 3 2 2 3 5" xfId="32841"/>
    <cellStyle name="Normal 4 2 3 3 3 2 2 4" xfId="4636"/>
    <cellStyle name="Normal 4 2 3 3 3 2 2 4 2" xfId="12159"/>
    <cellStyle name="Normal 4 2 3 3 3 2 2 4 2 2" xfId="27203"/>
    <cellStyle name="Normal 4 2 3 3 3 2 2 4 2 3" xfId="42246"/>
    <cellStyle name="Normal 4 2 3 3 3 2 2 4 3" xfId="19682"/>
    <cellStyle name="Normal 4 2 3 3 3 2 2 4 4" xfId="34725"/>
    <cellStyle name="Normal 4 2 3 3 3 2 2 5" xfId="8410"/>
    <cellStyle name="Normal 4 2 3 3 3 2 2 5 2" xfId="23454"/>
    <cellStyle name="Normal 4 2 3 3 3 2 2 5 3" xfId="38497"/>
    <cellStyle name="Normal 4 2 3 3 3 2 2 6" xfId="15933"/>
    <cellStyle name="Normal 4 2 3 3 3 2 2 7" xfId="30976"/>
    <cellStyle name="Normal 4 2 3 3 3 2 3" xfId="1315"/>
    <cellStyle name="Normal 4 2 3 3 3 2 3 2" xfId="3186"/>
    <cellStyle name="Normal 4 2 3 3 3 2 3 2 2" xfId="6981"/>
    <cellStyle name="Normal 4 2 3 3 3 2 3 2 2 2" xfId="14504"/>
    <cellStyle name="Normal 4 2 3 3 3 2 3 2 2 2 2" xfId="29548"/>
    <cellStyle name="Normal 4 2 3 3 3 2 3 2 2 2 3" xfId="44591"/>
    <cellStyle name="Normal 4 2 3 3 3 2 3 2 2 3" xfId="22027"/>
    <cellStyle name="Normal 4 2 3 3 3 2 3 2 2 4" xfId="37070"/>
    <cellStyle name="Normal 4 2 3 3 3 2 3 2 3" xfId="10755"/>
    <cellStyle name="Normal 4 2 3 3 3 2 3 2 3 2" xfId="25799"/>
    <cellStyle name="Normal 4 2 3 3 3 2 3 2 3 3" xfId="40842"/>
    <cellStyle name="Normal 4 2 3 3 3 2 3 2 4" xfId="18278"/>
    <cellStyle name="Normal 4 2 3 3 3 2 3 2 5" xfId="33321"/>
    <cellStyle name="Normal 4 2 3 3 3 2 3 3" xfId="5116"/>
    <cellStyle name="Normal 4 2 3 3 3 2 3 3 2" xfId="12639"/>
    <cellStyle name="Normal 4 2 3 3 3 2 3 3 2 2" xfId="27683"/>
    <cellStyle name="Normal 4 2 3 3 3 2 3 3 2 3" xfId="42726"/>
    <cellStyle name="Normal 4 2 3 3 3 2 3 3 3" xfId="20162"/>
    <cellStyle name="Normal 4 2 3 3 3 2 3 3 4" xfId="35205"/>
    <cellStyle name="Normal 4 2 3 3 3 2 3 4" xfId="8890"/>
    <cellStyle name="Normal 4 2 3 3 3 2 3 4 2" xfId="23934"/>
    <cellStyle name="Normal 4 2 3 3 3 2 3 4 3" xfId="38977"/>
    <cellStyle name="Normal 4 2 3 3 3 2 3 5" xfId="16413"/>
    <cellStyle name="Normal 4 2 3 3 3 2 3 6" xfId="31456"/>
    <cellStyle name="Normal 4 2 3 3 3 2 4" xfId="2253"/>
    <cellStyle name="Normal 4 2 3 3 3 2 4 2" xfId="6049"/>
    <cellStyle name="Normal 4 2 3 3 3 2 4 2 2" xfId="13572"/>
    <cellStyle name="Normal 4 2 3 3 3 2 4 2 2 2" xfId="28616"/>
    <cellStyle name="Normal 4 2 3 3 3 2 4 2 2 3" xfId="43659"/>
    <cellStyle name="Normal 4 2 3 3 3 2 4 2 3" xfId="21095"/>
    <cellStyle name="Normal 4 2 3 3 3 2 4 2 4" xfId="36138"/>
    <cellStyle name="Normal 4 2 3 3 3 2 4 3" xfId="9823"/>
    <cellStyle name="Normal 4 2 3 3 3 2 4 3 2" xfId="24867"/>
    <cellStyle name="Normal 4 2 3 3 3 2 4 3 3" xfId="39910"/>
    <cellStyle name="Normal 4 2 3 3 3 2 4 4" xfId="17346"/>
    <cellStyle name="Normal 4 2 3 3 3 2 4 5" xfId="32389"/>
    <cellStyle name="Normal 4 2 3 3 3 2 5" xfId="4181"/>
    <cellStyle name="Normal 4 2 3 3 3 2 5 2" xfId="11705"/>
    <cellStyle name="Normal 4 2 3 3 3 2 5 2 2" xfId="26749"/>
    <cellStyle name="Normal 4 2 3 3 3 2 5 2 3" xfId="41792"/>
    <cellStyle name="Normal 4 2 3 3 3 2 5 3" xfId="19228"/>
    <cellStyle name="Normal 4 2 3 3 3 2 5 4" xfId="34271"/>
    <cellStyle name="Normal 4 2 3 3 3 2 6" xfId="7944"/>
    <cellStyle name="Normal 4 2 3 3 3 2 6 2" xfId="22988"/>
    <cellStyle name="Normal 4 2 3 3 3 2 6 3" xfId="38031"/>
    <cellStyle name="Normal 4 2 3 3 3 2 7" xfId="15467"/>
    <cellStyle name="Normal 4 2 3 3 3 2 8" xfId="30510"/>
    <cellStyle name="Normal 4 2 3 3 3 3" xfId="807"/>
    <cellStyle name="Normal 4 2 3 3 3 3 2" xfId="1766"/>
    <cellStyle name="Normal 4 2 3 3 3 3 2 2" xfId="3637"/>
    <cellStyle name="Normal 4 2 3 3 3 3 2 2 2" xfId="7432"/>
    <cellStyle name="Normal 4 2 3 3 3 3 2 2 2 2" xfId="14955"/>
    <cellStyle name="Normal 4 2 3 3 3 3 2 2 2 2 2" xfId="29999"/>
    <cellStyle name="Normal 4 2 3 3 3 3 2 2 2 2 3" xfId="45042"/>
    <cellStyle name="Normal 4 2 3 3 3 3 2 2 2 3" xfId="22478"/>
    <cellStyle name="Normal 4 2 3 3 3 3 2 2 2 4" xfId="37521"/>
    <cellStyle name="Normal 4 2 3 3 3 3 2 2 3" xfId="11206"/>
    <cellStyle name="Normal 4 2 3 3 3 3 2 2 3 2" xfId="26250"/>
    <cellStyle name="Normal 4 2 3 3 3 3 2 2 3 3" xfId="41293"/>
    <cellStyle name="Normal 4 2 3 3 3 3 2 2 4" xfId="18729"/>
    <cellStyle name="Normal 4 2 3 3 3 3 2 2 5" xfId="33772"/>
    <cellStyle name="Normal 4 2 3 3 3 3 2 3" xfId="5567"/>
    <cellStyle name="Normal 4 2 3 3 3 3 2 3 2" xfId="13090"/>
    <cellStyle name="Normal 4 2 3 3 3 3 2 3 2 2" xfId="28134"/>
    <cellStyle name="Normal 4 2 3 3 3 3 2 3 2 3" xfId="43177"/>
    <cellStyle name="Normal 4 2 3 3 3 3 2 3 3" xfId="20613"/>
    <cellStyle name="Normal 4 2 3 3 3 3 2 3 4" xfId="35656"/>
    <cellStyle name="Normal 4 2 3 3 3 3 2 4" xfId="9341"/>
    <cellStyle name="Normal 4 2 3 3 3 3 2 4 2" xfId="24385"/>
    <cellStyle name="Normal 4 2 3 3 3 3 2 4 3" xfId="39428"/>
    <cellStyle name="Normal 4 2 3 3 3 3 2 5" xfId="16864"/>
    <cellStyle name="Normal 4 2 3 3 3 3 2 6" xfId="31907"/>
    <cellStyle name="Normal 4 2 3 3 3 3 3" xfId="2705"/>
    <cellStyle name="Normal 4 2 3 3 3 3 3 2" xfId="6500"/>
    <cellStyle name="Normal 4 2 3 3 3 3 3 2 2" xfId="14023"/>
    <cellStyle name="Normal 4 2 3 3 3 3 3 2 2 2" xfId="29067"/>
    <cellStyle name="Normal 4 2 3 3 3 3 3 2 2 3" xfId="44110"/>
    <cellStyle name="Normal 4 2 3 3 3 3 3 2 3" xfId="21546"/>
    <cellStyle name="Normal 4 2 3 3 3 3 3 2 4" xfId="36589"/>
    <cellStyle name="Normal 4 2 3 3 3 3 3 3" xfId="10274"/>
    <cellStyle name="Normal 4 2 3 3 3 3 3 3 2" xfId="25318"/>
    <cellStyle name="Normal 4 2 3 3 3 3 3 3 3" xfId="40361"/>
    <cellStyle name="Normal 4 2 3 3 3 3 3 4" xfId="17797"/>
    <cellStyle name="Normal 4 2 3 3 3 3 3 5" xfId="32840"/>
    <cellStyle name="Normal 4 2 3 3 3 3 4" xfId="4635"/>
    <cellStyle name="Normal 4 2 3 3 3 3 4 2" xfId="12158"/>
    <cellStyle name="Normal 4 2 3 3 3 3 4 2 2" xfId="27202"/>
    <cellStyle name="Normal 4 2 3 3 3 3 4 2 3" xfId="42245"/>
    <cellStyle name="Normal 4 2 3 3 3 3 4 3" xfId="19681"/>
    <cellStyle name="Normal 4 2 3 3 3 3 4 4" xfId="34724"/>
    <cellStyle name="Normal 4 2 3 3 3 3 5" xfId="8409"/>
    <cellStyle name="Normal 4 2 3 3 3 3 5 2" xfId="23453"/>
    <cellStyle name="Normal 4 2 3 3 3 3 5 3" xfId="38496"/>
    <cellStyle name="Normal 4 2 3 3 3 3 6" xfId="15932"/>
    <cellStyle name="Normal 4 2 3 3 3 3 7" xfId="30975"/>
    <cellStyle name="Normal 4 2 3 3 3 4" xfId="1314"/>
    <cellStyle name="Normal 4 2 3 3 3 4 2" xfId="3185"/>
    <cellStyle name="Normal 4 2 3 3 3 4 2 2" xfId="6980"/>
    <cellStyle name="Normal 4 2 3 3 3 4 2 2 2" xfId="14503"/>
    <cellStyle name="Normal 4 2 3 3 3 4 2 2 2 2" xfId="29547"/>
    <cellStyle name="Normal 4 2 3 3 3 4 2 2 2 3" xfId="44590"/>
    <cellStyle name="Normal 4 2 3 3 3 4 2 2 3" xfId="22026"/>
    <cellStyle name="Normal 4 2 3 3 3 4 2 2 4" xfId="37069"/>
    <cellStyle name="Normal 4 2 3 3 3 4 2 3" xfId="10754"/>
    <cellStyle name="Normal 4 2 3 3 3 4 2 3 2" xfId="25798"/>
    <cellStyle name="Normal 4 2 3 3 3 4 2 3 3" xfId="40841"/>
    <cellStyle name="Normal 4 2 3 3 3 4 2 4" xfId="18277"/>
    <cellStyle name="Normal 4 2 3 3 3 4 2 5" xfId="33320"/>
    <cellStyle name="Normal 4 2 3 3 3 4 3" xfId="5115"/>
    <cellStyle name="Normal 4 2 3 3 3 4 3 2" xfId="12638"/>
    <cellStyle name="Normal 4 2 3 3 3 4 3 2 2" xfId="27682"/>
    <cellStyle name="Normal 4 2 3 3 3 4 3 2 3" xfId="42725"/>
    <cellStyle name="Normal 4 2 3 3 3 4 3 3" xfId="20161"/>
    <cellStyle name="Normal 4 2 3 3 3 4 3 4" xfId="35204"/>
    <cellStyle name="Normal 4 2 3 3 3 4 4" xfId="8889"/>
    <cellStyle name="Normal 4 2 3 3 3 4 4 2" xfId="23933"/>
    <cellStyle name="Normal 4 2 3 3 3 4 4 3" xfId="38976"/>
    <cellStyle name="Normal 4 2 3 3 3 4 5" xfId="16412"/>
    <cellStyle name="Normal 4 2 3 3 3 4 6" xfId="31455"/>
    <cellStyle name="Normal 4 2 3 3 3 5" xfId="2252"/>
    <cellStyle name="Normal 4 2 3 3 3 5 2" xfId="6048"/>
    <cellStyle name="Normal 4 2 3 3 3 5 2 2" xfId="13571"/>
    <cellStyle name="Normal 4 2 3 3 3 5 2 2 2" xfId="28615"/>
    <cellStyle name="Normal 4 2 3 3 3 5 2 2 3" xfId="43658"/>
    <cellStyle name="Normal 4 2 3 3 3 5 2 3" xfId="21094"/>
    <cellStyle name="Normal 4 2 3 3 3 5 2 4" xfId="36137"/>
    <cellStyle name="Normal 4 2 3 3 3 5 3" xfId="9822"/>
    <cellStyle name="Normal 4 2 3 3 3 5 3 2" xfId="24866"/>
    <cellStyle name="Normal 4 2 3 3 3 5 3 3" xfId="39909"/>
    <cellStyle name="Normal 4 2 3 3 3 5 4" xfId="17345"/>
    <cellStyle name="Normal 4 2 3 3 3 5 5" xfId="32388"/>
    <cellStyle name="Normal 4 2 3 3 3 6" xfId="4180"/>
    <cellStyle name="Normal 4 2 3 3 3 6 2" xfId="11704"/>
    <cellStyle name="Normal 4 2 3 3 3 6 2 2" xfId="26748"/>
    <cellStyle name="Normal 4 2 3 3 3 6 2 3" xfId="41791"/>
    <cellStyle name="Normal 4 2 3 3 3 6 3" xfId="19227"/>
    <cellStyle name="Normal 4 2 3 3 3 6 4" xfId="34270"/>
    <cellStyle name="Normal 4 2 3 3 3 7" xfId="7943"/>
    <cellStyle name="Normal 4 2 3 3 3 7 2" xfId="22987"/>
    <cellStyle name="Normal 4 2 3 3 3 7 3" xfId="38030"/>
    <cellStyle name="Normal 4 2 3 3 3 8" xfId="15466"/>
    <cellStyle name="Normal 4 2 3 3 3 9" xfId="30509"/>
    <cellStyle name="Normal 4 2 3 3 4" xfId="285"/>
    <cellStyle name="Normal 4 2 3 3 4 2" xfId="809"/>
    <cellStyle name="Normal 4 2 3 3 4 2 2" xfId="1768"/>
    <cellStyle name="Normal 4 2 3 3 4 2 2 2" xfId="3639"/>
    <cellStyle name="Normal 4 2 3 3 4 2 2 2 2" xfId="7434"/>
    <cellStyle name="Normal 4 2 3 3 4 2 2 2 2 2" xfId="14957"/>
    <cellStyle name="Normal 4 2 3 3 4 2 2 2 2 2 2" xfId="30001"/>
    <cellStyle name="Normal 4 2 3 3 4 2 2 2 2 2 3" xfId="45044"/>
    <cellStyle name="Normal 4 2 3 3 4 2 2 2 2 3" xfId="22480"/>
    <cellStyle name="Normal 4 2 3 3 4 2 2 2 2 4" xfId="37523"/>
    <cellStyle name="Normal 4 2 3 3 4 2 2 2 3" xfId="11208"/>
    <cellStyle name="Normal 4 2 3 3 4 2 2 2 3 2" xfId="26252"/>
    <cellStyle name="Normal 4 2 3 3 4 2 2 2 3 3" xfId="41295"/>
    <cellStyle name="Normal 4 2 3 3 4 2 2 2 4" xfId="18731"/>
    <cellStyle name="Normal 4 2 3 3 4 2 2 2 5" xfId="33774"/>
    <cellStyle name="Normal 4 2 3 3 4 2 2 3" xfId="5569"/>
    <cellStyle name="Normal 4 2 3 3 4 2 2 3 2" xfId="13092"/>
    <cellStyle name="Normal 4 2 3 3 4 2 2 3 2 2" xfId="28136"/>
    <cellStyle name="Normal 4 2 3 3 4 2 2 3 2 3" xfId="43179"/>
    <cellStyle name="Normal 4 2 3 3 4 2 2 3 3" xfId="20615"/>
    <cellStyle name="Normal 4 2 3 3 4 2 2 3 4" xfId="35658"/>
    <cellStyle name="Normal 4 2 3 3 4 2 2 4" xfId="9343"/>
    <cellStyle name="Normal 4 2 3 3 4 2 2 4 2" xfId="24387"/>
    <cellStyle name="Normal 4 2 3 3 4 2 2 4 3" xfId="39430"/>
    <cellStyle name="Normal 4 2 3 3 4 2 2 5" xfId="16866"/>
    <cellStyle name="Normal 4 2 3 3 4 2 2 6" xfId="31909"/>
    <cellStyle name="Normal 4 2 3 3 4 2 3" xfId="2707"/>
    <cellStyle name="Normal 4 2 3 3 4 2 3 2" xfId="6502"/>
    <cellStyle name="Normal 4 2 3 3 4 2 3 2 2" xfId="14025"/>
    <cellStyle name="Normal 4 2 3 3 4 2 3 2 2 2" xfId="29069"/>
    <cellStyle name="Normal 4 2 3 3 4 2 3 2 2 3" xfId="44112"/>
    <cellStyle name="Normal 4 2 3 3 4 2 3 2 3" xfId="21548"/>
    <cellStyle name="Normal 4 2 3 3 4 2 3 2 4" xfId="36591"/>
    <cellStyle name="Normal 4 2 3 3 4 2 3 3" xfId="10276"/>
    <cellStyle name="Normal 4 2 3 3 4 2 3 3 2" xfId="25320"/>
    <cellStyle name="Normal 4 2 3 3 4 2 3 3 3" xfId="40363"/>
    <cellStyle name="Normal 4 2 3 3 4 2 3 4" xfId="17799"/>
    <cellStyle name="Normal 4 2 3 3 4 2 3 5" xfId="32842"/>
    <cellStyle name="Normal 4 2 3 3 4 2 4" xfId="4637"/>
    <cellStyle name="Normal 4 2 3 3 4 2 4 2" xfId="12160"/>
    <cellStyle name="Normal 4 2 3 3 4 2 4 2 2" xfId="27204"/>
    <cellStyle name="Normal 4 2 3 3 4 2 4 2 3" xfId="42247"/>
    <cellStyle name="Normal 4 2 3 3 4 2 4 3" xfId="19683"/>
    <cellStyle name="Normal 4 2 3 3 4 2 4 4" xfId="34726"/>
    <cellStyle name="Normal 4 2 3 3 4 2 5" xfId="8411"/>
    <cellStyle name="Normal 4 2 3 3 4 2 5 2" xfId="23455"/>
    <cellStyle name="Normal 4 2 3 3 4 2 5 3" xfId="38498"/>
    <cellStyle name="Normal 4 2 3 3 4 2 6" xfId="15934"/>
    <cellStyle name="Normal 4 2 3 3 4 2 7" xfId="30977"/>
    <cellStyle name="Normal 4 2 3 3 4 3" xfId="1316"/>
    <cellStyle name="Normal 4 2 3 3 4 3 2" xfId="3187"/>
    <cellStyle name="Normal 4 2 3 3 4 3 2 2" xfId="6982"/>
    <cellStyle name="Normal 4 2 3 3 4 3 2 2 2" xfId="14505"/>
    <cellStyle name="Normal 4 2 3 3 4 3 2 2 2 2" xfId="29549"/>
    <cellStyle name="Normal 4 2 3 3 4 3 2 2 2 3" xfId="44592"/>
    <cellStyle name="Normal 4 2 3 3 4 3 2 2 3" xfId="22028"/>
    <cellStyle name="Normal 4 2 3 3 4 3 2 2 4" xfId="37071"/>
    <cellStyle name="Normal 4 2 3 3 4 3 2 3" xfId="10756"/>
    <cellStyle name="Normal 4 2 3 3 4 3 2 3 2" xfId="25800"/>
    <cellStyle name="Normal 4 2 3 3 4 3 2 3 3" xfId="40843"/>
    <cellStyle name="Normal 4 2 3 3 4 3 2 4" xfId="18279"/>
    <cellStyle name="Normal 4 2 3 3 4 3 2 5" xfId="33322"/>
    <cellStyle name="Normal 4 2 3 3 4 3 3" xfId="5117"/>
    <cellStyle name="Normal 4 2 3 3 4 3 3 2" xfId="12640"/>
    <cellStyle name="Normal 4 2 3 3 4 3 3 2 2" xfId="27684"/>
    <cellStyle name="Normal 4 2 3 3 4 3 3 2 3" xfId="42727"/>
    <cellStyle name="Normal 4 2 3 3 4 3 3 3" xfId="20163"/>
    <cellStyle name="Normal 4 2 3 3 4 3 3 4" xfId="35206"/>
    <cellStyle name="Normal 4 2 3 3 4 3 4" xfId="8891"/>
    <cellStyle name="Normal 4 2 3 3 4 3 4 2" xfId="23935"/>
    <cellStyle name="Normal 4 2 3 3 4 3 4 3" xfId="38978"/>
    <cellStyle name="Normal 4 2 3 3 4 3 5" xfId="16414"/>
    <cellStyle name="Normal 4 2 3 3 4 3 6" xfId="31457"/>
    <cellStyle name="Normal 4 2 3 3 4 4" xfId="2254"/>
    <cellStyle name="Normal 4 2 3 3 4 4 2" xfId="6050"/>
    <cellStyle name="Normal 4 2 3 3 4 4 2 2" xfId="13573"/>
    <cellStyle name="Normal 4 2 3 3 4 4 2 2 2" xfId="28617"/>
    <cellStyle name="Normal 4 2 3 3 4 4 2 2 3" xfId="43660"/>
    <cellStyle name="Normal 4 2 3 3 4 4 2 3" xfId="21096"/>
    <cellStyle name="Normal 4 2 3 3 4 4 2 4" xfId="36139"/>
    <cellStyle name="Normal 4 2 3 3 4 4 3" xfId="9824"/>
    <cellStyle name="Normal 4 2 3 3 4 4 3 2" xfId="24868"/>
    <cellStyle name="Normal 4 2 3 3 4 4 3 3" xfId="39911"/>
    <cellStyle name="Normal 4 2 3 3 4 4 4" xfId="17347"/>
    <cellStyle name="Normal 4 2 3 3 4 4 5" xfId="32390"/>
    <cellStyle name="Normal 4 2 3 3 4 5" xfId="4182"/>
    <cellStyle name="Normal 4 2 3 3 4 5 2" xfId="11706"/>
    <cellStyle name="Normal 4 2 3 3 4 5 2 2" xfId="26750"/>
    <cellStyle name="Normal 4 2 3 3 4 5 2 3" xfId="41793"/>
    <cellStyle name="Normal 4 2 3 3 4 5 3" xfId="19229"/>
    <cellStyle name="Normal 4 2 3 3 4 5 4" xfId="34272"/>
    <cellStyle name="Normal 4 2 3 3 4 6" xfId="7945"/>
    <cellStyle name="Normal 4 2 3 3 4 6 2" xfId="22989"/>
    <cellStyle name="Normal 4 2 3 3 4 6 3" xfId="38032"/>
    <cellStyle name="Normal 4 2 3 3 4 7" xfId="15468"/>
    <cellStyle name="Normal 4 2 3 3 4 8" xfId="30511"/>
    <cellStyle name="Normal 4 2 3 3 5" xfId="804"/>
    <cellStyle name="Normal 4 2 3 3 5 2" xfId="1763"/>
    <cellStyle name="Normal 4 2 3 3 5 2 2" xfId="3634"/>
    <cellStyle name="Normal 4 2 3 3 5 2 2 2" xfId="7429"/>
    <cellStyle name="Normal 4 2 3 3 5 2 2 2 2" xfId="14952"/>
    <cellStyle name="Normal 4 2 3 3 5 2 2 2 2 2" xfId="29996"/>
    <cellStyle name="Normal 4 2 3 3 5 2 2 2 2 3" xfId="45039"/>
    <cellStyle name="Normal 4 2 3 3 5 2 2 2 3" xfId="22475"/>
    <cellStyle name="Normal 4 2 3 3 5 2 2 2 4" xfId="37518"/>
    <cellStyle name="Normal 4 2 3 3 5 2 2 3" xfId="11203"/>
    <cellStyle name="Normal 4 2 3 3 5 2 2 3 2" xfId="26247"/>
    <cellStyle name="Normal 4 2 3 3 5 2 2 3 3" xfId="41290"/>
    <cellStyle name="Normal 4 2 3 3 5 2 2 4" xfId="18726"/>
    <cellStyle name="Normal 4 2 3 3 5 2 2 5" xfId="33769"/>
    <cellStyle name="Normal 4 2 3 3 5 2 3" xfId="5564"/>
    <cellStyle name="Normal 4 2 3 3 5 2 3 2" xfId="13087"/>
    <cellStyle name="Normal 4 2 3 3 5 2 3 2 2" xfId="28131"/>
    <cellStyle name="Normal 4 2 3 3 5 2 3 2 3" xfId="43174"/>
    <cellStyle name="Normal 4 2 3 3 5 2 3 3" xfId="20610"/>
    <cellStyle name="Normal 4 2 3 3 5 2 3 4" xfId="35653"/>
    <cellStyle name="Normal 4 2 3 3 5 2 4" xfId="9338"/>
    <cellStyle name="Normal 4 2 3 3 5 2 4 2" xfId="24382"/>
    <cellStyle name="Normal 4 2 3 3 5 2 4 3" xfId="39425"/>
    <cellStyle name="Normal 4 2 3 3 5 2 5" xfId="16861"/>
    <cellStyle name="Normal 4 2 3 3 5 2 6" xfId="31904"/>
    <cellStyle name="Normal 4 2 3 3 5 3" xfId="2702"/>
    <cellStyle name="Normal 4 2 3 3 5 3 2" xfId="6497"/>
    <cellStyle name="Normal 4 2 3 3 5 3 2 2" xfId="14020"/>
    <cellStyle name="Normal 4 2 3 3 5 3 2 2 2" xfId="29064"/>
    <cellStyle name="Normal 4 2 3 3 5 3 2 2 3" xfId="44107"/>
    <cellStyle name="Normal 4 2 3 3 5 3 2 3" xfId="21543"/>
    <cellStyle name="Normal 4 2 3 3 5 3 2 4" xfId="36586"/>
    <cellStyle name="Normal 4 2 3 3 5 3 3" xfId="10271"/>
    <cellStyle name="Normal 4 2 3 3 5 3 3 2" xfId="25315"/>
    <cellStyle name="Normal 4 2 3 3 5 3 3 3" xfId="40358"/>
    <cellStyle name="Normal 4 2 3 3 5 3 4" xfId="17794"/>
    <cellStyle name="Normal 4 2 3 3 5 3 5" xfId="32837"/>
    <cellStyle name="Normal 4 2 3 3 5 4" xfId="4632"/>
    <cellStyle name="Normal 4 2 3 3 5 4 2" xfId="12155"/>
    <cellStyle name="Normal 4 2 3 3 5 4 2 2" xfId="27199"/>
    <cellStyle name="Normal 4 2 3 3 5 4 2 3" xfId="42242"/>
    <cellStyle name="Normal 4 2 3 3 5 4 3" xfId="19678"/>
    <cellStyle name="Normal 4 2 3 3 5 4 4" xfId="34721"/>
    <cellStyle name="Normal 4 2 3 3 5 5" xfId="8406"/>
    <cellStyle name="Normal 4 2 3 3 5 5 2" xfId="23450"/>
    <cellStyle name="Normal 4 2 3 3 5 5 3" xfId="38493"/>
    <cellStyle name="Normal 4 2 3 3 5 6" xfId="15929"/>
    <cellStyle name="Normal 4 2 3 3 5 7" xfId="30972"/>
    <cellStyle name="Normal 4 2 3 3 6" xfId="1311"/>
    <cellStyle name="Normal 4 2 3 3 6 2" xfId="3182"/>
    <cellStyle name="Normal 4 2 3 3 6 2 2" xfId="6977"/>
    <cellStyle name="Normal 4 2 3 3 6 2 2 2" xfId="14500"/>
    <cellStyle name="Normal 4 2 3 3 6 2 2 2 2" xfId="29544"/>
    <cellStyle name="Normal 4 2 3 3 6 2 2 2 3" xfId="44587"/>
    <cellStyle name="Normal 4 2 3 3 6 2 2 3" xfId="22023"/>
    <cellStyle name="Normal 4 2 3 3 6 2 2 4" xfId="37066"/>
    <cellStyle name="Normal 4 2 3 3 6 2 3" xfId="10751"/>
    <cellStyle name="Normal 4 2 3 3 6 2 3 2" xfId="25795"/>
    <cellStyle name="Normal 4 2 3 3 6 2 3 3" xfId="40838"/>
    <cellStyle name="Normal 4 2 3 3 6 2 4" xfId="18274"/>
    <cellStyle name="Normal 4 2 3 3 6 2 5" xfId="33317"/>
    <cellStyle name="Normal 4 2 3 3 6 3" xfId="5112"/>
    <cellStyle name="Normal 4 2 3 3 6 3 2" xfId="12635"/>
    <cellStyle name="Normal 4 2 3 3 6 3 2 2" xfId="27679"/>
    <cellStyle name="Normal 4 2 3 3 6 3 2 3" xfId="42722"/>
    <cellStyle name="Normal 4 2 3 3 6 3 3" xfId="20158"/>
    <cellStyle name="Normal 4 2 3 3 6 3 4" xfId="35201"/>
    <cellStyle name="Normal 4 2 3 3 6 4" xfId="8886"/>
    <cellStyle name="Normal 4 2 3 3 6 4 2" xfId="23930"/>
    <cellStyle name="Normal 4 2 3 3 6 4 3" xfId="38973"/>
    <cellStyle name="Normal 4 2 3 3 6 5" xfId="16409"/>
    <cellStyle name="Normal 4 2 3 3 6 6" xfId="31452"/>
    <cellStyle name="Normal 4 2 3 3 7" xfId="2249"/>
    <cellStyle name="Normal 4 2 3 3 7 2" xfId="6045"/>
    <cellStyle name="Normal 4 2 3 3 7 2 2" xfId="13568"/>
    <cellStyle name="Normal 4 2 3 3 7 2 2 2" xfId="28612"/>
    <cellStyle name="Normal 4 2 3 3 7 2 2 3" xfId="43655"/>
    <cellStyle name="Normal 4 2 3 3 7 2 3" xfId="21091"/>
    <cellStyle name="Normal 4 2 3 3 7 2 4" xfId="36134"/>
    <cellStyle name="Normal 4 2 3 3 7 3" xfId="9819"/>
    <cellStyle name="Normal 4 2 3 3 7 3 2" xfId="24863"/>
    <cellStyle name="Normal 4 2 3 3 7 3 3" xfId="39906"/>
    <cellStyle name="Normal 4 2 3 3 7 4" xfId="17342"/>
    <cellStyle name="Normal 4 2 3 3 7 5" xfId="32385"/>
    <cellStyle name="Normal 4 2 3 3 8" xfId="4177"/>
    <cellStyle name="Normal 4 2 3 3 8 2" xfId="11701"/>
    <cellStyle name="Normal 4 2 3 3 8 2 2" xfId="26745"/>
    <cellStyle name="Normal 4 2 3 3 8 2 3" xfId="41788"/>
    <cellStyle name="Normal 4 2 3 3 8 3" xfId="19224"/>
    <cellStyle name="Normal 4 2 3 3 8 4" xfId="34267"/>
    <cellStyle name="Normal 4 2 3 3 9" xfId="7940"/>
    <cellStyle name="Normal 4 2 3 3 9 2" xfId="22984"/>
    <cellStyle name="Normal 4 2 3 3 9 3" xfId="38027"/>
    <cellStyle name="Normal 4 2 3 4" xfId="286"/>
    <cellStyle name="Normal 4 2 3 4 2" xfId="287"/>
    <cellStyle name="Normal 4 2 3 4 2 2" xfId="811"/>
    <cellStyle name="Normal 4 2 3 4 2 2 2" xfId="1770"/>
    <cellStyle name="Normal 4 2 3 4 2 2 2 2" xfId="3641"/>
    <cellStyle name="Normal 4 2 3 4 2 2 2 2 2" xfId="7436"/>
    <cellStyle name="Normal 4 2 3 4 2 2 2 2 2 2" xfId="14959"/>
    <cellStyle name="Normal 4 2 3 4 2 2 2 2 2 2 2" xfId="30003"/>
    <cellStyle name="Normal 4 2 3 4 2 2 2 2 2 2 3" xfId="45046"/>
    <cellStyle name="Normal 4 2 3 4 2 2 2 2 2 3" xfId="22482"/>
    <cellStyle name="Normal 4 2 3 4 2 2 2 2 2 4" xfId="37525"/>
    <cellStyle name="Normal 4 2 3 4 2 2 2 2 3" xfId="11210"/>
    <cellStyle name="Normal 4 2 3 4 2 2 2 2 3 2" xfId="26254"/>
    <cellStyle name="Normal 4 2 3 4 2 2 2 2 3 3" xfId="41297"/>
    <cellStyle name="Normal 4 2 3 4 2 2 2 2 4" xfId="18733"/>
    <cellStyle name="Normal 4 2 3 4 2 2 2 2 5" xfId="33776"/>
    <cellStyle name="Normal 4 2 3 4 2 2 2 3" xfId="5571"/>
    <cellStyle name="Normal 4 2 3 4 2 2 2 3 2" xfId="13094"/>
    <cellStyle name="Normal 4 2 3 4 2 2 2 3 2 2" xfId="28138"/>
    <cellStyle name="Normal 4 2 3 4 2 2 2 3 2 3" xfId="43181"/>
    <cellStyle name="Normal 4 2 3 4 2 2 2 3 3" xfId="20617"/>
    <cellStyle name="Normal 4 2 3 4 2 2 2 3 4" xfId="35660"/>
    <cellStyle name="Normal 4 2 3 4 2 2 2 4" xfId="9345"/>
    <cellStyle name="Normal 4 2 3 4 2 2 2 4 2" xfId="24389"/>
    <cellStyle name="Normal 4 2 3 4 2 2 2 4 3" xfId="39432"/>
    <cellStyle name="Normal 4 2 3 4 2 2 2 5" xfId="16868"/>
    <cellStyle name="Normal 4 2 3 4 2 2 2 6" xfId="31911"/>
    <cellStyle name="Normal 4 2 3 4 2 2 3" xfId="2709"/>
    <cellStyle name="Normal 4 2 3 4 2 2 3 2" xfId="6504"/>
    <cellStyle name="Normal 4 2 3 4 2 2 3 2 2" xfId="14027"/>
    <cellStyle name="Normal 4 2 3 4 2 2 3 2 2 2" xfId="29071"/>
    <cellStyle name="Normal 4 2 3 4 2 2 3 2 2 3" xfId="44114"/>
    <cellStyle name="Normal 4 2 3 4 2 2 3 2 3" xfId="21550"/>
    <cellStyle name="Normal 4 2 3 4 2 2 3 2 4" xfId="36593"/>
    <cellStyle name="Normal 4 2 3 4 2 2 3 3" xfId="10278"/>
    <cellStyle name="Normal 4 2 3 4 2 2 3 3 2" xfId="25322"/>
    <cellStyle name="Normal 4 2 3 4 2 2 3 3 3" xfId="40365"/>
    <cellStyle name="Normal 4 2 3 4 2 2 3 4" xfId="17801"/>
    <cellStyle name="Normal 4 2 3 4 2 2 3 5" xfId="32844"/>
    <cellStyle name="Normal 4 2 3 4 2 2 4" xfId="4639"/>
    <cellStyle name="Normal 4 2 3 4 2 2 4 2" xfId="12162"/>
    <cellStyle name="Normal 4 2 3 4 2 2 4 2 2" xfId="27206"/>
    <cellStyle name="Normal 4 2 3 4 2 2 4 2 3" xfId="42249"/>
    <cellStyle name="Normal 4 2 3 4 2 2 4 3" xfId="19685"/>
    <cellStyle name="Normal 4 2 3 4 2 2 4 4" xfId="34728"/>
    <cellStyle name="Normal 4 2 3 4 2 2 5" xfId="8413"/>
    <cellStyle name="Normal 4 2 3 4 2 2 5 2" xfId="23457"/>
    <cellStyle name="Normal 4 2 3 4 2 2 5 3" xfId="38500"/>
    <cellStyle name="Normal 4 2 3 4 2 2 6" xfId="15936"/>
    <cellStyle name="Normal 4 2 3 4 2 2 7" xfId="30979"/>
    <cellStyle name="Normal 4 2 3 4 2 3" xfId="1318"/>
    <cellStyle name="Normal 4 2 3 4 2 3 2" xfId="3189"/>
    <cellStyle name="Normal 4 2 3 4 2 3 2 2" xfId="6984"/>
    <cellStyle name="Normal 4 2 3 4 2 3 2 2 2" xfId="14507"/>
    <cellStyle name="Normal 4 2 3 4 2 3 2 2 2 2" xfId="29551"/>
    <cellStyle name="Normal 4 2 3 4 2 3 2 2 2 3" xfId="44594"/>
    <cellStyle name="Normal 4 2 3 4 2 3 2 2 3" xfId="22030"/>
    <cellStyle name="Normal 4 2 3 4 2 3 2 2 4" xfId="37073"/>
    <cellStyle name="Normal 4 2 3 4 2 3 2 3" xfId="10758"/>
    <cellStyle name="Normal 4 2 3 4 2 3 2 3 2" xfId="25802"/>
    <cellStyle name="Normal 4 2 3 4 2 3 2 3 3" xfId="40845"/>
    <cellStyle name="Normal 4 2 3 4 2 3 2 4" xfId="18281"/>
    <cellStyle name="Normal 4 2 3 4 2 3 2 5" xfId="33324"/>
    <cellStyle name="Normal 4 2 3 4 2 3 3" xfId="5119"/>
    <cellStyle name="Normal 4 2 3 4 2 3 3 2" xfId="12642"/>
    <cellStyle name="Normal 4 2 3 4 2 3 3 2 2" xfId="27686"/>
    <cellStyle name="Normal 4 2 3 4 2 3 3 2 3" xfId="42729"/>
    <cellStyle name="Normal 4 2 3 4 2 3 3 3" xfId="20165"/>
    <cellStyle name="Normal 4 2 3 4 2 3 3 4" xfId="35208"/>
    <cellStyle name="Normal 4 2 3 4 2 3 4" xfId="8893"/>
    <cellStyle name="Normal 4 2 3 4 2 3 4 2" xfId="23937"/>
    <cellStyle name="Normal 4 2 3 4 2 3 4 3" xfId="38980"/>
    <cellStyle name="Normal 4 2 3 4 2 3 5" xfId="16416"/>
    <cellStyle name="Normal 4 2 3 4 2 3 6" xfId="31459"/>
    <cellStyle name="Normal 4 2 3 4 2 4" xfId="2256"/>
    <cellStyle name="Normal 4 2 3 4 2 4 2" xfId="6052"/>
    <cellStyle name="Normal 4 2 3 4 2 4 2 2" xfId="13575"/>
    <cellStyle name="Normal 4 2 3 4 2 4 2 2 2" xfId="28619"/>
    <cellStyle name="Normal 4 2 3 4 2 4 2 2 3" xfId="43662"/>
    <cellStyle name="Normal 4 2 3 4 2 4 2 3" xfId="21098"/>
    <cellStyle name="Normal 4 2 3 4 2 4 2 4" xfId="36141"/>
    <cellStyle name="Normal 4 2 3 4 2 4 3" xfId="9826"/>
    <cellStyle name="Normal 4 2 3 4 2 4 3 2" xfId="24870"/>
    <cellStyle name="Normal 4 2 3 4 2 4 3 3" xfId="39913"/>
    <cellStyle name="Normal 4 2 3 4 2 4 4" xfId="17349"/>
    <cellStyle name="Normal 4 2 3 4 2 4 5" xfId="32392"/>
    <cellStyle name="Normal 4 2 3 4 2 5" xfId="4184"/>
    <cellStyle name="Normal 4 2 3 4 2 5 2" xfId="11708"/>
    <cellStyle name="Normal 4 2 3 4 2 5 2 2" xfId="26752"/>
    <cellStyle name="Normal 4 2 3 4 2 5 2 3" xfId="41795"/>
    <cellStyle name="Normal 4 2 3 4 2 5 3" xfId="19231"/>
    <cellStyle name="Normal 4 2 3 4 2 5 4" xfId="34274"/>
    <cellStyle name="Normal 4 2 3 4 2 6" xfId="7947"/>
    <cellStyle name="Normal 4 2 3 4 2 6 2" xfId="22991"/>
    <cellStyle name="Normal 4 2 3 4 2 6 3" xfId="38034"/>
    <cellStyle name="Normal 4 2 3 4 2 7" xfId="15470"/>
    <cellStyle name="Normal 4 2 3 4 2 8" xfId="30513"/>
    <cellStyle name="Normal 4 2 3 4 3" xfId="810"/>
    <cellStyle name="Normal 4 2 3 4 3 2" xfId="1769"/>
    <cellStyle name="Normal 4 2 3 4 3 2 2" xfId="3640"/>
    <cellStyle name="Normal 4 2 3 4 3 2 2 2" xfId="7435"/>
    <cellStyle name="Normal 4 2 3 4 3 2 2 2 2" xfId="14958"/>
    <cellStyle name="Normal 4 2 3 4 3 2 2 2 2 2" xfId="30002"/>
    <cellStyle name="Normal 4 2 3 4 3 2 2 2 2 3" xfId="45045"/>
    <cellStyle name="Normal 4 2 3 4 3 2 2 2 3" xfId="22481"/>
    <cellStyle name="Normal 4 2 3 4 3 2 2 2 4" xfId="37524"/>
    <cellStyle name="Normal 4 2 3 4 3 2 2 3" xfId="11209"/>
    <cellStyle name="Normal 4 2 3 4 3 2 2 3 2" xfId="26253"/>
    <cellStyle name="Normal 4 2 3 4 3 2 2 3 3" xfId="41296"/>
    <cellStyle name="Normal 4 2 3 4 3 2 2 4" xfId="18732"/>
    <cellStyle name="Normal 4 2 3 4 3 2 2 5" xfId="33775"/>
    <cellStyle name="Normal 4 2 3 4 3 2 3" xfId="5570"/>
    <cellStyle name="Normal 4 2 3 4 3 2 3 2" xfId="13093"/>
    <cellStyle name="Normal 4 2 3 4 3 2 3 2 2" xfId="28137"/>
    <cellStyle name="Normal 4 2 3 4 3 2 3 2 3" xfId="43180"/>
    <cellStyle name="Normal 4 2 3 4 3 2 3 3" xfId="20616"/>
    <cellStyle name="Normal 4 2 3 4 3 2 3 4" xfId="35659"/>
    <cellStyle name="Normal 4 2 3 4 3 2 4" xfId="9344"/>
    <cellStyle name="Normal 4 2 3 4 3 2 4 2" xfId="24388"/>
    <cellStyle name="Normal 4 2 3 4 3 2 4 3" xfId="39431"/>
    <cellStyle name="Normal 4 2 3 4 3 2 5" xfId="16867"/>
    <cellStyle name="Normal 4 2 3 4 3 2 6" xfId="31910"/>
    <cellStyle name="Normal 4 2 3 4 3 3" xfId="2708"/>
    <cellStyle name="Normal 4 2 3 4 3 3 2" xfId="6503"/>
    <cellStyle name="Normal 4 2 3 4 3 3 2 2" xfId="14026"/>
    <cellStyle name="Normal 4 2 3 4 3 3 2 2 2" xfId="29070"/>
    <cellStyle name="Normal 4 2 3 4 3 3 2 2 3" xfId="44113"/>
    <cellStyle name="Normal 4 2 3 4 3 3 2 3" xfId="21549"/>
    <cellStyle name="Normal 4 2 3 4 3 3 2 4" xfId="36592"/>
    <cellStyle name="Normal 4 2 3 4 3 3 3" xfId="10277"/>
    <cellStyle name="Normal 4 2 3 4 3 3 3 2" xfId="25321"/>
    <cellStyle name="Normal 4 2 3 4 3 3 3 3" xfId="40364"/>
    <cellStyle name="Normal 4 2 3 4 3 3 4" xfId="17800"/>
    <cellStyle name="Normal 4 2 3 4 3 3 5" xfId="32843"/>
    <cellStyle name="Normal 4 2 3 4 3 4" xfId="4638"/>
    <cellStyle name="Normal 4 2 3 4 3 4 2" xfId="12161"/>
    <cellStyle name="Normal 4 2 3 4 3 4 2 2" xfId="27205"/>
    <cellStyle name="Normal 4 2 3 4 3 4 2 3" xfId="42248"/>
    <cellStyle name="Normal 4 2 3 4 3 4 3" xfId="19684"/>
    <cellStyle name="Normal 4 2 3 4 3 4 4" xfId="34727"/>
    <cellStyle name="Normal 4 2 3 4 3 5" xfId="8412"/>
    <cellStyle name="Normal 4 2 3 4 3 5 2" xfId="23456"/>
    <cellStyle name="Normal 4 2 3 4 3 5 3" xfId="38499"/>
    <cellStyle name="Normal 4 2 3 4 3 6" xfId="15935"/>
    <cellStyle name="Normal 4 2 3 4 3 7" xfId="30978"/>
    <cellStyle name="Normal 4 2 3 4 4" xfId="1317"/>
    <cellStyle name="Normal 4 2 3 4 4 2" xfId="3188"/>
    <cellStyle name="Normal 4 2 3 4 4 2 2" xfId="6983"/>
    <cellStyle name="Normal 4 2 3 4 4 2 2 2" xfId="14506"/>
    <cellStyle name="Normal 4 2 3 4 4 2 2 2 2" xfId="29550"/>
    <cellStyle name="Normal 4 2 3 4 4 2 2 2 3" xfId="44593"/>
    <cellStyle name="Normal 4 2 3 4 4 2 2 3" xfId="22029"/>
    <cellStyle name="Normal 4 2 3 4 4 2 2 4" xfId="37072"/>
    <cellStyle name="Normal 4 2 3 4 4 2 3" xfId="10757"/>
    <cellStyle name="Normal 4 2 3 4 4 2 3 2" xfId="25801"/>
    <cellStyle name="Normal 4 2 3 4 4 2 3 3" xfId="40844"/>
    <cellStyle name="Normal 4 2 3 4 4 2 4" xfId="18280"/>
    <cellStyle name="Normal 4 2 3 4 4 2 5" xfId="33323"/>
    <cellStyle name="Normal 4 2 3 4 4 3" xfId="5118"/>
    <cellStyle name="Normal 4 2 3 4 4 3 2" xfId="12641"/>
    <cellStyle name="Normal 4 2 3 4 4 3 2 2" xfId="27685"/>
    <cellStyle name="Normal 4 2 3 4 4 3 2 3" xfId="42728"/>
    <cellStyle name="Normal 4 2 3 4 4 3 3" xfId="20164"/>
    <cellStyle name="Normal 4 2 3 4 4 3 4" xfId="35207"/>
    <cellStyle name="Normal 4 2 3 4 4 4" xfId="8892"/>
    <cellStyle name="Normal 4 2 3 4 4 4 2" xfId="23936"/>
    <cellStyle name="Normal 4 2 3 4 4 4 3" xfId="38979"/>
    <cellStyle name="Normal 4 2 3 4 4 5" xfId="16415"/>
    <cellStyle name="Normal 4 2 3 4 4 6" xfId="31458"/>
    <cellStyle name="Normal 4 2 3 4 5" xfId="2255"/>
    <cellStyle name="Normal 4 2 3 4 5 2" xfId="6051"/>
    <cellStyle name="Normal 4 2 3 4 5 2 2" xfId="13574"/>
    <cellStyle name="Normal 4 2 3 4 5 2 2 2" xfId="28618"/>
    <cellStyle name="Normal 4 2 3 4 5 2 2 3" xfId="43661"/>
    <cellStyle name="Normal 4 2 3 4 5 2 3" xfId="21097"/>
    <cellStyle name="Normal 4 2 3 4 5 2 4" xfId="36140"/>
    <cellStyle name="Normal 4 2 3 4 5 3" xfId="9825"/>
    <cellStyle name="Normal 4 2 3 4 5 3 2" xfId="24869"/>
    <cellStyle name="Normal 4 2 3 4 5 3 3" xfId="39912"/>
    <cellStyle name="Normal 4 2 3 4 5 4" xfId="17348"/>
    <cellStyle name="Normal 4 2 3 4 5 5" xfId="32391"/>
    <cellStyle name="Normal 4 2 3 4 6" xfId="4183"/>
    <cellStyle name="Normal 4 2 3 4 6 2" xfId="11707"/>
    <cellStyle name="Normal 4 2 3 4 6 2 2" xfId="26751"/>
    <cellStyle name="Normal 4 2 3 4 6 2 3" xfId="41794"/>
    <cellStyle name="Normal 4 2 3 4 6 3" xfId="19230"/>
    <cellStyle name="Normal 4 2 3 4 6 4" xfId="34273"/>
    <cellStyle name="Normal 4 2 3 4 7" xfId="7946"/>
    <cellStyle name="Normal 4 2 3 4 7 2" xfId="22990"/>
    <cellStyle name="Normal 4 2 3 4 7 3" xfId="38033"/>
    <cellStyle name="Normal 4 2 3 4 8" xfId="15469"/>
    <cellStyle name="Normal 4 2 3 4 9" xfId="30512"/>
    <cellStyle name="Normal 4 2 3 5" xfId="288"/>
    <cellStyle name="Normal 4 2 3 5 2" xfId="289"/>
    <cellStyle name="Normal 4 2 3 5 2 2" xfId="813"/>
    <cellStyle name="Normal 4 2 3 5 2 2 2" xfId="1772"/>
    <cellStyle name="Normal 4 2 3 5 2 2 2 2" xfId="3643"/>
    <cellStyle name="Normal 4 2 3 5 2 2 2 2 2" xfId="7438"/>
    <cellStyle name="Normal 4 2 3 5 2 2 2 2 2 2" xfId="14961"/>
    <cellStyle name="Normal 4 2 3 5 2 2 2 2 2 2 2" xfId="30005"/>
    <cellStyle name="Normal 4 2 3 5 2 2 2 2 2 2 3" xfId="45048"/>
    <cellStyle name="Normal 4 2 3 5 2 2 2 2 2 3" xfId="22484"/>
    <cellStyle name="Normal 4 2 3 5 2 2 2 2 2 4" xfId="37527"/>
    <cellStyle name="Normal 4 2 3 5 2 2 2 2 3" xfId="11212"/>
    <cellStyle name="Normal 4 2 3 5 2 2 2 2 3 2" xfId="26256"/>
    <cellStyle name="Normal 4 2 3 5 2 2 2 2 3 3" xfId="41299"/>
    <cellStyle name="Normal 4 2 3 5 2 2 2 2 4" xfId="18735"/>
    <cellStyle name="Normal 4 2 3 5 2 2 2 2 5" xfId="33778"/>
    <cellStyle name="Normal 4 2 3 5 2 2 2 3" xfId="5573"/>
    <cellStyle name="Normal 4 2 3 5 2 2 2 3 2" xfId="13096"/>
    <cellStyle name="Normal 4 2 3 5 2 2 2 3 2 2" xfId="28140"/>
    <cellStyle name="Normal 4 2 3 5 2 2 2 3 2 3" xfId="43183"/>
    <cellStyle name="Normal 4 2 3 5 2 2 2 3 3" xfId="20619"/>
    <cellStyle name="Normal 4 2 3 5 2 2 2 3 4" xfId="35662"/>
    <cellStyle name="Normal 4 2 3 5 2 2 2 4" xfId="9347"/>
    <cellStyle name="Normal 4 2 3 5 2 2 2 4 2" xfId="24391"/>
    <cellStyle name="Normal 4 2 3 5 2 2 2 4 3" xfId="39434"/>
    <cellStyle name="Normal 4 2 3 5 2 2 2 5" xfId="16870"/>
    <cellStyle name="Normal 4 2 3 5 2 2 2 6" xfId="31913"/>
    <cellStyle name="Normal 4 2 3 5 2 2 3" xfId="2711"/>
    <cellStyle name="Normal 4 2 3 5 2 2 3 2" xfId="6506"/>
    <cellStyle name="Normal 4 2 3 5 2 2 3 2 2" xfId="14029"/>
    <cellStyle name="Normal 4 2 3 5 2 2 3 2 2 2" xfId="29073"/>
    <cellStyle name="Normal 4 2 3 5 2 2 3 2 2 3" xfId="44116"/>
    <cellStyle name="Normal 4 2 3 5 2 2 3 2 3" xfId="21552"/>
    <cellStyle name="Normal 4 2 3 5 2 2 3 2 4" xfId="36595"/>
    <cellStyle name="Normal 4 2 3 5 2 2 3 3" xfId="10280"/>
    <cellStyle name="Normal 4 2 3 5 2 2 3 3 2" xfId="25324"/>
    <cellStyle name="Normal 4 2 3 5 2 2 3 3 3" xfId="40367"/>
    <cellStyle name="Normal 4 2 3 5 2 2 3 4" xfId="17803"/>
    <cellStyle name="Normal 4 2 3 5 2 2 3 5" xfId="32846"/>
    <cellStyle name="Normal 4 2 3 5 2 2 4" xfId="4641"/>
    <cellStyle name="Normal 4 2 3 5 2 2 4 2" xfId="12164"/>
    <cellStyle name="Normal 4 2 3 5 2 2 4 2 2" xfId="27208"/>
    <cellStyle name="Normal 4 2 3 5 2 2 4 2 3" xfId="42251"/>
    <cellStyle name="Normal 4 2 3 5 2 2 4 3" xfId="19687"/>
    <cellStyle name="Normal 4 2 3 5 2 2 4 4" xfId="34730"/>
    <cellStyle name="Normal 4 2 3 5 2 2 5" xfId="8415"/>
    <cellStyle name="Normal 4 2 3 5 2 2 5 2" xfId="23459"/>
    <cellStyle name="Normal 4 2 3 5 2 2 5 3" xfId="38502"/>
    <cellStyle name="Normal 4 2 3 5 2 2 6" xfId="15938"/>
    <cellStyle name="Normal 4 2 3 5 2 2 7" xfId="30981"/>
    <cellStyle name="Normal 4 2 3 5 2 3" xfId="1320"/>
    <cellStyle name="Normal 4 2 3 5 2 3 2" xfId="3191"/>
    <cellStyle name="Normal 4 2 3 5 2 3 2 2" xfId="6986"/>
    <cellStyle name="Normal 4 2 3 5 2 3 2 2 2" xfId="14509"/>
    <cellStyle name="Normal 4 2 3 5 2 3 2 2 2 2" xfId="29553"/>
    <cellStyle name="Normal 4 2 3 5 2 3 2 2 2 3" xfId="44596"/>
    <cellStyle name="Normal 4 2 3 5 2 3 2 2 3" xfId="22032"/>
    <cellStyle name="Normal 4 2 3 5 2 3 2 2 4" xfId="37075"/>
    <cellStyle name="Normal 4 2 3 5 2 3 2 3" xfId="10760"/>
    <cellStyle name="Normal 4 2 3 5 2 3 2 3 2" xfId="25804"/>
    <cellStyle name="Normal 4 2 3 5 2 3 2 3 3" xfId="40847"/>
    <cellStyle name="Normal 4 2 3 5 2 3 2 4" xfId="18283"/>
    <cellStyle name="Normal 4 2 3 5 2 3 2 5" xfId="33326"/>
    <cellStyle name="Normal 4 2 3 5 2 3 3" xfId="5121"/>
    <cellStyle name="Normal 4 2 3 5 2 3 3 2" xfId="12644"/>
    <cellStyle name="Normal 4 2 3 5 2 3 3 2 2" xfId="27688"/>
    <cellStyle name="Normal 4 2 3 5 2 3 3 2 3" xfId="42731"/>
    <cellStyle name="Normal 4 2 3 5 2 3 3 3" xfId="20167"/>
    <cellStyle name="Normal 4 2 3 5 2 3 3 4" xfId="35210"/>
    <cellStyle name="Normal 4 2 3 5 2 3 4" xfId="8895"/>
    <cellStyle name="Normal 4 2 3 5 2 3 4 2" xfId="23939"/>
    <cellStyle name="Normal 4 2 3 5 2 3 4 3" xfId="38982"/>
    <cellStyle name="Normal 4 2 3 5 2 3 5" xfId="16418"/>
    <cellStyle name="Normal 4 2 3 5 2 3 6" xfId="31461"/>
    <cellStyle name="Normal 4 2 3 5 2 4" xfId="2258"/>
    <cellStyle name="Normal 4 2 3 5 2 4 2" xfId="6054"/>
    <cellStyle name="Normal 4 2 3 5 2 4 2 2" xfId="13577"/>
    <cellStyle name="Normal 4 2 3 5 2 4 2 2 2" xfId="28621"/>
    <cellStyle name="Normal 4 2 3 5 2 4 2 2 3" xfId="43664"/>
    <cellStyle name="Normal 4 2 3 5 2 4 2 3" xfId="21100"/>
    <cellStyle name="Normal 4 2 3 5 2 4 2 4" xfId="36143"/>
    <cellStyle name="Normal 4 2 3 5 2 4 3" xfId="9828"/>
    <cellStyle name="Normal 4 2 3 5 2 4 3 2" xfId="24872"/>
    <cellStyle name="Normal 4 2 3 5 2 4 3 3" xfId="39915"/>
    <cellStyle name="Normal 4 2 3 5 2 4 4" xfId="17351"/>
    <cellStyle name="Normal 4 2 3 5 2 4 5" xfId="32394"/>
    <cellStyle name="Normal 4 2 3 5 2 5" xfId="4186"/>
    <cellStyle name="Normal 4 2 3 5 2 5 2" xfId="11710"/>
    <cellStyle name="Normal 4 2 3 5 2 5 2 2" xfId="26754"/>
    <cellStyle name="Normal 4 2 3 5 2 5 2 3" xfId="41797"/>
    <cellStyle name="Normal 4 2 3 5 2 5 3" xfId="19233"/>
    <cellStyle name="Normal 4 2 3 5 2 5 4" xfId="34276"/>
    <cellStyle name="Normal 4 2 3 5 2 6" xfId="7949"/>
    <cellStyle name="Normal 4 2 3 5 2 6 2" xfId="22993"/>
    <cellStyle name="Normal 4 2 3 5 2 6 3" xfId="38036"/>
    <cellStyle name="Normal 4 2 3 5 2 7" xfId="15472"/>
    <cellStyle name="Normal 4 2 3 5 2 8" xfId="30515"/>
    <cellStyle name="Normal 4 2 3 5 3" xfId="812"/>
    <cellStyle name="Normal 4 2 3 5 3 2" xfId="1771"/>
    <cellStyle name="Normal 4 2 3 5 3 2 2" xfId="3642"/>
    <cellStyle name="Normal 4 2 3 5 3 2 2 2" xfId="7437"/>
    <cellStyle name="Normal 4 2 3 5 3 2 2 2 2" xfId="14960"/>
    <cellStyle name="Normal 4 2 3 5 3 2 2 2 2 2" xfId="30004"/>
    <cellStyle name="Normal 4 2 3 5 3 2 2 2 2 3" xfId="45047"/>
    <cellStyle name="Normal 4 2 3 5 3 2 2 2 3" xfId="22483"/>
    <cellStyle name="Normal 4 2 3 5 3 2 2 2 4" xfId="37526"/>
    <cellStyle name="Normal 4 2 3 5 3 2 2 3" xfId="11211"/>
    <cellStyle name="Normal 4 2 3 5 3 2 2 3 2" xfId="26255"/>
    <cellStyle name="Normal 4 2 3 5 3 2 2 3 3" xfId="41298"/>
    <cellStyle name="Normal 4 2 3 5 3 2 2 4" xfId="18734"/>
    <cellStyle name="Normal 4 2 3 5 3 2 2 5" xfId="33777"/>
    <cellStyle name="Normal 4 2 3 5 3 2 3" xfId="5572"/>
    <cellStyle name="Normal 4 2 3 5 3 2 3 2" xfId="13095"/>
    <cellStyle name="Normal 4 2 3 5 3 2 3 2 2" xfId="28139"/>
    <cellStyle name="Normal 4 2 3 5 3 2 3 2 3" xfId="43182"/>
    <cellStyle name="Normal 4 2 3 5 3 2 3 3" xfId="20618"/>
    <cellStyle name="Normal 4 2 3 5 3 2 3 4" xfId="35661"/>
    <cellStyle name="Normal 4 2 3 5 3 2 4" xfId="9346"/>
    <cellStyle name="Normal 4 2 3 5 3 2 4 2" xfId="24390"/>
    <cellStyle name="Normal 4 2 3 5 3 2 4 3" xfId="39433"/>
    <cellStyle name="Normal 4 2 3 5 3 2 5" xfId="16869"/>
    <cellStyle name="Normal 4 2 3 5 3 2 6" xfId="31912"/>
    <cellStyle name="Normal 4 2 3 5 3 3" xfId="2710"/>
    <cellStyle name="Normal 4 2 3 5 3 3 2" xfId="6505"/>
    <cellStyle name="Normal 4 2 3 5 3 3 2 2" xfId="14028"/>
    <cellStyle name="Normal 4 2 3 5 3 3 2 2 2" xfId="29072"/>
    <cellStyle name="Normal 4 2 3 5 3 3 2 2 3" xfId="44115"/>
    <cellStyle name="Normal 4 2 3 5 3 3 2 3" xfId="21551"/>
    <cellStyle name="Normal 4 2 3 5 3 3 2 4" xfId="36594"/>
    <cellStyle name="Normal 4 2 3 5 3 3 3" xfId="10279"/>
    <cellStyle name="Normal 4 2 3 5 3 3 3 2" xfId="25323"/>
    <cellStyle name="Normal 4 2 3 5 3 3 3 3" xfId="40366"/>
    <cellStyle name="Normal 4 2 3 5 3 3 4" xfId="17802"/>
    <cellStyle name="Normal 4 2 3 5 3 3 5" xfId="32845"/>
    <cellStyle name="Normal 4 2 3 5 3 4" xfId="4640"/>
    <cellStyle name="Normal 4 2 3 5 3 4 2" xfId="12163"/>
    <cellStyle name="Normal 4 2 3 5 3 4 2 2" xfId="27207"/>
    <cellStyle name="Normal 4 2 3 5 3 4 2 3" xfId="42250"/>
    <cellStyle name="Normal 4 2 3 5 3 4 3" xfId="19686"/>
    <cellStyle name="Normal 4 2 3 5 3 4 4" xfId="34729"/>
    <cellStyle name="Normal 4 2 3 5 3 5" xfId="8414"/>
    <cellStyle name="Normal 4 2 3 5 3 5 2" xfId="23458"/>
    <cellStyle name="Normal 4 2 3 5 3 5 3" xfId="38501"/>
    <cellStyle name="Normal 4 2 3 5 3 6" xfId="15937"/>
    <cellStyle name="Normal 4 2 3 5 3 7" xfId="30980"/>
    <cellStyle name="Normal 4 2 3 5 4" xfId="1319"/>
    <cellStyle name="Normal 4 2 3 5 4 2" xfId="3190"/>
    <cellStyle name="Normal 4 2 3 5 4 2 2" xfId="6985"/>
    <cellStyle name="Normal 4 2 3 5 4 2 2 2" xfId="14508"/>
    <cellStyle name="Normal 4 2 3 5 4 2 2 2 2" xfId="29552"/>
    <cellStyle name="Normal 4 2 3 5 4 2 2 2 3" xfId="44595"/>
    <cellStyle name="Normal 4 2 3 5 4 2 2 3" xfId="22031"/>
    <cellStyle name="Normal 4 2 3 5 4 2 2 4" xfId="37074"/>
    <cellStyle name="Normal 4 2 3 5 4 2 3" xfId="10759"/>
    <cellStyle name="Normal 4 2 3 5 4 2 3 2" xfId="25803"/>
    <cellStyle name="Normal 4 2 3 5 4 2 3 3" xfId="40846"/>
    <cellStyle name="Normal 4 2 3 5 4 2 4" xfId="18282"/>
    <cellStyle name="Normal 4 2 3 5 4 2 5" xfId="33325"/>
    <cellStyle name="Normal 4 2 3 5 4 3" xfId="5120"/>
    <cellStyle name="Normal 4 2 3 5 4 3 2" xfId="12643"/>
    <cellStyle name="Normal 4 2 3 5 4 3 2 2" xfId="27687"/>
    <cellStyle name="Normal 4 2 3 5 4 3 2 3" xfId="42730"/>
    <cellStyle name="Normal 4 2 3 5 4 3 3" xfId="20166"/>
    <cellStyle name="Normal 4 2 3 5 4 3 4" xfId="35209"/>
    <cellStyle name="Normal 4 2 3 5 4 4" xfId="8894"/>
    <cellStyle name="Normal 4 2 3 5 4 4 2" xfId="23938"/>
    <cellStyle name="Normal 4 2 3 5 4 4 3" xfId="38981"/>
    <cellStyle name="Normal 4 2 3 5 4 5" xfId="16417"/>
    <cellStyle name="Normal 4 2 3 5 4 6" xfId="31460"/>
    <cellStyle name="Normal 4 2 3 5 5" xfId="2257"/>
    <cellStyle name="Normal 4 2 3 5 5 2" xfId="6053"/>
    <cellStyle name="Normal 4 2 3 5 5 2 2" xfId="13576"/>
    <cellStyle name="Normal 4 2 3 5 5 2 2 2" xfId="28620"/>
    <cellStyle name="Normal 4 2 3 5 5 2 2 3" xfId="43663"/>
    <cellStyle name="Normal 4 2 3 5 5 2 3" xfId="21099"/>
    <cellStyle name="Normal 4 2 3 5 5 2 4" xfId="36142"/>
    <cellStyle name="Normal 4 2 3 5 5 3" xfId="9827"/>
    <cellStyle name="Normal 4 2 3 5 5 3 2" xfId="24871"/>
    <cellStyle name="Normal 4 2 3 5 5 3 3" xfId="39914"/>
    <cellStyle name="Normal 4 2 3 5 5 4" xfId="17350"/>
    <cellStyle name="Normal 4 2 3 5 5 5" xfId="32393"/>
    <cellStyle name="Normal 4 2 3 5 6" xfId="4185"/>
    <cellStyle name="Normal 4 2 3 5 6 2" xfId="11709"/>
    <cellStyle name="Normal 4 2 3 5 6 2 2" xfId="26753"/>
    <cellStyle name="Normal 4 2 3 5 6 2 3" xfId="41796"/>
    <cellStyle name="Normal 4 2 3 5 6 3" xfId="19232"/>
    <cellStyle name="Normal 4 2 3 5 6 4" xfId="34275"/>
    <cellStyle name="Normal 4 2 3 5 7" xfId="7948"/>
    <cellStyle name="Normal 4 2 3 5 7 2" xfId="22992"/>
    <cellStyle name="Normal 4 2 3 5 7 3" xfId="38035"/>
    <cellStyle name="Normal 4 2 3 5 8" xfId="15471"/>
    <cellStyle name="Normal 4 2 3 5 9" xfId="30514"/>
    <cellStyle name="Normal 4 2 3 6" xfId="290"/>
    <cellStyle name="Normal 4 2 3 6 2" xfId="814"/>
    <cellStyle name="Normal 4 2 3 6 2 2" xfId="1773"/>
    <cellStyle name="Normal 4 2 3 6 2 2 2" xfId="3644"/>
    <cellStyle name="Normal 4 2 3 6 2 2 2 2" xfId="7439"/>
    <cellStyle name="Normal 4 2 3 6 2 2 2 2 2" xfId="14962"/>
    <cellStyle name="Normal 4 2 3 6 2 2 2 2 2 2" xfId="30006"/>
    <cellStyle name="Normal 4 2 3 6 2 2 2 2 2 3" xfId="45049"/>
    <cellStyle name="Normal 4 2 3 6 2 2 2 2 3" xfId="22485"/>
    <cellStyle name="Normal 4 2 3 6 2 2 2 2 4" xfId="37528"/>
    <cellStyle name="Normal 4 2 3 6 2 2 2 3" xfId="11213"/>
    <cellStyle name="Normal 4 2 3 6 2 2 2 3 2" xfId="26257"/>
    <cellStyle name="Normal 4 2 3 6 2 2 2 3 3" xfId="41300"/>
    <cellStyle name="Normal 4 2 3 6 2 2 2 4" xfId="18736"/>
    <cellStyle name="Normal 4 2 3 6 2 2 2 5" xfId="33779"/>
    <cellStyle name="Normal 4 2 3 6 2 2 3" xfId="5574"/>
    <cellStyle name="Normal 4 2 3 6 2 2 3 2" xfId="13097"/>
    <cellStyle name="Normal 4 2 3 6 2 2 3 2 2" xfId="28141"/>
    <cellStyle name="Normal 4 2 3 6 2 2 3 2 3" xfId="43184"/>
    <cellStyle name="Normal 4 2 3 6 2 2 3 3" xfId="20620"/>
    <cellStyle name="Normal 4 2 3 6 2 2 3 4" xfId="35663"/>
    <cellStyle name="Normal 4 2 3 6 2 2 4" xfId="9348"/>
    <cellStyle name="Normal 4 2 3 6 2 2 4 2" xfId="24392"/>
    <cellStyle name="Normal 4 2 3 6 2 2 4 3" xfId="39435"/>
    <cellStyle name="Normal 4 2 3 6 2 2 5" xfId="16871"/>
    <cellStyle name="Normal 4 2 3 6 2 2 6" xfId="31914"/>
    <cellStyle name="Normal 4 2 3 6 2 3" xfId="2712"/>
    <cellStyle name="Normal 4 2 3 6 2 3 2" xfId="6507"/>
    <cellStyle name="Normal 4 2 3 6 2 3 2 2" xfId="14030"/>
    <cellStyle name="Normal 4 2 3 6 2 3 2 2 2" xfId="29074"/>
    <cellStyle name="Normal 4 2 3 6 2 3 2 2 3" xfId="44117"/>
    <cellStyle name="Normal 4 2 3 6 2 3 2 3" xfId="21553"/>
    <cellStyle name="Normal 4 2 3 6 2 3 2 4" xfId="36596"/>
    <cellStyle name="Normal 4 2 3 6 2 3 3" xfId="10281"/>
    <cellStyle name="Normal 4 2 3 6 2 3 3 2" xfId="25325"/>
    <cellStyle name="Normal 4 2 3 6 2 3 3 3" xfId="40368"/>
    <cellStyle name="Normal 4 2 3 6 2 3 4" xfId="17804"/>
    <cellStyle name="Normal 4 2 3 6 2 3 5" xfId="32847"/>
    <cellStyle name="Normal 4 2 3 6 2 4" xfId="4642"/>
    <cellStyle name="Normal 4 2 3 6 2 4 2" xfId="12165"/>
    <cellStyle name="Normal 4 2 3 6 2 4 2 2" xfId="27209"/>
    <cellStyle name="Normal 4 2 3 6 2 4 2 3" xfId="42252"/>
    <cellStyle name="Normal 4 2 3 6 2 4 3" xfId="19688"/>
    <cellStyle name="Normal 4 2 3 6 2 4 4" xfId="34731"/>
    <cellStyle name="Normal 4 2 3 6 2 5" xfId="8416"/>
    <cellStyle name="Normal 4 2 3 6 2 5 2" xfId="23460"/>
    <cellStyle name="Normal 4 2 3 6 2 5 3" xfId="38503"/>
    <cellStyle name="Normal 4 2 3 6 2 6" xfId="15939"/>
    <cellStyle name="Normal 4 2 3 6 2 7" xfId="30982"/>
    <cellStyle name="Normal 4 2 3 6 3" xfId="1321"/>
    <cellStyle name="Normal 4 2 3 6 3 2" xfId="3192"/>
    <cellStyle name="Normal 4 2 3 6 3 2 2" xfId="6987"/>
    <cellStyle name="Normal 4 2 3 6 3 2 2 2" xfId="14510"/>
    <cellStyle name="Normal 4 2 3 6 3 2 2 2 2" xfId="29554"/>
    <cellStyle name="Normal 4 2 3 6 3 2 2 2 3" xfId="44597"/>
    <cellStyle name="Normal 4 2 3 6 3 2 2 3" xfId="22033"/>
    <cellStyle name="Normal 4 2 3 6 3 2 2 4" xfId="37076"/>
    <cellStyle name="Normal 4 2 3 6 3 2 3" xfId="10761"/>
    <cellStyle name="Normal 4 2 3 6 3 2 3 2" xfId="25805"/>
    <cellStyle name="Normal 4 2 3 6 3 2 3 3" xfId="40848"/>
    <cellStyle name="Normal 4 2 3 6 3 2 4" xfId="18284"/>
    <cellStyle name="Normal 4 2 3 6 3 2 5" xfId="33327"/>
    <cellStyle name="Normal 4 2 3 6 3 3" xfId="5122"/>
    <cellStyle name="Normal 4 2 3 6 3 3 2" xfId="12645"/>
    <cellStyle name="Normal 4 2 3 6 3 3 2 2" xfId="27689"/>
    <cellStyle name="Normal 4 2 3 6 3 3 2 3" xfId="42732"/>
    <cellStyle name="Normal 4 2 3 6 3 3 3" xfId="20168"/>
    <cellStyle name="Normal 4 2 3 6 3 3 4" xfId="35211"/>
    <cellStyle name="Normal 4 2 3 6 3 4" xfId="8896"/>
    <cellStyle name="Normal 4 2 3 6 3 4 2" xfId="23940"/>
    <cellStyle name="Normal 4 2 3 6 3 4 3" xfId="38983"/>
    <cellStyle name="Normal 4 2 3 6 3 5" xfId="16419"/>
    <cellStyle name="Normal 4 2 3 6 3 6" xfId="31462"/>
    <cellStyle name="Normal 4 2 3 6 4" xfId="2259"/>
    <cellStyle name="Normal 4 2 3 6 4 2" xfId="6055"/>
    <cellStyle name="Normal 4 2 3 6 4 2 2" xfId="13578"/>
    <cellStyle name="Normal 4 2 3 6 4 2 2 2" xfId="28622"/>
    <cellStyle name="Normal 4 2 3 6 4 2 2 3" xfId="43665"/>
    <cellStyle name="Normal 4 2 3 6 4 2 3" xfId="21101"/>
    <cellStyle name="Normal 4 2 3 6 4 2 4" xfId="36144"/>
    <cellStyle name="Normal 4 2 3 6 4 3" xfId="9829"/>
    <cellStyle name="Normal 4 2 3 6 4 3 2" xfId="24873"/>
    <cellStyle name="Normal 4 2 3 6 4 3 3" xfId="39916"/>
    <cellStyle name="Normal 4 2 3 6 4 4" xfId="17352"/>
    <cellStyle name="Normal 4 2 3 6 4 5" xfId="32395"/>
    <cellStyle name="Normal 4 2 3 6 5" xfId="4187"/>
    <cellStyle name="Normal 4 2 3 6 5 2" xfId="11711"/>
    <cellStyle name="Normal 4 2 3 6 5 2 2" xfId="26755"/>
    <cellStyle name="Normal 4 2 3 6 5 2 3" xfId="41798"/>
    <cellStyle name="Normal 4 2 3 6 5 3" xfId="19234"/>
    <cellStyle name="Normal 4 2 3 6 5 4" xfId="34277"/>
    <cellStyle name="Normal 4 2 3 6 6" xfId="7950"/>
    <cellStyle name="Normal 4 2 3 6 6 2" xfId="22994"/>
    <cellStyle name="Normal 4 2 3 6 6 3" xfId="38037"/>
    <cellStyle name="Normal 4 2 3 6 7" xfId="15473"/>
    <cellStyle name="Normal 4 2 3 6 8" xfId="30516"/>
    <cellStyle name="Normal 4 2 3 7" xfId="793"/>
    <cellStyle name="Normal 4 2 3 7 2" xfId="1752"/>
    <cellStyle name="Normal 4 2 3 7 2 2" xfId="3623"/>
    <cellStyle name="Normal 4 2 3 7 2 2 2" xfId="7418"/>
    <cellStyle name="Normal 4 2 3 7 2 2 2 2" xfId="14941"/>
    <cellStyle name="Normal 4 2 3 7 2 2 2 2 2" xfId="29985"/>
    <cellStyle name="Normal 4 2 3 7 2 2 2 2 3" xfId="45028"/>
    <cellStyle name="Normal 4 2 3 7 2 2 2 3" xfId="22464"/>
    <cellStyle name="Normal 4 2 3 7 2 2 2 4" xfId="37507"/>
    <cellStyle name="Normal 4 2 3 7 2 2 3" xfId="11192"/>
    <cellStyle name="Normal 4 2 3 7 2 2 3 2" xfId="26236"/>
    <cellStyle name="Normal 4 2 3 7 2 2 3 3" xfId="41279"/>
    <cellStyle name="Normal 4 2 3 7 2 2 4" xfId="18715"/>
    <cellStyle name="Normal 4 2 3 7 2 2 5" xfId="33758"/>
    <cellStyle name="Normal 4 2 3 7 2 3" xfId="5553"/>
    <cellStyle name="Normal 4 2 3 7 2 3 2" xfId="13076"/>
    <cellStyle name="Normal 4 2 3 7 2 3 2 2" xfId="28120"/>
    <cellStyle name="Normal 4 2 3 7 2 3 2 3" xfId="43163"/>
    <cellStyle name="Normal 4 2 3 7 2 3 3" xfId="20599"/>
    <cellStyle name="Normal 4 2 3 7 2 3 4" xfId="35642"/>
    <cellStyle name="Normal 4 2 3 7 2 4" xfId="9327"/>
    <cellStyle name="Normal 4 2 3 7 2 4 2" xfId="24371"/>
    <cellStyle name="Normal 4 2 3 7 2 4 3" xfId="39414"/>
    <cellStyle name="Normal 4 2 3 7 2 5" xfId="16850"/>
    <cellStyle name="Normal 4 2 3 7 2 6" xfId="31893"/>
    <cellStyle name="Normal 4 2 3 7 3" xfId="2691"/>
    <cellStyle name="Normal 4 2 3 7 3 2" xfId="6486"/>
    <cellStyle name="Normal 4 2 3 7 3 2 2" xfId="14009"/>
    <cellStyle name="Normal 4 2 3 7 3 2 2 2" xfId="29053"/>
    <cellStyle name="Normal 4 2 3 7 3 2 2 3" xfId="44096"/>
    <cellStyle name="Normal 4 2 3 7 3 2 3" xfId="21532"/>
    <cellStyle name="Normal 4 2 3 7 3 2 4" xfId="36575"/>
    <cellStyle name="Normal 4 2 3 7 3 3" xfId="10260"/>
    <cellStyle name="Normal 4 2 3 7 3 3 2" xfId="25304"/>
    <cellStyle name="Normal 4 2 3 7 3 3 3" xfId="40347"/>
    <cellStyle name="Normal 4 2 3 7 3 4" xfId="17783"/>
    <cellStyle name="Normal 4 2 3 7 3 5" xfId="32826"/>
    <cellStyle name="Normal 4 2 3 7 4" xfId="4621"/>
    <cellStyle name="Normal 4 2 3 7 4 2" xfId="12144"/>
    <cellStyle name="Normal 4 2 3 7 4 2 2" xfId="27188"/>
    <cellStyle name="Normal 4 2 3 7 4 2 3" xfId="42231"/>
    <cellStyle name="Normal 4 2 3 7 4 3" xfId="19667"/>
    <cellStyle name="Normal 4 2 3 7 4 4" xfId="34710"/>
    <cellStyle name="Normal 4 2 3 7 5" xfId="8395"/>
    <cellStyle name="Normal 4 2 3 7 5 2" xfId="23439"/>
    <cellStyle name="Normal 4 2 3 7 5 3" xfId="38482"/>
    <cellStyle name="Normal 4 2 3 7 6" xfId="15918"/>
    <cellStyle name="Normal 4 2 3 7 7" xfId="30961"/>
    <cellStyle name="Normal 4 2 3 8" xfId="1300"/>
    <cellStyle name="Normal 4 2 3 8 2" xfId="3171"/>
    <cellStyle name="Normal 4 2 3 8 2 2" xfId="6966"/>
    <cellStyle name="Normal 4 2 3 8 2 2 2" xfId="14489"/>
    <cellStyle name="Normal 4 2 3 8 2 2 2 2" xfId="29533"/>
    <cellStyle name="Normal 4 2 3 8 2 2 2 3" xfId="44576"/>
    <cellStyle name="Normal 4 2 3 8 2 2 3" xfId="22012"/>
    <cellStyle name="Normal 4 2 3 8 2 2 4" xfId="37055"/>
    <cellStyle name="Normal 4 2 3 8 2 3" xfId="10740"/>
    <cellStyle name="Normal 4 2 3 8 2 3 2" xfId="25784"/>
    <cellStyle name="Normal 4 2 3 8 2 3 3" xfId="40827"/>
    <cellStyle name="Normal 4 2 3 8 2 4" xfId="18263"/>
    <cellStyle name="Normal 4 2 3 8 2 5" xfId="33306"/>
    <cellStyle name="Normal 4 2 3 8 3" xfId="5101"/>
    <cellStyle name="Normal 4 2 3 8 3 2" xfId="12624"/>
    <cellStyle name="Normal 4 2 3 8 3 2 2" xfId="27668"/>
    <cellStyle name="Normal 4 2 3 8 3 2 3" xfId="42711"/>
    <cellStyle name="Normal 4 2 3 8 3 3" xfId="20147"/>
    <cellStyle name="Normal 4 2 3 8 3 4" xfId="35190"/>
    <cellStyle name="Normal 4 2 3 8 4" xfId="8875"/>
    <cellStyle name="Normal 4 2 3 8 4 2" xfId="23919"/>
    <cellStyle name="Normal 4 2 3 8 4 3" xfId="38962"/>
    <cellStyle name="Normal 4 2 3 8 5" xfId="16398"/>
    <cellStyle name="Normal 4 2 3 8 6" xfId="31441"/>
    <cellStyle name="Normal 4 2 3 9" xfId="2238"/>
    <cellStyle name="Normal 4 2 3 9 2" xfId="6034"/>
    <cellStyle name="Normal 4 2 3 9 2 2" xfId="13557"/>
    <cellStyle name="Normal 4 2 3 9 2 2 2" xfId="28601"/>
    <cellStyle name="Normal 4 2 3 9 2 2 3" xfId="43644"/>
    <cellStyle name="Normal 4 2 3 9 2 3" xfId="21080"/>
    <cellStyle name="Normal 4 2 3 9 2 4" xfId="36123"/>
    <cellStyle name="Normal 4 2 3 9 3" xfId="9808"/>
    <cellStyle name="Normal 4 2 3 9 3 2" xfId="24852"/>
    <cellStyle name="Normal 4 2 3 9 3 3" xfId="39895"/>
    <cellStyle name="Normal 4 2 3 9 4" xfId="17331"/>
    <cellStyle name="Normal 4 2 3 9 5" xfId="32374"/>
    <cellStyle name="Normal 4 2 4" xfId="291"/>
    <cellStyle name="Normal 4 2 4 10" xfId="7951"/>
    <cellStyle name="Normal 4 2 4 10 2" xfId="22995"/>
    <cellStyle name="Normal 4 2 4 10 3" xfId="38038"/>
    <cellStyle name="Normal 4 2 4 11" xfId="15474"/>
    <cellStyle name="Normal 4 2 4 12" xfId="30517"/>
    <cellStyle name="Normal 4 2 4 2" xfId="292"/>
    <cellStyle name="Normal 4 2 4 2 10" xfId="15475"/>
    <cellStyle name="Normal 4 2 4 2 11" xfId="30518"/>
    <cellStyle name="Normal 4 2 4 2 2" xfId="293"/>
    <cellStyle name="Normal 4 2 4 2 2 2" xfId="294"/>
    <cellStyle name="Normal 4 2 4 2 2 2 2" xfId="818"/>
    <cellStyle name="Normal 4 2 4 2 2 2 2 2" xfId="1777"/>
    <cellStyle name="Normal 4 2 4 2 2 2 2 2 2" xfId="3648"/>
    <cellStyle name="Normal 4 2 4 2 2 2 2 2 2 2" xfId="7443"/>
    <cellStyle name="Normal 4 2 4 2 2 2 2 2 2 2 2" xfId="14966"/>
    <cellStyle name="Normal 4 2 4 2 2 2 2 2 2 2 2 2" xfId="30010"/>
    <cellStyle name="Normal 4 2 4 2 2 2 2 2 2 2 2 3" xfId="45053"/>
    <cellStyle name="Normal 4 2 4 2 2 2 2 2 2 2 3" xfId="22489"/>
    <cellStyle name="Normal 4 2 4 2 2 2 2 2 2 2 4" xfId="37532"/>
    <cellStyle name="Normal 4 2 4 2 2 2 2 2 2 3" xfId="11217"/>
    <cellStyle name="Normal 4 2 4 2 2 2 2 2 2 3 2" xfId="26261"/>
    <cellStyle name="Normal 4 2 4 2 2 2 2 2 2 3 3" xfId="41304"/>
    <cellStyle name="Normal 4 2 4 2 2 2 2 2 2 4" xfId="18740"/>
    <cellStyle name="Normal 4 2 4 2 2 2 2 2 2 5" xfId="33783"/>
    <cellStyle name="Normal 4 2 4 2 2 2 2 2 3" xfId="5578"/>
    <cellStyle name="Normal 4 2 4 2 2 2 2 2 3 2" xfId="13101"/>
    <cellStyle name="Normal 4 2 4 2 2 2 2 2 3 2 2" xfId="28145"/>
    <cellStyle name="Normal 4 2 4 2 2 2 2 2 3 2 3" xfId="43188"/>
    <cellStyle name="Normal 4 2 4 2 2 2 2 2 3 3" xfId="20624"/>
    <cellStyle name="Normal 4 2 4 2 2 2 2 2 3 4" xfId="35667"/>
    <cellStyle name="Normal 4 2 4 2 2 2 2 2 4" xfId="9352"/>
    <cellStyle name="Normal 4 2 4 2 2 2 2 2 4 2" xfId="24396"/>
    <cellStyle name="Normal 4 2 4 2 2 2 2 2 4 3" xfId="39439"/>
    <cellStyle name="Normal 4 2 4 2 2 2 2 2 5" xfId="16875"/>
    <cellStyle name="Normal 4 2 4 2 2 2 2 2 6" xfId="31918"/>
    <cellStyle name="Normal 4 2 4 2 2 2 2 3" xfId="2716"/>
    <cellStyle name="Normal 4 2 4 2 2 2 2 3 2" xfId="6511"/>
    <cellStyle name="Normal 4 2 4 2 2 2 2 3 2 2" xfId="14034"/>
    <cellStyle name="Normal 4 2 4 2 2 2 2 3 2 2 2" xfId="29078"/>
    <cellStyle name="Normal 4 2 4 2 2 2 2 3 2 2 3" xfId="44121"/>
    <cellStyle name="Normal 4 2 4 2 2 2 2 3 2 3" xfId="21557"/>
    <cellStyle name="Normal 4 2 4 2 2 2 2 3 2 4" xfId="36600"/>
    <cellStyle name="Normal 4 2 4 2 2 2 2 3 3" xfId="10285"/>
    <cellStyle name="Normal 4 2 4 2 2 2 2 3 3 2" xfId="25329"/>
    <cellStyle name="Normal 4 2 4 2 2 2 2 3 3 3" xfId="40372"/>
    <cellStyle name="Normal 4 2 4 2 2 2 2 3 4" xfId="17808"/>
    <cellStyle name="Normal 4 2 4 2 2 2 2 3 5" xfId="32851"/>
    <cellStyle name="Normal 4 2 4 2 2 2 2 4" xfId="4646"/>
    <cellStyle name="Normal 4 2 4 2 2 2 2 4 2" xfId="12169"/>
    <cellStyle name="Normal 4 2 4 2 2 2 2 4 2 2" xfId="27213"/>
    <cellStyle name="Normal 4 2 4 2 2 2 2 4 2 3" xfId="42256"/>
    <cellStyle name="Normal 4 2 4 2 2 2 2 4 3" xfId="19692"/>
    <cellStyle name="Normal 4 2 4 2 2 2 2 4 4" xfId="34735"/>
    <cellStyle name="Normal 4 2 4 2 2 2 2 5" xfId="8420"/>
    <cellStyle name="Normal 4 2 4 2 2 2 2 5 2" xfId="23464"/>
    <cellStyle name="Normal 4 2 4 2 2 2 2 5 3" xfId="38507"/>
    <cellStyle name="Normal 4 2 4 2 2 2 2 6" xfId="15943"/>
    <cellStyle name="Normal 4 2 4 2 2 2 2 7" xfId="30986"/>
    <cellStyle name="Normal 4 2 4 2 2 2 3" xfId="1325"/>
    <cellStyle name="Normal 4 2 4 2 2 2 3 2" xfId="3196"/>
    <cellStyle name="Normal 4 2 4 2 2 2 3 2 2" xfId="6991"/>
    <cellStyle name="Normal 4 2 4 2 2 2 3 2 2 2" xfId="14514"/>
    <cellStyle name="Normal 4 2 4 2 2 2 3 2 2 2 2" xfId="29558"/>
    <cellStyle name="Normal 4 2 4 2 2 2 3 2 2 2 3" xfId="44601"/>
    <cellStyle name="Normal 4 2 4 2 2 2 3 2 2 3" xfId="22037"/>
    <cellStyle name="Normal 4 2 4 2 2 2 3 2 2 4" xfId="37080"/>
    <cellStyle name="Normal 4 2 4 2 2 2 3 2 3" xfId="10765"/>
    <cellStyle name="Normal 4 2 4 2 2 2 3 2 3 2" xfId="25809"/>
    <cellStyle name="Normal 4 2 4 2 2 2 3 2 3 3" xfId="40852"/>
    <cellStyle name="Normal 4 2 4 2 2 2 3 2 4" xfId="18288"/>
    <cellStyle name="Normal 4 2 4 2 2 2 3 2 5" xfId="33331"/>
    <cellStyle name="Normal 4 2 4 2 2 2 3 3" xfId="5126"/>
    <cellStyle name="Normal 4 2 4 2 2 2 3 3 2" xfId="12649"/>
    <cellStyle name="Normal 4 2 4 2 2 2 3 3 2 2" xfId="27693"/>
    <cellStyle name="Normal 4 2 4 2 2 2 3 3 2 3" xfId="42736"/>
    <cellStyle name="Normal 4 2 4 2 2 2 3 3 3" xfId="20172"/>
    <cellStyle name="Normal 4 2 4 2 2 2 3 3 4" xfId="35215"/>
    <cellStyle name="Normal 4 2 4 2 2 2 3 4" xfId="8900"/>
    <cellStyle name="Normal 4 2 4 2 2 2 3 4 2" xfId="23944"/>
    <cellStyle name="Normal 4 2 4 2 2 2 3 4 3" xfId="38987"/>
    <cellStyle name="Normal 4 2 4 2 2 2 3 5" xfId="16423"/>
    <cellStyle name="Normal 4 2 4 2 2 2 3 6" xfId="31466"/>
    <cellStyle name="Normal 4 2 4 2 2 2 4" xfId="2263"/>
    <cellStyle name="Normal 4 2 4 2 2 2 4 2" xfId="6059"/>
    <cellStyle name="Normal 4 2 4 2 2 2 4 2 2" xfId="13582"/>
    <cellStyle name="Normal 4 2 4 2 2 2 4 2 2 2" xfId="28626"/>
    <cellStyle name="Normal 4 2 4 2 2 2 4 2 2 3" xfId="43669"/>
    <cellStyle name="Normal 4 2 4 2 2 2 4 2 3" xfId="21105"/>
    <cellStyle name="Normal 4 2 4 2 2 2 4 2 4" xfId="36148"/>
    <cellStyle name="Normal 4 2 4 2 2 2 4 3" xfId="9833"/>
    <cellStyle name="Normal 4 2 4 2 2 2 4 3 2" xfId="24877"/>
    <cellStyle name="Normal 4 2 4 2 2 2 4 3 3" xfId="39920"/>
    <cellStyle name="Normal 4 2 4 2 2 2 4 4" xfId="17356"/>
    <cellStyle name="Normal 4 2 4 2 2 2 4 5" xfId="32399"/>
    <cellStyle name="Normal 4 2 4 2 2 2 5" xfId="4191"/>
    <cellStyle name="Normal 4 2 4 2 2 2 5 2" xfId="11715"/>
    <cellStyle name="Normal 4 2 4 2 2 2 5 2 2" xfId="26759"/>
    <cellStyle name="Normal 4 2 4 2 2 2 5 2 3" xfId="41802"/>
    <cellStyle name="Normal 4 2 4 2 2 2 5 3" xfId="19238"/>
    <cellStyle name="Normal 4 2 4 2 2 2 5 4" xfId="34281"/>
    <cellStyle name="Normal 4 2 4 2 2 2 6" xfId="7954"/>
    <cellStyle name="Normal 4 2 4 2 2 2 6 2" xfId="22998"/>
    <cellStyle name="Normal 4 2 4 2 2 2 6 3" xfId="38041"/>
    <cellStyle name="Normal 4 2 4 2 2 2 7" xfId="15477"/>
    <cellStyle name="Normal 4 2 4 2 2 2 8" xfId="30520"/>
    <cellStyle name="Normal 4 2 4 2 2 3" xfId="817"/>
    <cellStyle name="Normal 4 2 4 2 2 3 2" xfId="1776"/>
    <cellStyle name="Normal 4 2 4 2 2 3 2 2" xfId="3647"/>
    <cellStyle name="Normal 4 2 4 2 2 3 2 2 2" xfId="7442"/>
    <cellStyle name="Normal 4 2 4 2 2 3 2 2 2 2" xfId="14965"/>
    <cellStyle name="Normal 4 2 4 2 2 3 2 2 2 2 2" xfId="30009"/>
    <cellStyle name="Normal 4 2 4 2 2 3 2 2 2 2 3" xfId="45052"/>
    <cellStyle name="Normal 4 2 4 2 2 3 2 2 2 3" xfId="22488"/>
    <cellStyle name="Normal 4 2 4 2 2 3 2 2 2 4" xfId="37531"/>
    <cellStyle name="Normal 4 2 4 2 2 3 2 2 3" xfId="11216"/>
    <cellStyle name="Normal 4 2 4 2 2 3 2 2 3 2" xfId="26260"/>
    <cellStyle name="Normal 4 2 4 2 2 3 2 2 3 3" xfId="41303"/>
    <cellStyle name="Normal 4 2 4 2 2 3 2 2 4" xfId="18739"/>
    <cellStyle name="Normal 4 2 4 2 2 3 2 2 5" xfId="33782"/>
    <cellStyle name="Normal 4 2 4 2 2 3 2 3" xfId="5577"/>
    <cellStyle name="Normal 4 2 4 2 2 3 2 3 2" xfId="13100"/>
    <cellStyle name="Normal 4 2 4 2 2 3 2 3 2 2" xfId="28144"/>
    <cellStyle name="Normal 4 2 4 2 2 3 2 3 2 3" xfId="43187"/>
    <cellStyle name="Normal 4 2 4 2 2 3 2 3 3" xfId="20623"/>
    <cellStyle name="Normal 4 2 4 2 2 3 2 3 4" xfId="35666"/>
    <cellStyle name="Normal 4 2 4 2 2 3 2 4" xfId="9351"/>
    <cellStyle name="Normal 4 2 4 2 2 3 2 4 2" xfId="24395"/>
    <cellStyle name="Normal 4 2 4 2 2 3 2 4 3" xfId="39438"/>
    <cellStyle name="Normal 4 2 4 2 2 3 2 5" xfId="16874"/>
    <cellStyle name="Normal 4 2 4 2 2 3 2 6" xfId="31917"/>
    <cellStyle name="Normal 4 2 4 2 2 3 3" xfId="2715"/>
    <cellStyle name="Normal 4 2 4 2 2 3 3 2" xfId="6510"/>
    <cellStyle name="Normal 4 2 4 2 2 3 3 2 2" xfId="14033"/>
    <cellStyle name="Normal 4 2 4 2 2 3 3 2 2 2" xfId="29077"/>
    <cellStyle name="Normal 4 2 4 2 2 3 3 2 2 3" xfId="44120"/>
    <cellStyle name="Normal 4 2 4 2 2 3 3 2 3" xfId="21556"/>
    <cellStyle name="Normal 4 2 4 2 2 3 3 2 4" xfId="36599"/>
    <cellStyle name="Normal 4 2 4 2 2 3 3 3" xfId="10284"/>
    <cellStyle name="Normal 4 2 4 2 2 3 3 3 2" xfId="25328"/>
    <cellStyle name="Normal 4 2 4 2 2 3 3 3 3" xfId="40371"/>
    <cellStyle name="Normal 4 2 4 2 2 3 3 4" xfId="17807"/>
    <cellStyle name="Normal 4 2 4 2 2 3 3 5" xfId="32850"/>
    <cellStyle name="Normal 4 2 4 2 2 3 4" xfId="4645"/>
    <cellStyle name="Normal 4 2 4 2 2 3 4 2" xfId="12168"/>
    <cellStyle name="Normal 4 2 4 2 2 3 4 2 2" xfId="27212"/>
    <cellStyle name="Normal 4 2 4 2 2 3 4 2 3" xfId="42255"/>
    <cellStyle name="Normal 4 2 4 2 2 3 4 3" xfId="19691"/>
    <cellStyle name="Normal 4 2 4 2 2 3 4 4" xfId="34734"/>
    <cellStyle name="Normal 4 2 4 2 2 3 5" xfId="8419"/>
    <cellStyle name="Normal 4 2 4 2 2 3 5 2" xfId="23463"/>
    <cellStyle name="Normal 4 2 4 2 2 3 5 3" xfId="38506"/>
    <cellStyle name="Normal 4 2 4 2 2 3 6" xfId="15942"/>
    <cellStyle name="Normal 4 2 4 2 2 3 7" xfId="30985"/>
    <cellStyle name="Normal 4 2 4 2 2 4" xfId="1324"/>
    <cellStyle name="Normal 4 2 4 2 2 4 2" xfId="3195"/>
    <cellStyle name="Normal 4 2 4 2 2 4 2 2" xfId="6990"/>
    <cellStyle name="Normal 4 2 4 2 2 4 2 2 2" xfId="14513"/>
    <cellStyle name="Normal 4 2 4 2 2 4 2 2 2 2" xfId="29557"/>
    <cellStyle name="Normal 4 2 4 2 2 4 2 2 2 3" xfId="44600"/>
    <cellStyle name="Normal 4 2 4 2 2 4 2 2 3" xfId="22036"/>
    <cellStyle name="Normal 4 2 4 2 2 4 2 2 4" xfId="37079"/>
    <cellStyle name="Normal 4 2 4 2 2 4 2 3" xfId="10764"/>
    <cellStyle name="Normal 4 2 4 2 2 4 2 3 2" xfId="25808"/>
    <cellStyle name="Normal 4 2 4 2 2 4 2 3 3" xfId="40851"/>
    <cellStyle name="Normal 4 2 4 2 2 4 2 4" xfId="18287"/>
    <cellStyle name="Normal 4 2 4 2 2 4 2 5" xfId="33330"/>
    <cellStyle name="Normal 4 2 4 2 2 4 3" xfId="5125"/>
    <cellStyle name="Normal 4 2 4 2 2 4 3 2" xfId="12648"/>
    <cellStyle name="Normal 4 2 4 2 2 4 3 2 2" xfId="27692"/>
    <cellStyle name="Normal 4 2 4 2 2 4 3 2 3" xfId="42735"/>
    <cellStyle name="Normal 4 2 4 2 2 4 3 3" xfId="20171"/>
    <cellStyle name="Normal 4 2 4 2 2 4 3 4" xfId="35214"/>
    <cellStyle name="Normal 4 2 4 2 2 4 4" xfId="8899"/>
    <cellStyle name="Normal 4 2 4 2 2 4 4 2" xfId="23943"/>
    <cellStyle name="Normal 4 2 4 2 2 4 4 3" xfId="38986"/>
    <cellStyle name="Normal 4 2 4 2 2 4 5" xfId="16422"/>
    <cellStyle name="Normal 4 2 4 2 2 4 6" xfId="31465"/>
    <cellStyle name="Normal 4 2 4 2 2 5" xfId="2262"/>
    <cellStyle name="Normal 4 2 4 2 2 5 2" xfId="6058"/>
    <cellStyle name="Normal 4 2 4 2 2 5 2 2" xfId="13581"/>
    <cellStyle name="Normal 4 2 4 2 2 5 2 2 2" xfId="28625"/>
    <cellStyle name="Normal 4 2 4 2 2 5 2 2 3" xfId="43668"/>
    <cellStyle name="Normal 4 2 4 2 2 5 2 3" xfId="21104"/>
    <cellStyle name="Normal 4 2 4 2 2 5 2 4" xfId="36147"/>
    <cellStyle name="Normal 4 2 4 2 2 5 3" xfId="9832"/>
    <cellStyle name="Normal 4 2 4 2 2 5 3 2" xfId="24876"/>
    <cellStyle name="Normal 4 2 4 2 2 5 3 3" xfId="39919"/>
    <cellStyle name="Normal 4 2 4 2 2 5 4" xfId="17355"/>
    <cellStyle name="Normal 4 2 4 2 2 5 5" xfId="32398"/>
    <cellStyle name="Normal 4 2 4 2 2 6" xfId="4190"/>
    <cellStyle name="Normal 4 2 4 2 2 6 2" xfId="11714"/>
    <cellStyle name="Normal 4 2 4 2 2 6 2 2" xfId="26758"/>
    <cellStyle name="Normal 4 2 4 2 2 6 2 3" xfId="41801"/>
    <cellStyle name="Normal 4 2 4 2 2 6 3" xfId="19237"/>
    <cellStyle name="Normal 4 2 4 2 2 6 4" xfId="34280"/>
    <cellStyle name="Normal 4 2 4 2 2 7" xfId="7953"/>
    <cellStyle name="Normal 4 2 4 2 2 7 2" xfId="22997"/>
    <cellStyle name="Normal 4 2 4 2 2 7 3" xfId="38040"/>
    <cellStyle name="Normal 4 2 4 2 2 8" xfId="15476"/>
    <cellStyle name="Normal 4 2 4 2 2 9" xfId="30519"/>
    <cellStyle name="Normal 4 2 4 2 3" xfId="295"/>
    <cellStyle name="Normal 4 2 4 2 3 2" xfId="296"/>
    <cellStyle name="Normal 4 2 4 2 3 2 2" xfId="820"/>
    <cellStyle name="Normal 4 2 4 2 3 2 2 2" xfId="1779"/>
    <cellStyle name="Normal 4 2 4 2 3 2 2 2 2" xfId="3650"/>
    <cellStyle name="Normal 4 2 4 2 3 2 2 2 2 2" xfId="7445"/>
    <cellStyle name="Normal 4 2 4 2 3 2 2 2 2 2 2" xfId="14968"/>
    <cellStyle name="Normal 4 2 4 2 3 2 2 2 2 2 2 2" xfId="30012"/>
    <cellStyle name="Normal 4 2 4 2 3 2 2 2 2 2 2 3" xfId="45055"/>
    <cellStyle name="Normal 4 2 4 2 3 2 2 2 2 2 3" xfId="22491"/>
    <cellStyle name="Normal 4 2 4 2 3 2 2 2 2 2 4" xfId="37534"/>
    <cellStyle name="Normal 4 2 4 2 3 2 2 2 2 3" xfId="11219"/>
    <cellStyle name="Normal 4 2 4 2 3 2 2 2 2 3 2" xfId="26263"/>
    <cellStyle name="Normal 4 2 4 2 3 2 2 2 2 3 3" xfId="41306"/>
    <cellStyle name="Normal 4 2 4 2 3 2 2 2 2 4" xfId="18742"/>
    <cellStyle name="Normal 4 2 4 2 3 2 2 2 2 5" xfId="33785"/>
    <cellStyle name="Normal 4 2 4 2 3 2 2 2 3" xfId="5580"/>
    <cellStyle name="Normal 4 2 4 2 3 2 2 2 3 2" xfId="13103"/>
    <cellStyle name="Normal 4 2 4 2 3 2 2 2 3 2 2" xfId="28147"/>
    <cellStyle name="Normal 4 2 4 2 3 2 2 2 3 2 3" xfId="43190"/>
    <cellStyle name="Normal 4 2 4 2 3 2 2 2 3 3" xfId="20626"/>
    <cellStyle name="Normal 4 2 4 2 3 2 2 2 3 4" xfId="35669"/>
    <cellStyle name="Normal 4 2 4 2 3 2 2 2 4" xfId="9354"/>
    <cellStyle name="Normal 4 2 4 2 3 2 2 2 4 2" xfId="24398"/>
    <cellStyle name="Normal 4 2 4 2 3 2 2 2 4 3" xfId="39441"/>
    <cellStyle name="Normal 4 2 4 2 3 2 2 2 5" xfId="16877"/>
    <cellStyle name="Normal 4 2 4 2 3 2 2 2 6" xfId="31920"/>
    <cellStyle name="Normal 4 2 4 2 3 2 2 3" xfId="2718"/>
    <cellStyle name="Normal 4 2 4 2 3 2 2 3 2" xfId="6513"/>
    <cellStyle name="Normal 4 2 4 2 3 2 2 3 2 2" xfId="14036"/>
    <cellStyle name="Normal 4 2 4 2 3 2 2 3 2 2 2" xfId="29080"/>
    <cellStyle name="Normal 4 2 4 2 3 2 2 3 2 2 3" xfId="44123"/>
    <cellStyle name="Normal 4 2 4 2 3 2 2 3 2 3" xfId="21559"/>
    <cellStyle name="Normal 4 2 4 2 3 2 2 3 2 4" xfId="36602"/>
    <cellStyle name="Normal 4 2 4 2 3 2 2 3 3" xfId="10287"/>
    <cellStyle name="Normal 4 2 4 2 3 2 2 3 3 2" xfId="25331"/>
    <cellStyle name="Normal 4 2 4 2 3 2 2 3 3 3" xfId="40374"/>
    <cellStyle name="Normal 4 2 4 2 3 2 2 3 4" xfId="17810"/>
    <cellStyle name="Normal 4 2 4 2 3 2 2 3 5" xfId="32853"/>
    <cellStyle name="Normal 4 2 4 2 3 2 2 4" xfId="4648"/>
    <cellStyle name="Normal 4 2 4 2 3 2 2 4 2" xfId="12171"/>
    <cellStyle name="Normal 4 2 4 2 3 2 2 4 2 2" xfId="27215"/>
    <cellStyle name="Normal 4 2 4 2 3 2 2 4 2 3" xfId="42258"/>
    <cellStyle name="Normal 4 2 4 2 3 2 2 4 3" xfId="19694"/>
    <cellStyle name="Normal 4 2 4 2 3 2 2 4 4" xfId="34737"/>
    <cellStyle name="Normal 4 2 4 2 3 2 2 5" xfId="8422"/>
    <cellStyle name="Normal 4 2 4 2 3 2 2 5 2" xfId="23466"/>
    <cellStyle name="Normal 4 2 4 2 3 2 2 5 3" xfId="38509"/>
    <cellStyle name="Normal 4 2 4 2 3 2 2 6" xfId="15945"/>
    <cellStyle name="Normal 4 2 4 2 3 2 2 7" xfId="30988"/>
    <cellStyle name="Normal 4 2 4 2 3 2 3" xfId="1327"/>
    <cellStyle name="Normal 4 2 4 2 3 2 3 2" xfId="3198"/>
    <cellStyle name="Normal 4 2 4 2 3 2 3 2 2" xfId="6993"/>
    <cellStyle name="Normal 4 2 4 2 3 2 3 2 2 2" xfId="14516"/>
    <cellStyle name="Normal 4 2 4 2 3 2 3 2 2 2 2" xfId="29560"/>
    <cellStyle name="Normal 4 2 4 2 3 2 3 2 2 2 3" xfId="44603"/>
    <cellStyle name="Normal 4 2 4 2 3 2 3 2 2 3" xfId="22039"/>
    <cellStyle name="Normal 4 2 4 2 3 2 3 2 2 4" xfId="37082"/>
    <cellStyle name="Normal 4 2 4 2 3 2 3 2 3" xfId="10767"/>
    <cellStyle name="Normal 4 2 4 2 3 2 3 2 3 2" xfId="25811"/>
    <cellStyle name="Normal 4 2 4 2 3 2 3 2 3 3" xfId="40854"/>
    <cellStyle name="Normal 4 2 4 2 3 2 3 2 4" xfId="18290"/>
    <cellStyle name="Normal 4 2 4 2 3 2 3 2 5" xfId="33333"/>
    <cellStyle name="Normal 4 2 4 2 3 2 3 3" xfId="5128"/>
    <cellStyle name="Normal 4 2 4 2 3 2 3 3 2" xfId="12651"/>
    <cellStyle name="Normal 4 2 4 2 3 2 3 3 2 2" xfId="27695"/>
    <cellStyle name="Normal 4 2 4 2 3 2 3 3 2 3" xfId="42738"/>
    <cellStyle name="Normal 4 2 4 2 3 2 3 3 3" xfId="20174"/>
    <cellStyle name="Normal 4 2 4 2 3 2 3 3 4" xfId="35217"/>
    <cellStyle name="Normal 4 2 4 2 3 2 3 4" xfId="8902"/>
    <cellStyle name="Normal 4 2 4 2 3 2 3 4 2" xfId="23946"/>
    <cellStyle name="Normal 4 2 4 2 3 2 3 4 3" xfId="38989"/>
    <cellStyle name="Normal 4 2 4 2 3 2 3 5" xfId="16425"/>
    <cellStyle name="Normal 4 2 4 2 3 2 3 6" xfId="31468"/>
    <cellStyle name="Normal 4 2 4 2 3 2 4" xfId="2265"/>
    <cellStyle name="Normal 4 2 4 2 3 2 4 2" xfId="6061"/>
    <cellStyle name="Normal 4 2 4 2 3 2 4 2 2" xfId="13584"/>
    <cellStyle name="Normal 4 2 4 2 3 2 4 2 2 2" xfId="28628"/>
    <cellStyle name="Normal 4 2 4 2 3 2 4 2 2 3" xfId="43671"/>
    <cellStyle name="Normal 4 2 4 2 3 2 4 2 3" xfId="21107"/>
    <cellStyle name="Normal 4 2 4 2 3 2 4 2 4" xfId="36150"/>
    <cellStyle name="Normal 4 2 4 2 3 2 4 3" xfId="9835"/>
    <cellStyle name="Normal 4 2 4 2 3 2 4 3 2" xfId="24879"/>
    <cellStyle name="Normal 4 2 4 2 3 2 4 3 3" xfId="39922"/>
    <cellStyle name="Normal 4 2 4 2 3 2 4 4" xfId="17358"/>
    <cellStyle name="Normal 4 2 4 2 3 2 4 5" xfId="32401"/>
    <cellStyle name="Normal 4 2 4 2 3 2 5" xfId="4193"/>
    <cellStyle name="Normal 4 2 4 2 3 2 5 2" xfId="11717"/>
    <cellStyle name="Normal 4 2 4 2 3 2 5 2 2" xfId="26761"/>
    <cellStyle name="Normal 4 2 4 2 3 2 5 2 3" xfId="41804"/>
    <cellStyle name="Normal 4 2 4 2 3 2 5 3" xfId="19240"/>
    <cellStyle name="Normal 4 2 4 2 3 2 5 4" xfId="34283"/>
    <cellStyle name="Normal 4 2 4 2 3 2 6" xfId="7956"/>
    <cellStyle name="Normal 4 2 4 2 3 2 6 2" xfId="23000"/>
    <cellStyle name="Normal 4 2 4 2 3 2 6 3" xfId="38043"/>
    <cellStyle name="Normal 4 2 4 2 3 2 7" xfId="15479"/>
    <cellStyle name="Normal 4 2 4 2 3 2 8" xfId="30522"/>
    <cellStyle name="Normal 4 2 4 2 3 3" xfId="819"/>
    <cellStyle name="Normal 4 2 4 2 3 3 2" xfId="1778"/>
    <cellStyle name="Normal 4 2 4 2 3 3 2 2" xfId="3649"/>
    <cellStyle name="Normal 4 2 4 2 3 3 2 2 2" xfId="7444"/>
    <cellStyle name="Normal 4 2 4 2 3 3 2 2 2 2" xfId="14967"/>
    <cellStyle name="Normal 4 2 4 2 3 3 2 2 2 2 2" xfId="30011"/>
    <cellStyle name="Normal 4 2 4 2 3 3 2 2 2 2 3" xfId="45054"/>
    <cellStyle name="Normal 4 2 4 2 3 3 2 2 2 3" xfId="22490"/>
    <cellStyle name="Normal 4 2 4 2 3 3 2 2 2 4" xfId="37533"/>
    <cellStyle name="Normal 4 2 4 2 3 3 2 2 3" xfId="11218"/>
    <cellStyle name="Normal 4 2 4 2 3 3 2 2 3 2" xfId="26262"/>
    <cellStyle name="Normal 4 2 4 2 3 3 2 2 3 3" xfId="41305"/>
    <cellStyle name="Normal 4 2 4 2 3 3 2 2 4" xfId="18741"/>
    <cellStyle name="Normal 4 2 4 2 3 3 2 2 5" xfId="33784"/>
    <cellStyle name="Normal 4 2 4 2 3 3 2 3" xfId="5579"/>
    <cellStyle name="Normal 4 2 4 2 3 3 2 3 2" xfId="13102"/>
    <cellStyle name="Normal 4 2 4 2 3 3 2 3 2 2" xfId="28146"/>
    <cellStyle name="Normal 4 2 4 2 3 3 2 3 2 3" xfId="43189"/>
    <cellStyle name="Normal 4 2 4 2 3 3 2 3 3" xfId="20625"/>
    <cellStyle name="Normal 4 2 4 2 3 3 2 3 4" xfId="35668"/>
    <cellStyle name="Normal 4 2 4 2 3 3 2 4" xfId="9353"/>
    <cellStyle name="Normal 4 2 4 2 3 3 2 4 2" xfId="24397"/>
    <cellStyle name="Normal 4 2 4 2 3 3 2 4 3" xfId="39440"/>
    <cellStyle name="Normal 4 2 4 2 3 3 2 5" xfId="16876"/>
    <cellStyle name="Normal 4 2 4 2 3 3 2 6" xfId="31919"/>
    <cellStyle name="Normal 4 2 4 2 3 3 3" xfId="2717"/>
    <cellStyle name="Normal 4 2 4 2 3 3 3 2" xfId="6512"/>
    <cellStyle name="Normal 4 2 4 2 3 3 3 2 2" xfId="14035"/>
    <cellStyle name="Normal 4 2 4 2 3 3 3 2 2 2" xfId="29079"/>
    <cellStyle name="Normal 4 2 4 2 3 3 3 2 2 3" xfId="44122"/>
    <cellStyle name="Normal 4 2 4 2 3 3 3 2 3" xfId="21558"/>
    <cellStyle name="Normal 4 2 4 2 3 3 3 2 4" xfId="36601"/>
    <cellStyle name="Normal 4 2 4 2 3 3 3 3" xfId="10286"/>
    <cellStyle name="Normal 4 2 4 2 3 3 3 3 2" xfId="25330"/>
    <cellStyle name="Normal 4 2 4 2 3 3 3 3 3" xfId="40373"/>
    <cellStyle name="Normal 4 2 4 2 3 3 3 4" xfId="17809"/>
    <cellStyle name="Normal 4 2 4 2 3 3 3 5" xfId="32852"/>
    <cellStyle name="Normal 4 2 4 2 3 3 4" xfId="4647"/>
    <cellStyle name="Normal 4 2 4 2 3 3 4 2" xfId="12170"/>
    <cellStyle name="Normal 4 2 4 2 3 3 4 2 2" xfId="27214"/>
    <cellStyle name="Normal 4 2 4 2 3 3 4 2 3" xfId="42257"/>
    <cellStyle name="Normal 4 2 4 2 3 3 4 3" xfId="19693"/>
    <cellStyle name="Normal 4 2 4 2 3 3 4 4" xfId="34736"/>
    <cellStyle name="Normal 4 2 4 2 3 3 5" xfId="8421"/>
    <cellStyle name="Normal 4 2 4 2 3 3 5 2" xfId="23465"/>
    <cellStyle name="Normal 4 2 4 2 3 3 5 3" xfId="38508"/>
    <cellStyle name="Normal 4 2 4 2 3 3 6" xfId="15944"/>
    <cellStyle name="Normal 4 2 4 2 3 3 7" xfId="30987"/>
    <cellStyle name="Normal 4 2 4 2 3 4" xfId="1326"/>
    <cellStyle name="Normal 4 2 4 2 3 4 2" xfId="3197"/>
    <cellStyle name="Normal 4 2 4 2 3 4 2 2" xfId="6992"/>
    <cellStyle name="Normal 4 2 4 2 3 4 2 2 2" xfId="14515"/>
    <cellStyle name="Normal 4 2 4 2 3 4 2 2 2 2" xfId="29559"/>
    <cellStyle name="Normal 4 2 4 2 3 4 2 2 2 3" xfId="44602"/>
    <cellStyle name="Normal 4 2 4 2 3 4 2 2 3" xfId="22038"/>
    <cellStyle name="Normal 4 2 4 2 3 4 2 2 4" xfId="37081"/>
    <cellStyle name="Normal 4 2 4 2 3 4 2 3" xfId="10766"/>
    <cellStyle name="Normal 4 2 4 2 3 4 2 3 2" xfId="25810"/>
    <cellStyle name="Normal 4 2 4 2 3 4 2 3 3" xfId="40853"/>
    <cellStyle name="Normal 4 2 4 2 3 4 2 4" xfId="18289"/>
    <cellStyle name="Normal 4 2 4 2 3 4 2 5" xfId="33332"/>
    <cellStyle name="Normal 4 2 4 2 3 4 3" xfId="5127"/>
    <cellStyle name="Normal 4 2 4 2 3 4 3 2" xfId="12650"/>
    <cellStyle name="Normal 4 2 4 2 3 4 3 2 2" xfId="27694"/>
    <cellStyle name="Normal 4 2 4 2 3 4 3 2 3" xfId="42737"/>
    <cellStyle name="Normal 4 2 4 2 3 4 3 3" xfId="20173"/>
    <cellStyle name="Normal 4 2 4 2 3 4 3 4" xfId="35216"/>
    <cellStyle name="Normal 4 2 4 2 3 4 4" xfId="8901"/>
    <cellStyle name="Normal 4 2 4 2 3 4 4 2" xfId="23945"/>
    <cellStyle name="Normal 4 2 4 2 3 4 4 3" xfId="38988"/>
    <cellStyle name="Normal 4 2 4 2 3 4 5" xfId="16424"/>
    <cellStyle name="Normal 4 2 4 2 3 4 6" xfId="31467"/>
    <cellStyle name="Normal 4 2 4 2 3 5" xfId="2264"/>
    <cellStyle name="Normal 4 2 4 2 3 5 2" xfId="6060"/>
    <cellStyle name="Normal 4 2 4 2 3 5 2 2" xfId="13583"/>
    <cellStyle name="Normal 4 2 4 2 3 5 2 2 2" xfId="28627"/>
    <cellStyle name="Normal 4 2 4 2 3 5 2 2 3" xfId="43670"/>
    <cellStyle name="Normal 4 2 4 2 3 5 2 3" xfId="21106"/>
    <cellStyle name="Normal 4 2 4 2 3 5 2 4" xfId="36149"/>
    <cellStyle name="Normal 4 2 4 2 3 5 3" xfId="9834"/>
    <cellStyle name="Normal 4 2 4 2 3 5 3 2" xfId="24878"/>
    <cellStyle name="Normal 4 2 4 2 3 5 3 3" xfId="39921"/>
    <cellStyle name="Normal 4 2 4 2 3 5 4" xfId="17357"/>
    <cellStyle name="Normal 4 2 4 2 3 5 5" xfId="32400"/>
    <cellStyle name="Normal 4 2 4 2 3 6" xfId="4192"/>
    <cellStyle name="Normal 4 2 4 2 3 6 2" xfId="11716"/>
    <cellStyle name="Normal 4 2 4 2 3 6 2 2" xfId="26760"/>
    <cellStyle name="Normal 4 2 4 2 3 6 2 3" xfId="41803"/>
    <cellStyle name="Normal 4 2 4 2 3 6 3" xfId="19239"/>
    <cellStyle name="Normal 4 2 4 2 3 6 4" xfId="34282"/>
    <cellStyle name="Normal 4 2 4 2 3 7" xfId="7955"/>
    <cellStyle name="Normal 4 2 4 2 3 7 2" xfId="22999"/>
    <cellStyle name="Normal 4 2 4 2 3 7 3" xfId="38042"/>
    <cellStyle name="Normal 4 2 4 2 3 8" xfId="15478"/>
    <cellStyle name="Normal 4 2 4 2 3 9" xfId="30521"/>
    <cellStyle name="Normal 4 2 4 2 4" xfId="297"/>
    <cellStyle name="Normal 4 2 4 2 4 2" xfId="821"/>
    <cellStyle name="Normal 4 2 4 2 4 2 2" xfId="1780"/>
    <cellStyle name="Normal 4 2 4 2 4 2 2 2" xfId="3651"/>
    <cellStyle name="Normal 4 2 4 2 4 2 2 2 2" xfId="7446"/>
    <cellStyle name="Normal 4 2 4 2 4 2 2 2 2 2" xfId="14969"/>
    <cellStyle name="Normal 4 2 4 2 4 2 2 2 2 2 2" xfId="30013"/>
    <cellStyle name="Normal 4 2 4 2 4 2 2 2 2 2 3" xfId="45056"/>
    <cellStyle name="Normal 4 2 4 2 4 2 2 2 2 3" xfId="22492"/>
    <cellStyle name="Normal 4 2 4 2 4 2 2 2 2 4" xfId="37535"/>
    <cellStyle name="Normal 4 2 4 2 4 2 2 2 3" xfId="11220"/>
    <cellStyle name="Normal 4 2 4 2 4 2 2 2 3 2" xfId="26264"/>
    <cellStyle name="Normal 4 2 4 2 4 2 2 2 3 3" xfId="41307"/>
    <cellStyle name="Normal 4 2 4 2 4 2 2 2 4" xfId="18743"/>
    <cellStyle name="Normal 4 2 4 2 4 2 2 2 5" xfId="33786"/>
    <cellStyle name="Normal 4 2 4 2 4 2 2 3" xfId="5581"/>
    <cellStyle name="Normal 4 2 4 2 4 2 2 3 2" xfId="13104"/>
    <cellStyle name="Normal 4 2 4 2 4 2 2 3 2 2" xfId="28148"/>
    <cellStyle name="Normal 4 2 4 2 4 2 2 3 2 3" xfId="43191"/>
    <cellStyle name="Normal 4 2 4 2 4 2 2 3 3" xfId="20627"/>
    <cellStyle name="Normal 4 2 4 2 4 2 2 3 4" xfId="35670"/>
    <cellStyle name="Normal 4 2 4 2 4 2 2 4" xfId="9355"/>
    <cellStyle name="Normal 4 2 4 2 4 2 2 4 2" xfId="24399"/>
    <cellStyle name="Normal 4 2 4 2 4 2 2 4 3" xfId="39442"/>
    <cellStyle name="Normal 4 2 4 2 4 2 2 5" xfId="16878"/>
    <cellStyle name="Normal 4 2 4 2 4 2 2 6" xfId="31921"/>
    <cellStyle name="Normal 4 2 4 2 4 2 3" xfId="2719"/>
    <cellStyle name="Normal 4 2 4 2 4 2 3 2" xfId="6514"/>
    <cellStyle name="Normal 4 2 4 2 4 2 3 2 2" xfId="14037"/>
    <cellStyle name="Normal 4 2 4 2 4 2 3 2 2 2" xfId="29081"/>
    <cellStyle name="Normal 4 2 4 2 4 2 3 2 2 3" xfId="44124"/>
    <cellStyle name="Normal 4 2 4 2 4 2 3 2 3" xfId="21560"/>
    <cellStyle name="Normal 4 2 4 2 4 2 3 2 4" xfId="36603"/>
    <cellStyle name="Normal 4 2 4 2 4 2 3 3" xfId="10288"/>
    <cellStyle name="Normal 4 2 4 2 4 2 3 3 2" xfId="25332"/>
    <cellStyle name="Normal 4 2 4 2 4 2 3 3 3" xfId="40375"/>
    <cellStyle name="Normal 4 2 4 2 4 2 3 4" xfId="17811"/>
    <cellStyle name="Normal 4 2 4 2 4 2 3 5" xfId="32854"/>
    <cellStyle name="Normal 4 2 4 2 4 2 4" xfId="4649"/>
    <cellStyle name="Normal 4 2 4 2 4 2 4 2" xfId="12172"/>
    <cellStyle name="Normal 4 2 4 2 4 2 4 2 2" xfId="27216"/>
    <cellStyle name="Normal 4 2 4 2 4 2 4 2 3" xfId="42259"/>
    <cellStyle name="Normal 4 2 4 2 4 2 4 3" xfId="19695"/>
    <cellStyle name="Normal 4 2 4 2 4 2 4 4" xfId="34738"/>
    <cellStyle name="Normal 4 2 4 2 4 2 5" xfId="8423"/>
    <cellStyle name="Normal 4 2 4 2 4 2 5 2" xfId="23467"/>
    <cellStyle name="Normal 4 2 4 2 4 2 5 3" xfId="38510"/>
    <cellStyle name="Normal 4 2 4 2 4 2 6" xfId="15946"/>
    <cellStyle name="Normal 4 2 4 2 4 2 7" xfId="30989"/>
    <cellStyle name="Normal 4 2 4 2 4 3" xfId="1328"/>
    <cellStyle name="Normal 4 2 4 2 4 3 2" xfId="3199"/>
    <cellStyle name="Normal 4 2 4 2 4 3 2 2" xfId="6994"/>
    <cellStyle name="Normal 4 2 4 2 4 3 2 2 2" xfId="14517"/>
    <cellStyle name="Normal 4 2 4 2 4 3 2 2 2 2" xfId="29561"/>
    <cellStyle name="Normal 4 2 4 2 4 3 2 2 2 3" xfId="44604"/>
    <cellStyle name="Normal 4 2 4 2 4 3 2 2 3" xfId="22040"/>
    <cellStyle name="Normal 4 2 4 2 4 3 2 2 4" xfId="37083"/>
    <cellStyle name="Normal 4 2 4 2 4 3 2 3" xfId="10768"/>
    <cellStyle name="Normal 4 2 4 2 4 3 2 3 2" xfId="25812"/>
    <cellStyle name="Normal 4 2 4 2 4 3 2 3 3" xfId="40855"/>
    <cellStyle name="Normal 4 2 4 2 4 3 2 4" xfId="18291"/>
    <cellStyle name="Normal 4 2 4 2 4 3 2 5" xfId="33334"/>
    <cellStyle name="Normal 4 2 4 2 4 3 3" xfId="5129"/>
    <cellStyle name="Normal 4 2 4 2 4 3 3 2" xfId="12652"/>
    <cellStyle name="Normal 4 2 4 2 4 3 3 2 2" xfId="27696"/>
    <cellStyle name="Normal 4 2 4 2 4 3 3 2 3" xfId="42739"/>
    <cellStyle name="Normal 4 2 4 2 4 3 3 3" xfId="20175"/>
    <cellStyle name="Normal 4 2 4 2 4 3 3 4" xfId="35218"/>
    <cellStyle name="Normal 4 2 4 2 4 3 4" xfId="8903"/>
    <cellStyle name="Normal 4 2 4 2 4 3 4 2" xfId="23947"/>
    <cellStyle name="Normal 4 2 4 2 4 3 4 3" xfId="38990"/>
    <cellStyle name="Normal 4 2 4 2 4 3 5" xfId="16426"/>
    <cellStyle name="Normal 4 2 4 2 4 3 6" xfId="31469"/>
    <cellStyle name="Normal 4 2 4 2 4 4" xfId="2266"/>
    <cellStyle name="Normal 4 2 4 2 4 4 2" xfId="6062"/>
    <cellStyle name="Normal 4 2 4 2 4 4 2 2" xfId="13585"/>
    <cellStyle name="Normal 4 2 4 2 4 4 2 2 2" xfId="28629"/>
    <cellStyle name="Normal 4 2 4 2 4 4 2 2 3" xfId="43672"/>
    <cellStyle name="Normal 4 2 4 2 4 4 2 3" xfId="21108"/>
    <cellStyle name="Normal 4 2 4 2 4 4 2 4" xfId="36151"/>
    <cellStyle name="Normal 4 2 4 2 4 4 3" xfId="9836"/>
    <cellStyle name="Normal 4 2 4 2 4 4 3 2" xfId="24880"/>
    <cellStyle name="Normal 4 2 4 2 4 4 3 3" xfId="39923"/>
    <cellStyle name="Normal 4 2 4 2 4 4 4" xfId="17359"/>
    <cellStyle name="Normal 4 2 4 2 4 4 5" xfId="32402"/>
    <cellStyle name="Normal 4 2 4 2 4 5" xfId="4194"/>
    <cellStyle name="Normal 4 2 4 2 4 5 2" xfId="11718"/>
    <cellStyle name="Normal 4 2 4 2 4 5 2 2" xfId="26762"/>
    <cellStyle name="Normal 4 2 4 2 4 5 2 3" xfId="41805"/>
    <cellStyle name="Normal 4 2 4 2 4 5 3" xfId="19241"/>
    <cellStyle name="Normal 4 2 4 2 4 5 4" xfId="34284"/>
    <cellStyle name="Normal 4 2 4 2 4 6" xfId="7957"/>
    <cellStyle name="Normal 4 2 4 2 4 6 2" xfId="23001"/>
    <cellStyle name="Normal 4 2 4 2 4 6 3" xfId="38044"/>
    <cellStyle name="Normal 4 2 4 2 4 7" xfId="15480"/>
    <cellStyle name="Normal 4 2 4 2 4 8" xfId="30523"/>
    <cellStyle name="Normal 4 2 4 2 5" xfId="816"/>
    <cellStyle name="Normal 4 2 4 2 5 2" xfId="1775"/>
    <cellStyle name="Normal 4 2 4 2 5 2 2" xfId="3646"/>
    <cellStyle name="Normal 4 2 4 2 5 2 2 2" xfId="7441"/>
    <cellStyle name="Normal 4 2 4 2 5 2 2 2 2" xfId="14964"/>
    <cellStyle name="Normal 4 2 4 2 5 2 2 2 2 2" xfId="30008"/>
    <cellStyle name="Normal 4 2 4 2 5 2 2 2 2 3" xfId="45051"/>
    <cellStyle name="Normal 4 2 4 2 5 2 2 2 3" xfId="22487"/>
    <cellStyle name="Normal 4 2 4 2 5 2 2 2 4" xfId="37530"/>
    <cellStyle name="Normal 4 2 4 2 5 2 2 3" xfId="11215"/>
    <cellStyle name="Normal 4 2 4 2 5 2 2 3 2" xfId="26259"/>
    <cellStyle name="Normal 4 2 4 2 5 2 2 3 3" xfId="41302"/>
    <cellStyle name="Normal 4 2 4 2 5 2 2 4" xfId="18738"/>
    <cellStyle name="Normal 4 2 4 2 5 2 2 5" xfId="33781"/>
    <cellStyle name="Normal 4 2 4 2 5 2 3" xfId="5576"/>
    <cellStyle name="Normal 4 2 4 2 5 2 3 2" xfId="13099"/>
    <cellStyle name="Normal 4 2 4 2 5 2 3 2 2" xfId="28143"/>
    <cellStyle name="Normal 4 2 4 2 5 2 3 2 3" xfId="43186"/>
    <cellStyle name="Normal 4 2 4 2 5 2 3 3" xfId="20622"/>
    <cellStyle name="Normal 4 2 4 2 5 2 3 4" xfId="35665"/>
    <cellStyle name="Normal 4 2 4 2 5 2 4" xfId="9350"/>
    <cellStyle name="Normal 4 2 4 2 5 2 4 2" xfId="24394"/>
    <cellStyle name="Normal 4 2 4 2 5 2 4 3" xfId="39437"/>
    <cellStyle name="Normal 4 2 4 2 5 2 5" xfId="16873"/>
    <cellStyle name="Normal 4 2 4 2 5 2 6" xfId="31916"/>
    <cellStyle name="Normal 4 2 4 2 5 3" xfId="2714"/>
    <cellStyle name="Normal 4 2 4 2 5 3 2" xfId="6509"/>
    <cellStyle name="Normal 4 2 4 2 5 3 2 2" xfId="14032"/>
    <cellStyle name="Normal 4 2 4 2 5 3 2 2 2" xfId="29076"/>
    <cellStyle name="Normal 4 2 4 2 5 3 2 2 3" xfId="44119"/>
    <cellStyle name="Normal 4 2 4 2 5 3 2 3" xfId="21555"/>
    <cellStyle name="Normal 4 2 4 2 5 3 2 4" xfId="36598"/>
    <cellStyle name="Normal 4 2 4 2 5 3 3" xfId="10283"/>
    <cellStyle name="Normal 4 2 4 2 5 3 3 2" xfId="25327"/>
    <cellStyle name="Normal 4 2 4 2 5 3 3 3" xfId="40370"/>
    <cellStyle name="Normal 4 2 4 2 5 3 4" xfId="17806"/>
    <cellStyle name="Normal 4 2 4 2 5 3 5" xfId="32849"/>
    <cellStyle name="Normal 4 2 4 2 5 4" xfId="4644"/>
    <cellStyle name="Normal 4 2 4 2 5 4 2" xfId="12167"/>
    <cellStyle name="Normal 4 2 4 2 5 4 2 2" xfId="27211"/>
    <cellStyle name="Normal 4 2 4 2 5 4 2 3" xfId="42254"/>
    <cellStyle name="Normal 4 2 4 2 5 4 3" xfId="19690"/>
    <cellStyle name="Normal 4 2 4 2 5 4 4" xfId="34733"/>
    <cellStyle name="Normal 4 2 4 2 5 5" xfId="8418"/>
    <cellStyle name="Normal 4 2 4 2 5 5 2" xfId="23462"/>
    <cellStyle name="Normal 4 2 4 2 5 5 3" xfId="38505"/>
    <cellStyle name="Normal 4 2 4 2 5 6" xfId="15941"/>
    <cellStyle name="Normal 4 2 4 2 5 7" xfId="30984"/>
    <cellStyle name="Normal 4 2 4 2 6" xfId="1323"/>
    <cellStyle name="Normal 4 2 4 2 6 2" xfId="3194"/>
    <cellStyle name="Normal 4 2 4 2 6 2 2" xfId="6989"/>
    <cellStyle name="Normal 4 2 4 2 6 2 2 2" xfId="14512"/>
    <cellStyle name="Normal 4 2 4 2 6 2 2 2 2" xfId="29556"/>
    <cellStyle name="Normal 4 2 4 2 6 2 2 2 3" xfId="44599"/>
    <cellStyle name="Normal 4 2 4 2 6 2 2 3" xfId="22035"/>
    <cellStyle name="Normal 4 2 4 2 6 2 2 4" xfId="37078"/>
    <cellStyle name="Normal 4 2 4 2 6 2 3" xfId="10763"/>
    <cellStyle name="Normal 4 2 4 2 6 2 3 2" xfId="25807"/>
    <cellStyle name="Normal 4 2 4 2 6 2 3 3" xfId="40850"/>
    <cellStyle name="Normal 4 2 4 2 6 2 4" xfId="18286"/>
    <cellStyle name="Normal 4 2 4 2 6 2 5" xfId="33329"/>
    <cellStyle name="Normal 4 2 4 2 6 3" xfId="5124"/>
    <cellStyle name="Normal 4 2 4 2 6 3 2" xfId="12647"/>
    <cellStyle name="Normal 4 2 4 2 6 3 2 2" xfId="27691"/>
    <cellStyle name="Normal 4 2 4 2 6 3 2 3" xfId="42734"/>
    <cellStyle name="Normal 4 2 4 2 6 3 3" xfId="20170"/>
    <cellStyle name="Normal 4 2 4 2 6 3 4" xfId="35213"/>
    <cellStyle name="Normal 4 2 4 2 6 4" xfId="8898"/>
    <cellStyle name="Normal 4 2 4 2 6 4 2" xfId="23942"/>
    <cellStyle name="Normal 4 2 4 2 6 4 3" xfId="38985"/>
    <cellStyle name="Normal 4 2 4 2 6 5" xfId="16421"/>
    <cellStyle name="Normal 4 2 4 2 6 6" xfId="31464"/>
    <cellStyle name="Normal 4 2 4 2 7" xfId="2261"/>
    <cellStyle name="Normal 4 2 4 2 7 2" xfId="6057"/>
    <cellStyle name="Normal 4 2 4 2 7 2 2" xfId="13580"/>
    <cellStyle name="Normal 4 2 4 2 7 2 2 2" xfId="28624"/>
    <cellStyle name="Normal 4 2 4 2 7 2 2 3" xfId="43667"/>
    <cellStyle name="Normal 4 2 4 2 7 2 3" xfId="21103"/>
    <cellStyle name="Normal 4 2 4 2 7 2 4" xfId="36146"/>
    <cellStyle name="Normal 4 2 4 2 7 3" xfId="9831"/>
    <cellStyle name="Normal 4 2 4 2 7 3 2" xfId="24875"/>
    <cellStyle name="Normal 4 2 4 2 7 3 3" xfId="39918"/>
    <cellStyle name="Normal 4 2 4 2 7 4" xfId="17354"/>
    <cellStyle name="Normal 4 2 4 2 7 5" xfId="32397"/>
    <cellStyle name="Normal 4 2 4 2 8" xfId="4189"/>
    <cellStyle name="Normal 4 2 4 2 8 2" xfId="11713"/>
    <cellStyle name="Normal 4 2 4 2 8 2 2" xfId="26757"/>
    <cellStyle name="Normal 4 2 4 2 8 2 3" xfId="41800"/>
    <cellStyle name="Normal 4 2 4 2 8 3" xfId="19236"/>
    <cellStyle name="Normal 4 2 4 2 8 4" xfId="34279"/>
    <cellStyle name="Normal 4 2 4 2 9" xfId="7952"/>
    <cellStyle name="Normal 4 2 4 2 9 2" xfId="22996"/>
    <cellStyle name="Normal 4 2 4 2 9 3" xfId="38039"/>
    <cellStyle name="Normal 4 2 4 3" xfId="298"/>
    <cellStyle name="Normal 4 2 4 3 2" xfId="299"/>
    <cellStyle name="Normal 4 2 4 3 2 2" xfId="823"/>
    <cellStyle name="Normal 4 2 4 3 2 2 2" xfId="1782"/>
    <cellStyle name="Normal 4 2 4 3 2 2 2 2" xfId="3653"/>
    <cellStyle name="Normal 4 2 4 3 2 2 2 2 2" xfId="7448"/>
    <cellStyle name="Normal 4 2 4 3 2 2 2 2 2 2" xfId="14971"/>
    <cellStyle name="Normal 4 2 4 3 2 2 2 2 2 2 2" xfId="30015"/>
    <cellStyle name="Normal 4 2 4 3 2 2 2 2 2 2 3" xfId="45058"/>
    <cellStyle name="Normal 4 2 4 3 2 2 2 2 2 3" xfId="22494"/>
    <cellStyle name="Normal 4 2 4 3 2 2 2 2 2 4" xfId="37537"/>
    <cellStyle name="Normal 4 2 4 3 2 2 2 2 3" xfId="11222"/>
    <cellStyle name="Normal 4 2 4 3 2 2 2 2 3 2" xfId="26266"/>
    <cellStyle name="Normal 4 2 4 3 2 2 2 2 3 3" xfId="41309"/>
    <cellStyle name="Normal 4 2 4 3 2 2 2 2 4" xfId="18745"/>
    <cellStyle name="Normal 4 2 4 3 2 2 2 2 5" xfId="33788"/>
    <cellStyle name="Normal 4 2 4 3 2 2 2 3" xfId="5583"/>
    <cellStyle name="Normal 4 2 4 3 2 2 2 3 2" xfId="13106"/>
    <cellStyle name="Normal 4 2 4 3 2 2 2 3 2 2" xfId="28150"/>
    <cellStyle name="Normal 4 2 4 3 2 2 2 3 2 3" xfId="43193"/>
    <cellStyle name="Normal 4 2 4 3 2 2 2 3 3" xfId="20629"/>
    <cellStyle name="Normal 4 2 4 3 2 2 2 3 4" xfId="35672"/>
    <cellStyle name="Normal 4 2 4 3 2 2 2 4" xfId="9357"/>
    <cellStyle name="Normal 4 2 4 3 2 2 2 4 2" xfId="24401"/>
    <cellStyle name="Normal 4 2 4 3 2 2 2 4 3" xfId="39444"/>
    <cellStyle name="Normal 4 2 4 3 2 2 2 5" xfId="16880"/>
    <cellStyle name="Normal 4 2 4 3 2 2 2 6" xfId="31923"/>
    <cellStyle name="Normal 4 2 4 3 2 2 3" xfId="2721"/>
    <cellStyle name="Normal 4 2 4 3 2 2 3 2" xfId="6516"/>
    <cellStyle name="Normal 4 2 4 3 2 2 3 2 2" xfId="14039"/>
    <cellStyle name="Normal 4 2 4 3 2 2 3 2 2 2" xfId="29083"/>
    <cellStyle name="Normal 4 2 4 3 2 2 3 2 2 3" xfId="44126"/>
    <cellStyle name="Normal 4 2 4 3 2 2 3 2 3" xfId="21562"/>
    <cellStyle name="Normal 4 2 4 3 2 2 3 2 4" xfId="36605"/>
    <cellStyle name="Normal 4 2 4 3 2 2 3 3" xfId="10290"/>
    <cellStyle name="Normal 4 2 4 3 2 2 3 3 2" xfId="25334"/>
    <cellStyle name="Normal 4 2 4 3 2 2 3 3 3" xfId="40377"/>
    <cellStyle name="Normal 4 2 4 3 2 2 3 4" xfId="17813"/>
    <cellStyle name="Normal 4 2 4 3 2 2 3 5" xfId="32856"/>
    <cellStyle name="Normal 4 2 4 3 2 2 4" xfId="4651"/>
    <cellStyle name="Normal 4 2 4 3 2 2 4 2" xfId="12174"/>
    <cellStyle name="Normal 4 2 4 3 2 2 4 2 2" xfId="27218"/>
    <cellStyle name="Normal 4 2 4 3 2 2 4 2 3" xfId="42261"/>
    <cellStyle name="Normal 4 2 4 3 2 2 4 3" xfId="19697"/>
    <cellStyle name="Normal 4 2 4 3 2 2 4 4" xfId="34740"/>
    <cellStyle name="Normal 4 2 4 3 2 2 5" xfId="8425"/>
    <cellStyle name="Normal 4 2 4 3 2 2 5 2" xfId="23469"/>
    <cellStyle name="Normal 4 2 4 3 2 2 5 3" xfId="38512"/>
    <cellStyle name="Normal 4 2 4 3 2 2 6" xfId="15948"/>
    <cellStyle name="Normal 4 2 4 3 2 2 7" xfId="30991"/>
    <cellStyle name="Normal 4 2 4 3 2 3" xfId="1330"/>
    <cellStyle name="Normal 4 2 4 3 2 3 2" xfId="3201"/>
    <cellStyle name="Normal 4 2 4 3 2 3 2 2" xfId="6996"/>
    <cellStyle name="Normal 4 2 4 3 2 3 2 2 2" xfId="14519"/>
    <cellStyle name="Normal 4 2 4 3 2 3 2 2 2 2" xfId="29563"/>
    <cellStyle name="Normal 4 2 4 3 2 3 2 2 2 3" xfId="44606"/>
    <cellStyle name="Normal 4 2 4 3 2 3 2 2 3" xfId="22042"/>
    <cellStyle name="Normal 4 2 4 3 2 3 2 2 4" xfId="37085"/>
    <cellStyle name="Normal 4 2 4 3 2 3 2 3" xfId="10770"/>
    <cellStyle name="Normal 4 2 4 3 2 3 2 3 2" xfId="25814"/>
    <cellStyle name="Normal 4 2 4 3 2 3 2 3 3" xfId="40857"/>
    <cellStyle name="Normal 4 2 4 3 2 3 2 4" xfId="18293"/>
    <cellStyle name="Normal 4 2 4 3 2 3 2 5" xfId="33336"/>
    <cellStyle name="Normal 4 2 4 3 2 3 3" xfId="5131"/>
    <cellStyle name="Normal 4 2 4 3 2 3 3 2" xfId="12654"/>
    <cellStyle name="Normal 4 2 4 3 2 3 3 2 2" xfId="27698"/>
    <cellStyle name="Normal 4 2 4 3 2 3 3 2 3" xfId="42741"/>
    <cellStyle name="Normal 4 2 4 3 2 3 3 3" xfId="20177"/>
    <cellStyle name="Normal 4 2 4 3 2 3 3 4" xfId="35220"/>
    <cellStyle name="Normal 4 2 4 3 2 3 4" xfId="8905"/>
    <cellStyle name="Normal 4 2 4 3 2 3 4 2" xfId="23949"/>
    <cellStyle name="Normal 4 2 4 3 2 3 4 3" xfId="38992"/>
    <cellStyle name="Normal 4 2 4 3 2 3 5" xfId="16428"/>
    <cellStyle name="Normal 4 2 4 3 2 3 6" xfId="31471"/>
    <cellStyle name="Normal 4 2 4 3 2 4" xfId="2268"/>
    <cellStyle name="Normal 4 2 4 3 2 4 2" xfId="6064"/>
    <cellStyle name="Normal 4 2 4 3 2 4 2 2" xfId="13587"/>
    <cellStyle name="Normal 4 2 4 3 2 4 2 2 2" xfId="28631"/>
    <cellStyle name="Normal 4 2 4 3 2 4 2 2 3" xfId="43674"/>
    <cellStyle name="Normal 4 2 4 3 2 4 2 3" xfId="21110"/>
    <cellStyle name="Normal 4 2 4 3 2 4 2 4" xfId="36153"/>
    <cellStyle name="Normal 4 2 4 3 2 4 3" xfId="9838"/>
    <cellStyle name="Normal 4 2 4 3 2 4 3 2" xfId="24882"/>
    <cellStyle name="Normal 4 2 4 3 2 4 3 3" xfId="39925"/>
    <cellStyle name="Normal 4 2 4 3 2 4 4" xfId="17361"/>
    <cellStyle name="Normal 4 2 4 3 2 4 5" xfId="32404"/>
    <cellStyle name="Normal 4 2 4 3 2 5" xfId="4196"/>
    <cellStyle name="Normal 4 2 4 3 2 5 2" xfId="11720"/>
    <cellStyle name="Normal 4 2 4 3 2 5 2 2" xfId="26764"/>
    <cellStyle name="Normal 4 2 4 3 2 5 2 3" xfId="41807"/>
    <cellStyle name="Normal 4 2 4 3 2 5 3" xfId="19243"/>
    <cellStyle name="Normal 4 2 4 3 2 5 4" xfId="34286"/>
    <cellStyle name="Normal 4 2 4 3 2 6" xfId="7959"/>
    <cellStyle name="Normal 4 2 4 3 2 6 2" xfId="23003"/>
    <cellStyle name="Normal 4 2 4 3 2 6 3" xfId="38046"/>
    <cellStyle name="Normal 4 2 4 3 2 7" xfId="15482"/>
    <cellStyle name="Normal 4 2 4 3 2 8" xfId="30525"/>
    <cellStyle name="Normal 4 2 4 3 3" xfId="822"/>
    <cellStyle name="Normal 4 2 4 3 3 2" xfId="1781"/>
    <cellStyle name="Normal 4 2 4 3 3 2 2" xfId="3652"/>
    <cellStyle name="Normal 4 2 4 3 3 2 2 2" xfId="7447"/>
    <cellStyle name="Normal 4 2 4 3 3 2 2 2 2" xfId="14970"/>
    <cellStyle name="Normal 4 2 4 3 3 2 2 2 2 2" xfId="30014"/>
    <cellStyle name="Normal 4 2 4 3 3 2 2 2 2 3" xfId="45057"/>
    <cellStyle name="Normal 4 2 4 3 3 2 2 2 3" xfId="22493"/>
    <cellStyle name="Normal 4 2 4 3 3 2 2 2 4" xfId="37536"/>
    <cellStyle name="Normal 4 2 4 3 3 2 2 3" xfId="11221"/>
    <cellStyle name="Normal 4 2 4 3 3 2 2 3 2" xfId="26265"/>
    <cellStyle name="Normal 4 2 4 3 3 2 2 3 3" xfId="41308"/>
    <cellStyle name="Normal 4 2 4 3 3 2 2 4" xfId="18744"/>
    <cellStyle name="Normal 4 2 4 3 3 2 2 5" xfId="33787"/>
    <cellStyle name="Normal 4 2 4 3 3 2 3" xfId="5582"/>
    <cellStyle name="Normal 4 2 4 3 3 2 3 2" xfId="13105"/>
    <cellStyle name="Normal 4 2 4 3 3 2 3 2 2" xfId="28149"/>
    <cellStyle name="Normal 4 2 4 3 3 2 3 2 3" xfId="43192"/>
    <cellStyle name="Normal 4 2 4 3 3 2 3 3" xfId="20628"/>
    <cellStyle name="Normal 4 2 4 3 3 2 3 4" xfId="35671"/>
    <cellStyle name="Normal 4 2 4 3 3 2 4" xfId="9356"/>
    <cellStyle name="Normal 4 2 4 3 3 2 4 2" xfId="24400"/>
    <cellStyle name="Normal 4 2 4 3 3 2 4 3" xfId="39443"/>
    <cellStyle name="Normal 4 2 4 3 3 2 5" xfId="16879"/>
    <cellStyle name="Normal 4 2 4 3 3 2 6" xfId="31922"/>
    <cellStyle name="Normal 4 2 4 3 3 3" xfId="2720"/>
    <cellStyle name="Normal 4 2 4 3 3 3 2" xfId="6515"/>
    <cellStyle name="Normal 4 2 4 3 3 3 2 2" xfId="14038"/>
    <cellStyle name="Normal 4 2 4 3 3 3 2 2 2" xfId="29082"/>
    <cellStyle name="Normal 4 2 4 3 3 3 2 2 3" xfId="44125"/>
    <cellStyle name="Normal 4 2 4 3 3 3 2 3" xfId="21561"/>
    <cellStyle name="Normal 4 2 4 3 3 3 2 4" xfId="36604"/>
    <cellStyle name="Normal 4 2 4 3 3 3 3" xfId="10289"/>
    <cellStyle name="Normal 4 2 4 3 3 3 3 2" xfId="25333"/>
    <cellStyle name="Normal 4 2 4 3 3 3 3 3" xfId="40376"/>
    <cellStyle name="Normal 4 2 4 3 3 3 4" xfId="17812"/>
    <cellStyle name="Normal 4 2 4 3 3 3 5" xfId="32855"/>
    <cellStyle name="Normal 4 2 4 3 3 4" xfId="4650"/>
    <cellStyle name="Normal 4 2 4 3 3 4 2" xfId="12173"/>
    <cellStyle name="Normal 4 2 4 3 3 4 2 2" xfId="27217"/>
    <cellStyle name="Normal 4 2 4 3 3 4 2 3" xfId="42260"/>
    <cellStyle name="Normal 4 2 4 3 3 4 3" xfId="19696"/>
    <cellStyle name="Normal 4 2 4 3 3 4 4" xfId="34739"/>
    <cellStyle name="Normal 4 2 4 3 3 5" xfId="8424"/>
    <cellStyle name="Normal 4 2 4 3 3 5 2" xfId="23468"/>
    <cellStyle name="Normal 4 2 4 3 3 5 3" xfId="38511"/>
    <cellStyle name="Normal 4 2 4 3 3 6" xfId="15947"/>
    <cellStyle name="Normal 4 2 4 3 3 7" xfId="30990"/>
    <cellStyle name="Normal 4 2 4 3 4" xfId="1329"/>
    <cellStyle name="Normal 4 2 4 3 4 2" xfId="3200"/>
    <cellStyle name="Normal 4 2 4 3 4 2 2" xfId="6995"/>
    <cellStyle name="Normal 4 2 4 3 4 2 2 2" xfId="14518"/>
    <cellStyle name="Normal 4 2 4 3 4 2 2 2 2" xfId="29562"/>
    <cellStyle name="Normal 4 2 4 3 4 2 2 2 3" xfId="44605"/>
    <cellStyle name="Normal 4 2 4 3 4 2 2 3" xfId="22041"/>
    <cellStyle name="Normal 4 2 4 3 4 2 2 4" xfId="37084"/>
    <cellStyle name="Normal 4 2 4 3 4 2 3" xfId="10769"/>
    <cellStyle name="Normal 4 2 4 3 4 2 3 2" xfId="25813"/>
    <cellStyle name="Normal 4 2 4 3 4 2 3 3" xfId="40856"/>
    <cellStyle name="Normal 4 2 4 3 4 2 4" xfId="18292"/>
    <cellStyle name="Normal 4 2 4 3 4 2 5" xfId="33335"/>
    <cellStyle name="Normal 4 2 4 3 4 3" xfId="5130"/>
    <cellStyle name="Normal 4 2 4 3 4 3 2" xfId="12653"/>
    <cellStyle name="Normal 4 2 4 3 4 3 2 2" xfId="27697"/>
    <cellStyle name="Normal 4 2 4 3 4 3 2 3" xfId="42740"/>
    <cellStyle name="Normal 4 2 4 3 4 3 3" xfId="20176"/>
    <cellStyle name="Normal 4 2 4 3 4 3 4" xfId="35219"/>
    <cellStyle name="Normal 4 2 4 3 4 4" xfId="8904"/>
    <cellStyle name="Normal 4 2 4 3 4 4 2" xfId="23948"/>
    <cellStyle name="Normal 4 2 4 3 4 4 3" xfId="38991"/>
    <cellStyle name="Normal 4 2 4 3 4 5" xfId="16427"/>
    <cellStyle name="Normal 4 2 4 3 4 6" xfId="31470"/>
    <cellStyle name="Normal 4 2 4 3 5" xfId="2267"/>
    <cellStyle name="Normal 4 2 4 3 5 2" xfId="6063"/>
    <cellStyle name="Normal 4 2 4 3 5 2 2" xfId="13586"/>
    <cellStyle name="Normal 4 2 4 3 5 2 2 2" xfId="28630"/>
    <cellStyle name="Normal 4 2 4 3 5 2 2 3" xfId="43673"/>
    <cellStyle name="Normal 4 2 4 3 5 2 3" xfId="21109"/>
    <cellStyle name="Normal 4 2 4 3 5 2 4" xfId="36152"/>
    <cellStyle name="Normal 4 2 4 3 5 3" xfId="9837"/>
    <cellStyle name="Normal 4 2 4 3 5 3 2" xfId="24881"/>
    <cellStyle name="Normal 4 2 4 3 5 3 3" xfId="39924"/>
    <cellStyle name="Normal 4 2 4 3 5 4" xfId="17360"/>
    <cellStyle name="Normal 4 2 4 3 5 5" xfId="32403"/>
    <cellStyle name="Normal 4 2 4 3 6" xfId="4195"/>
    <cellStyle name="Normal 4 2 4 3 6 2" xfId="11719"/>
    <cellStyle name="Normal 4 2 4 3 6 2 2" xfId="26763"/>
    <cellStyle name="Normal 4 2 4 3 6 2 3" xfId="41806"/>
    <cellStyle name="Normal 4 2 4 3 6 3" xfId="19242"/>
    <cellStyle name="Normal 4 2 4 3 6 4" xfId="34285"/>
    <cellStyle name="Normal 4 2 4 3 7" xfId="7958"/>
    <cellStyle name="Normal 4 2 4 3 7 2" xfId="23002"/>
    <cellStyle name="Normal 4 2 4 3 7 3" xfId="38045"/>
    <cellStyle name="Normal 4 2 4 3 8" xfId="15481"/>
    <cellStyle name="Normal 4 2 4 3 9" xfId="30524"/>
    <cellStyle name="Normal 4 2 4 4" xfId="300"/>
    <cellStyle name="Normal 4 2 4 4 2" xfId="301"/>
    <cellStyle name="Normal 4 2 4 4 2 2" xfId="825"/>
    <cellStyle name="Normal 4 2 4 4 2 2 2" xfId="1784"/>
    <cellStyle name="Normal 4 2 4 4 2 2 2 2" xfId="3655"/>
    <cellStyle name="Normal 4 2 4 4 2 2 2 2 2" xfId="7450"/>
    <cellStyle name="Normal 4 2 4 4 2 2 2 2 2 2" xfId="14973"/>
    <cellStyle name="Normal 4 2 4 4 2 2 2 2 2 2 2" xfId="30017"/>
    <cellStyle name="Normal 4 2 4 4 2 2 2 2 2 2 3" xfId="45060"/>
    <cellStyle name="Normal 4 2 4 4 2 2 2 2 2 3" xfId="22496"/>
    <cellStyle name="Normal 4 2 4 4 2 2 2 2 2 4" xfId="37539"/>
    <cellStyle name="Normal 4 2 4 4 2 2 2 2 3" xfId="11224"/>
    <cellStyle name="Normal 4 2 4 4 2 2 2 2 3 2" xfId="26268"/>
    <cellStyle name="Normal 4 2 4 4 2 2 2 2 3 3" xfId="41311"/>
    <cellStyle name="Normal 4 2 4 4 2 2 2 2 4" xfId="18747"/>
    <cellStyle name="Normal 4 2 4 4 2 2 2 2 5" xfId="33790"/>
    <cellStyle name="Normal 4 2 4 4 2 2 2 3" xfId="5585"/>
    <cellStyle name="Normal 4 2 4 4 2 2 2 3 2" xfId="13108"/>
    <cellStyle name="Normal 4 2 4 4 2 2 2 3 2 2" xfId="28152"/>
    <cellStyle name="Normal 4 2 4 4 2 2 2 3 2 3" xfId="43195"/>
    <cellStyle name="Normal 4 2 4 4 2 2 2 3 3" xfId="20631"/>
    <cellStyle name="Normal 4 2 4 4 2 2 2 3 4" xfId="35674"/>
    <cellStyle name="Normal 4 2 4 4 2 2 2 4" xfId="9359"/>
    <cellStyle name="Normal 4 2 4 4 2 2 2 4 2" xfId="24403"/>
    <cellStyle name="Normal 4 2 4 4 2 2 2 4 3" xfId="39446"/>
    <cellStyle name="Normal 4 2 4 4 2 2 2 5" xfId="16882"/>
    <cellStyle name="Normal 4 2 4 4 2 2 2 6" xfId="31925"/>
    <cellStyle name="Normal 4 2 4 4 2 2 3" xfId="2723"/>
    <cellStyle name="Normal 4 2 4 4 2 2 3 2" xfId="6518"/>
    <cellStyle name="Normal 4 2 4 4 2 2 3 2 2" xfId="14041"/>
    <cellStyle name="Normal 4 2 4 4 2 2 3 2 2 2" xfId="29085"/>
    <cellStyle name="Normal 4 2 4 4 2 2 3 2 2 3" xfId="44128"/>
    <cellStyle name="Normal 4 2 4 4 2 2 3 2 3" xfId="21564"/>
    <cellStyle name="Normal 4 2 4 4 2 2 3 2 4" xfId="36607"/>
    <cellStyle name="Normal 4 2 4 4 2 2 3 3" xfId="10292"/>
    <cellStyle name="Normal 4 2 4 4 2 2 3 3 2" xfId="25336"/>
    <cellStyle name="Normal 4 2 4 4 2 2 3 3 3" xfId="40379"/>
    <cellStyle name="Normal 4 2 4 4 2 2 3 4" xfId="17815"/>
    <cellStyle name="Normal 4 2 4 4 2 2 3 5" xfId="32858"/>
    <cellStyle name="Normal 4 2 4 4 2 2 4" xfId="4653"/>
    <cellStyle name="Normal 4 2 4 4 2 2 4 2" xfId="12176"/>
    <cellStyle name="Normal 4 2 4 4 2 2 4 2 2" xfId="27220"/>
    <cellStyle name="Normal 4 2 4 4 2 2 4 2 3" xfId="42263"/>
    <cellStyle name="Normal 4 2 4 4 2 2 4 3" xfId="19699"/>
    <cellStyle name="Normal 4 2 4 4 2 2 4 4" xfId="34742"/>
    <cellStyle name="Normal 4 2 4 4 2 2 5" xfId="8427"/>
    <cellStyle name="Normal 4 2 4 4 2 2 5 2" xfId="23471"/>
    <cellStyle name="Normal 4 2 4 4 2 2 5 3" xfId="38514"/>
    <cellStyle name="Normal 4 2 4 4 2 2 6" xfId="15950"/>
    <cellStyle name="Normal 4 2 4 4 2 2 7" xfId="30993"/>
    <cellStyle name="Normal 4 2 4 4 2 3" xfId="1332"/>
    <cellStyle name="Normal 4 2 4 4 2 3 2" xfId="3203"/>
    <cellStyle name="Normal 4 2 4 4 2 3 2 2" xfId="6998"/>
    <cellStyle name="Normal 4 2 4 4 2 3 2 2 2" xfId="14521"/>
    <cellStyle name="Normal 4 2 4 4 2 3 2 2 2 2" xfId="29565"/>
    <cellStyle name="Normal 4 2 4 4 2 3 2 2 2 3" xfId="44608"/>
    <cellStyle name="Normal 4 2 4 4 2 3 2 2 3" xfId="22044"/>
    <cellStyle name="Normal 4 2 4 4 2 3 2 2 4" xfId="37087"/>
    <cellStyle name="Normal 4 2 4 4 2 3 2 3" xfId="10772"/>
    <cellStyle name="Normal 4 2 4 4 2 3 2 3 2" xfId="25816"/>
    <cellStyle name="Normal 4 2 4 4 2 3 2 3 3" xfId="40859"/>
    <cellStyle name="Normal 4 2 4 4 2 3 2 4" xfId="18295"/>
    <cellStyle name="Normal 4 2 4 4 2 3 2 5" xfId="33338"/>
    <cellStyle name="Normal 4 2 4 4 2 3 3" xfId="5133"/>
    <cellStyle name="Normal 4 2 4 4 2 3 3 2" xfId="12656"/>
    <cellStyle name="Normal 4 2 4 4 2 3 3 2 2" xfId="27700"/>
    <cellStyle name="Normal 4 2 4 4 2 3 3 2 3" xfId="42743"/>
    <cellStyle name="Normal 4 2 4 4 2 3 3 3" xfId="20179"/>
    <cellStyle name="Normal 4 2 4 4 2 3 3 4" xfId="35222"/>
    <cellStyle name="Normal 4 2 4 4 2 3 4" xfId="8907"/>
    <cellStyle name="Normal 4 2 4 4 2 3 4 2" xfId="23951"/>
    <cellStyle name="Normal 4 2 4 4 2 3 4 3" xfId="38994"/>
    <cellStyle name="Normal 4 2 4 4 2 3 5" xfId="16430"/>
    <cellStyle name="Normal 4 2 4 4 2 3 6" xfId="31473"/>
    <cellStyle name="Normal 4 2 4 4 2 4" xfId="2270"/>
    <cellStyle name="Normal 4 2 4 4 2 4 2" xfId="6066"/>
    <cellStyle name="Normal 4 2 4 4 2 4 2 2" xfId="13589"/>
    <cellStyle name="Normal 4 2 4 4 2 4 2 2 2" xfId="28633"/>
    <cellStyle name="Normal 4 2 4 4 2 4 2 2 3" xfId="43676"/>
    <cellStyle name="Normal 4 2 4 4 2 4 2 3" xfId="21112"/>
    <cellStyle name="Normal 4 2 4 4 2 4 2 4" xfId="36155"/>
    <cellStyle name="Normal 4 2 4 4 2 4 3" xfId="9840"/>
    <cellStyle name="Normal 4 2 4 4 2 4 3 2" xfId="24884"/>
    <cellStyle name="Normal 4 2 4 4 2 4 3 3" xfId="39927"/>
    <cellStyle name="Normal 4 2 4 4 2 4 4" xfId="17363"/>
    <cellStyle name="Normal 4 2 4 4 2 4 5" xfId="32406"/>
    <cellStyle name="Normal 4 2 4 4 2 5" xfId="4198"/>
    <cellStyle name="Normal 4 2 4 4 2 5 2" xfId="11722"/>
    <cellStyle name="Normal 4 2 4 4 2 5 2 2" xfId="26766"/>
    <cellStyle name="Normal 4 2 4 4 2 5 2 3" xfId="41809"/>
    <cellStyle name="Normal 4 2 4 4 2 5 3" xfId="19245"/>
    <cellStyle name="Normal 4 2 4 4 2 5 4" xfId="34288"/>
    <cellStyle name="Normal 4 2 4 4 2 6" xfId="7961"/>
    <cellStyle name="Normal 4 2 4 4 2 6 2" xfId="23005"/>
    <cellStyle name="Normal 4 2 4 4 2 6 3" xfId="38048"/>
    <cellStyle name="Normal 4 2 4 4 2 7" xfId="15484"/>
    <cellStyle name="Normal 4 2 4 4 2 8" xfId="30527"/>
    <cellStyle name="Normal 4 2 4 4 3" xfId="824"/>
    <cellStyle name="Normal 4 2 4 4 3 2" xfId="1783"/>
    <cellStyle name="Normal 4 2 4 4 3 2 2" xfId="3654"/>
    <cellStyle name="Normal 4 2 4 4 3 2 2 2" xfId="7449"/>
    <cellStyle name="Normal 4 2 4 4 3 2 2 2 2" xfId="14972"/>
    <cellStyle name="Normal 4 2 4 4 3 2 2 2 2 2" xfId="30016"/>
    <cellStyle name="Normal 4 2 4 4 3 2 2 2 2 3" xfId="45059"/>
    <cellStyle name="Normal 4 2 4 4 3 2 2 2 3" xfId="22495"/>
    <cellStyle name="Normal 4 2 4 4 3 2 2 2 4" xfId="37538"/>
    <cellStyle name="Normal 4 2 4 4 3 2 2 3" xfId="11223"/>
    <cellStyle name="Normal 4 2 4 4 3 2 2 3 2" xfId="26267"/>
    <cellStyle name="Normal 4 2 4 4 3 2 2 3 3" xfId="41310"/>
    <cellStyle name="Normal 4 2 4 4 3 2 2 4" xfId="18746"/>
    <cellStyle name="Normal 4 2 4 4 3 2 2 5" xfId="33789"/>
    <cellStyle name="Normal 4 2 4 4 3 2 3" xfId="5584"/>
    <cellStyle name="Normal 4 2 4 4 3 2 3 2" xfId="13107"/>
    <cellStyle name="Normal 4 2 4 4 3 2 3 2 2" xfId="28151"/>
    <cellStyle name="Normal 4 2 4 4 3 2 3 2 3" xfId="43194"/>
    <cellStyle name="Normal 4 2 4 4 3 2 3 3" xfId="20630"/>
    <cellStyle name="Normal 4 2 4 4 3 2 3 4" xfId="35673"/>
    <cellStyle name="Normal 4 2 4 4 3 2 4" xfId="9358"/>
    <cellStyle name="Normal 4 2 4 4 3 2 4 2" xfId="24402"/>
    <cellStyle name="Normal 4 2 4 4 3 2 4 3" xfId="39445"/>
    <cellStyle name="Normal 4 2 4 4 3 2 5" xfId="16881"/>
    <cellStyle name="Normal 4 2 4 4 3 2 6" xfId="31924"/>
    <cellStyle name="Normal 4 2 4 4 3 3" xfId="2722"/>
    <cellStyle name="Normal 4 2 4 4 3 3 2" xfId="6517"/>
    <cellStyle name="Normal 4 2 4 4 3 3 2 2" xfId="14040"/>
    <cellStyle name="Normal 4 2 4 4 3 3 2 2 2" xfId="29084"/>
    <cellStyle name="Normal 4 2 4 4 3 3 2 2 3" xfId="44127"/>
    <cellStyle name="Normal 4 2 4 4 3 3 2 3" xfId="21563"/>
    <cellStyle name="Normal 4 2 4 4 3 3 2 4" xfId="36606"/>
    <cellStyle name="Normal 4 2 4 4 3 3 3" xfId="10291"/>
    <cellStyle name="Normal 4 2 4 4 3 3 3 2" xfId="25335"/>
    <cellStyle name="Normal 4 2 4 4 3 3 3 3" xfId="40378"/>
    <cellStyle name="Normal 4 2 4 4 3 3 4" xfId="17814"/>
    <cellStyle name="Normal 4 2 4 4 3 3 5" xfId="32857"/>
    <cellStyle name="Normal 4 2 4 4 3 4" xfId="4652"/>
    <cellStyle name="Normal 4 2 4 4 3 4 2" xfId="12175"/>
    <cellStyle name="Normal 4 2 4 4 3 4 2 2" xfId="27219"/>
    <cellStyle name="Normal 4 2 4 4 3 4 2 3" xfId="42262"/>
    <cellStyle name="Normal 4 2 4 4 3 4 3" xfId="19698"/>
    <cellStyle name="Normal 4 2 4 4 3 4 4" xfId="34741"/>
    <cellStyle name="Normal 4 2 4 4 3 5" xfId="8426"/>
    <cellStyle name="Normal 4 2 4 4 3 5 2" xfId="23470"/>
    <cellStyle name="Normal 4 2 4 4 3 5 3" xfId="38513"/>
    <cellStyle name="Normal 4 2 4 4 3 6" xfId="15949"/>
    <cellStyle name="Normal 4 2 4 4 3 7" xfId="30992"/>
    <cellStyle name="Normal 4 2 4 4 4" xfId="1331"/>
    <cellStyle name="Normal 4 2 4 4 4 2" xfId="3202"/>
    <cellStyle name="Normal 4 2 4 4 4 2 2" xfId="6997"/>
    <cellStyle name="Normal 4 2 4 4 4 2 2 2" xfId="14520"/>
    <cellStyle name="Normal 4 2 4 4 4 2 2 2 2" xfId="29564"/>
    <cellStyle name="Normal 4 2 4 4 4 2 2 2 3" xfId="44607"/>
    <cellStyle name="Normal 4 2 4 4 4 2 2 3" xfId="22043"/>
    <cellStyle name="Normal 4 2 4 4 4 2 2 4" xfId="37086"/>
    <cellStyle name="Normal 4 2 4 4 4 2 3" xfId="10771"/>
    <cellStyle name="Normal 4 2 4 4 4 2 3 2" xfId="25815"/>
    <cellStyle name="Normal 4 2 4 4 4 2 3 3" xfId="40858"/>
    <cellStyle name="Normal 4 2 4 4 4 2 4" xfId="18294"/>
    <cellStyle name="Normal 4 2 4 4 4 2 5" xfId="33337"/>
    <cellStyle name="Normal 4 2 4 4 4 3" xfId="5132"/>
    <cellStyle name="Normal 4 2 4 4 4 3 2" xfId="12655"/>
    <cellStyle name="Normal 4 2 4 4 4 3 2 2" xfId="27699"/>
    <cellStyle name="Normal 4 2 4 4 4 3 2 3" xfId="42742"/>
    <cellStyle name="Normal 4 2 4 4 4 3 3" xfId="20178"/>
    <cellStyle name="Normal 4 2 4 4 4 3 4" xfId="35221"/>
    <cellStyle name="Normal 4 2 4 4 4 4" xfId="8906"/>
    <cellStyle name="Normal 4 2 4 4 4 4 2" xfId="23950"/>
    <cellStyle name="Normal 4 2 4 4 4 4 3" xfId="38993"/>
    <cellStyle name="Normal 4 2 4 4 4 5" xfId="16429"/>
    <cellStyle name="Normal 4 2 4 4 4 6" xfId="31472"/>
    <cellStyle name="Normal 4 2 4 4 5" xfId="2269"/>
    <cellStyle name="Normal 4 2 4 4 5 2" xfId="6065"/>
    <cellStyle name="Normal 4 2 4 4 5 2 2" xfId="13588"/>
    <cellStyle name="Normal 4 2 4 4 5 2 2 2" xfId="28632"/>
    <cellStyle name="Normal 4 2 4 4 5 2 2 3" xfId="43675"/>
    <cellStyle name="Normal 4 2 4 4 5 2 3" xfId="21111"/>
    <cellStyle name="Normal 4 2 4 4 5 2 4" xfId="36154"/>
    <cellStyle name="Normal 4 2 4 4 5 3" xfId="9839"/>
    <cellStyle name="Normal 4 2 4 4 5 3 2" xfId="24883"/>
    <cellStyle name="Normal 4 2 4 4 5 3 3" xfId="39926"/>
    <cellStyle name="Normal 4 2 4 4 5 4" xfId="17362"/>
    <cellStyle name="Normal 4 2 4 4 5 5" xfId="32405"/>
    <cellStyle name="Normal 4 2 4 4 6" xfId="4197"/>
    <cellStyle name="Normal 4 2 4 4 6 2" xfId="11721"/>
    <cellStyle name="Normal 4 2 4 4 6 2 2" xfId="26765"/>
    <cellStyle name="Normal 4 2 4 4 6 2 3" xfId="41808"/>
    <cellStyle name="Normal 4 2 4 4 6 3" xfId="19244"/>
    <cellStyle name="Normal 4 2 4 4 6 4" xfId="34287"/>
    <cellStyle name="Normal 4 2 4 4 7" xfId="7960"/>
    <cellStyle name="Normal 4 2 4 4 7 2" xfId="23004"/>
    <cellStyle name="Normal 4 2 4 4 7 3" xfId="38047"/>
    <cellStyle name="Normal 4 2 4 4 8" xfId="15483"/>
    <cellStyle name="Normal 4 2 4 4 9" xfId="30526"/>
    <cellStyle name="Normal 4 2 4 5" xfId="302"/>
    <cellStyle name="Normal 4 2 4 5 2" xfId="826"/>
    <cellStyle name="Normal 4 2 4 5 2 2" xfId="1785"/>
    <cellStyle name="Normal 4 2 4 5 2 2 2" xfId="3656"/>
    <cellStyle name="Normal 4 2 4 5 2 2 2 2" xfId="7451"/>
    <cellStyle name="Normal 4 2 4 5 2 2 2 2 2" xfId="14974"/>
    <cellStyle name="Normal 4 2 4 5 2 2 2 2 2 2" xfId="30018"/>
    <cellStyle name="Normal 4 2 4 5 2 2 2 2 2 3" xfId="45061"/>
    <cellStyle name="Normal 4 2 4 5 2 2 2 2 3" xfId="22497"/>
    <cellStyle name="Normal 4 2 4 5 2 2 2 2 4" xfId="37540"/>
    <cellStyle name="Normal 4 2 4 5 2 2 2 3" xfId="11225"/>
    <cellStyle name="Normal 4 2 4 5 2 2 2 3 2" xfId="26269"/>
    <cellStyle name="Normal 4 2 4 5 2 2 2 3 3" xfId="41312"/>
    <cellStyle name="Normal 4 2 4 5 2 2 2 4" xfId="18748"/>
    <cellStyle name="Normal 4 2 4 5 2 2 2 5" xfId="33791"/>
    <cellStyle name="Normal 4 2 4 5 2 2 3" xfId="5586"/>
    <cellStyle name="Normal 4 2 4 5 2 2 3 2" xfId="13109"/>
    <cellStyle name="Normal 4 2 4 5 2 2 3 2 2" xfId="28153"/>
    <cellStyle name="Normal 4 2 4 5 2 2 3 2 3" xfId="43196"/>
    <cellStyle name="Normal 4 2 4 5 2 2 3 3" xfId="20632"/>
    <cellStyle name="Normal 4 2 4 5 2 2 3 4" xfId="35675"/>
    <cellStyle name="Normal 4 2 4 5 2 2 4" xfId="9360"/>
    <cellStyle name="Normal 4 2 4 5 2 2 4 2" xfId="24404"/>
    <cellStyle name="Normal 4 2 4 5 2 2 4 3" xfId="39447"/>
    <cellStyle name="Normal 4 2 4 5 2 2 5" xfId="16883"/>
    <cellStyle name="Normal 4 2 4 5 2 2 6" xfId="31926"/>
    <cellStyle name="Normal 4 2 4 5 2 3" xfId="2724"/>
    <cellStyle name="Normal 4 2 4 5 2 3 2" xfId="6519"/>
    <cellStyle name="Normal 4 2 4 5 2 3 2 2" xfId="14042"/>
    <cellStyle name="Normal 4 2 4 5 2 3 2 2 2" xfId="29086"/>
    <cellStyle name="Normal 4 2 4 5 2 3 2 2 3" xfId="44129"/>
    <cellStyle name="Normal 4 2 4 5 2 3 2 3" xfId="21565"/>
    <cellStyle name="Normal 4 2 4 5 2 3 2 4" xfId="36608"/>
    <cellStyle name="Normal 4 2 4 5 2 3 3" xfId="10293"/>
    <cellStyle name="Normal 4 2 4 5 2 3 3 2" xfId="25337"/>
    <cellStyle name="Normal 4 2 4 5 2 3 3 3" xfId="40380"/>
    <cellStyle name="Normal 4 2 4 5 2 3 4" xfId="17816"/>
    <cellStyle name="Normal 4 2 4 5 2 3 5" xfId="32859"/>
    <cellStyle name="Normal 4 2 4 5 2 4" xfId="4654"/>
    <cellStyle name="Normal 4 2 4 5 2 4 2" xfId="12177"/>
    <cellStyle name="Normal 4 2 4 5 2 4 2 2" xfId="27221"/>
    <cellStyle name="Normal 4 2 4 5 2 4 2 3" xfId="42264"/>
    <cellStyle name="Normal 4 2 4 5 2 4 3" xfId="19700"/>
    <cellStyle name="Normal 4 2 4 5 2 4 4" xfId="34743"/>
    <cellStyle name="Normal 4 2 4 5 2 5" xfId="8428"/>
    <cellStyle name="Normal 4 2 4 5 2 5 2" xfId="23472"/>
    <cellStyle name="Normal 4 2 4 5 2 5 3" xfId="38515"/>
    <cellStyle name="Normal 4 2 4 5 2 6" xfId="15951"/>
    <cellStyle name="Normal 4 2 4 5 2 7" xfId="30994"/>
    <cellStyle name="Normal 4 2 4 5 3" xfId="1333"/>
    <cellStyle name="Normal 4 2 4 5 3 2" xfId="3204"/>
    <cellStyle name="Normal 4 2 4 5 3 2 2" xfId="6999"/>
    <cellStyle name="Normal 4 2 4 5 3 2 2 2" xfId="14522"/>
    <cellStyle name="Normal 4 2 4 5 3 2 2 2 2" xfId="29566"/>
    <cellStyle name="Normal 4 2 4 5 3 2 2 2 3" xfId="44609"/>
    <cellStyle name="Normal 4 2 4 5 3 2 2 3" xfId="22045"/>
    <cellStyle name="Normal 4 2 4 5 3 2 2 4" xfId="37088"/>
    <cellStyle name="Normal 4 2 4 5 3 2 3" xfId="10773"/>
    <cellStyle name="Normal 4 2 4 5 3 2 3 2" xfId="25817"/>
    <cellStyle name="Normal 4 2 4 5 3 2 3 3" xfId="40860"/>
    <cellStyle name="Normal 4 2 4 5 3 2 4" xfId="18296"/>
    <cellStyle name="Normal 4 2 4 5 3 2 5" xfId="33339"/>
    <cellStyle name="Normal 4 2 4 5 3 3" xfId="5134"/>
    <cellStyle name="Normal 4 2 4 5 3 3 2" xfId="12657"/>
    <cellStyle name="Normal 4 2 4 5 3 3 2 2" xfId="27701"/>
    <cellStyle name="Normal 4 2 4 5 3 3 2 3" xfId="42744"/>
    <cellStyle name="Normal 4 2 4 5 3 3 3" xfId="20180"/>
    <cellStyle name="Normal 4 2 4 5 3 3 4" xfId="35223"/>
    <cellStyle name="Normal 4 2 4 5 3 4" xfId="8908"/>
    <cellStyle name="Normal 4 2 4 5 3 4 2" xfId="23952"/>
    <cellStyle name="Normal 4 2 4 5 3 4 3" xfId="38995"/>
    <cellStyle name="Normal 4 2 4 5 3 5" xfId="16431"/>
    <cellStyle name="Normal 4 2 4 5 3 6" xfId="31474"/>
    <cellStyle name="Normal 4 2 4 5 4" xfId="2271"/>
    <cellStyle name="Normal 4 2 4 5 4 2" xfId="6067"/>
    <cellStyle name="Normal 4 2 4 5 4 2 2" xfId="13590"/>
    <cellStyle name="Normal 4 2 4 5 4 2 2 2" xfId="28634"/>
    <cellStyle name="Normal 4 2 4 5 4 2 2 3" xfId="43677"/>
    <cellStyle name="Normal 4 2 4 5 4 2 3" xfId="21113"/>
    <cellStyle name="Normal 4 2 4 5 4 2 4" xfId="36156"/>
    <cellStyle name="Normal 4 2 4 5 4 3" xfId="9841"/>
    <cellStyle name="Normal 4 2 4 5 4 3 2" xfId="24885"/>
    <cellStyle name="Normal 4 2 4 5 4 3 3" xfId="39928"/>
    <cellStyle name="Normal 4 2 4 5 4 4" xfId="17364"/>
    <cellStyle name="Normal 4 2 4 5 4 5" xfId="32407"/>
    <cellStyle name="Normal 4 2 4 5 5" xfId="4199"/>
    <cellStyle name="Normal 4 2 4 5 5 2" xfId="11723"/>
    <cellStyle name="Normal 4 2 4 5 5 2 2" xfId="26767"/>
    <cellStyle name="Normal 4 2 4 5 5 2 3" xfId="41810"/>
    <cellStyle name="Normal 4 2 4 5 5 3" xfId="19246"/>
    <cellStyle name="Normal 4 2 4 5 5 4" xfId="34289"/>
    <cellStyle name="Normal 4 2 4 5 6" xfId="7962"/>
    <cellStyle name="Normal 4 2 4 5 6 2" xfId="23006"/>
    <cellStyle name="Normal 4 2 4 5 6 3" xfId="38049"/>
    <cellStyle name="Normal 4 2 4 5 7" xfId="15485"/>
    <cellStyle name="Normal 4 2 4 5 8" xfId="30528"/>
    <cellStyle name="Normal 4 2 4 6" xfId="815"/>
    <cellStyle name="Normal 4 2 4 6 2" xfId="1774"/>
    <cellStyle name="Normal 4 2 4 6 2 2" xfId="3645"/>
    <cellStyle name="Normal 4 2 4 6 2 2 2" xfId="7440"/>
    <cellStyle name="Normal 4 2 4 6 2 2 2 2" xfId="14963"/>
    <cellStyle name="Normal 4 2 4 6 2 2 2 2 2" xfId="30007"/>
    <cellStyle name="Normal 4 2 4 6 2 2 2 2 3" xfId="45050"/>
    <cellStyle name="Normal 4 2 4 6 2 2 2 3" xfId="22486"/>
    <cellStyle name="Normal 4 2 4 6 2 2 2 4" xfId="37529"/>
    <cellStyle name="Normal 4 2 4 6 2 2 3" xfId="11214"/>
    <cellStyle name="Normal 4 2 4 6 2 2 3 2" xfId="26258"/>
    <cellStyle name="Normal 4 2 4 6 2 2 3 3" xfId="41301"/>
    <cellStyle name="Normal 4 2 4 6 2 2 4" xfId="18737"/>
    <cellStyle name="Normal 4 2 4 6 2 2 5" xfId="33780"/>
    <cellStyle name="Normal 4 2 4 6 2 3" xfId="5575"/>
    <cellStyle name="Normal 4 2 4 6 2 3 2" xfId="13098"/>
    <cellStyle name="Normal 4 2 4 6 2 3 2 2" xfId="28142"/>
    <cellStyle name="Normal 4 2 4 6 2 3 2 3" xfId="43185"/>
    <cellStyle name="Normal 4 2 4 6 2 3 3" xfId="20621"/>
    <cellStyle name="Normal 4 2 4 6 2 3 4" xfId="35664"/>
    <cellStyle name="Normal 4 2 4 6 2 4" xfId="9349"/>
    <cellStyle name="Normal 4 2 4 6 2 4 2" xfId="24393"/>
    <cellStyle name="Normal 4 2 4 6 2 4 3" xfId="39436"/>
    <cellStyle name="Normal 4 2 4 6 2 5" xfId="16872"/>
    <cellStyle name="Normal 4 2 4 6 2 6" xfId="31915"/>
    <cellStyle name="Normal 4 2 4 6 3" xfId="2713"/>
    <cellStyle name="Normal 4 2 4 6 3 2" xfId="6508"/>
    <cellStyle name="Normal 4 2 4 6 3 2 2" xfId="14031"/>
    <cellStyle name="Normal 4 2 4 6 3 2 2 2" xfId="29075"/>
    <cellStyle name="Normal 4 2 4 6 3 2 2 3" xfId="44118"/>
    <cellStyle name="Normal 4 2 4 6 3 2 3" xfId="21554"/>
    <cellStyle name="Normal 4 2 4 6 3 2 4" xfId="36597"/>
    <cellStyle name="Normal 4 2 4 6 3 3" xfId="10282"/>
    <cellStyle name="Normal 4 2 4 6 3 3 2" xfId="25326"/>
    <cellStyle name="Normal 4 2 4 6 3 3 3" xfId="40369"/>
    <cellStyle name="Normal 4 2 4 6 3 4" xfId="17805"/>
    <cellStyle name="Normal 4 2 4 6 3 5" xfId="32848"/>
    <cellStyle name="Normal 4 2 4 6 4" xfId="4643"/>
    <cellStyle name="Normal 4 2 4 6 4 2" xfId="12166"/>
    <cellStyle name="Normal 4 2 4 6 4 2 2" xfId="27210"/>
    <cellStyle name="Normal 4 2 4 6 4 2 3" xfId="42253"/>
    <cellStyle name="Normal 4 2 4 6 4 3" xfId="19689"/>
    <cellStyle name="Normal 4 2 4 6 4 4" xfId="34732"/>
    <cellStyle name="Normal 4 2 4 6 5" xfId="8417"/>
    <cellStyle name="Normal 4 2 4 6 5 2" xfId="23461"/>
    <cellStyle name="Normal 4 2 4 6 5 3" xfId="38504"/>
    <cellStyle name="Normal 4 2 4 6 6" xfId="15940"/>
    <cellStyle name="Normal 4 2 4 6 7" xfId="30983"/>
    <cellStyle name="Normal 4 2 4 7" xfId="1322"/>
    <cellStyle name="Normal 4 2 4 7 2" xfId="3193"/>
    <cellStyle name="Normal 4 2 4 7 2 2" xfId="6988"/>
    <cellStyle name="Normal 4 2 4 7 2 2 2" xfId="14511"/>
    <cellStyle name="Normal 4 2 4 7 2 2 2 2" xfId="29555"/>
    <cellStyle name="Normal 4 2 4 7 2 2 2 3" xfId="44598"/>
    <cellStyle name="Normal 4 2 4 7 2 2 3" xfId="22034"/>
    <cellStyle name="Normal 4 2 4 7 2 2 4" xfId="37077"/>
    <cellStyle name="Normal 4 2 4 7 2 3" xfId="10762"/>
    <cellStyle name="Normal 4 2 4 7 2 3 2" xfId="25806"/>
    <cellStyle name="Normal 4 2 4 7 2 3 3" xfId="40849"/>
    <cellStyle name="Normal 4 2 4 7 2 4" xfId="18285"/>
    <cellStyle name="Normal 4 2 4 7 2 5" xfId="33328"/>
    <cellStyle name="Normal 4 2 4 7 3" xfId="5123"/>
    <cellStyle name="Normal 4 2 4 7 3 2" xfId="12646"/>
    <cellStyle name="Normal 4 2 4 7 3 2 2" xfId="27690"/>
    <cellStyle name="Normal 4 2 4 7 3 2 3" xfId="42733"/>
    <cellStyle name="Normal 4 2 4 7 3 3" xfId="20169"/>
    <cellStyle name="Normal 4 2 4 7 3 4" xfId="35212"/>
    <cellStyle name="Normal 4 2 4 7 4" xfId="8897"/>
    <cellStyle name="Normal 4 2 4 7 4 2" xfId="23941"/>
    <cellStyle name="Normal 4 2 4 7 4 3" xfId="38984"/>
    <cellStyle name="Normal 4 2 4 7 5" xfId="16420"/>
    <cellStyle name="Normal 4 2 4 7 6" xfId="31463"/>
    <cellStyle name="Normal 4 2 4 8" xfId="2260"/>
    <cellStyle name="Normal 4 2 4 8 2" xfId="6056"/>
    <cellStyle name="Normal 4 2 4 8 2 2" xfId="13579"/>
    <cellStyle name="Normal 4 2 4 8 2 2 2" xfId="28623"/>
    <cellStyle name="Normal 4 2 4 8 2 2 3" xfId="43666"/>
    <cellStyle name="Normal 4 2 4 8 2 3" xfId="21102"/>
    <cellStyle name="Normal 4 2 4 8 2 4" xfId="36145"/>
    <cellStyle name="Normal 4 2 4 8 3" xfId="9830"/>
    <cellStyle name="Normal 4 2 4 8 3 2" xfId="24874"/>
    <cellStyle name="Normal 4 2 4 8 3 3" xfId="39917"/>
    <cellStyle name="Normal 4 2 4 8 4" xfId="17353"/>
    <cellStyle name="Normal 4 2 4 8 5" xfId="32396"/>
    <cellStyle name="Normal 4 2 4 9" xfId="4188"/>
    <cellStyle name="Normal 4 2 4 9 2" xfId="11712"/>
    <cellStyle name="Normal 4 2 4 9 2 2" xfId="26756"/>
    <cellStyle name="Normal 4 2 4 9 2 3" xfId="41799"/>
    <cellStyle name="Normal 4 2 4 9 3" xfId="19235"/>
    <cellStyle name="Normal 4 2 4 9 4" xfId="34278"/>
    <cellStyle name="Normal 4 2 5" xfId="303"/>
    <cellStyle name="Normal 4 2 5 10" xfId="15486"/>
    <cellStyle name="Normal 4 2 5 11" xfId="30529"/>
    <cellStyle name="Normal 4 2 5 2" xfId="304"/>
    <cellStyle name="Normal 4 2 5 2 2" xfId="305"/>
    <cellStyle name="Normal 4 2 5 2 2 2" xfId="829"/>
    <cellStyle name="Normal 4 2 5 2 2 2 2" xfId="1788"/>
    <cellStyle name="Normal 4 2 5 2 2 2 2 2" xfId="3659"/>
    <cellStyle name="Normal 4 2 5 2 2 2 2 2 2" xfId="7454"/>
    <cellStyle name="Normal 4 2 5 2 2 2 2 2 2 2" xfId="14977"/>
    <cellStyle name="Normal 4 2 5 2 2 2 2 2 2 2 2" xfId="30021"/>
    <cellStyle name="Normal 4 2 5 2 2 2 2 2 2 2 3" xfId="45064"/>
    <cellStyle name="Normal 4 2 5 2 2 2 2 2 2 3" xfId="22500"/>
    <cellStyle name="Normal 4 2 5 2 2 2 2 2 2 4" xfId="37543"/>
    <cellStyle name="Normal 4 2 5 2 2 2 2 2 3" xfId="11228"/>
    <cellStyle name="Normal 4 2 5 2 2 2 2 2 3 2" xfId="26272"/>
    <cellStyle name="Normal 4 2 5 2 2 2 2 2 3 3" xfId="41315"/>
    <cellStyle name="Normal 4 2 5 2 2 2 2 2 4" xfId="18751"/>
    <cellStyle name="Normal 4 2 5 2 2 2 2 2 5" xfId="33794"/>
    <cellStyle name="Normal 4 2 5 2 2 2 2 3" xfId="5589"/>
    <cellStyle name="Normal 4 2 5 2 2 2 2 3 2" xfId="13112"/>
    <cellStyle name="Normal 4 2 5 2 2 2 2 3 2 2" xfId="28156"/>
    <cellStyle name="Normal 4 2 5 2 2 2 2 3 2 3" xfId="43199"/>
    <cellStyle name="Normal 4 2 5 2 2 2 2 3 3" xfId="20635"/>
    <cellStyle name="Normal 4 2 5 2 2 2 2 3 4" xfId="35678"/>
    <cellStyle name="Normal 4 2 5 2 2 2 2 4" xfId="9363"/>
    <cellStyle name="Normal 4 2 5 2 2 2 2 4 2" xfId="24407"/>
    <cellStyle name="Normal 4 2 5 2 2 2 2 4 3" xfId="39450"/>
    <cellStyle name="Normal 4 2 5 2 2 2 2 5" xfId="16886"/>
    <cellStyle name="Normal 4 2 5 2 2 2 2 6" xfId="31929"/>
    <cellStyle name="Normal 4 2 5 2 2 2 3" xfId="2727"/>
    <cellStyle name="Normal 4 2 5 2 2 2 3 2" xfId="6522"/>
    <cellStyle name="Normal 4 2 5 2 2 2 3 2 2" xfId="14045"/>
    <cellStyle name="Normal 4 2 5 2 2 2 3 2 2 2" xfId="29089"/>
    <cellStyle name="Normal 4 2 5 2 2 2 3 2 2 3" xfId="44132"/>
    <cellStyle name="Normal 4 2 5 2 2 2 3 2 3" xfId="21568"/>
    <cellStyle name="Normal 4 2 5 2 2 2 3 2 4" xfId="36611"/>
    <cellStyle name="Normal 4 2 5 2 2 2 3 3" xfId="10296"/>
    <cellStyle name="Normal 4 2 5 2 2 2 3 3 2" xfId="25340"/>
    <cellStyle name="Normal 4 2 5 2 2 2 3 3 3" xfId="40383"/>
    <cellStyle name="Normal 4 2 5 2 2 2 3 4" xfId="17819"/>
    <cellStyle name="Normal 4 2 5 2 2 2 3 5" xfId="32862"/>
    <cellStyle name="Normal 4 2 5 2 2 2 4" xfId="4657"/>
    <cellStyle name="Normal 4 2 5 2 2 2 4 2" xfId="12180"/>
    <cellStyle name="Normal 4 2 5 2 2 2 4 2 2" xfId="27224"/>
    <cellStyle name="Normal 4 2 5 2 2 2 4 2 3" xfId="42267"/>
    <cellStyle name="Normal 4 2 5 2 2 2 4 3" xfId="19703"/>
    <cellStyle name="Normal 4 2 5 2 2 2 4 4" xfId="34746"/>
    <cellStyle name="Normal 4 2 5 2 2 2 5" xfId="8431"/>
    <cellStyle name="Normal 4 2 5 2 2 2 5 2" xfId="23475"/>
    <cellStyle name="Normal 4 2 5 2 2 2 5 3" xfId="38518"/>
    <cellStyle name="Normal 4 2 5 2 2 2 6" xfId="15954"/>
    <cellStyle name="Normal 4 2 5 2 2 2 7" xfId="30997"/>
    <cellStyle name="Normal 4 2 5 2 2 3" xfId="1336"/>
    <cellStyle name="Normal 4 2 5 2 2 3 2" xfId="3207"/>
    <cellStyle name="Normal 4 2 5 2 2 3 2 2" xfId="7002"/>
    <cellStyle name="Normal 4 2 5 2 2 3 2 2 2" xfId="14525"/>
    <cellStyle name="Normal 4 2 5 2 2 3 2 2 2 2" xfId="29569"/>
    <cellStyle name="Normal 4 2 5 2 2 3 2 2 2 3" xfId="44612"/>
    <cellStyle name="Normal 4 2 5 2 2 3 2 2 3" xfId="22048"/>
    <cellStyle name="Normal 4 2 5 2 2 3 2 2 4" xfId="37091"/>
    <cellStyle name="Normal 4 2 5 2 2 3 2 3" xfId="10776"/>
    <cellStyle name="Normal 4 2 5 2 2 3 2 3 2" xfId="25820"/>
    <cellStyle name="Normal 4 2 5 2 2 3 2 3 3" xfId="40863"/>
    <cellStyle name="Normal 4 2 5 2 2 3 2 4" xfId="18299"/>
    <cellStyle name="Normal 4 2 5 2 2 3 2 5" xfId="33342"/>
    <cellStyle name="Normal 4 2 5 2 2 3 3" xfId="5137"/>
    <cellStyle name="Normal 4 2 5 2 2 3 3 2" xfId="12660"/>
    <cellStyle name="Normal 4 2 5 2 2 3 3 2 2" xfId="27704"/>
    <cellStyle name="Normal 4 2 5 2 2 3 3 2 3" xfId="42747"/>
    <cellStyle name="Normal 4 2 5 2 2 3 3 3" xfId="20183"/>
    <cellStyle name="Normal 4 2 5 2 2 3 3 4" xfId="35226"/>
    <cellStyle name="Normal 4 2 5 2 2 3 4" xfId="8911"/>
    <cellStyle name="Normal 4 2 5 2 2 3 4 2" xfId="23955"/>
    <cellStyle name="Normal 4 2 5 2 2 3 4 3" xfId="38998"/>
    <cellStyle name="Normal 4 2 5 2 2 3 5" xfId="16434"/>
    <cellStyle name="Normal 4 2 5 2 2 3 6" xfId="31477"/>
    <cellStyle name="Normal 4 2 5 2 2 4" xfId="2274"/>
    <cellStyle name="Normal 4 2 5 2 2 4 2" xfId="6070"/>
    <cellStyle name="Normal 4 2 5 2 2 4 2 2" xfId="13593"/>
    <cellStyle name="Normal 4 2 5 2 2 4 2 2 2" xfId="28637"/>
    <cellStyle name="Normal 4 2 5 2 2 4 2 2 3" xfId="43680"/>
    <cellStyle name="Normal 4 2 5 2 2 4 2 3" xfId="21116"/>
    <cellStyle name="Normal 4 2 5 2 2 4 2 4" xfId="36159"/>
    <cellStyle name="Normal 4 2 5 2 2 4 3" xfId="9844"/>
    <cellStyle name="Normal 4 2 5 2 2 4 3 2" xfId="24888"/>
    <cellStyle name="Normal 4 2 5 2 2 4 3 3" xfId="39931"/>
    <cellStyle name="Normal 4 2 5 2 2 4 4" xfId="17367"/>
    <cellStyle name="Normal 4 2 5 2 2 4 5" xfId="32410"/>
    <cellStyle name="Normal 4 2 5 2 2 5" xfId="4202"/>
    <cellStyle name="Normal 4 2 5 2 2 5 2" xfId="11726"/>
    <cellStyle name="Normal 4 2 5 2 2 5 2 2" xfId="26770"/>
    <cellStyle name="Normal 4 2 5 2 2 5 2 3" xfId="41813"/>
    <cellStyle name="Normal 4 2 5 2 2 5 3" xfId="19249"/>
    <cellStyle name="Normal 4 2 5 2 2 5 4" xfId="34292"/>
    <cellStyle name="Normal 4 2 5 2 2 6" xfId="7965"/>
    <cellStyle name="Normal 4 2 5 2 2 6 2" xfId="23009"/>
    <cellStyle name="Normal 4 2 5 2 2 6 3" xfId="38052"/>
    <cellStyle name="Normal 4 2 5 2 2 7" xfId="15488"/>
    <cellStyle name="Normal 4 2 5 2 2 8" xfId="30531"/>
    <cellStyle name="Normal 4 2 5 2 3" xfId="828"/>
    <cellStyle name="Normal 4 2 5 2 3 2" xfId="1787"/>
    <cellStyle name="Normal 4 2 5 2 3 2 2" xfId="3658"/>
    <cellStyle name="Normal 4 2 5 2 3 2 2 2" xfId="7453"/>
    <cellStyle name="Normal 4 2 5 2 3 2 2 2 2" xfId="14976"/>
    <cellStyle name="Normal 4 2 5 2 3 2 2 2 2 2" xfId="30020"/>
    <cellStyle name="Normal 4 2 5 2 3 2 2 2 2 3" xfId="45063"/>
    <cellStyle name="Normal 4 2 5 2 3 2 2 2 3" xfId="22499"/>
    <cellStyle name="Normal 4 2 5 2 3 2 2 2 4" xfId="37542"/>
    <cellStyle name="Normal 4 2 5 2 3 2 2 3" xfId="11227"/>
    <cellStyle name="Normal 4 2 5 2 3 2 2 3 2" xfId="26271"/>
    <cellStyle name="Normal 4 2 5 2 3 2 2 3 3" xfId="41314"/>
    <cellStyle name="Normal 4 2 5 2 3 2 2 4" xfId="18750"/>
    <cellStyle name="Normal 4 2 5 2 3 2 2 5" xfId="33793"/>
    <cellStyle name="Normal 4 2 5 2 3 2 3" xfId="5588"/>
    <cellStyle name="Normal 4 2 5 2 3 2 3 2" xfId="13111"/>
    <cellStyle name="Normal 4 2 5 2 3 2 3 2 2" xfId="28155"/>
    <cellStyle name="Normal 4 2 5 2 3 2 3 2 3" xfId="43198"/>
    <cellStyle name="Normal 4 2 5 2 3 2 3 3" xfId="20634"/>
    <cellStyle name="Normal 4 2 5 2 3 2 3 4" xfId="35677"/>
    <cellStyle name="Normal 4 2 5 2 3 2 4" xfId="9362"/>
    <cellStyle name="Normal 4 2 5 2 3 2 4 2" xfId="24406"/>
    <cellStyle name="Normal 4 2 5 2 3 2 4 3" xfId="39449"/>
    <cellStyle name="Normal 4 2 5 2 3 2 5" xfId="16885"/>
    <cellStyle name="Normal 4 2 5 2 3 2 6" xfId="31928"/>
    <cellStyle name="Normal 4 2 5 2 3 3" xfId="2726"/>
    <cellStyle name="Normal 4 2 5 2 3 3 2" xfId="6521"/>
    <cellStyle name="Normal 4 2 5 2 3 3 2 2" xfId="14044"/>
    <cellStyle name="Normal 4 2 5 2 3 3 2 2 2" xfId="29088"/>
    <cellStyle name="Normal 4 2 5 2 3 3 2 2 3" xfId="44131"/>
    <cellStyle name="Normal 4 2 5 2 3 3 2 3" xfId="21567"/>
    <cellStyle name="Normal 4 2 5 2 3 3 2 4" xfId="36610"/>
    <cellStyle name="Normal 4 2 5 2 3 3 3" xfId="10295"/>
    <cellStyle name="Normal 4 2 5 2 3 3 3 2" xfId="25339"/>
    <cellStyle name="Normal 4 2 5 2 3 3 3 3" xfId="40382"/>
    <cellStyle name="Normal 4 2 5 2 3 3 4" xfId="17818"/>
    <cellStyle name="Normal 4 2 5 2 3 3 5" xfId="32861"/>
    <cellStyle name="Normal 4 2 5 2 3 4" xfId="4656"/>
    <cellStyle name="Normal 4 2 5 2 3 4 2" xfId="12179"/>
    <cellStyle name="Normal 4 2 5 2 3 4 2 2" xfId="27223"/>
    <cellStyle name="Normal 4 2 5 2 3 4 2 3" xfId="42266"/>
    <cellStyle name="Normal 4 2 5 2 3 4 3" xfId="19702"/>
    <cellStyle name="Normal 4 2 5 2 3 4 4" xfId="34745"/>
    <cellStyle name="Normal 4 2 5 2 3 5" xfId="8430"/>
    <cellStyle name="Normal 4 2 5 2 3 5 2" xfId="23474"/>
    <cellStyle name="Normal 4 2 5 2 3 5 3" xfId="38517"/>
    <cellStyle name="Normal 4 2 5 2 3 6" xfId="15953"/>
    <cellStyle name="Normal 4 2 5 2 3 7" xfId="30996"/>
    <cellStyle name="Normal 4 2 5 2 4" xfId="1335"/>
    <cellStyle name="Normal 4 2 5 2 4 2" xfId="3206"/>
    <cellStyle name="Normal 4 2 5 2 4 2 2" xfId="7001"/>
    <cellStyle name="Normal 4 2 5 2 4 2 2 2" xfId="14524"/>
    <cellStyle name="Normal 4 2 5 2 4 2 2 2 2" xfId="29568"/>
    <cellStyle name="Normal 4 2 5 2 4 2 2 2 3" xfId="44611"/>
    <cellStyle name="Normal 4 2 5 2 4 2 2 3" xfId="22047"/>
    <cellStyle name="Normal 4 2 5 2 4 2 2 4" xfId="37090"/>
    <cellStyle name="Normal 4 2 5 2 4 2 3" xfId="10775"/>
    <cellStyle name="Normal 4 2 5 2 4 2 3 2" xfId="25819"/>
    <cellStyle name="Normal 4 2 5 2 4 2 3 3" xfId="40862"/>
    <cellStyle name="Normal 4 2 5 2 4 2 4" xfId="18298"/>
    <cellStyle name="Normal 4 2 5 2 4 2 5" xfId="33341"/>
    <cellStyle name="Normal 4 2 5 2 4 3" xfId="5136"/>
    <cellStyle name="Normal 4 2 5 2 4 3 2" xfId="12659"/>
    <cellStyle name="Normal 4 2 5 2 4 3 2 2" xfId="27703"/>
    <cellStyle name="Normal 4 2 5 2 4 3 2 3" xfId="42746"/>
    <cellStyle name="Normal 4 2 5 2 4 3 3" xfId="20182"/>
    <cellStyle name="Normal 4 2 5 2 4 3 4" xfId="35225"/>
    <cellStyle name="Normal 4 2 5 2 4 4" xfId="8910"/>
    <cellStyle name="Normal 4 2 5 2 4 4 2" xfId="23954"/>
    <cellStyle name="Normal 4 2 5 2 4 4 3" xfId="38997"/>
    <cellStyle name="Normal 4 2 5 2 4 5" xfId="16433"/>
    <cellStyle name="Normal 4 2 5 2 4 6" xfId="31476"/>
    <cellStyle name="Normal 4 2 5 2 5" xfId="2273"/>
    <cellStyle name="Normal 4 2 5 2 5 2" xfId="6069"/>
    <cellStyle name="Normal 4 2 5 2 5 2 2" xfId="13592"/>
    <cellStyle name="Normal 4 2 5 2 5 2 2 2" xfId="28636"/>
    <cellStyle name="Normal 4 2 5 2 5 2 2 3" xfId="43679"/>
    <cellStyle name="Normal 4 2 5 2 5 2 3" xfId="21115"/>
    <cellStyle name="Normal 4 2 5 2 5 2 4" xfId="36158"/>
    <cellStyle name="Normal 4 2 5 2 5 3" xfId="9843"/>
    <cellStyle name="Normal 4 2 5 2 5 3 2" xfId="24887"/>
    <cellStyle name="Normal 4 2 5 2 5 3 3" xfId="39930"/>
    <cellStyle name="Normal 4 2 5 2 5 4" xfId="17366"/>
    <cellStyle name="Normal 4 2 5 2 5 5" xfId="32409"/>
    <cellStyle name="Normal 4 2 5 2 6" xfId="4201"/>
    <cellStyle name="Normal 4 2 5 2 6 2" xfId="11725"/>
    <cellStyle name="Normal 4 2 5 2 6 2 2" xfId="26769"/>
    <cellStyle name="Normal 4 2 5 2 6 2 3" xfId="41812"/>
    <cellStyle name="Normal 4 2 5 2 6 3" xfId="19248"/>
    <cellStyle name="Normal 4 2 5 2 6 4" xfId="34291"/>
    <cellStyle name="Normal 4 2 5 2 7" xfId="7964"/>
    <cellStyle name="Normal 4 2 5 2 7 2" xfId="23008"/>
    <cellStyle name="Normal 4 2 5 2 7 3" xfId="38051"/>
    <cellStyle name="Normal 4 2 5 2 8" xfId="15487"/>
    <cellStyle name="Normal 4 2 5 2 9" xfId="30530"/>
    <cellStyle name="Normal 4 2 5 3" xfId="306"/>
    <cellStyle name="Normal 4 2 5 3 2" xfId="307"/>
    <cellStyle name="Normal 4 2 5 3 2 2" xfId="831"/>
    <cellStyle name="Normal 4 2 5 3 2 2 2" xfId="1790"/>
    <cellStyle name="Normal 4 2 5 3 2 2 2 2" xfId="3661"/>
    <cellStyle name="Normal 4 2 5 3 2 2 2 2 2" xfId="7456"/>
    <cellStyle name="Normal 4 2 5 3 2 2 2 2 2 2" xfId="14979"/>
    <cellStyle name="Normal 4 2 5 3 2 2 2 2 2 2 2" xfId="30023"/>
    <cellStyle name="Normal 4 2 5 3 2 2 2 2 2 2 3" xfId="45066"/>
    <cellStyle name="Normal 4 2 5 3 2 2 2 2 2 3" xfId="22502"/>
    <cellStyle name="Normal 4 2 5 3 2 2 2 2 2 4" xfId="37545"/>
    <cellStyle name="Normal 4 2 5 3 2 2 2 2 3" xfId="11230"/>
    <cellStyle name="Normal 4 2 5 3 2 2 2 2 3 2" xfId="26274"/>
    <cellStyle name="Normal 4 2 5 3 2 2 2 2 3 3" xfId="41317"/>
    <cellStyle name="Normal 4 2 5 3 2 2 2 2 4" xfId="18753"/>
    <cellStyle name="Normal 4 2 5 3 2 2 2 2 5" xfId="33796"/>
    <cellStyle name="Normal 4 2 5 3 2 2 2 3" xfId="5591"/>
    <cellStyle name="Normal 4 2 5 3 2 2 2 3 2" xfId="13114"/>
    <cellStyle name="Normal 4 2 5 3 2 2 2 3 2 2" xfId="28158"/>
    <cellStyle name="Normal 4 2 5 3 2 2 2 3 2 3" xfId="43201"/>
    <cellStyle name="Normal 4 2 5 3 2 2 2 3 3" xfId="20637"/>
    <cellStyle name="Normal 4 2 5 3 2 2 2 3 4" xfId="35680"/>
    <cellStyle name="Normal 4 2 5 3 2 2 2 4" xfId="9365"/>
    <cellStyle name="Normal 4 2 5 3 2 2 2 4 2" xfId="24409"/>
    <cellStyle name="Normal 4 2 5 3 2 2 2 4 3" xfId="39452"/>
    <cellStyle name="Normal 4 2 5 3 2 2 2 5" xfId="16888"/>
    <cellStyle name="Normal 4 2 5 3 2 2 2 6" xfId="31931"/>
    <cellStyle name="Normal 4 2 5 3 2 2 3" xfId="2729"/>
    <cellStyle name="Normal 4 2 5 3 2 2 3 2" xfId="6524"/>
    <cellStyle name="Normal 4 2 5 3 2 2 3 2 2" xfId="14047"/>
    <cellStyle name="Normal 4 2 5 3 2 2 3 2 2 2" xfId="29091"/>
    <cellStyle name="Normal 4 2 5 3 2 2 3 2 2 3" xfId="44134"/>
    <cellStyle name="Normal 4 2 5 3 2 2 3 2 3" xfId="21570"/>
    <cellStyle name="Normal 4 2 5 3 2 2 3 2 4" xfId="36613"/>
    <cellStyle name="Normal 4 2 5 3 2 2 3 3" xfId="10298"/>
    <cellStyle name="Normal 4 2 5 3 2 2 3 3 2" xfId="25342"/>
    <cellStyle name="Normal 4 2 5 3 2 2 3 3 3" xfId="40385"/>
    <cellStyle name="Normal 4 2 5 3 2 2 3 4" xfId="17821"/>
    <cellStyle name="Normal 4 2 5 3 2 2 3 5" xfId="32864"/>
    <cellStyle name="Normal 4 2 5 3 2 2 4" xfId="4659"/>
    <cellStyle name="Normal 4 2 5 3 2 2 4 2" xfId="12182"/>
    <cellStyle name="Normal 4 2 5 3 2 2 4 2 2" xfId="27226"/>
    <cellStyle name="Normal 4 2 5 3 2 2 4 2 3" xfId="42269"/>
    <cellStyle name="Normal 4 2 5 3 2 2 4 3" xfId="19705"/>
    <cellStyle name="Normal 4 2 5 3 2 2 4 4" xfId="34748"/>
    <cellStyle name="Normal 4 2 5 3 2 2 5" xfId="8433"/>
    <cellStyle name="Normal 4 2 5 3 2 2 5 2" xfId="23477"/>
    <cellStyle name="Normal 4 2 5 3 2 2 5 3" xfId="38520"/>
    <cellStyle name="Normal 4 2 5 3 2 2 6" xfId="15956"/>
    <cellStyle name="Normal 4 2 5 3 2 2 7" xfId="30999"/>
    <cellStyle name="Normal 4 2 5 3 2 3" xfId="1338"/>
    <cellStyle name="Normal 4 2 5 3 2 3 2" xfId="3209"/>
    <cellStyle name="Normal 4 2 5 3 2 3 2 2" xfId="7004"/>
    <cellStyle name="Normal 4 2 5 3 2 3 2 2 2" xfId="14527"/>
    <cellStyle name="Normal 4 2 5 3 2 3 2 2 2 2" xfId="29571"/>
    <cellStyle name="Normal 4 2 5 3 2 3 2 2 2 3" xfId="44614"/>
    <cellStyle name="Normal 4 2 5 3 2 3 2 2 3" xfId="22050"/>
    <cellStyle name="Normal 4 2 5 3 2 3 2 2 4" xfId="37093"/>
    <cellStyle name="Normal 4 2 5 3 2 3 2 3" xfId="10778"/>
    <cellStyle name="Normal 4 2 5 3 2 3 2 3 2" xfId="25822"/>
    <cellStyle name="Normal 4 2 5 3 2 3 2 3 3" xfId="40865"/>
    <cellStyle name="Normal 4 2 5 3 2 3 2 4" xfId="18301"/>
    <cellStyle name="Normal 4 2 5 3 2 3 2 5" xfId="33344"/>
    <cellStyle name="Normal 4 2 5 3 2 3 3" xfId="5139"/>
    <cellStyle name="Normal 4 2 5 3 2 3 3 2" xfId="12662"/>
    <cellStyle name="Normal 4 2 5 3 2 3 3 2 2" xfId="27706"/>
    <cellStyle name="Normal 4 2 5 3 2 3 3 2 3" xfId="42749"/>
    <cellStyle name="Normal 4 2 5 3 2 3 3 3" xfId="20185"/>
    <cellStyle name="Normal 4 2 5 3 2 3 3 4" xfId="35228"/>
    <cellStyle name="Normal 4 2 5 3 2 3 4" xfId="8913"/>
    <cellStyle name="Normal 4 2 5 3 2 3 4 2" xfId="23957"/>
    <cellStyle name="Normal 4 2 5 3 2 3 4 3" xfId="39000"/>
    <cellStyle name="Normal 4 2 5 3 2 3 5" xfId="16436"/>
    <cellStyle name="Normal 4 2 5 3 2 3 6" xfId="31479"/>
    <cellStyle name="Normal 4 2 5 3 2 4" xfId="2276"/>
    <cellStyle name="Normal 4 2 5 3 2 4 2" xfId="6072"/>
    <cellStyle name="Normal 4 2 5 3 2 4 2 2" xfId="13595"/>
    <cellStyle name="Normal 4 2 5 3 2 4 2 2 2" xfId="28639"/>
    <cellStyle name="Normal 4 2 5 3 2 4 2 2 3" xfId="43682"/>
    <cellStyle name="Normal 4 2 5 3 2 4 2 3" xfId="21118"/>
    <cellStyle name="Normal 4 2 5 3 2 4 2 4" xfId="36161"/>
    <cellStyle name="Normal 4 2 5 3 2 4 3" xfId="9846"/>
    <cellStyle name="Normal 4 2 5 3 2 4 3 2" xfId="24890"/>
    <cellStyle name="Normal 4 2 5 3 2 4 3 3" xfId="39933"/>
    <cellStyle name="Normal 4 2 5 3 2 4 4" xfId="17369"/>
    <cellStyle name="Normal 4 2 5 3 2 4 5" xfId="32412"/>
    <cellStyle name="Normal 4 2 5 3 2 5" xfId="4204"/>
    <cellStyle name="Normal 4 2 5 3 2 5 2" xfId="11728"/>
    <cellStyle name="Normal 4 2 5 3 2 5 2 2" xfId="26772"/>
    <cellStyle name="Normal 4 2 5 3 2 5 2 3" xfId="41815"/>
    <cellStyle name="Normal 4 2 5 3 2 5 3" xfId="19251"/>
    <cellStyle name="Normal 4 2 5 3 2 5 4" xfId="34294"/>
    <cellStyle name="Normal 4 2 5 3 2 6" xfId="7967"/>
    <cellStyle name="Normal 4 2 5 3 2 6 2" xfId="23011"/>
    <cellStyle name="Normal 4 2 5 3 2 6 3" xfId="38054"/>
    <cellStyle name="Normal 4 2 5 3 2 7" xfId="15490"/>
    <cellStyle name="Normal 4 2 5 3 2 8" xfId="30533"/>
    <cellStyle name="Normal 4 2 5 3 3" xfId="830"/>
    <cellStyle name="Normal 4 2 5 3 3 2" xfId="1789"/>
    <cellStyle name="Normal 4 2 5 3 3 2 2" xfId="3660"/>
    <cellStyle name="Normal 4 2 5 3 3 2 2 2" xfId="7455"/>
    <cellStyle name="Normal 4 2 5 3 3 2 2 2 2" xfId="14978"/>
    <cellStyle name="Normal 4 2 5 3 3 2 2 2 2 2" xfId="30022"/>
    <cellStyle name="Normal 4 2 5 3 3 2 2 2 2 3" xfId="45065"/>
    <cellStyle name="Normal 4 2 5 3 3 2 2 2 3" xfId="22501"/>
    <cellStyle name="Normal 4 2 5 3 3 2 2 2 4" xfId="37544"/>
    <cellStyle name="Normal 4 2 5 3 3 2 2 3" xfId="11229"/>
    <cellStyle name="Normal 4 2 5 3 3 2 2 3 2" xfId="26273"/>
    <cellStyle name="Normal 4 2 5 3 3 2 2 3 3" xfId="41316"/>
    <cellStyle name="Normal 4 2 5 3 3 2 2 4" xfId="18752"/>
    <cellStyle name="Normal 4 2 5 3 3 2 2 5" xfId="33795"/>
    <cellStyle name="Normal 4 2 5 3 3 2 3" xfId="5590"/>
    <cellStyle name="Normal 4 2 5 3 3 2 3 2" xfId="13113"/>
    <cellStyle name="Normal 4 2 5 3 3 2 3 2 2" xfId="28157"/>
    <cellStyle name="Normal 4 2 5 3 3 2 3 2 3" xfId="43200"/>
    <cellStyle name="Normal 4 2 5 3 3 2 3 3" xfId="20636"/>
    <cellStyle name="Normal 4 2 5 3 3 2 3 4" xfId="35679"/>
    <cellStyle name="Normal 4 2 5 3 3 2 4" xfId="9364"/>
    <cellStyle name="Normal 4 2 5 3 3 2 4 2" xfId="24408"/>
    <cellStyle name="Normal 4 2 5 3 3 2 4 3" xfId="39451"/>
    <cellStyle name="Normal 4 2 5 3 3 2 5" xfId="16887"/>
    <cellStyle name="Normal 4 2 5 3 3 2 6" xfId="31930"/>
    <cellStyle name="Normal 4 2 5 3 3 3" xfId="2728"/>
    <cellStyle name="Normal 4 2 5 3 3 3 2" xfId="6523"/>
    <cellStyle name="Normal 4 2 5 3 3 3 2 2" xfId="14046"/>
    <cellStyle name="Normal 4 2 5 3 3 3 2 2 2" xfId="29090"/>
    <cellStyle name="Normal 4 2 5 3 3 3 2 2 3" xfId="44133"/>
    <cellStyle name="Normal 4 2 5 3 3 3 2 3" xfId="21569"/>
    <cellStyle name="Normal 4 2 5 3 3 3 2 4" xfId="36612"/>
    <cellStyle name="Normal 4 2 5 3 3 3 3" xfId="10297"/>
    <cellStyle name="Normal 4 2 5 3 3 3 3 2" xfId="25341"/>
    <cellStyle name="Normal 4 2 5 3 3 3 3 3" xfId="40384"/>
    <cellStyle name="Normal 4 2 5 3 3 3 4" xfId="17820"/>
    <cellStyle name="Normal 4 2 5 3 3 3 5" xfId="32863"/>
    <cellStyle name="Normal 4 2 5 3 3 4" xfId="4658"/>
    <cellStyle name="Normal 4 2 5 3 3 4 2" xfId="12181"/>
    <cellStyle name="Normal 4 2 5 3 3 4 2 2" xfId="27225"/>
    <cellStyle name="Normal 4 2 5 3 3 4 2 3" xfId="42268"/>
    <cellStyle name="Normal 4 2 5 3 3 4 3" xfId="19704"/>
    <cellStyle name="Normal 4 2 5 3 3 4 4" xfId="34747"/>
    <cellStyle name="Normal 4 2 5 3 3 5" xfId="8432"/>
    <cellStyle name="Normal 4 2 5 3 3 5 2" xfId="23476"/>
    <cellStyle name="Normal 4 2 5 3 3 5 3" xfId="38519"/>
    <cellStyle name="Normal 4 2 5 3 3 6" xfId="15955"/>
    <cellStyle name="Normal 4 2 5 3 3 7" xfId="30998"/>
    <cellStyle name="Normal 4 2 5 3 4" xfId="1337"/>
    <cellStyle name="Normal 4 2 5 3 4 2" xfId="3208"/>
    <cellStyle name="Normal 4 2 5 3 4 2 2" xfId="7003"/>
    <cellStyle name="Normal 4 2 5 3 4 2 2 2" xfId="14526"/>
    <cellStyle name="Normal 4 2 5 3 4 2 2 2 2" xfId="29570"/>
    <cellStyle name="Normal 4 2 5 3 4 2 2 2 3" xfId="44613"/>
    <cellStyle name="Normal 4 2 5 3 4 2 2 3" xfId="22049"/>
    <cellStyle name="Normal 4 2 5 3 4 2 2 4" xfId="37092"/>
    <cellStyle name="Normal 4 2 5 3 4 2 3" xfId="10777"/>
    <cellStyle name="Normal 4 2 5 3 4 2 3 2" xfId="25821"/>
    <cellStyle name="Normal 4 2 5 3 4 2 3 3" xfId="40864"/>
    <cellStyle name="Normal 4 2 5 3 4 2 4" xfId="18300"/>
    <cellStyle name="Normal 4 2 5 3 4 2 5" xfId="33343"/>
    <cellStyle name="Normal 4 2 5 3 4 3" xfId="5138"/>
    <cellStyle name="Normal 4 2 5 3 4 3 2" xfId="12661"/>
    <cellStyle name="Normal 4 2 5 3 4 3 2 2" xfId="27705"/>
    <cellStyle name="Normal 4 2 5 3 4 3 2 3" xfId="42748"/>
    <cellStyle name="Normal 4 2 5 3 4 3 3" xfId="20184"/>
    <cellStyle name="Normal 4 2 5 3 4 3 4" xfId="35227"/>
    <cellStyle name="Normal 4 2 5 3 4 4" xfId="8912"/>
    <cellStyle name="Normal 4 2 5 3 4 4 2" xfId="23956"/>
    <cellStyle name="Normal 4 2 5 3 4 4 3" xfId="38999"/>
    <cellStyle name="Normal 4 2 5 3 4 5" xfId="16435"/>
    <cellStyle name="Normal 4 2 5 3 4 6" xfId="31478"/>
    <cellStyle name="Normal 4 2 5 3 5" xfId="2275"/>
    <cellStyle name="Normal 4 2 5 3 5 2" xfId="6071"/>
    <cellStyle name="Normal 4 2 5 3 5 2 2" xfId="13594"/>
    <cellStyle name="Normal 4 2 5 3 5 2 2 2" xfId="28638"/>
    <cellStyle name="Normal 4 2 5 3 5 2 2 3" xfId="43681"/>
    <cellStyle name="Normal 4 2 5 3 5 2 3" xfId="21117"/>
    <cellStyle name="Normal 4 2 5 3 5 2 4" xfId="36160"/>
    <cellStyle name="Normal 4 2 5 3 5 3" xfId="9845"/>
    <cellStyle name="Normal 4 2 5 3 5 3 2" xfId="24889"/>
    <cellStyle name="Normal 4 2 5 3 5 3 3" xfId="39932"/>
    <cellStyle name="Normal 4 2 5 3 5 4" xfId="17368"/>
    <cellStyle name="Normal 4 2 5 3 5 5" xfId="32411"/>
    <cellStyle name="Normal 4 2 5 3 6" xfId="4203"/>
    <cellStyle name="Normal 4 2 5 3 6 2" xfId="11727"/>
    <cellStyle name="Normal 4 2 5 3 6 2 2" xfId="26771"/>
    <cellStyle name="Normal 4 2 5 3 6 2 3" xfId="41814"/>
    <cellStyle name="Normal 4 2 5 3 6 3" xfId="19250"/>
    <cellStyle name="Normal 4 2 5 3 6 4" xfId="34293"/>
    <cellStyle name="Normal 4 2 5 3 7" xfId="7966"/>
    <cellStyle name="Normal 4 2 5 3 7 2" xfId="23010"/>
    <cellStyle name="Normal 4 2 5 3 7 3" xfId="38053"/>
    <cellStyle name="Normal 4 2 5 3 8" xfId="15489"/>
    <cellStyle name="Normal 4 2 5 3 9" xfId="30532"/>
    <cellStyle name="Normal 4 2 5 4" xfId="308"/>
    <cellStyle name="Normal 4 2 5 4 2" xfId="832"/>
    <cellStyle name="Normal 4 2 5 4 2 2" xfId="1791"/>
    <cellStyle name="Normal 4 2 5 4 2 2 2" xfId="3662"/>
    <cellStyle name="Normal 4 2 5 4 2 2 2 2" xfId="7457"/>
    <cellStyle name="Normal 4 2 5 4 2 2 2 2 2" xfId="14980"/>
    <cellStyle name="Normal 4 2 5 4 2 2 2 2 2 2" xfId="30024"/>
    <cellStyle name="Normal 4 2 5 4 2 2 2 2 2 3" xfId="45067"/>
    <cellStyle name="Normal 4 2 5 4 2 2 2 2 3" xfId="22503"/>
    <cellStyle name="Normal 4 2 5 4 2 2 2 2 4" xfId="37546"/>
    <cellStyle name="Normal 4 2 5 4 2 2 2 3" xfId="11231"/>
    <cellStyle name="Normal 4 2 5 4 2 2 2 3 2" xfId="26275"/>
    <cellStyle name="Normal 4 2 5 4 2 2 2 3 3" xfId="41318"/>
    <cellStyle name="Normal 4 2 5 4 2 2 2 4" xfId="18754"/>
    <cellStyle name="Normal 4 2 5 4 2 2 2 5" xfId="33797"/>
    <cellStyle name="Normal 4 2 5 4 2 2 3" xfId="5592"/>
    <cellStyle name="Normal 4 2 5 4 2 2 3 2" xfId="13115"/>
    <cellStyle name="Normal 4 2 5 4 2 2 3 2 2" xfId="28159"/>
    <cellStyle name="Normal 4 2 5 4 2 2 3 2 3" xfId="43202"/>
    <cellStyle name="Normal 4 2 5 4 2 2 3 3" xfId="20638"/>
    <cellStyle name="Normal 4 2 5 4 2 2 3 4" xfId="35681"/>
    <cellStyle name="Normal 4 2 5 4 2 2 4" xfId="9366"/>
    <cellStyle name="Normal 4 2 5 4 2 2 4 2" xfId="24410"/>
    <cellStyle name="Normal 4 2 5 4 2 2 4 3" xfId="39453"/>
    <cellStyle name="Normal 4 2 5 4 2 2 5" xfId="16889"/>
    <cellStyle name="Normal 4 2 5 4 2 2 6" xfId="31932"/>
    <cellStyle name="Normal 4 2 5 4 2 3" xfId="2730"/>
    <cellStyle name="Normal 4 2 5 4 2 3 2" xfId="6525"/>
    <cellStyle name="Normal 4 2 5 4 2 3 2 2" xfId="14048"/>
    <cellStyle name="Normal 4 2 5 4 2 3 2 2 2" xfId="29092"/>
    <cellStyle name="Normal 4 2 5 4 2 3 2 2 3" xfId="44135"/>
    <cellStyle name="Normal 4 2 5 4 2 3 2 3" xfId="21571"/>
    <cellStyle name="Normal 4 2 5 4 2 3 2 4" xfId="36614"/>
    <cellStyle name="Normal 4 2 5 4 2 3 3" xfId="10299"/>
    <cellStyle name="Normal 4 2 5 4 2 3 3 2" xfId="25343"/>
    <cellStyle name="Normal 4 2 5 4 2 3 3 3" xfId="40386"/>
    <cellStyle name="Normal 4 2 5 4 2 3 4" xfId="17822"/>
    <cellStyle name="Normal 4 2 5 4 2 3 5" xfId="32865"/>
    <cellStyle name="Normal 4 2 5 4 2 4" xfId="4660"/>
    <cellStyle name="Normal 4 2 5 4 2 4 2" xfId="12183"/>
    <cellStyle name="Normal 4 2 5 4 2 4 2 2" xfId="27227"/>
    <cellStyle name="Normal 4 2 5 4 2 4 2 3" xfId="42270"/>
    <cellStyle name="Normal 4 2 5 4 2 4 3" xfId="19706"/>
    <cellStyle name="Normal 4 2 5 4 2 4 4" xfId="34749"/>
    <cellStyle name="Normal 4 2 5 4 2 5" xfId="8434"/>
    <cellStyle name="Normal 4 2 5 4 2 5 2" xfId="23478"/>
    <cellStyle name="Normal 4 2 5 4 2 5 3" xfId="38521"/>
    <cellStyle name="Normal 4 2 5 4 2 6" xfId="15957"/>
    <cellStyle name="Normal 4 2 5 4 2 7" xfId="31000"/>
    <cellStyle name="Normal 4 2 5 4 3" xfId="1339"/>
    <cellStyle name="Normal 4 2 5 4 3 2" xfId="3210"/>
    <cellStyle name="Normal 4 2 5 4 3 2 2" xfId="7005"/>
    <cellStyle name="Normal 4 2 5 4 3 2 2 2" xfId="14528"/>
    <cellStyle name="Normal 4 2 5 4 3 2 2 2 2" xfId="29572"/>
    <cellStyle name="Normal 4 2 5 4 3 2 2 2 3" xfId="44615"/>
    <cellStyle name="Normal 4 2 5 4 3 2 2 3" xfId="22051"/>
    <cellStyle name="Normal 4 2 5 4 3 2 2 4" xfId="37094"/>
    <cellStyle name="Normal 4 2 5 4 3 2 3" xfId="10779"/>
    <cellStyle name="Normal 4 2 5 4 3 2 3 2" xfId="25823"/>
    <cellStyle name="Normal 4 2 5 4 3 2 3 3" xfId="40866"/>
    <cellStyle name="Normal 4 2 5 4 3 2 4" xfId="18302"/>
    <cellStyle name="Normal 4 2 5 4 3 2 5" xfId="33345"/>
    <cellStyle name="Normal 4 2 5 4 3 3" xfId="5140"/>
    <cellStyle name="Normal 4 2 5 4 3 3 2" xfId="12663"/>
    <cellStyle name="Normal 4 2 5 4 3 3 2 2" xfId="27707"/>
    <cellStyle name="Normal 4 2 5 4 3 3 2 3" xfId="42750"/>
    <cellStyle name="Normal 4 2 5 4 3 3 3" xfId="20186"/>
    <cellStyle name="Normal 4 2 5 4 3 3 4" xfId="35229"/>
    <cellStyle name="Normal 4 2 5 4 3 4" xfId="8914"/>
    <cellStyle name="Normal 4 2 5 4 3 4 2" xfId="23958"/>
    <cellStyle name="Normal 4 2 5 4 3 4 3" xfId="39001"/>
    <cellStyle name="Normal 4 2 5 4 3 5" xfId="16437"/>
    <cellStyle name="Normal 4 2 5 4 3 6" xfId="31480"/>
    <cellStyle name="Normal 4 2 5 4 4" xfId="2277"/>
    <cellStyle name="Normal 4 2 5 4 4 2" xfId="6073"/>
    <cellStyle name="Normal 4 2 5 4 4 2 2" xfId="13596"/>
    <cellStyle name="Normal 4 2 5 4 4 2 2 2" xfId="28640"/>
    <cellStyle name="Normal 4 2 5 4 4 2 2 3" xfId="43683"/>
    <cellStyle name="Normal 4 2 5 4 4 2 3" xfId="21119"/>
    <cellStyle name="Normal 4 2 5 4 4 2 4" xfId="36162"/>
    <cellStyle name="Normal 4 2 5 4 4 3" xfId="9847"/>
    <cellStyle name="Normal 4 2 5 4 4 3 2" xfId="24891"/>
    <cellStyle name="Normal 4 2 5 4 4 3 3" xfId="39934"/>
    <cellStyle name="Normal 4 2 5 4 4 4" xfId="17370"/>
    <cellStyle name="Normal 4 2 5 4 4 5" xfId="32413"/>
    <cellStyle name="Normal 4 2 5 4 5" xfId="4205"/>
    <cellStyle name="Normal 4 2 5 4 5 2" xfId="11729"/>
    <cellStyle name="Normal 4 2 5 4 5 2 2" xfId="26773"/>
    <cellStyle name="Normal 4 2 5 4 5 2 3" xfId="41816"/>
    <cellStyle name="Normal 4 2 5 4 5 3" xfId="19252"/>
    <cellStyle name="Normal 4 2 5 4 5 4" xfId="34295"/>
    <cellStyle name="Normal 4 2 5 4 6" xfId="7968"/>
    <cellStyle name="Normal 4 2 5 4 6 2" xfId="23012"/>
    <cellStyle name="Normal 4 2 5 4 6 3" xfId="38055"/>
    <cellStyle name="Normal 4 2 5 4 7" xfId="15491"/>
    <cellStyle name="Normal 4 2 5 4 8" xfId="30534"/>
    <cellStyle name="Normal 4 2 5 5" xfId="827"/>
    <cellStyle name="Normal 4 2 5 5 2" xfId="1786"/>
    <cellStyle name="Normal 4 2 5 5 2 2" xfId="3657"/>
    <cellStyle name="Normal 4 2 5 5 2 2 2" xfId="7452"/>
    <cellStyle name="Normal 4 2 5 5 2 2 2 2" xfId="14975"/>
    <cellStyle name="Normal 4 2 5 5 2 2 2 2 2" xfId="30019"/>
    <cellStyle name="Normal 4 2 5 5 2 2 2 2 3" xfId="45062"/>
    <cellStyle name="Normal 4 2 5 5 2 2 2 3" xfId="22498"/>
    <cellStyle name="Normal 4 2 5 5 2 2 2 4" xfId="37541"/>
    <cellStyle name="Normal 4 2 5 5 2 2 3" xfId="11226"/>
    <cellStyle name="Normal 4 2 5 5 2 2 3 2" xfId="26270"/>
    <cellStyle name="Normal 4 2 5 5 2 2 3 3" xfId="41313"/>
    <cellStyle name="Normal 4 2 5 5 2 2 4" xfId="18749"/>
    <cellStyle name="Normal 4 2 5 5 2 2 5" xfId="33792"/>
    <cellStyle name="Normal 4 2 5 5 2 3" xfId="5587"/>
    <cellStyle name="Normal 4 2 5 5 2 3 2" xfId="13110"/>
    <cellStyle name="Normal 4 2 5 5 2 3 2 2" xfId="28154"/>
    <cellStyle name="Normal 4 2 5 5 2 3 2 3" xfId="43197"/>
    <cellStyle name="Normal 4 2 5 5 2 3 3" xfId="20633"/>
    <cellStyle name="Normal 4 2 5 5 2 3 4" xfId="35676"/>
    <cellStyle name="Normal 4 2 5 5 2 4" xfId="9361"/>
    <cellStyle name="Normal 4 2 5 5 2 4 2" xfId="24405"/>
    <cellStyle name="Normal 4 2 5 5 2 4 3" xfId="39448"/>
    <cellStyle name="Normal 4 2 5 5 2 5" xfId="16884"/>
    <cellStyle name="Normal 4 2 5 5 2 6" xfId="31927"/>
    <cellStyle name="Normal 4 2 5 5 3" xfId="2725"/>
    <cellStyle name="Normal 4 2 5 5 3 2" xfId="6520"/>
    <cellStyle name="Normal 4 2 5 5 3 2 2" xfId="14043"/>
    <cellStyle name="Normal 4 2 5 5 3 2 2 2" xfId="29087"/>
    <cellStyle name="Normal 4 2 5 5 3 2 2 3" xfId="44130"/>
    <cellStyle name="Normal 4 2 5 5 3 2 3" xfId="21566"/>
    <cellStyle name="Normal 4 2 5 5 3 2 4" xfId="36609"/>
    <cellStyle name="Normal 4 2 5 5 3 3" xfId="10294"/>
    <cellStyle name="Normal 4 2 5 5 3 3 2" xfId="25338"/>
    <cellStyle name="Normal 4 2 5 5 3 3 3" xfId="40381"/>
    <cellStyle name="Normal 4 2 5 5 3 4" xfId="17817"/>
    <cellStyle name="Normal 4 2 5 5 3 5" xfId="32860"/>
    <cellStyle name="Normal 4 2 5 5 4" xfId="4655"/>
    <cellStyle name="Normal 4 2 5 5 4 2" xfId="12178"/>
    <cellStyle name="Normal 4 2 5 5 4 2 2" xfId="27222"/>
    <cellStyle name="Normal 4 2 5 5 4 2 3" xfId="42265"/>
    <cellStyle name="Normal 4 2 5 5 4 3" xfId="19701"/>
    <cellStyle name="Normal 4 2 5 5 4 4" xfId="34744"/>
    <cellStyle name="Normal 4 2 5 5 5" xfId="8429"/>
    <cellStyle name="Normal 4 2 5 5 5 2" xfId="23473"/>
    <cellStyle name="Normal 4 2 5 5 5 3" xfId="38516"/>
    <cellStyle name="Normal 4 2 5 5 6" xfId="15952"/>
    <cellStyle name="Normal 4 2 5 5 7" xfId="30995"/>
    <cellStyle name="Normal 4 2 5 6" xfId="1334"/>
    <cellStyle name="Normal 4 2 5 6 2" xfId="3205"/>
    <cellStyle name="Normal 4 2 5 6 2 2" xfId="7000"/>
    <cellStyle name="Normal 4 2 5 6 2 2 2" xfId="14523"/>
    <cellStyle name="Normal 4 2 5 6 2 2 2 2" xfId="29567"/>
    <cellStyle name="Normal 4 2 5 6 2 2 2 3" xfId="44610"/>
    <cellStyle name="Normal 4 2 5 6 2 2 3" xfId="22046"/>
    <cellStyle name="Normal 4 2 5 6 2 2 4" xfId="37089"/>
    <cellStyle name="Normal 4 2 5 6 2 3" xfId="10774"/>
    <cellStyle name="Normal 4 2 5 6 2 3 2" xfId="25818"/>
    <cellStyle name="Normal 4 2 5 6 2 3 3" xfId="40861"/>
    <cellStyle name="Normal 4 2 5 6 2 4" xfId="18297"/>
    <cellStyle name="Normal 4 2 5 6 2 5" xfId="33340"/>
    <cellStyle name="Normal 4 2 5 6 3" xfId="5135"/>
    <cellStyle name="Normal 4 2 5 6 3 2" xfId="12658"/>
    <cellStyle name="Normal 4 2 5 6 3 2 2" xfId="27702"/>
    <cellStyle name="Normal 4 2 5 6 3 2 3" xfId="42745"/>
    <cellStyle name="Normal 4 2 5 6 3 3" xfId="20181"/>
    <cellStyle name="Normal 4 2 5 6 3 4" xfId="35224"/>
    <cellStyle name="Normal 4 2 5 6 4" xfId="8909"/>
    <cellStyle name="Normal 4 2 5 6 4 2" xfId="23953"/>
    <cellStyle name="Normal 4 2 5 6 4 3" xfId="38996"/>
    <cellStyle name="Normal 4 2 5 6 5" xfId="16432"/>
    <cellStyle name="Normal 4 2 5 6 6" xfId="31475"/>
    <cellStyle name="Normal 4 2 5 7" xfId="2272"/>
    <cellStyle name="Normal 4 2 5 7 2" xfId="6068"/>
    <cellStyle name="Normal 4 2 5 7 2 2" xfId="13591"/>
    <cellStyle name="Normal 4 2 5 7 2 2 2" xfId="28635"/>
    <cellStyle name="Normal 4 2 5 7 2 2 3" xfId="43678"/>
    <cellStyle name="Normal 4 2 5 7 2 3" xfId="21114"/>
    <cellStyle name="Normal 4 2 5 7 2 4" xfId="36157"/>
    <cellStyle name="Normal 4 2 5 7 3" xfId="9842"/>
    <cellStyle name="Normal 4 2 5 7 3 2" xfId="24886"/>
    <cellStyle name="Normal 4 2 5 7 3 3" xfId="39929"/>
    <cellStyle name="Normal 4 2 5 7 4" xfId="17365"/>
    <cellStyle name="Normal 4 2 5 7 5" xfId="32408"/>
    <cellStyle name="Normal 4 2 5 8" xfId="4200"/>
    <cellStyle name="Normal 4 2 5 8 2" xfId="11724"/>
    <cellStyle name="Normal 4 2 5 8 2 2" xfId="26768"/>
    <cellStyle name="Normal 4 2 5 8 2 3" xfId="41811"/>
    <cellStyle name="Normal 4 2 5 8 3" xfId="19247"/>
    <cellStyle name="Normal 4 2 5 8 4" xfId="34290"/>
    <cellStyle name="Normal 4 2 5 9" xfId="7963"/>
    <cellStyle name="Normal 4 2 5 9 2" xfId="23007"/>
    <cellStyle name="Normal 4 2 5 9 3" xfId="38050"/>
    <cellStyle name="Normal 4 2 6" xfId="309"/>
    <cellStyle name="Normal 4 2 6 2" xfId="310"/>
    <cellStyle name="Normal 4 2 6 2 2" xfId="834"/>
    <cellStyle name="Normal 4 2 6 2 2 2" xfId="1793"/>
    <cellStyle name="Normal 4 2 6 2 2 2 2" xfId="3664"/>
    <cellStyle name="Normal 4 2 6 2 2 2 2 2" xfId="7459"/>
    <cellStyle name="Normal 4 2 6 2 2 2 2 2 2" xfId="14982"/>
    <cellStyle name="Normal 4 2 6 2 2 2 2 2 2 2" xfId="30026"/>
    <cellStyle name="Normal 4 2 6 2 2 2 2 2 2 3" xfId="45069"/>
    <cellStyle name="Normal 4 2 6 2 2 2 2 2 3" xfId="22505"/>
    <cellStyle name="Normal 4 2 6 2 2 2 2 2 4" xfId="37548"/>
    <cellStyle name="Normal 4 2 6 2 2 2 2 3" xfId="11233"/>
    <cellStyle name="Normal 4 2 6 2 2 2 2 3 2" xfId="26277"/>
    <cellStyle name="Normal 4 2 6 2 2 2 2 3 3" xfId="41320"/>
    <cellStyle name="Normal 4 2 6 2 2 2 2 4" xfId="18756"/>
    <cellStyle name="Normal 4 2 6 2 2 2 2 5" xfId="33799"/>
    <cellStyle name="Normal 4 2 6 2 2 2 3" xfId="5594"/>
    <cellStyle name="Normal 4 2 6 2 2 2 3 2" xfId="13117"/>
    <cellStyle name="Normal 4 2 6 2 2 2 3 2 2" xfId="28161"/>
    <cellStyle name="Normal 4 2 6 2 2 2 3 2 3" xfId="43204"/>
    <cellStyle name="Normal 4 2 6 2 2 2 3 3" xfId="20640"/>
    <cellStyle name="Normal 4 2 6 2 2 2 3 4" xfId="35683"/>
    <cellStyle name="Normal 4 2 6 2 2 2 4" xfId="9368"/>
    <cellStyle name="Normal 4 2 6 2 2 2 4 2" xfId="24412"/>
    <cellStyle name="Normal 4 2 6 2 2 2 4 3" xfId="39455"/>
    <cellStyle name="Normal 4 2 6 2 2 2 5" xfId="16891"/>
    <cellStyle name="Normal 4 2 6 2 2 2 6" xfId="31934"/>
    <cellStyle name="Normal 4 2 6 2 2 3" xfId="2732"/>
    <cellStyle name="Normal 4 2 6 2 2 3 2" xfId="6527"/>
    <cellStyle name="Normal 4 2 6 2 2 3 2 2" xfId="14050"/>
    <cellStyle name="Normal 4 2 6 2 2 3 2 2 2" xfId="29094"/>
    <cellStyle name="Normal 4 2 6 2 2 3 2 2 3" xfId="44137"/>
    <cellStyle name="Normal 4 2 6 2 2 3 2 3" xfId="21573"/>
    <cellStyle name="Normal 4 2 6 2 2 3 2 4" xfId="36616"/>
    <cellStyle name="Normal 4 2 6 2 2 3 3" xfId="10301"/>
    <cellStyle name="Normal 4 2 6 2 2 3 3 2" xfId="25345"/>
    <cellStyle name="Normal 4 2 6 2 2 3 3 3" xfId="40388"/>
    <cellStyle name="Normal 4 2 6 2 2 3 4" xfId="17824"/>
    <cellStyle name="Normal 4 2 6 2 2 3 5" xfId="32867"/>
    <cellStyle name="Normal 4 2 6 2 2 4" xfId="4662"/>
    <cellStyle name="Normal 4 2 6 2 2 4 2" xfId="12185"/>
    <cellStyle name="Normal 4 2 6 2 2 4 2 2" xfId="27229"/>
    <cellStyle name="Normal 4 2 6 2 2 4 2 3" xfId="42272"/>
    <cellStyle name="Normal 4 2 6 2 2 4 3" xfId="19708"/>
    <cellStyle name="Normal 4 2 6 2 2 4 4" xfId="34751"/>
    <cellStyle name="Normal 4 2 6 2 2 5" xfId="8436"/>
    <cellStyle name="Normal 4 2 6 2 2 5 2" xfId="23480"/>
    <cellStyle name="Normal 4 2 6 2 2 5 3" xfId="38523"/>
    <cellStyle name="Normal 4 2 6 2 2 6" xfId="15959"/>
    <cellStyle name="Normal 4 2 6 2 2 7" xfId="31002"/>
    <cellStyle name="Normal 4 2 6 2 3" xfId="1341"/>
    <cellStyle name="Normal 4 2 6 2 3 2" xfId="3212"/>
    <cellStyle name="Normal 4 2 6 2 3 2 2" xfId="7007"/>
    <cellStyle name="Normal 4 2 6 2 3 2 2 2" xfId="14530"/>
    <cellStyle name="Normal 4 2 6 2 3 2 2 2 2" xfId="29574"/>
    <cellStyle name="Normal 4 2 6 2 3 2 2 2 3" xfId="44617"/>
    <cellStyle name="Normal 4 2 6 2 3 2 2 3" xfId="22053"/>
    <cellStyle name="Normal 4 2 6 2 3 2 2 4" xfId="37096"/>
    <cellStyle name="Normal 4 2 6 2 3 2 3" xfId="10781"/>
    <cellStyle name="Normal 4 2 6 2 3 2 3 2" xfId="25825"/>
    <cellStyle name="Normal 4 2 6 2 3 2 3 3" xfId="40868"/>
    <cellStyle name="Normal 4 2 6 2 3 2 4" xfId="18304"/>
    <cellStyle name="Normal 4 2 6 2 3 2 5" xfId="33347"/>
    <cellStyle name="Normal 4 2 6 2 3 3" xfId="5142"/>
    <cellStyle name="Normal 4 2 6 2 3 3 2" xfId="12665"/>
    <cellStyle name="Normal 4 2 6 2 3 3 2 2" xfId="27709"/>
    <cellStyle name="Normal 4 2 6 2 3 3 2 3" xfId="42752"/>
    <cellStyle name="Normal 4 2 6 2 3 3 3" xfId="20188"/>
    <cellStyle name="Normal 4 2 6 2 3 3 4" xfId="35231"/>
    <cellStyle name="Normal 4 2 6 2 3 4" xfId="8916"/>
    <cellStyle name="Normal 4 2 6 2 3 4 2" xfId="23960"/>
    <cellStyle name="Normal 4 2 6 2 3 4 3" xfId="39003"/>
    <cellStyle name="Normal 4 2 6 2 3 5" xfId="16439"/>
    <cellStyle name="Normal 4 2 6 2 3 6" xfId="31482"/>
    <cellStyle name="Normal 4 2 6 2 4" xfId="2279"/>
    <cellStyle name="Normal 4 2 6 2 4 2" xfId="6075"/>
    <cellStyle name="Normal 4 2 6 2 4 2 2" xfId="13598"/>
    <cellStyle name="Normal 4 2 6 2 4 2 2 2" xfId="28642"/>
    <cellStyle name="Normal 4 2 6 2 4 2 2 3" xfId="43685"/>
    <cellStyle name="Normal 4 2 6 2 4 2 3" xfId="21121"/>
    <cellStyle name="Normal 4 2 6 2 4 2 4" xfId="36164"/>
    <cellStyle name="Normal 4 2 6 2 4 3" xfId="9849"/>
    <cellStyle name="Normal 4 2 6 2 4 3 2" xfId="24893"/>
    <cellStyle name="Normal 4 2 6 2 4 3 3" xfId="39936"/>
    <cellStyle name="Normal 4 2 6 2 4 4" xfId="17372"/>
    <cellStyle name="Normal 4 2 6 2 4 5" xfId="32415"/>
    <cellStyle name="Normal 4 2 6 2 5" xfId="4207"/>
    <cellStyle name="Normal 4 2 6 2 5 2" xfId="11731"/>
    <cellStyle name="Normal 4 2 6 2 5 2 2" xfId="26775"/>
    <cellStyle name="Normal 4 2 6 2 5 2 3" xfId="41818"/>
    <cellStyle name="Normal 4 2 6 2 5 3" xfId="19254"/>
    <cellStyle name="Normal 4 2 6 2 5 4" xfId="34297"/>
    <cellStyle name="Normal 4 2 6 2 6" xfId="7970"/>
    <cellStyle name="Normal 4 2 6 2 6 2" xfId="23014"/>
    <cellStyle name="Normal 4 2 6 2 6 3" xfId="38057"/>
    <cellStyle name="Normal 4 2 6 2 7" xfId="15493"/>
    <cellStyle name="Normal 4 2 6 2 8" xfId="30536"/>
    <cellStyle name="Normal 4 2 6 3" xfId="833"/>
    <cellStyle name="Normal 4 2 6 3 2" xfId="1792"/>
    <cellStyle name="Normal 4 2 6 3 2 2" xfId="3663"/>
    <cellStyle name="Normal 4 2 6 3 2 2 2" xfId="7458"/>
    <cellStyle name="Normal 4 2 6 3 2 2 2 2" xfId="14981"/>
    <cellStyle name="Normal 4 2 6 3 2 2 2 2 2" xfId="30025"/>
    <cellStyle name="Normal 4 2 6 3 2 2 2 2 3" xfId="45068"/>
    <cellStyle name="Normal 4 2 6 3 2 2 2 3" xfId="22504"/>
    <cellStyle name="Normal 4 2 6 3 2 2 2 4" xfId="37547"/>
    <cellStyle name="Normal 4 2 6 3 2 2 3" xfId="11232"/>
    <cellStyle name="Normal 4 2 6 3 2 2 3 2" xfId="26276"/>
    <cellStyle name="Normal 4 2 6 3 2 2 3 3" xfId="41319"/>
    <cellStyle name="Normal 4 2 6 3 2 2 4" xfId="18755"/>
    <cellStyle name="Normal 4 2 6 3 2 2 5" xfId="33798"/>
    <cellStyle name="Normal 4 2 6 3 2 3" xfId="5593"/>
    <cellStyle name="Normal 4 2 6 3 2 3 2" xfId="13116"/>
    <cellStyle name="Normal 4 2 6 3 2 3 2 2" xfId="28160"/>
    <cellStyle name="Normal 4 2 6 3 2 3 2 3" xfId="43203"/>
    <cellStyle name="Normal 4 2 6 3 2 3 3" xfId="20639"/>
    <cellStyle name="Normal 4 2 6 3 2 3 4" xfId="35682"/>
    <cellStyle name="Normal 4 2 6 3 2 4" xfId="9367"/>
    <cellStyle name="Normal 4 2 6 3 2 4 2" xfId="24411"/>
    <cellStyle name="Normal 4 2 6 3 2 4 3" xfId="39454"/>
    <cellStyle name="Normal 4 2 6 3 2 5" xfId="16890"/>
    <cellStyle name="Normal 4 2 6 3 2 6" xfId="31933"/>
    <cellStyle name="Normal 4 2 6 3 3" xfId="2731"/>
    <cellStyle name="Normal 4 2 6 3 3 2" xfId="6526"/>
    <cellStyle name="Normal 4 2 6 3 3 2 2" xfId="14049"/>
    <cellStyle name="Normal 4 2 6 3 3 2 2 2" xfId="29093"/>
    <cellStyle name="Normal 4 2 6 3 3 2 2 3" xfId="44136"/>
    <cellStyle name="Normal 4 2 6 3 3 2 3" xfId="21572"/>
    <cellStyle name="Normal 4 2 6 3 3 2 4" xfId="36615"/>
    <cellStyle name="Normal 4 2 6 3 3 3" xfId="10300"/>
    <cellStyle name="Normal 4 2 6 3 3 3 2" xfId="25344"/>
    <cellStyle name="Normal 4 2 6 3 3 3 3" xfId="40387"/>
    <cellStyle name="Normal 4 2 6 3 3 4" xfId="17823"/>
    <cellStyle name="Normal 4 2 6 3 3 5" xfId="32866"/>
    <cellStyle name="Normal 4 2 6 3 4" xfId="4661"/>
    <cellStyle name="Normal 4 2 6 3 4 2" xfId="12184"/>
    <cellStyle name="Normal 4 2 6 3 4 2 2" xfId="27228"/>
    <cellStyle name="Normal 4 2 6 3 4 2 3" xfId="42271"/>
    <cellStyle name="Normal 4 2 6 3 4 3" xfId="19707"/>
    <cellStyle name="Normal 4 2 6 3 4 4" xfId="34750"/>
    <cellStyle name="Normal 4 2 6 3 5" xfId="8435"/>
    <cellStyle name="Normal 4 2 6 3 5 2" xfId="23479"/>
    <cellStyle name="Normal 4 2 6 3 5 3" xfId="38522"/>
    <cellStyle name="Normal 4 2 6 3 6" xfId="15958"/>
    <cellStyle name="Normal 4 2 6 3 7" xfId="31001"/>
    <cellStyle name="Normal 4 2 6 4" xfId="1340"/>
    <cellStyle name="Normal 4 2 6 4 2" xfId="3211"/>
    <cellStyle name="Normal 4 2 6 4 2 2" xfId="7006"/>
    <cellStyle name="Normal 4 2 6 4 2 2 2" xfId="14529"/>
    <cellStyle name="Normal 4 2 6 4 2 2 2 2" xfId="29573"/>
    <cellStyle name="Normal 4 2 6 4 2 2 2 3" xfId="44616"/>
    <cellStyle name="Normal 4 2 6 4 2 2 3" xfId="22052"/>
    <cellStyle name="Normal 4 2 6 4 2 2 4" xfId="37095"/>
    <cellStyle name="Normal 4 2 6 4 2 3" xfId="10780"/>
    <cellStyle name="Normal 4 2 6 4 2 3 2" xfId="25824"/>
    <cellStyle name="Normal 4 2 6 4 2 3 3" xfId="40867"/>
    <cellStyle name="Normal 4 2 6 4 2 4" xfId="18303"/>
    <cellStyle name="Normal 4 2 6 4 2 5" xfId="33346"/>
    <cellStyle name="Normal 4 2 6 4 3" xfId="5141"/>
    <cellStyle name="Normal 4 2 6 4 3 2" xfId="12664"/>
    <cellStyle name="Normal 4 2 6 4 3 2 2" xfId="27708"/>
    <cellStyle name="Normal 4 2 6 4 3 2 3" xfId="42751"/>
    <cellStyle name="Normal 4 2 6 4 3 3" xfId="20187"/>
    <cellStyle name="Normal 4 2 6 4 3 4" xfId="35230"/>
    <cellStyle name="Normal 4 2 6 4 4" xfId="8915"/>
    <cellStyle name="Normal 4 2 6 4 4 2" xfId="23959"/>
    <cellStyle name="Normal 4 2 6 4 4 3" xfId="39002"/>
    <cellStyle name="Normal 4 2 6 4 5" xfId="16438"/>
    <cellStyle name="Normal 4 2 6 4 6" xfId="31481"/>
    <cellStyle name="Normal 4 2 6 5" xfId="2278"/>
    <cellStyle name="Normal 4 2 6 5 2" xfId="6074"/>
    <cellStyle name="Normal 4 2 6 5 2 2" xfId="13597"/>
    <cellStyle name="Normal 4 2 6 5 2 2 2" xfId="28641"/>
    <cellStyle name="Normal 4 2 6 5 2 2 3" xfId="43684"/>
    <cellStyle name="Normal 4 2 6 5 2 3" xfId="21120"/>
    <cellStyle name="Normal 4 2 6 5 2 4" xfId="36163"/>
    <cellStyle name="Normal 4 2 6 5 3" xfId="9848"/>
    <cellStyle name="Normal 4 2 6 5 3 2" xfId="24892"/>
    <cellStyle name="Normal 4 2 6 5 3 3" xfId="39935"/>
    <cellStyle name="Normal 4 2 6 5 4" xfId="17371"/>
    <cellStyle name="Normal 4 2 6 5 5" xfId="32414"/>
    <cellStyle name="Normal 4 2 6 6" xfId="4206"/>
    <cellStyle name="Normal 4 2 6 6 2" xfId="11730"/>
    <cellStyle name="Normal 4 2 6 6 2 2" xfId="26774"/>
    <cellStyle name="Normal 4 2 6 6 2 3" xfId="41817"/>
    <cellStyle name="Normal 4 2 6 6 3" xfId="19253"/>
    <cellStyle name="Normal 4 2 6 6 4" xfId="34296"/>
    <cellStyle name="Normal 4 2 6 7" xfId="7969"/>
    <cellStyle name="Normal 4 2 6 7 2" xfId="23013"/>
    <cellStyle name="Normal 4 2 6 7 3" xfId="38056"/>
    <cellStyle name="Normal 4 2 6 8" xfId="15492"/>
    <cellStyle name="Normal 4 2 6 9" xfId="30535"/>
    <cellStyle name="Normal 4 2 7" xfId="311"/>
    <cellStyle name="Normal 4 2 7 2" xfId="312"/>
    <cellStyle name="Normal 4 2 7 2 2" xfId="836"/>
    <cellStyle name="Normal 4 2 7 2 2 2" xfId="1795"/>
    <cellStyle name="Normal 4 2 7 2 2 2 2" xfId="3666"/>
    <cellStyle name="Normal 4 2 7 2 2 2 2 2" xfId="7461"/>
    <cellStyle name="Normal 4 2 7 2 2 2 2 2 2" xfId="14984"/>
    <cellStyle name="Normal 4 2 7 2 2 2 2 2 2 2" xfId="30028"/>
    <cellStyle name="Normal 4 2 7 2 2 2 2 2 2 3" xfId="45071"/>
    <cellStyle name="Normal 4 2 7 2 2 2 2 2 3" xfId="22507"/>
    <cellStyle name="Normal 4 2 7 2 2 2 2 2 4" xfId="37550"/>
    <cellStyle name="Normal 4 2 7 2 2 2 2 3" xfId="11235"/>
    <cellStyle name="Normal 4 2 7 2 2 2 2 3 2" xfId="26279"/>
    <cellStyle name="Normal 4 2 7 2 2 2 2 3 3" xfId="41322"/>
    <cellStyle name="Normal 4 2 7 2 2 2 2 4" xfId="18758"/>
    <cellStyle name="Normal 4 2 7 2 2 2 2 5" xfId="33801"/>
    <cellStyle name="Normal 4 2 7 2 2 2 3" xfId="5596"/>
    <cellStyle name="Normal 4 2 7 2 2 2 3 2" xfId="13119"/>
    <cellStyle name="Normal 4 2 7 2 2 2 3 2 2" xfId="28163"/>
    <cellStyle name="Normal 4 2 7 2 2 2 3 2 3" xfId="43206"/>
    <cellStyle name="Normal 4 2 7 2 2 2 3 3" xfId="20642"/>
    <cellStyle name="Normal 4 2 7 2 2 2 3 4" xfId="35685"/>
    <cellStyle name="Normal 4 2 7 2 2 2 4" xfId="9370"/>
    <cellStyle name="Normal 4 2 7 2 2 2 4 2" xfId="24414"/>
    <cellStyle name="Normal 4 2 7 2 2 2 4 3" xfId="39457"/>
    <cellStyle name="Normal 4 2 7 2 2 2 5" xfId="16893"/>
    <cellStyle name="Normal 4 2 7 2 2 2 6" xfId="31936"/>
    <cellStyle name="Normal 4 2 7 2 2 3" xfId="2734"/>
    <cellStyle name="Normal 4 2 7 2 2 3 2" xfId="6529"/>
    <cellStyle name="Normal 4 2 7 2 2 3 2 2" xfId="14052"/>
    <cellStyle name="Normal 4 2 7 2 2 3 2 2 2" xfId="29096"/>
    <cellStyle name="Normal 4 2 7 2 2 3 2 2 3" xfId="44139"/>
    <cellStyle name="Normal 4 2 7 2 2 3 2 3" xfId="21575"/>
    <cellStyle name="Normal 4 2 7 2 2 3 2 4" xfId="36618"/>
    <cellStyle name="Normal 4 2 7 2 2 3 3" xfId="10303"/>
    <cellStyle name="Normal 4 2 7 2 2 3 3 2" xfId="25347"/>
    <cellStyle name="Normal 4 2 7 2 2 3 3 3" xfId="40390"/>
    <cellStyle name="Normal 4 2 7 2 2 3 4" xfId="17826"/>
    <cellStyle name="Normal 4 2 7 2 2 3 5" xfId="32869"/>
    <cellStyle name="Normal 4 2 7 2 2 4" xfId="4664"/>
    <cellStyle name="Normal 4 2 7 2 2 4 2" xfId="12187"/>
    <cellStyle name="Normal 4 2 7 2 2 4 2 2" xfId="27231"/>
    <cellStyle name="Normal 4 2 7 2 2 4 2 3" xfId="42274"/>
    <cellStyle name="Normal 4 2 7 2 2 4 3" xfId="19710"/>
    <cellStyle name="Normal 4 2 7 2 2 4 4" xfId="34753"/>
    <cellStyle name="Normal 4 2 7 2 2 5" xfId="8438"/>
    <cellStyle name="Normal 4 2 7 2 2 5 2" xfId="23482"/>
    <cellStyle name="Normal 4 2 7 2 2 5 3" xfId="38525"/>
    <cellStyle name="Normal 4 2 7 2 2 6" xfId="15961"/>
    <cellStyle name="Normal 4 2 7 2 2 7" xfId="31004"/>
    <cellStyle name="Normal 4 2 7 2 3" xfId="1343"/>
    <cellStyle name="Normal 4 2 7 2 3 2" xfId="3214"/>
    <cellStyle name="Normal 4 2 7 2 3 2 2" xfId="7009"/>
    <cellStyle name="Normal 4 2 7 2 3 2 2 2" xfId="14532"/>
    <cellStyle name="Normal 4 2 7 2 3 2 2 2 2" xfId="29576"/>
    <cellStyle name="Normal 4 2 7 2 3 2 2 2 3" xfId="44619"/>
    <cellStyle name="Normal 4 2 7 2 3 2 2 3" xfId="22055"/>
    <cellStyle name="Normal 4 2 7 2 3 2 2 4" xfId="37098"/>
    <cellStyle name="Normal 4 2 7 2 3 2 3" xfId="10783"/>
    <cellStyle name="Normal 4 2 7 2 3 2 3 2" xfId="25827"/>
    <cellStyle name="Normal 4 2 7 2 3 2 3 3" xfId="40870"/>
    <cellStyle name="Normal 4 2 7 2 3 2 4" xfId="18306"/>
    <cellStyle name="Normal 4 2 7 2 3 2 5" xfId="33349"/>
    <cellStyle name="Normal 4 2 7 2 3 3" xfId="5144"/>
    <cellStyle name="Normal 4 2 7 2 3 3 2" xfId="12667"/>
    <cellStyle name="Normal 4 2 7 2 3 3 2 2" xfId="27711"/>
    <cellStyle name="Normal 4 2 7 2 3 3 2 3" xfId="42754"/>
    <cellStyle name="Normal 4 2 7 2 3 3 3" xfId="20190"/>
    <cellStyle name="Normal 4 2 7 2 3 3 4" xfId="35233"/>
    <cellStyle name="Normal 4 2 7 2 3 4" xfId="8918"/>
    <cellStyle name="Normal 4 2 7 2 3 4 2" xfId="23962"/>
    <cellStyle name="Normal 4 2 7 2 3 4 3" xfId="39005"/>
    <cellStyle name="Normal 4 2 7 2 3 5" xfId="16441"/>
    <cellStyle name="Normal 4 2 7 2 3 6" xfId="31484"/>
    <cellStyle name="Normal 4 2 7 2 4" xfId="2281"/>
    <cellStyle name="Normal 4 2 7 2 4 2" xfId="6077"/>
    <cellStyle name="Normal 4 2 7 2 4 2 2" xfId="13600"/>
    <cellStyle name="Normal 4 2 7 2 4 2 2 2" xfId="28644"/>
    <cellStyle name="Normal 4 2 7 2 4 2 2 3" xfId="43687"/>
    <cellStyle name="Normal 4 2 7 2 4 2 3" xfId="21123"/>
    <cellStyle name="Normal 4 2 7 2 4 2 4" xfId="36166"/>
    <cellStyle name="Normal 4 2 7 2 4 3" xfId="9851"/>
    <cellStyle name="Normal 4 2 7 2 4 3 2" xfId="24895"/>
    <cellStyle name="Normal 4 2 7 2 4 3 3" xfId="39938"/>
    <cellStyle name="Normal 4 2 7 2 4 4" xfId="17374"/>
    <cellStyle name="Normal 4 2 7 2 4 5" xfId="32417"/>
    <cellStyle name="Normal 4 2 7 2 5" xfId="4209"/>
    <cellStyle name="Normal 4 2 7 2 5 2" xfId="11733"/>
    <cellStyle name="Normal 4 2 7 2 5 2 2" xfId="26777"/>
    <cellStyle name="Normal 4 2 7 2 5 2 3" xfId="41820"/>
    <cellStyle name="Normal 4 2 7 2 5 3" xfId="19256"/>
    <cellStyle name="Normal 4 2 7 2 5 4" xfId="34299"/>
    <cellStyle name="Normal 4 2 7 2 6" xfId="7972"/>
    <cellStyle name="Normal 4 2 7 2 6 2" xfId="23016"/>
    <cellStyle name="Normal 4 2 7 2 6 3" xfId="38059"/>
    <cellStyle name="Normal 4 2 7 2 7" xfId="15495"/>
    <cellStyle name="Normal 4 2 7 2 8" xfId="30538"/>
    <cellStyle name="Normal 4 2 7 3" xfId="835"/>
    <cellStyle name="Normal 4 2 7 3 2" xfId="1794"/>
    <cellStyle name="Normal 4 2 7 3 2 2" xfId="3665"/>
    <cellStyle name="Normal 4 2 7 3 2 2 2" xfId="7460"/>
    <cellStyle name="Normal 4 2 7 3 2 2 2 2" xfId="14983"/>
    <cellStyle name="Normal 4 2 7 3 2 2 2 2 2" xfId="30027"/>
    <cellStyle name="Normal 4 2 7 3 2 2 2 2 3" xfId="45070"/>
    <cellStyle name="Normal 4 2 7 3 2 2 2 3" xfId="22506"/>
    <cellStyle name="Normal 4 2 7 3 2 2 2 4" xfId="37549"/>
    <cellStyle name="Normal 4 2 7 3 2 2 3" xfId="11234"/>
    <cellStyle name="Normal 4 2 7 3 2 2 3 2" xfId="26278"/>
    <cellStyle name="Normal 4 2 7 3 2 2 3 3" xfId="41321"/>
    <cellStyle name="Normal 4 2 7 3 2 2 4" xfId="18757"/>
    <cellStyle name="Normal 4 2 7 3 2 2 5" xfId="33800"/>
    <cellStyle name="Normal 4 2 7 3 2 3" xfId="5595"/>
    <cellStyle name="Normal 4 2 7 3 2 3 2" xfId="13118"/>
    <cellStyle name="Normal 4 2 7 3 2 3 2 2" xfId="28162"/>
    <cellStyle name="Normal 4 2 7 3 2 3 2 3" xfId="43205"/>
    <cellStyle name="Normal 4 2 7 3 2 3 3" xfId="20641"/>
    <cellStyle name="Normal 4 2 7 3 2 3 4" xfId="35684"/>
    <cellStyle name="Normal 4 2 7 3 2 4" xfId="9369"/>
    <cellStyle name="Normal 4 2 7 3 2 4 2" xfId="24413"/>
    <cellStyle name="Normal 4 2 7 3 2 4 3" xfId="39456"/>
    <cellStyle name="Normal 4 2 7 3 2 5" xfId="16892"/>
    <cellStyle name="Normal 4 2 7 3 2 6" xfId="31935"/>
    <cellStyle name="Normal 4 2 7 3 3" xfId="2733"/>
    <cellStyle name="Normal 4 2 7 3 3 2" xfId="6528"/>
    <cellStyle name="Normal 4 2 7 3 3 2 2" xfId="14051"/>
    <cellStyle name="Normal 4 2 7 3 3 2 2 2" xfId="29095"/>
    <cellStyle name="Normal 4 2 7 3 3 2 2 3" xfId="44138"/>
    <cellStyle name="Normal 4 2 7 3 3 2 3" xfId="21574"/>
    <cellStyle name="Normal 4 2 7 3 3 2 4" xfId="36617"/>
    <cellStyle name="Normal 4 2 7 3 3 3" xfId="10302"/>
    <cellStyle name="Normal 4 2 7 3 3 3 2" xfId="25346"/>
    <cellStyle name="Normal 4 2 7 3 3 3 3" xfId="40389"/>
    <cellStyle name="Normal 4 2 7 3 3 4" xfId="17825"/>
    <cellStyle name="Normal 4 2 7 3 3 5" xfId="32868"/>
    <cellStyle name="Normal 4 2 7 3 4" xfId="4663"/>
    <cellStyle name="Normal 4 2 7 3 4 2" xfId="12186"/>
    <cellStyle name="Normal 4 2 7 3 4 2 2" xfId="27230"/>
    <cellStyle name="Normal 4 2 7 3 4 2 3" xfId="42273"/>
    <cellStyle name="Normal 4 2 7 3 4 3" xfId="19709"/>
    <cellStyle name="Normal 4 2 7 3 4 4" xfId="34752"/>
    <cellStyle name="Normal 4 2 7 3 5" xfId="8437"/>
    <cellStyle name="Normal 4 2 7 3 5 2" xfId="23481"/>
    <cellStyle name="Normal 4 2 7 3 5 3" xfId="38524"/>
    <cellStyle name="Normal 4 2 7 3 6" xfId="15960"/>
    <cellStyle name="Normal 4 2 7 3 7" xfId="31003"/>
    <cellStyle name="Normal 4 2 7 4" xfId="1342"/>
    <cellStyle name="Normal 4 2 7 4 2" xfId="3213"/>
    <cellStyle name="Normal 4 2 7 4 2 2" xfId="7008"/>
    <cellStyle name="Normal 4 2 7 4 2 2 2" xfId="14531"/>
    <cellStyle name="Normal 4 2 7 4 2 2 2 2" xfId="29575"/>
    <cellStyle name="Normal 4 2 7 4 2 2 2 3" xfId="44618"/>
    <cellStyle name="Normal 4 2 7 4 2 2 3" xfId="22054"/>
    <cellStyle name="Normal 4 2 7 4 2 2 4" xfId="37097"/>
    <cellStyle name="Normal 4 2 7 4 2 3" xfId="10782"/>
    <cellStyle name="Normal 4 2 7 4 2 3 2" xfId="25826"/>
    <cellStyle name="Normal 4 2 7 4 2 3 3" xfId="40869"/>
    <cellStyle name="Normal 4 2 7 4 2 4" xfId="18305"/>
    <cellStyle name="Normal 4 2 7 4 2 5" xfId="33348"/>
    <cellStyle name="Normal 4 2 7 4 3" xfId="5143"/>
    <cellStyle name="Normal 4 2 7 4 3 2" xfId="12666"/>
    <cellStyle name="Normal 4 2 7 4 3 2 2" xfId="27710"/>
    <cellStyle name="Normal 4 2 7 4 3 2 3" xfId="42753"/>
    <cellStyle name="Normal 4 2 7 4 3 3" xfId="20189"/>
    <cellStyle name="Normal 4 2 7 4 3 4" xfId="35232"/>
    <cellStyle name="Normal 4 2 7 4 4" xfId="8917"/>
    <cellStyle name="Normal 4 2 7 4 4 2" xfId="23961"/>
    <cellStyle name="Normal 4 2 7 4 4 3" xfId="39004"/>
    <cellStyle name="Normal 4 2 7 4 5" xfId="16440"/>
    <cellStyle name="Normal 4 2 7 4 6" xfId="31483"/>
    <cellStyle name="Normal 4 2 7 5" xfId="2280"/>
    <cellStyle name="Normal 4 2 7 5 2" xfId="6076"/>
    <cellStyle name="Normal 4 2 7 5 2 2" xfId="13599"/>
    <cellStyle name="Normal 4 2 7 5 2 2 2" xfId="28643"/>
    <cellStyle name="Normal 4 2 7 5 2 2 3" xfId="43686"/>
    <cellStyle name="Normal 4 2 7 5 2 3" xfId="21122"/>
    <cellStyle name="Normal 4 2 7 5 2 4" xfId="36165"/>
    <cellStyle name="Normal 4 2 7 5 3" xfId="9850"/>
    <cellStyle name="Normal 4 2 7 5 3 2" xfId="24894"/>
    <cellStyle name="Normal 4 2 7 5 3 3" xfId="39937"/>
    <cellStyle name="Normal 4 2 7 5 4" xfId="17373"/>
    <cellStyle name="Normal 4 2 7 5 5" xfId="32416"/>
    <cellStyle name="Normal 4 2 7 6" xfId="4208"/>
    <cellStyle name="Normal 4 2 7 6 2" xfId="11732"/>
    <cellStyle name="Normal 4 2 7 6 2 2" xfId="26776"/>
    <cellStyle name="Normal 4 2 7 6 2 3" xfId="41819"/>
    <cellStyle name="Normal 4 2 7 6 3" xfId="19255"/>
    <cellStyle name="Normal 4 2 7 6 4" xfId="34298"/>
    <cellStyle name="Normal 4 2 7 7" xfId="7971"/>
    <cellStyle name="Normal 4 2 7 7 2" xfId="23015"/>
    <cellStyle name="Normal 4 2 7 7 3" xfId="38058"/>
    <cellStyle name="Normal 4 2 7 8" xfId="15494"/>
    <cellStyle name="Normal 4 2 7 9" xfId="30537"/>
    <cellStyle name="Normal 4 2 8" xfId="313"/>
    <cellStyle name="Normal 4 2 8 2" xfId="837"/>
    <cellStyle name="Normal 4 2 8 2 2" xfId="1796"/>
    <cellStyle name="Normal 4 2 8 2 2 2" xfId="3667"/>
    <cellStyle name="Normal 4 2 8 2 2 2 2" xfId="7462"/>
    <cellStyle name="Normal 4 2 8 2 2 2 2 2" xfId="14985"/>
    <cellStyle name="Normal 4 2 8 2 2 2 2 2 2" xfId="30029"/>
    <cellStyle name="Normal 4 2 8 2 2 2 2 2 3" xfId="45072"/>
    <cellStyle name="Normal 4 2 8 2 2 2 2 3" xfId="22508"/>
    <cellStyle name="Normal 4 2 8 2 2 2 2 4" xfId="37551"/>
    <cellStyle name="Normal 4 2 8 2 2 2 3" xfId="11236"/>
    <cellStyle name="Normal 4 2 8 2 2 2 3 2" xfId="26280"/>
    <cellStyle name="Normal 4 2 8 2 2 2 3 3" xfId="41323"/>
    <cellStyle name="Normal 4 2 8 2 2 2 4" xfId="18759"/>
    <cellStyle name="Normal 4 2 8 2 2 2 5" xfId="33802"/>
    <cellStyle name="Normal 4 2 8 2 2 3" xfId="5597"/>
    <cellStyle name="Normal 4 2 8 2 2 3 2" xfId="13120"/>
    <cellStyle name="Normal 4 2 8 2 2 3 2 2" xfId="28164"/>
    <cellStyle name="Normal 4 2 8 2 2 3 2 3" xfId="43207"/>
    <cellStyle name="Normal 4 2 8 2 2 3 3" xfId="20643"/>
    <cellStyle name="Normal 4 2 8 2 2 3 4" xfId="35686"/>
    <cellStyle name="Normal 4 2 8 2 2 4" xfId="9371"/>
    <cellStyle name="Normal 4 2 8 2 2 4 2" xfId="24415"/>
    <cellStyle name="Normal 4 2 8 2 2 4 3" xfId="39458"/>
    <cellStyle name="Normal 4 2 8 2 2 5" xfId="16894"/>
    <cellStyle name="Normal 4 2 8 2 2 6" xfId="31937"/>
    <cellStyle name="Normal 4 2 8 2 3" xfId="2735"/>
    <cellStyle name="Normal 4 2 8 2 3 2" xfId="6530"/>
    <cellStyle name="Normal 4 2 8 2 3 2 2" xfId="14053"/>
    <cellStyle name="Normal 4 2 8 2 3 2 2 2" xfId="29097"/>
    <cellStyle name="Normal 4 2 8 2 3 2 2 3" xfId="44140"/>
    <cellStyle name="Normal 4 2 8 2 3 2 3" xfId="21576"/>
    <cellStyle name="Normal 4 2 8 2 3 2 4" xfId="36619"/>
    <cellStyle name="Normal 4 2 8 2 3 3" xfId="10304"/>
    <cellStyle name="Normal 4 2 8 2 3 3 2" xfId="25348"/>
    <cellStyle name="Normal 4 2 8 2 3 3 3" xfId="40391"/>
    <cellStyle name="Normal 4 2 8 2 3 4" xfId="17827"/>
    <cellStyle name="Normal 4 2 8 2 3 5" xfId="32870"/>
    <cellStyle name="Normal 4 2 8 2 4" xfId="4665"/>
    <cellStyle name="Normal 4 2 8 2 4 2" xfId="12188"/>
    <cellStyle name="Normal 4 2 8 2 4 2 2" xfId="27232"/>
    <cellStyle name="Normal 4 2 8 2 4 2 3" xfId="42275"/>
    <cellStyle name="Normal 4 2 8 2 4 3" xfId="19711"/>
    <cellStyle name="Normal 4 2 8 2 4 4" xfId="34754"/>
    <cellStyle name="Normal 4 2 8 2 5" xfId="8439"/>
    <cellStyle name="Normal 4 2 8 2 5 2" xfId="23483"/>
    <cellStyle name="Normal 4 2 8 2 5 3" xfId="38526"/>
    <cellStyle name="Normal 4 2 8 2 6" xfId="15962"/>
    <cellStyle name="Normal 4 2 8 2 7" xfId="31005"/>
    <cellStyle name="Normal 4 2 8 3" xfId="1344"/>
    <cellStyle name="Normal 4 2 8 3 2" xfId="3215"/>
    <cellStyle name="Normal 4 2 8 3 2 2" xfId="7010"/>
    <cellStyle name="Normal 4 2 8 3 2 2 2" xfId="14533"/>
    <cellStyle name="Normal 4 2 8 3 2 2 2 2" xfId="29577"/>
    <cellStyle name="Normal 4 2 8 3 2 2 2 3" xfId="44620"/>
    <cellStyle name="Normal 4 2 8 3 2 2 3" xfId="22056"/>
    <cellStyle name="Normal 4 2 8 3 2 2 4" xfId="37099"/>
    <cellStyle name="Normal 4 2 8 3 2 3" xfId="10784"/>
    <cellStyle name="Normal 4 2 8 3 2 3 2" xfId="25828"/>
    <cellStyle name="Normal 4 2 8 3 2 3 3" xfId="40871"/>
    <cellStyle name="Normal 4 2 8 3 2 4" xfId="18307"/>
    <cellStyle name="Normal 4 2 8 3 2 5" xfId="33350"/>
    <cellStyle name="Normal 4 2 8 3 3" xfId="5145"/>
    <cellStyle name="Normal 4 2 8 3 3 2" xfId="12668"/>
    <cellStyle name="Normal 4 2 8 3 3 2 2" xfId="27712"/>
    <cellStyle name="Normal 4 2 8 3 3 2 3" xfId="42755"/>
    <cellStyle name="Normal 4 2 8 3 3 3" xfId="20191"/>
    <cellStyle name="Normal 4 2 8 3 3 4" xfId="35234"/>
    <cellStyle name="Normal 4 2 8 3 4" xfId="8919"/>
    <cellStyle name="Normal 4 2 8 3 4 2" xfId="23963"/>
    <cellStyle name="Normal 4 2 8 3 4 3" xfId="39006"/>
    <cellStyle name="Normal 4 2 8 3 5" xfId="16442"/>
    <cellStyle name="Normal 4 2 8 3 6" xfId="31485"/>
    <cellStyle name="Normal 4 2 8 4" xfId="2282"/>
    <cellStyle name="Normal 4 2 8 4 2" xfId="6078"/>
    <cellStyle name="Normal 4 2 8 4 2 2" xfId="13601"/>
    <cellStyle name="Normal 4 2 8 4 2 2 2" xfId="28645"/>
    <cellStyle name="Normal 4 2 8 4 2 2 3" xfId="43688"/>
    <cellStyle name="Normal 4 2 8 4 2 3" xfId="21124"/>
    <cellStyle name="Normal 4 2 8 4 2 4" xfId="36167"/>
    <cellStyle name="Normal 4 2 8 4 3" xfId="9852"/>
    <cellStyle name="Normal 4 2 8 4 3 2" xfId="24896"/>
    <cellStyle name="Normal 4 2 8 4 3 3" xfId="39939"/>
    <cellStyle name="Normal 4 2 8 4 4" xfId="17375"/>
    <cellStyle name="Normal 4 2 8 4 5" xfId="32418"/>
    <cellStyle name="Normal 4 2 8 5" xfId="4210"/>
    <cellStyle name="Normal 4 2 8 5 2" xfId="11734"/>
    <cellStyle name="Normal 4 2 8 5 2 2" xfId="26778"/>
    <cellStyle name="Normal 4 2 8 5 2 3" xfId="41821"/>
    <cellStyle name="Normal 4 2 8 5 3" xfId="19257"/>
    <cellStyle name="Normal 4 2 8 5 4" xfId="34300"/>
    <cellStyle name="Normal 4 2 8 6" xfId="7973"/>
    <cellStyle name="Normal 4 2 8 6 2" xfId="23017"/>
    <cellStyle name="Normal 4 2 8 6 3" xfId="38060"/>
    <cellStyle name="Normal 4 2 8 7" xfId="15496"/>
    <cellStyle name="Normal 4 2 8 8" xfId="30539"/>
    <cellStyle name="Normal 4 2 9" xfId="41"/>
    <cellStyle name="Normal 4 2 9 2" xfId="678"/>
    <cellStyle name="Normal 4 2 9 2 2" xfId="1637"/>
    <cellStyle name="Normal 4 2 9 2 2 2" xfId="3508"/>
    <cellStyle name="Normal 4 2 9 2 2 2 2" xfId="7303"/>
    <cellStyle name="Normal 4 2 9 2 2 2 2 2" xfId="14826"/>
    <cellStyle name="Normal 4 2 9 2 2 2 2 2 2" xfId="29870"/>
    <cellStyle name="Normal 4 2 9 2 2 2 2 2 3" xfId="44913"/>
    <cellStyle name="Normal 4 2 9 2 2 2 2 3" xfId="22349"/>
    <cellStyle name="Normal 4 2 9 2 2 2 2 4" xfId="37392"/>
    <cellStyle name="Normal 4 2 9 2 2 2 3" xfId="11077"/>
    <cellStyle name="Normal 4 2 9 2 2 2 3 2" xfId="26121"/>
    <cellStyle name="Normal 4 2 9 2 2 2 3 3" xfId="41164"/>
    <cellStyle name="Normal 4 2 9 2 2 2 4" xfId="18600"/>
    <cellStyle name="Normal 4 2 9 2 2 2 5" xfId="33643"/>
    <cellStyle name="Normal 4 2 9 2 2 3" xfId="5438"/>
    <cellStyle name="Normal 4 2 9 2 2 3 2" xfId="12961"/>
    <cellStyle name="Normal 4 2 9 2 2 3 2 2" xfId="28005"/>
    <cellStyle name="Normal 4 2 9 2 2 3 2 3" xfId="43048"/>
    <cellStyle name="Normal 4 2 9 2 2 3 3" xfId="20484"/>
    <cellStyle name="Normal 4 2 9 2 2 3 4" xfId="35527"/>
    <cellStyle name="Normal 4 2 9 2 2 4" xfId="9212"/>
    <cellStyle name="Normal 4 2 9 2 2 4 2" xfId="24256"/>
    <cellStyle name="Normal 4 2 9 2 2 4 3" xfId="39299"/>
    <cellStyle name="Normal 4 2 9 2 2 5" xfId="16735"/>
    <cellStyle name="Normal 4 2 9 2 2 6" xfId="31778"/>
    <cellStyle name="Normal 4 2 9 2 3" xfId="2576"/>
    <cellStyle name="Normal 4 2 9 2 3 2" xfId="6371"/>
    <cellStyle name="Normal 4 2 9 2 3 2 2" xfId="13894"/>
    <cellStyle name="Normal 4 2 9 2 3 2 2 2" xfId="28938"/>
    <cellStyle name="Normal 4 2 9 2 3 2 2 3" xfId="43981"/>
    <cellStyle name="Normal 4 2 9 2 3 2 3" xfId="21417"/>
    <cellStyle name="Normal 4 2 9 2 3 2 4" xfId="36460"/>
    <cellStyle name="Normal 4 2 9 2 3 3" xfId="10145"/>
    <cellStyle name="Normal 4 2 9 2 3 3 2" xfId="25189"/>
    <cellStyle name="Normal 4 2 9 2 3 3 3" xfId="40232"/>
    <cellStyle name="Normal 4 2 9 2 3 4" xfId="17668"/>
    <cellStyle name="Normal 4 2 9 2 3 5" xfId="32711"/>
    <cellStyle name="Normal 4 2 9 2 4" xfId="4506"/>
    <cellStyle name="Normal 4 2 9 2 4 2" xfId="12029"/>
    <cellStyle name="Normal 4 2 9 2 4 2 2" xfId="27073"/>
    <cellStyle name="Normal 4 2 9 2 4 2 3" xfId="42116"/>
    <cellStyle name="Normal 4 2 9 2 4 3" xfId="19552"/>
    <cellStyle name="Normal 4 2 9 2 4 4" xfId="34595"/>
    <cellStyle name="Normal 4 2 9 2 5" xfId="8280"/>
    <cellStyle name="Normal 4 2 9 2 5 2" xfId="23324"/>
    <cellStyle name="Normal 4 2 9 2 5 3" xfId="38367"/>
    <cellStyle name="Normal 4 2 9 2 6" xfId="15803"/>
    <cellStyle name="Normal 4 2 9 2 7" xfId="30846"/>
    <cellStyle name="Normal 4 2 9 3" xfId="1185"/>
    <cellStyle name="Normal 4 2 9 3 2" xfId="3056"/>
    <cellStyle name="Normal 4 2 9 3 2 2" xfId="6851"/>
    <cellStyle name="Normal 4 2 9 3 2 2 2" xfId="14374"/>
    <cellStyle name="Normal 4 2 9 3 2 2 2 2" xfId="29418"/>
    <cellStyle name="Normal 4 2 9 3 2 2 2 3" xfId="44461"/>
    <cellStyle name="Normal 4 2 9 3 2 2 3" xfId="21897"/>
    <cellStyle name="Normal 4 2 9 3 2 2 4" xfId="36940"/>
    <cellStyle name="Normal 4 2 9 3 2 3" xfId="10625"/>
    <cellStyle name="Normal 4 2 9 3 2 3 2" xfId="25669"/>
    <cellStyle name="Normal 4 2 9 3 2 3 3" xfId="40712"/>
    <cellStyle name="Normal 4 2 9 3 2 4" xfId="18148"/>
    <cellStyle name="Normal 4 2 9 3 2 5" xfId="33191"/>
    <cellStyle name="Normal 4 2 9 3 3" xfId="4986"/>
    <cellStyle name="Normal 4 2 9 3 3 2" xfId="12509"/>
    <cellStyle name="Normal 4 2 9 3 3 2 2" xfId="27553"/>
    <cellStyle name="Normal 4 2 9 3 3 2 3" xfId="42596"/>
    <cellStyle name="Normal 4 2 9 3 3 3" xfId="20032"/>
    <cellStyle name="Normal 4 2 9 3 3 4" xfId="35075"/>
    <cellStyle name="Normal 4 2 9 3 4" xfId="8760"/>
    <cellStyle name="Normal 4 2 9 3 4 2" xfId="23804"/>
    <cellStyle name="Normal 4 2 9 3 4 3" xfId="38847"/>
    <cellStyle name="Normal 4 2 9 3 5" xfId="16283"/>
    <cellStyle name="Normal 4 2 9 3 6" xfId="31326"/>
    <cellStyle name="Normal 4 2 9 4" xfId="2123"/>
    <cellStyle name="Normal 4 2 9 4 2" xfId="5919"/>
    <cellStyle name="Normal 4 2 9 4 2 2" xfId="13442"/>
    <cellStyle name="Normal 4 2 9 4 2 2 2" xfId="28486"/>
    <cellStyle name="Normal 4 2 9 4 2 2 3" xfId="43529"/>
    <cellStyle name="Normal 4 2 9 4 2 3" xfId="20965"/>
    <cellStyle name="Normal 4 2 9 4 2 4" xfId="36008"/>
    <cellStyle name="Normal 4 2 9 4 3" xfId="9693"/>
    <cellStyle name="Normal 4 2 9 4 3 2" xfId="24737"/>
    <cellStyle name="Normal 4 2 9 4 3 3" xfId="39780"/>
    <cellStyle name="Normal 4 2 9 4 4" xfId="17216"/>
    <cellStyle name="Normal 4 2 9 4 5" xfId="32259"/>
    <cellStyle name="Normal 4 2 9 5" xfId="4049"/>
    <cellStyle name="Normal 4 2 9 5 2" xfId="11573"/>
    <cellStyle name="Normal 4 2 9 5 2 2" xfId="26617"/>
    <cellStyle name="Normal 4 2 9 5 2 3" xfId="41660"/>
    <cellStyle name="Normal 4 2 9 5 3" xfId="19096"/>
    <cellStyle name="Normal 4 2 9 5 4" xfId="34139"/>
    <cellStyle name="Normal 4 2 9 6" xfId="7812"/>
    <cellStyle name="Normal 4 2 9 6 2" xfId="22856"/>
    <cellStyle name="Normal 4 2 9 6 3" xfId="37899"/>
    <cellStyle name="Normal 4 2 9 7" xfId="15335"/>
    <cellStyle name="Normal 4 2 9 8" xfId="30378"/>
    <cellStyle name="Normal 4 20" xfId="45413"/>
    <cellStyle name="Normal 4 21" xfId="45424"/>
    <cellStyle name="Normal 4 22" xfId="45434"/>
    <cellStyle name="Normal 4 23" xfId="45444"/>
    <cellStyle name="Normal 4 24" xfId="45454"/>
    <cellStyle name="Normal 4 25" xfId="45466"/>
    <cellStyle name="Normal 4 26" xfId="45480"/>
    <cellStyle name="Normal 4 3" xfId="314"/>
    <cellStyle name="Normal 4 3 10" xfId="2283"/>
    <cellStyle name="Normal 4 3 10 2" xfId="6079"/>
    <cellStyle name="Normal 4 3 10 2 2" xfId="13602"/>
    <cellStyle name="Normal 4 3 10 2 2 2" xfId="28646"/>
    <cellStyle name="Normal 4 3 10 2 2 3" xfId="43689"/>
    <cellStyle name="Normal 4 3 10 2 3" xfId="21125"/>
    <cellStyle name="Normal 4 3 10 2 4" xfId="36168"/>
    <cellStyle name="Normal 4 3 10 3" xfId="9853"/>
    <cellStyle name="Normal 4 3 10 3 2" xfId="24897"/>
    <cellStyle name="Normal 4 3 10 3 3" xfId="39940"/>
    <cellStyle name="Normal 4 3 10 4" xfId="17376"/>
    <cellStyle name="Normal 4 3 10 5" xfId="32419"/>
    <cellStyle name="Normal 4 3 11" xfId="4211"/>
    <cellStyle name="Normal 4 3 11 2" xfId="11735"/>
    <cellStyle name="Normal 4 3 11 2 2" xfId="26779"/>
    <cellStyle name="Normal 4 3 11 2 3" xfId="41822"/>
    <cellStyle name="Normal 4 3 11 3" xfId="19258"/>
    <cellStyle name="Normal 4 3 11 4" xfId="34301"/>
    <cellStyle name="Normal 4 3 12" xfId="7974"/>
    <cellStyle name="Normal 4 3 12 2" xfId="23018"/>
    <cellStyle name="Normal 4 3 12 3" xfId="38061"/>
    <cellStyle name="Normal 4 3 13" xfId="15497"/>
    <cellStyle name="Normal 4 3 14" xfId="30540"/>
    <cellStyle name="Normal 4 3 2" xfId="315"/>
    <cellStyle name="Normal 4 3 2 10" xfId="4212"/>
    <cellStyle name="Normal 4 3 2 10 2" xfId="11736"/>
    <cellStyle name="Normal 4 3 2 10 2 2" xfId="26780"/>
    <cellStyle name="Normal 4 3 2 10 2 3" xfId="41823"/>
    <cellStyle name="Normal 4 3 2 10 3" xfId="19259"/>
    <cellStyle name="Normal 4 3 2 10 4" xfId="34302"/>
    <cellStyle name="Normal 4 3 2 11" xfId="7975"/>
    <cellStyle name="Normal 4 3 2 11 2" xfId="23019"/>
    <cellStyle name="Normal 4 3 2 11 3" xfId="38062"/>
    <cellStyle name="Normal 4 3 2 12" xfId="15498"/>
    <cellStyle name="Normal 4 3 2 13" xfId="30541"/>
    <cellStyle name="Normal 4 3 2 2" xfId="316"/>
    <cellStyle name="Normal 4 3 2 2 10" xfId="7976"/>
    <cellStyle name="Normal 4 3 2 2 10 2" xfId="23020"/>
    <cellStyle name="Normal 4 3 2 2 10 3" xfId="38063"/>
    <cellStyle name="Normal 4 3 2 2 11" xfId="15499"/>
    <cellStyle name="Normal 4 3 2 2 12" xfId="30542"/>
    <cellStyle name="Normal 4 3 2 2 2" xfId="317"/>
    <cellStyle name="Normal 4 3 2 2 2 10" xfId="30543"/>
    <cellStyle name="Normal 4 3 2 2 2 2" xfId="318"/>
    <cellStyle name="Normal 4 3 2 2 2 2 2" xfId="319"/>
    <cellStyle name="Normal 4 3 2 2 2 2 2 2" xfId="843"/>
    <cellStyle name="Normal 4 3 2 2 2 2 2 2 2" xfId="1802"/>
    <cellStyle name="Normal 4 3 2 2 2 2 2 2 2 2" xfId="3673"/>
    <cellStyle name="Normal 4 3 2 2 2 2 2 2 2 2 2" xfId="7468"/>
    <cellStyle name="Normal 4 3 2 2 2 2 2 2 2 2 2 2" xfId="14991"/>
    <cellStyle name="Normal 4 3 2 2 2 2 2 2 2 2 2 2 2" xfId="30035"/>
    <cellStyle name="Normal 4 3 2 2 2 2 2 2 2 2 2 2 3" xfId="45078"/>
    <cellStyle name="Normal 4 3 2 2 2 2 2 2 2 2 2 3" xfId="22514"/>
    <cellStyle name="Normal 4 3 2 2 2 2 2 2 2 2 2 4" xfId="37557"/>
    <cellStyle name="Normal 4 3 2 2 2 2 2 2 2 2 3" xfId="11242"/>
    <cellStyle name="Normal 4 3 2 2 2 2 2 2 2 2 3 2" xfId="26286"/>
    <cellStyle name="Normal 4 3 2 2 2 2 2 2 2 2 3 3" xfId="41329"/>
    <cellStyle name="Normal 4 3 2 2 2 2 2 2 2 2 4" xfId="18765"/>
    <cellStyle name="Normal 4 3 2 2 2 2 2 2 2 2 5" xfId="33808"/>
    <cellStyle name="Normal 4 3 2 2 2 2 2 2 2 3" xfId="5603"/>
    <cellStyle name="Normal 4 3 2 2 2 2 2 2 2 3 2" xfId="13126"/>
    <cellStyle name="Normal 4 3 2 2 2 2 2 2 2 3 2 2" xfId="28170"/>
    <cellStyle name="Normal 4 3 2 2 2 2 2 2 2 3 2 3" xfId="43213"/>
    <cellStyle name="Normal 4 3 2 2 2 2 2 2 2 3 3" xfId="20649"/>
    <cellStyle name="Normal 4 3 2 2 2 2 2 2 2 3 4" xfId="35692"/>
    <cellStyle name="Normal 4 3 2 2 2 2 2 2 2 4" xfId="9377"/>
    <cellStyle name="Normal 4 3 2 2 2 2 2 2 2 4 2" xfId="24421"/>
    <cellStyle name="Normal 4 3 2 2 2 2 2 2 2 4 3" xfId="39464"/>
    <cellStyle name="Normal 4 3 2 2 2 2 2 2 2 5" xfId="16900"/>
    <cellStyle name="Normal 4 3 2 2 2 2 2 2 2 6" xfId="31943"/>
    <cellStyle name="Normal 4 3 2 2 2 2 2 2 3" xfId="2741"/>
    <cellStyle name="Normal 4 3 2 2 2 2 2 2 3 2" xfId="6536"/>
    <cellStyle name="Normal 4 3 2 2 2 2 2 2 3 2 2" xfId="14059"/>
    <cellStyle name="Normal 4 3 2 2 2 2 2 2 3 2 2 2" xfId="29103"/>
    <cellStyle name="Normal 4 3 2 2 2 2 2 2 3 2 2 3" xfId="44146"/>
    <cellStyle name="Normal 4 3 2 2 2 2 2 2 3 2 3" xfId="21582"/>
    <cellStyle name="Normal 4 3 2 2 2 2 2 2 3 2 4" xfId="36625"/>
    <cellStyle name="Normal 4 3 2 2 2 2 2 2 3 3" xfId="10310"/>
    <cellStyle name="Normal 4 3 2 2 2 2 2 2 3 3 2" xfId="25354"/>
    <cellStyle name="Normal 4 3 2 2 2 2 2 2 3 3 3" xfId="40397"/>
    <cellStyle name="Normal 4 3 2 2 2 2 2 2 3 4" xfId="17833"/>
    <cellStyle name="Normal 4 3 2 2 2 2 2 2 3 5" xfId="32876"/>
    <cellStyle name="Normal 4 3 2 2 2 2 2 2 4" xfId="4671"/>
    <cellStyle name="Normal 4 3 2 2 2 2 2 2 4 2" xfId="12194"/>
    <cellStyle name="Normal 4 3 2 2 2 2 2 2 4 2 2" xfId="27238"/>
    <cellStyle name="Normal 4 3 2 2 2 2 2 2 4 2 3" xfId="42281"/>
    <cellStyle name="Normal 4 3 2 2 2 2 2 2 4 3" xfId="19717"/>
    <cellStyle name="Normal 4 3 2 2 2 2 2 2 4 4" xfId="34760"/>
    <cellStyle name="Normal 4 3 2 2 2 2 2 2 5" xfId="8445"/>
    <cellStyle name="Normal 4 3 2 2 2 2 2 2 5 2" xfId="23489"/>
    <cellStyle name="Normal 4 3 2 2 2 2 2 2 5 3" xfId="38532"/>
    <cellStyle name="Normal 4 3 2 2 2 2 2 2 6" xfId="15968"/>
    <cellStyle name="Normal 4 3 2 2 2 2 2 2 7" xfId="31011"/>
    <cellStyle name="Normal 4 3 2 2 2 2 2 3" xfId="1350"/>
    <cellStyle name="Normal 4 3 2 2 2 2 2 3 2" xfId="3221"/>
    <cellStyle name="Normal 4 3 2 2 2 2 2 3 2 2" xfId="7016"/>
    <cellStyle name="Normal 4 3 2 2 2 2 2 3 2 2 2" xfId="14539"/>
    <cellStyle name="Normal 4 3 2 2 2 2 2 3 2 2 2 2" xfId="29583"/>
    <cellStyle name="Normal 4 3 2 2 2 2 2 3 2 2 2 3" xfId="44626"/>
    <cellStyle name="Normal 4 3 2 2 2 2 2 3 2 2 3" xfId="22062"/>
    <cellStyle name="Normal 4 3 2 2 2 2 2 3 2 2 4" xfId="37105"/>
    <cellStyle name="Normal 4 3 2 2 2 2 2 3 2 3" xfId="10790"/>
    <cellStyle name="Normal 4 3 2 2 2 2 2 3 2 3 2" xfId="25834"/>
    <cellStyle name="Normal 4 3 2 2 2 2 2 3 2 3 3" xfId="40877"/>
    <cellStyle name="Normal 4 3 2 2 2 2 2 3 2 4" xfId="18313"/>
    <cellStyle name="Normal 4 3 2 2 2 2 2 3 2 5" xfId="33356"/>
    <cellStyle name="Normal 4 3 2 2 2 2 2 3 3" xfId="5151"/>
    <cellStyle name="Normal 4 3 2 2 2 2 2 3 3 2" xfId="12674"/>
    <cellStyle name="Normal 4 3 2 2 2 2 2 3 3 2 2" xfId="27718"/>
    <cellStyle name="Normal 4 3 2 2 2 2 2 3 3 2 3" xfId="42761"/>
    <cellStyle name="Normal 4 3 2 2 2 2 2 3 3 3" xfId="20197"/>
    <cellStyle name="Normal 4 3 2 2 2 2 2 3 3 4" xfId="35240"/>
    <cellStyle name="Normal 4 3 2 2 2 2 2 3 4" xfId="8925"/>
    <cellStyle name="Normal 4 3 2 2 2 2 2 3 4 2" xfId="23969"/>
    <cellStyle name="Normal 4 3 2 2 2 2 2 3 4 3" xfId="39012"/>
    <cellStyle name="Normal 4 3 2 2 2 2 2 3 5" xfId="16448"/>
    <cellStyle name="Normal 4 3 2 2 2 2 2 3 6" xfId="31491"/>
    <cellStyle name="Normal 4 3 2 2 2 2 2 4" xfId="2288"/>
    <cellStyle name="Normal 4 3 2 2 2 2 2 4 2" xfId="6084"/>
    <cellStyle name="Normal 4 3 2 2 2 2 2 4 2 2" xfId="13607"/>
    <cellStyle name="Normal 4 3 2 2 2 2 2 4 2 2 2" xfId="28651"/>
    <cellStyle name="Normal 4 3 2 2 2 2 2 4 2 2 3" xfId="43694"/>
    <cellStyle name="Normal 4 3 2 2 2 2 2 4 2 3" xfId="21130"/>
    <cellStyle name="Normal 4 3 2 2 2 2 2 4 2 4" xfId="36173"/>
    <cellStyle name="Normal 4 3 2 2 2 2 2 4 3" xfId="9858"/>
    <cellStyle name="Normal 4 3 2 2 2 2 2 4 3 2" xfId="24902"/>
    <cellStyle name="Normal 4 3 2 2 2 2 2 4 3 3" xfId="39945"/>
    <cellStyle name="Normal 4 3 2 2 2 2 2 4 4" xfId="17381"/>
    <cellStyle name="Normal 4 3 2 2 2 2 2 4 5" xfId="32424"/>
    <cellStyle name="Normal 4 3 2 2 2 2 2 5" xfId="4216"/>
    <cellStyle name="Normal 4 3 2 2 2 2 2 5 2" xfId="11740"/>
    <cellStyle name="Normal 4 3 2 2 2 2 2 5 2 2" xfId="26784"/>
    <cellStyle name="Normal 4 3 2 2 2 2 2 5 2 3" xfId="41827"/>
    <cellStyle name="Normal 4 3 2 2 2 2 2 5 3" xfId="19263"/>
    <cellStyle name="Normal 4 3 2 2 2 2 2 5 4" xfId="34306"/>
    <cellStyle name="Normal 4 3 2 2 2 2 2 6" xfId="7979"/>
    <cellStyle name="Normal 4 3 2 2 2 2 2 6 2" xfId="23023"/>
    <cellStyle name="Normal 4 3 2 2 2 2 2 6 3" xfId="38066"/>
    <cellStyle name="Normal 4 3 2 2 2 2 2 7" xfId="15502"/>
    <cellStyle name="Normal 4 3 2 2 2 2 2 8" xfId="30545"/>
    <cellStyle name="Normal 4 3 2 2 2 2 3" xfId="842"/>
    <cellStyle name="Normal 4 3 2 2 2 2 3 2" xfId="1801"/>
    <cellStyle name="Normal 4 3 2 2 2 2 3 2 2" xfId="3672"/>
    <cellStyle name="Normal 4 3 2 2 2 2 3 2 2 2" xfId="7467"/>
    <cellStyle name="Normal 4 3 2 2 2 2 3 2 2 2 2" xfId="14990"/>
    <cellStyle name="Normal 4 3 2 2 2 2 3 2 2 2 2 2" xfId="30034"/>
    <cellStyle name="Normal 4 3 2 2 2 2 3 2 2 2 2 3" xfId="45077"/>
    <cellStyle name="Normal 4 3 2 2 2 2 3 2 2 2 3" xfId="22513"/>
    <cellStyle name="Normal 4 3 2 2 2 2 3 2 2 2 4" xfId="37556"/>
    <cellStyle name="Normal 4 3 2 2 2 2 3 2 2 3" xfId="11241"/>
    <cellStyle name="Normal 4 3 2 2 2 2 3 2 2 3 2" xfId="26285"/>
    <cellStyle name="Normal 4 3 2 2 2 2 3 2 2 3 3" xfId="41328"/>
    <cellStyle name="Normal 4 3 2 2 2 2 3 2 2 4" xfId="18764"/>
    <cellStyle name="Normal 4 3 2 2 2 2 3 2 2 5" xfId="33807"/>
    <cellStyle name="Normal 4 3 2 2 2 2 3 2 3" xfId="5602"/>
    <cellStyle name="Normal 4 3 2 2 2 2 3 2 3 2" xfId="13125"/>
    <cellStyle name="Normal 4 3 2 2 2 2 3 2 3 2 2" xfId="28169"/>
    <cellStyle name="Normal 4 3 2 2 2 2 3 2 3 2 3" xfId="43212"/>
    <cellStyle name="Normal 4 3 2 2 2 2 3 2 3 3" xfId="20648"/>
    <cellStyle name="Normal 4 3 2 2 2 2 3 2 3 4" xfId="35691"/>
    <cellStyle name="Normal 4 3 2 2 2 2 3 2 4" xfId="9376"/>
    <cellStyle name="Normal 4 3 2 2 2 2 3 2 4 2" xfId="24420"/>
    <cellStyle name="Normal 4 3 2 2 2 2 3 2 4 3" xfId="39463"/>
    <cellStyle name="Normal 4 3 2 2 2 2 3 2 5" xfId="16899"/>
    <cellStyle name="Normal 4 3 2 2 2 2 3 2 6" xfId="31942"/>
    <cellStyle name="Normal 4 3 2 2 2 2 3 3" xfId="2740"/>
    <cellStyle name="Normal 4 3 2 2 2 2 3 3 2" xfId="6535"/>
    <cellStyle name="Normal 4 3 2 2 2 2 3 3 2 2" xfId="14058"/>
    <cellStyle name="Normal 4 3 2 2 2 2 3 3 2 2 2" xfId="29102"/>
    <cellStyle name="Normal 4 3 2 2 2 2 3 3 2 2 3" xfId="44145"/>
    <cellStyle name="Normal 4 3 2 2 2 2 3 3 2 3" xfId="21581"/>
    <cellStyle name="Normal 4 3 2 2 2 2 3 3 2 4" xfId="36624"/>
    <cellStyle name="Normal 4 3 2 2 2 2 3 3 3" xfId="10309"/>
    <cellStyle name="Normal 4 3 2 2 2 2 3 3 3 2" xfId="25353"/>
    <cellStyle name="Normal 4 3 2 2 2 2 3 3 3 3" xfId="40396"/>
    <cellStyle name="Normal 4 3 2 2 2 2 3 3 4" xfId="17832"/>
    <cellStyle name="Normal 4 3 2 2 2 2 3 3 5" xfId="32875"/>
    <cellStyle name="Normal 4 3 2 2 2 2 3 4" xfId="4670"/>
    <cellStyle name="Normal 4 3 2 2 2 2 3 4 2" xfId="12193"/>
    <cellStyle name="Normal 4 3 2 2 2 2 3 4 2 2" xfId="27237"/>
    <cellStyle name="Normal 4 3 2 2 2 2 3 4 2 3" xfId="42280"/>
    <cellStyle name="Normal 4 3 2 2 2 2 3 4 3" xfId="19716"/>
    <cellStyle name="Normal 4 3 2 2 2 2 3 4 4" xfId="34759"/>
    <cellStyle name="Normal 4 3 2 2 2 2 3 5" xfId="8444"/>
    <cellStyle name="Normal 4 3 2 2 2 2 3 5 2" xfId="23488"/>
    <cellStyle name="Normal 4 3 2 2 2 2 3 5 3" xfId="38531"/>
    <cellStyle name="Normal 4 3 2 2 2 2 3 6" xfId="15967"/>
    <cellStyle name="Normal 4 3 2 2 2 2 3 7" xfId="31010"/>
    <cellStyle name="Normal 4 3 2 2 2 2 4" xfId="1349"/>
    <cellStyle name="Normal 4 3 2 2 2 2 4 2" xfId="3220"/>
    <cellStyle name="Normal 4 3 2 2 2 2 4 2 2" xfId="7015"/>
    <cellStyle name="Normal 4 3 2 2 2 2 4 2 2 2" xfId="14538"/>
    <cellStyle name="Normal 4 3 2 2 2 2 4 2 2 2 2" xfId="29582"/>
    <cellStyle name="Normal 4 3 2 2 2 2 4 2 2 2 3" xfId="44625"/>
    <cellStyle name="Normal 4 3 2 2 2 2 4 2 2 3" xfId="22061"/>
    <cellStyle name="Normal 4 3 2 2 2 2 4 2 2 4" xfId="37104"/>
    <cellStyle name="Normal 4 3 2 2 2 2 4 2 3" xfId="10789"/>
    <cellStyle name="Normal 4 3 2 2 2 2 4 2 3 2" xfId="25833"/>
    <cellStyle name="Normal 4 3 2 2 2 2 4 2 3 3" xfId="40876"/>
    <cellStyle name="Normal 4 3 2 2 2 2 4 2 4" xfId="18312"/>
    <cellStyle name="Normal 4 3 2 2 2 2 4 2 5" xfId="33355"/>
    <cellStyle name="Normal 4 3 2 2 2 2 4 3" xfId="5150"/>
    <cellStyle name="Normal 4 3 2 2 2 2 4 3 2" xfId="12673"/>
    <cellStyle name="Normal 4 3 2 2 2 2 4 3 2 2" xfId="27717"/>
    <cellStyle name="Normal 4 3 2 2 2 2 4 3 2 3" xfId="42760"/>
    <cellStyle name="Normal 4 3 2 2 2 2 4 3 3" xfId="20196"/>
    <cellStyle name="Normal 4 3 2 2 2 2 4 3 4" xfId="35239"/>
    <cellStyle name="Normal 4 3 2 2 2 2 4 4" xfId="8924"/>
    <cellStyle name="Normal 4 3 2 2 2 2 4 4 2" xfId="23968"/>
    <cellStyle name="Normal 4 3 2 2 2 2 4 4 3" xfId="39011"/>
    <cellStyle name="Normal 4 3 2 2 2 2 4 5" xfId="16447"/>
    <cellStyle name="Normal 4 3 2 2 2 2 4 6" xfId="31490"/>
    <cellStyle name="Normal 4 3 2 2 2 2 5" xfId="2287"/>
    <cellStyle name="Normal 4 3 2 2 2 2 5 2" xfId="6083"/>
    <cellStyle name="Normal 4 3 2 2 2 2 5 2 2" xfId="13606"/>
    <cellStyle name="Normal 4 3 2 2 2 2 5 2 2 2" xfId="28650"/>
    <cellStyle name="Normal 4 3 2 2 2 2 5 2 2 3" xfId="43693"/>
    <cellStyle name="Normal 4 3 2 2 2 2 5 2 3" xfId="21129"/>
    <cellStyle name="Normal 4 3 2 2 2 2 5 2 4" xfId="36172"/>
    <cellStyle name="Normal 4 3 2 2 2 2 5 3" xfId="9857"/>
    <cellStyle name="Normal 4 3 2 2 2 2 5 3 2" xfId="24901"/>
    <cellStyle name="Normal 4 3 2 2 2 2 5 3 3" xfId="39944"/>
    <cellStyle name="Normal 4 3 2 2 2 2 5 4" xfId="17380"/>
    <cellStyle name="Normal 4 3 2 2 2 2 5 5" xfId="32423"/>
    <cellStyle name="Normal 4 3 2 2 2 2 6" xfId="4215"/>
    <cellStyle name="Normal 4 3 2 2 2 2 6 2" xfId="11739"/>
    <cellStyle name="Normal 4 3 2 2 2 2 6 2 2" xfId="26783"/>
    <cellStyle name="Normal 4 3 2 2 2 2 6 2 3" xfId="41826"/>
    <cellStyle name="Normal 4 3 2 2 2 2 6 3" xfId="19262"/>
    <cellStyle name="Normal 4 3 2 2 2 2 6 4" xfId="34305"/>
    <cellStyle name="Normal 4 3 2 2 2 2 7" xfId="7978"/>
    <cellStyle name="Normal 4 3 2 2 2 2 7 2" xfId="23022"/>
    <cellStyle name="Normal 4 3 2 2 2 2 7 3" xfId="38065"/>
    <cellStyle name="Normal 4 3 2 2 2 2 8" xfId="15501"/>
    <cellStyle name="Normal 4 3 2 2 2 2 9" xfId="30544"/>
    <cellStyle name="Normal 4 3 2 2 2 3" xfId="320"/>
    <cellStyle name="Normal 4 3 2 2 2 3 2" xfId="844"/>
    <cellStyle name="Normal 4 3 2 2 2 3 2 2" xfId="1803"/>
    <cellStyle name="Normal 4 3 2 2 2 3 2 2 2" xfId="3674"/>
    <cellStyle name="Normal 4 3 2 2 2 3 2 2 2 2" xfId="7469"/>
    <cellStyle name="Normal 4 3 2 2 2 3 2 2 2 2 2" xfId="14992"/>
    <cellStyle name="Normal 4 3 2 2 2 3 2 2 2 2 2 2" xfId="30036"/>
    <cellStyle name="Normal 4 3 2 2 2 3 2 2 2 2 2 3" xfId="45079"/>
    <cellStyle name="Normal 4 3 2 2 2 3 2 2 2 2 3" xfId="22515"/>
    <cellStyle name="Normal 4 3 2 2 2 3 2 2 2 2 4" xfId="37558"/>
    <cellStyle name="Normal 4 3 2 2 2 3 2 2 2 3" xfId="11243"/>
    <cellStyle name="Normal 4 3 2 2 2 3 2 2 2 3 2" xfId="26287"/>
    <cellStyle name="Normal 4 3 2 2 2 3 2 2 2 3 3" xfId="41330"/>
    <cellStyle name="Normal 4 3 2 2 2 3 2 2 2 4" xfId="18766"/>
    <cellStyle name="Normal 4 3 2 2 2 3 2 2 2 5" xfId="33809"/>
    <cellStyle name="Normal 4 3 2 2 2 3 2 2 3" xfId="5604"/>
    <cellStyle name="Normal 4 3 2 2 2 3 2 2 3 2" xfId="13127"/>
    <cellStyle name="Normal 4 3 2 2 2 3 2 2 3 2 2" xfId="28171"/>
    <cellStyle name="Normal 4 3 2 2 2 3 2 2 3 2 3" xfId="43214"/>
    <cellStyle name="Normal 4 3 2 2 2 3 2 2 3 3" xfId="20650"/>
    <cellStyle name="Normal 4 3 2 2 2 3 2 2 3 4" xfId="35693"/>
    <cellStyle name="Normal 4 3 2 2 2 3 2 2 4" xfId="9378"/>
    <cellStyle name="Normal 4 3 2 2 2 3 2 2 4 2" xfId="24422"/>
    <cellStyle name="Normal 4 3 2 2 2 3 2 2 4 3" xfId="39465"/>
    <cellStyle name="Normal 4 3 2 2 2 3 2 2 5" xfId="16901"/>
    <cellStyle name="Normal 4 3 2 2 2 3 2 2 6" xfId="31944"/>
    <cellStyle name="Normal 4 3 2 2 2 3 2 3" xfId="2742"/>
    <cellStyle name="Normal 4 3 2 2 2 3 2 3 2" xfId="6537"/>
    <cellStyle name="Normal 4 3 2 2 2 3 2 3 2 2" xfId="14060"/>
    <cellStyle name="Normal 4 3 2 2 2 3 2 3 2 2 2" xfId="29104"/>
    <cellStyle name="Normal 4 3 2 2 2 3 2 3 2 2 3" xfId="44147"/>
    <cellStyle name="Normal 4 3 2 2 2 3 2 3 2 3" xfId="21583"/>
    <cellStyle name="Normal 4 3 2 2 2 3 2 3 2 4" xfId="36626"/>
    <cellStyle name="Normal 4 3 2 2 2 3 2 3 3" xfId="10311"/>
    <cellStyle name="Normal 4 3 2 2 2 3 2 3 3 2" xfId="25355"/>
    <cellStyle name="Normal 4 3 2 2 2 3 2 3 3 3" xfId="40398"/>
    <cellStyle name="Normal 4 3 2 2 2 3 2 3 4" xfId="17834"/>
    <cellStyle name="Normal 4 3 2 2 2 3 2 3 5" xfId="32877"/>
    <cellStyle name="Normal 4 3 2 2 2 3 2 4" xfId="4672"/>
    <cellStyle name="Normal 4 3 2 2 2 3 2 4 2" xfId="12195"/>
    <cellStyle name="Normal 4 3 2 2 2 3 2 4 2 2" xfId="27239"/>
    <cellStyle name="Normal 4 3 2 2 2 3 2 4 2 3" xfId="42282"/>
    <cellStyle name="Normal 4 3 2 2 2 3 2 4 3" xfId="19718"/>
    <cellStyle name="Normal 4 3 2 2 2 3 2 4 4" xfId="34761"/>
    <cellStyle name="Normal 4 3 2 2 2 3 2 5" xfId="8446"/>
    <cellStyle name="Normal 4 3 2 2 2 3 2 5 2" xfId="23490"/>
    <cellStyle name="Normal 4 3 2 2 2 3 2 5 3" xfId="38533"/>
    <cellStyle name="Normal 4 3 2 2 2 3 2 6" xfId="15969"/>
    <cellStyle name="Normal 4 3 2 2 2 3 2 7" xfId="31012"/>
    <cellStyle name="Normal 4 3 2 2 2 3 3" xfId="1351"/>
    <cellStyle name="Normal 4 3 2 2 2 3 3 2" xfId="3222"/>
    <cellStyle name="Normal 4 3 2 2 2 3 3 2 2" xfId="7017"/>
    <cellStyle name="Normal 4 3 2 2 2 3 3 2 2 2" xfId="14540"/>
    <cellStyle name="Normal 4 3 2 2 2 3 3 2 2 2 2" xfId="29584"/>
    <cellStyle name="Normal 4 3 2 2 2 3 3 2 2 2 3" xfId="44627"/>
    <cellStyle name="Normal 4 3 2 2 2 3 3 2 2 3" xfId="22063"/>
    <cellStyle name="Normal 4 3 2 2 2 3 3 2 2 4" xfId="37106"/>
    <cellStyle name="Normal 4 3 2 2 2 3 3 2 3" xfId="10791"/>
    <cellStyle name="Normal 4 3 2 2 2 3 3 2 3 2" xfId="25835"/>
    <cellStyle name="Normal 4 3 2 2 2 3 3 2 3 3" xfId="40878"/>
    <cellStyle name="Normal 4 3 2 2 2 3 3 2 4" xfId="18314"/>
    <cellStyle name="Normal 4 3 2 2 2 3 3 2 5" xfId="33357"/>
    <cellStyle name="Normal 4 3 2 2 2 3 3 3" xfId="5152"/>
    <cellStyle name="Normal 4 3 2 2 2 3 3 3 2" xfId="12675"/>
    <cellStyle name="Normal 4 3 2 2 2 3 3 3 2 2" xfId="27719"/>
    <cellStyle name="Normal 4 3 2 2 2 3 3 3 2 3" xfId="42762"/>
    <cellStyle name="Normal 4 3 2 2 2 3 3 3 3" xfId="20198"/>
    <cellStyle name="Normal 4 3 2 2 2 3 3 3 4" xfId="35241"/>
    <cellStyle name="Normal 4 3 2 2 2 3 3 4" xfId="8926"/>
    <cellStyle name="Normal 4 3 2 2 2 3 3 4 2" xfId="23970"/>
    <cellStyle name="Normal 4 3 2 2 2 3 3 4 3" xfId="39013"/>
    <cellStyle name="Normal 4 3 2 2 2 3 3 5" xfId="16449"/>
    <cellStyle name="Normal 4 3 2 2 2 3 3 6" xfId="31492"/>
    <cellStyle name="Normal 4 3 2 2 2 3 4" xfId="2289"/>
    <cellStyle name="Normal 4 3 2 2 2 3 4 2" xfId="6085"/>
    <cellStyle name="Normal 4 3 2 2 2 3 4 2 2" xfId="13608"/>
    <cellStyle name="Normal 4 3 2 2 2 3 4 2 2 2" xfId="28652"/>
    <cellStyle name="Normal 4 3 2 2 2 3 4 2 2 3" xfId="43695"/>
    <cellStyle name="Normal 4 3 2 2 2 3 4 2 3" xfId="21131"/>
    <cellStyle name="Normal 4 3 2 2 2 3 4 2 4" xfId="36174"/>
    <cellStyle name="Normal 4 3 2 2 2 3 4 3" xfId="9859"/>
    <cellStyle name="Normal 4 3 2 2 2 3 4 3 2" xfId="24903"/>
    <cellStyle name="Normal 4 3 2 2 2 3 4 3 3" xfId="39946"/>
    <cellStyle name="Normal 4 3 2 2 2 3 4 4" xfId="17382"/>
    <cellStyle name="Normal 4 3 2 2 2 3 4 5" xfId="32425"/>
    <cellStyle name="Normal 4 3 2 2 2 3 5" xfId="4217"/>
    <cellStyle name="Normal 4 3 2 2 2 3 5 2" xfId="11741"/>
    <cellStyle name="Normal 4 3 2 2 2 3 5 2 2" xfId="26785"/>
    <cellStyle name="Normal 4 3 2 2 2 3 5 2 3" xfId="41828"/>
    <cellStyle name="Normal 4 3 2 2 2 3 5 3" xfId="19264"/>
    <cellStyle name="Normal 4 3 2 2 2 3 5 4" xfId="34307"/>
    <cellStyle name="Normal 4 3 2 2 2 3 6" xfId="7980"/>
    <cellStyle name="Normal 4 3 2 2 2 3 6 2" xfId="23024"/>
    <cellStyle name="Normal 4 3 2 2 2 3 6 3" xfId="38067"/>
    <cellStyle name="Normal 4 3 2 2 2 3 7" xfId="15503"/>
    <cellStyle name="Normal 4 3 2 2 2 3 8" xfId="30546"/>
    <cellStyle name="Normal 4 3 2 2 2 4" xfId="841"/>
    <cellStyle name="Normal 4 3 2 2 2 4 2" xfId="1800"/>
    <cellStyle name="Normal 4 3 2 2 2 4 2 2" xfId="3671"/>
    <cellStyle name="Normal 4 3 2 2 2 4 2 2 2" xfId="7466"/>
    <cellStyle name="Normal 4 3 2 2 2 4 2 2 2 2" xfId="14989"/>
    <cellStyle name="Normal 4 3 2 2 2 4 2 2 2 2 2" xfId="30033"/>
    <cellStyle name="Normal 4 3 2 2 2 4 2 2 2 2 3" xfId="45076"/>
    <cellStyle name="Normal 4 3 2 2 2 4 2 2 2 3" xfId="22512"/>
    <cellStyle name="Normal 4 3 2 2 2 4 2 2 2 4" xfId="37555"/>
    <cellStyle name="Normal 4 3 2 2 2 4 2 2 3" xfId="11240"/>
    <cellStyle name="Normal 4 3 2 2 2 4 2 2 3 2" xfId="26284"/>
    <cellStyle name="Normal 4 3 2 2 2 4 2 2 3 3" xfId="41327"/>
    <cellStyle name="Normal 4 3 2 2 2 4 2 2 4" xfId="18763"/>
    <cellStyle name="Normal 4 3 2 2 2 4 2 2 5" xfId="33806"/>
    <cellStyle name="Normal 4 3 2 2 2 4 2 3" xfId="5601"/>
    <cellStyle name="Normal 4 3 2 2 2 4 2 3 2" xfId="13124"/>
    <cellStyle name="Normal 4 3 2 2 2 4 2 3 2 2" xfId="28168"/>
    <cellStyle name="Normal 4 3 2 2 2 4 2 3 2 3" xfId="43211"/>
    <cellStyle name="Normal 4 3 2 2 2 4 2 3 3" xfId="20647"/>
    <cellStyle name="Normal 4 3 2 2 2 4 2 3 4" xfId="35690"/>
    <cellStyle name="Normal 4 3 2 2 2 4 2 4" xfId="9375"/>
    <cellStyle name="Normal 4 3 2 2 2 4 2 4 2" xfId="24419"/>
    <cellStyle name="Normal 4 3 2 2 2 4 2 4 3" xfId="39462"/>
    <cellStyle name="Normal 4 3 2 2 2 4 2 5" xfId="16898"/>
    <cellStyle name="Normal 4 3 2 2 2 4 2 6" xfId="31941"/>
    <cellStyle name="Normal 4 3 2 2 2 4 3" xfId="2739"/>
    <cellStyle name="Normal 4 3 2 2 2 4 3 2" xfId="6534"/>
    <cellStyle name="Normal 4 3 2 2 2 4 3 2 2" xfId="14057"/>
    <cellStyle name="Normal 4 3 2 2 2 4 3 2 2 2" xfId="29101"/>
    <cellStyle name="Normal 4 3 2 2 2 4 3 2 2 3" xfId="44144"/>
    <cellStyle name="Normal 4 3 2 2 2 4 3 2 3" xfId="21580"/>
    <cellStyle name="Normal 4 3 2 2 2 4 3 2 4" xfId="36623"/>
    <cellStyle name="Normal 4 3 2 2 2 4 3 3" xfId="10308"/>
    <cellStyle name="Normal 4 3 2 2 2 4 3 3 2" xfId="25352"/>
    <cellStyle name="Normal 4 3 2 2 2 4 3 3 3" xfId="40395"/>
    <cellStyle name="Normal 4 3 2 2 2 4 3 4" xfId="17831"/>
    <cellStyle name="Normal 4 3 2 2 2 4 3 5" xfId="32874"/>
    <cellStyle name="Normal 4 3 2 2 2 4 4" xfId="4669"/>
    <cellStyle name="Normal 4 3 2 2 2 4 4 2" xfId="12192"/>
    <cellStyle name="Normal 4 3 2 2 2 4 4 2 2" xfId="27236"/>
    <cellStyle name="Normal 4 3 2 2 2 4 4 2 3" xfId="42279"/>
    <cellStyle name="Normal 4 3 2 2 2 4 4 3" xfId="19715"/>
    <cellStyle name="Normal 4 3 2 2 2 4 4 4" xfId="34758"/>
    <cellStyle name="Normal 4 3 2 2 2 4 5" xfId="8443"/>
    <cellStyle name="Normal 4 3 2 2 2 4 5 2" xfId="23487"/>
    <cellStyle name="Normal 4 3 2 2 2 4 5 3" xfId="38530"/>
    <cellStyle name="Normal 4 3 2 2 2 4 6" xfId="15966"/>
    <cellStyle name="Normal 4 3 2 2 2 4 7" xfId="31009"/>
    <cellStyle name="Normal 4 3 2 2 2 5" xfId="1348"/>
    <cellStyle name="Normal 4 3 2 2 2 5 2" xfId="3219"/>
    <cellStyle name="Normal 4 3 2 2 2 5 2 2" xfId="7014"/>
    <cellStyle name="Normal 4 3 2 2 2 5 2 2 2" xfId="14537"/>
    <cellStyle name="Normal 4 3 2 2 2 5 2 2 2 2" xfId="29581"/>
    <cellStyle name="Normal 4 3 2 2 2 5 2 2 2 3" xfId="44624"/>
    <cellStyle name="Normal 4 3 2 2 2 5 2 2 3" xfId="22060"/>
    <cellStyle name="Normal 4 3 2 2 2 5 2 2 4" xfId="37103"/>
    <cellStyle name="Normal 4 3 2 2 2 5 2 3" xfId="10788"/>
    <cellStyle name="Normal 4 3 2 2 2 5 2 3 2" xfId="25832"/>
    <cellStyle name="Normal 4 3 2 2 2 5 2 3 3" xfId="40875"/>
    <cellStyle name="Normal 4 3 2 2 2 5 2 4" xfId="18311"/>
    <cellStyle name="Normal 4 3 2 2 2 5 2 5" xfId="33354"/>
    <cellStyle name="Normal 4 3 2 2 2 5 3" xfId="5149"/>
    <cellStyle name="Normal 4 3 2 2 2 5 3 2" xfId="12672"/>
    <cellStyle name="Normal 4 3 2 2 2 5 3 2 2" xfId="27716"/>
    <cellStyle name="Normal 4 3 2 2 2 5 3 2 3" xfId="42759"/>
    <cellStyle name="Normal 4 3 2 2 2 5 3 3" xfId="20195"/>
    <cellStyle name="Normal 4 3 2 2 2 5 3 4" xfId="35238"/>
    <cellStyle name="Normal 4 3 2 2 2 5 4" xfId="8923"/>
    <cellStyle name="Normal 4 3 2 2 2 5 4 2" xfId="23967"/>
    <cellStyle name="Normal 4 3 2 2 2 5 4 3" xfId="39010"/>
    <cellStyle name="Normal 4 3 2 2 2 5 5" xfId="16446"/>
    <cellStyle name="Normal 4 3 2 2 2 5 6" xfId="31489"/>
    <cellStyle name="Normal 4 3 2 2 2 6" xfId="2286"/>
    <cellStyle name="Normal 4 3 2 2 2 6 2" xfId="6082"/>
    <cellStyle name="Normal 4 3 2 2 2 6 2 2" xfId="13605"/>
    <cellStyle name="Normal 4 3 2 2 2 6 2 2 2" xfId="28649"/>
    <cellStyle name="Normal 4 3 2 2 2 6 2 2 3" xfId="43692"/>
    <cellStyle name="Normal 4 3 2 2 2 6 2 3" xfId="21128"/>
    <cellStyle name="Normal 4 3 2 2 2 6 2 4" xfId="36171"/>
    <cellStyle name="Normal 4 3 2 2 2 6 3" xfId="9856"/>
    <cellStyle name="Normal 4 3 2 2 2 6 3 2" xfId="24900"/>
    <cellStyle name="Normal 4 3 2 2 2 6 3 3" xfId="39943"/>
    <cellStyle name="Normal 4 3 2 2 2 6 4" xfId="17379"/>
    <cellStyle name="Normal 4 3 2 2 2 6 5" xfId="32422"/>
    <cellStyle name="Normal 4 3 2 2 2 7" xfId="4214"/>
    <cellStyle name="Normal 4 3 2 2 2 7 2" xfId="11738"/>
    <cellStyle name="Normal 4 3 2 2 2 7 2 2" xfId="26782"/>
    <cellStyle name="Normal 4 3 2 2 2 7 2 3" xfId="41825"/>
    <cellStyle name="Normal 4 3 2 2 2 7 3" xfId="19261"/>
    <cellStyle name="Normal 4 3 2 2 2 7 4" xfId="34304"/>
    <cellStyle name="Normal 4 3 2 2 2 8" xfId="7977"/>
    <cellStyle name="Normal 4 3 2 2 2 8 2" xfId="23021"/>
    <cellStyle name="Normal 4 3 2 2 2 8 3" xfId="38064"/>
    <cellStyle name="Normal 4 3 2 2 2 9" xfId="15500"/>
    <cellStyle name="Normal 4 3 2 2 3" xfId="321"/>
    <cellStyle name="Normal 4 3 2 2 3 2" xfId="322"/>
    <cellStyle name="Normal 4 3 2 2 3 2 2" xfId="846"/>
    <cellStyle name="Normal 4 3 2 2 3 2 2 2" xfId="1805"/>
    <cellStyle name="Normal 4 3 2 2 3 2 2 2 2" xfId="3676"/>
    <cellStyle name="Normal 4 3 2 2 3 2 2 2 2 2" xfId="7471"/>
    <cellStyle name="Normal 4 3 2 2 3 2 2 2 2 2 2" xfId="14994"/>
    <cellStyle name="Normal 4 3 2 2 3 2 2 2 2 2 2 2" xfId="30038"/>
    <cellStyle name="Normal 4 3 2 2 3 2 2 2 2 2 2 3" xfId="45081"/>
    <cellStyle name="Normal 4 3 2 2 3 2 2 2 2 2 3" xfId="22517"/>
    <cellStyle name="Normal 4 3 2 2 3 2 2 2 2 2 4" xfId="37560"/>
    <cellStyle name="Normal 4 3 2 2 3 2 2 2 2 3" xfId="11245"/>
    <cellStyle name="Normal 4 3 2 2 3 2 2 2 2 3 2" xfId="26289"/>
    <cellStyle name="Normal 4 3 2 2 3 2 2 2 2 3 3" xfId="41332"/>
    <cellStyle name="Normal 4 3 2 2 3 2 2 2 2 4" xfId="18768"/>
    <cellStyle name="Normal 4 3 2 2 3 2 2 2 2 5" xfId="33811"/>
    <cellStyle name="Normal 4 3 2 2 3 2 2 2 3" xfId="5606"/>
    <cellStyle name="Normal 4 3 2 2 3 2 2 2 3 2" xfId="13129"/>
    <cellStyle name="Normal 4 3 2 2 3 2 2 2 3 2 2" xfId="28173"/>
    <cellStyle name="Normal 4 3 2 2 3 2 2 2 3 2 3" xfId="43216"/>
    <cellStyle name="Normal 4 3 2 2 3 2 2 2 3 3" xfId="20652"/>
    <cellStyle name="Normal 4 3 2 2 3 2 2 2 3 4" xfId="35695"/>
    <cellStyle name="Normal 4 3 2 2 3 2 2 2 4" xfId="9380"/>
    <cellStyle name="Normal 4 3 2 2 3 2 2 2 4 2" xfId="24424"/>
    <cellStyle name="Normal 4 3 2 2 3 2 2 2 4 3" xfId="39467"/>
    <cellStyle name="Normal 4 3 2 2 3 2 2 2 5" xfId="16903"/>
    <cellStyle name="Normal 4 3 2 2 3 2 2 2 6" xfId="31946"/>
    <cellStyle name="Normal 4 3 2 2 3 2 2 3" xfId="2744"/>
    <cellStyle name="Normal 4 3 2 2 3 2 2 3 2" xfId="6539"/>
    <cellStyle name="Normal 4 3 2 2 3 2 2 3 2 2" xfId="14062"/>
    <cellStyle name="Normal 4 3 2 2 3 2 2 3 2 2 2" xfId="29106"/>
    <cellStyle name="Normal 4 3 2 2 3 2 2 3 2 2 3" xfId="44149"/>
    <cellStyle name="Normal 4 3 2 2 3 2 2 3 2 3" xfId="21585"/>
    <cellStyle name="Normal 4 3 2 2 3 2 2 3 2 4" xfId="36628"/>
    <cellStyle name="Normal 4 3 2 2 3 2 2 3 3" xfId="10313"/>
    <cellStyle name="Normal 4 3 2 2 3 2 2 3 3 2" xfId="25357"/>
    <cellStyle name="Normal 4 3 2 2 3 2 2 3 3 3" xfId="40400"/>
    <cellStyle name="Normal 4 3 2 2 3 2 2 3 4" xfId="17836"/>
    <cellStyle name="Normal 4 3 2 2 3 2 2 3 5" xfId="32879"/>
    <cellStyle name="Normal 4 3 2 2 3 2 2 4" xfId="4674"/>
    <cellStyle name="Normal 4 3 2 2 3 2 2 4 2" xfId="12197"/>
    <cellStyle name="Normal 4 3 2 2 3 2 2 4 2 2" xfId="27241"/>
    <cellStyle name="Normal 4 3 2 2 3 2 2 4 2 3" xfId="42284"/>
    <cellStyle name="Normal 4 3 2 2 3 2 2 4 3" xfId="19720"/>
    <cellStyle name="Normal 4 3 2 2 3 2 2 4 4" xfId="34763"/>
    <cellStyle name="Normal 4 3 2 2 3 2 2 5" xfId="8448"/>
    <cellStyle name="Normal 4 3 2 2 3 2 2 5 2" xfId="23492"/>
    <cellStyle name="Normal 4 3 2 2 3 2 2 5 3" xfId="38535"/>
    <cellStyle name="Normal 4 3 2 2 3 2 2 6" xfId="15971"/>
    <cellStyle name="Normal 4 3 2 2 3 2 2 7" xfId="31014"/>
    <cellStyle name="Normal 4 3 2 2 3 2 3" xfId="1353"/>
    <cellStyle name="Normal 4 3 2 2 3 2 3 2" xfId="3224"/>
    <cellStyle name="Normal 4 3 2 2 3 2 3 2 2" xfId="7019"/>
    <cellStyle name="Normal 4 3 2 2 3 2 3 2 2 2" xfId="14542"/>
    <cellStyle name="Normal 4 3 2 2 3 2 3 2 2 2 2" xfId="29586"/>
    <cellStyle name="Normal 4 3 2 2 3 2 3 2 2 2 3" xfId="44629"/>
    <cellStyle name="Normal 4 3 2 2 3 2 3 2 2 3" xfId="22065"/>
    <cellStyle name="Normal 4 3 2 2 3 2 3 2 2 4" xfId="37108"/>
    <cellStyle name="Normal 4 3 2 2 3 2 3 2 3" xfId="10793"/>
    <cellStyle name="Normal 4 3 2 2 3 2 3 2 3 2" xfId="25837"/>
    <cellStyle name="Normal 4 3 2 2 3 2 3 2 3 3" xfId="40880"/>
    <cellStyle name="Normal 4 3 2 2 3 2 3 2 4" xfId="18316"/>
    <cellStyle name="Normal 4 3 2 2 3 2 3 2 5" xfId="33359"/>
    <cellStyle name="Normal 4 3 2 2 3 2 3 3" xfId="5154"/>
    <cellStyle name="Normal 4 3 2 2 3 2 3 3 2" xfId="12677"/>
    <cellStyle name="Normal 4 3 2 2 3 2 3 3 2 2" xfId="27721"/>
    <cellStyle name="Normal 4 3 2 2 3 2 3 3 2 3" xfId="42764"/>
    <cellStyle name="Normal 4 3 2 2 3 2 3 3 3" xfId="20200"/>
    <cellStyle name="Normal 4 3 2 2 3 2 3 3 4" xfId="35243"/>
    <cellStyle name="Normal 4 3 2 2 3 2 3 4" xfId="8928"/>
    <cellStyle name="Normal 4 3 2 2 3 2 3 4 2" xfId="23972"/>
    <cellStyle name="Normal 4 3 2 2 3 2 3 4 3" xfId="39015"/>
    <cellStyle name="Normal 4 3 2 2 3 2 3 5" xfId="16451"/>
    <cellStyle name="Normal 4 3 2 2 3 2 3 6" xfId="31494"/>
    <cellStyle name="Normal 4 3 2 2 3 2 4" xfId="2291"/>
    <cellStyle name="Normal 4 3 2 2 3 2 4 2" xfId="6087"/>
    <cellStyle name="Normal 4 3 2 2 3 2 4 2 2" xfId="13610"/>
    <cellStyle name="Normal 4 3 2 2 3 2 4 2 2 2" xfId="28654"/>
    <cellStyle name="Normal 4 3 2 2 3 2 4 2 2 3" xfId="43697"/>
    <cellStyle name="Normal 4 3 2 2 3 2 4 2 3" xfId="21133"/>
    <cellStyle name="Normal 4 3 2 2 3 2 4 2 4" xfId="36176"/>
    <cellStyle name="Normal 4 3 2 2 3 2 4 3" xfId="9861"/>
    <cellStyle name="Normal 4 3 2 2 3 2 4 3 2" xfId="24905"/>
    <cellStyle name="Normal 4 3 2 2 3 2 4 3 3" xfId="39948"/>
    <cellStyle name="Normal 4 3 2 2 3 2 4 4" xfId="17384"/>
    <cellStyle name="Normal 4 3 2 2 3 2 4 5" xfId="32427"/>
    <cellStyle name="Normal 4 3 2 2 3 2 5" xfId="4219"/>
    <cellStyle name="Normal 4 3 2 2 3 2 5 2" xfId="11743"/>
    <cellStyle name="Normal 4 3 2 2 3 2 5 2 2" xfId="26787"/>
    <cellStyle name="Normal 4 3 2 2 3 2 5 2 3" xfId="41830"/>
    <cellStyle name="Normal 4 3 2 2 3 2 5 3" xfId="19266"/>
    <cellStyle name="Normal 4 3 2 2 3 2 5 4" xfId="34309"/>
    <cellStyle name="Normal 4 3 2 2 3 2 6" xfId="7982"/>
    <cellStyle name="Normal 4 3 2 2 3 2 6 2" xfId="23026"/>
    <cellStyle name="Normal 4 3 2 2 3 2 6 3" xfId="38069"/>
    <cellStyle name="Normal 4 3 2 2 3 2 7" xfId="15505"/>
    <cellStyle name="Normal 4 3 2 2 3 2 8" xfId="30548"/>
    <cellStyle name="Normal 4 3 2 2 3 3" xfId="845"/>
    <cellStyle name="Normal 4 3 2 2 3 3 2" xfId="1804"/>
    <cellStyle name="Normal 4 3 2 2 3 3 2 2" xfId="3675"/>
    <cellStyle name="Normal 4 3 2 2 3 3 2 2 2" xfId="7470"/>
    <cellStyle name="Normal 4 3 2 2 3 3 2 2 2 2" xfId="14993"/>
    <cellStyle name="Normal 4 3 2 2 3 3 2 2 2 2 2" xfId="30037"/>
    <cellStyle name="Normal 4 3 2 2 3 3 2 2 2 2 3" xfId="45080"/>
    <cellStyle name="Normal 4 3 2 2 3 3 2 2 2 3" xfId="22516"/>
    <cellStyle name="Normal 4 3 2 2 3 3 2 2 2 4" xfId="37559"/>
    <cellStyle name="Normal 4 3 2 2 3 3 2 2 3" xfId="11244"/>
    <cellStyle name="Normal 4 3 2 2 3 3 2 2 3 2" xfId="26288"/>
    <cellStyle name="Normal 4 3 2 2 3 3 2 2 3 3" xfId="41331"/>
    <cellStyle name="Normal 4 3 2 2 3 3 2 2 4" xfId="18767"/>
    <cellStyle name="Normal 4 3 2 2 3 3 2 2 5" xfId="33810"/>
    <cellStyle name="Normal 4 3 2 2 3 3 2 3" xfId="5605"/>
    <cellStyle name="Normal 4 3 2 2 3 3 2 3 2" xfId="13128"/>
    <cellStyle name="Normal 4 3 2 2 3 3 2 3 2 2" xfId="28172"/>
    <cellStyle name="Normal 4 3 2 2 3 3 2 3 2 3" xfId="43215"/>
    <cellStyle name="Normal 4 3 2 2 3 3 2 3 3" xfId="20651"/>
    <cellStyle name="Normal 4 3 2 2 3 3 2 3 4" xfId="35694"/>
    <cellStyle name="Normal 4 3 2 2 3 3 2 4" xfId="9379"/>
    <cellStyle name="Normal 4 3 2 2 3 3 2 4 2" xfId="24423"/>
    <cellStyle name="Normal 4 3 2 2 3 3 2 4 3" xfId="39466"/>
    <cellStyle name="Normal 4 3 2 2 3 3 2 5" xfId="16902"/>
    <cellStyle name="Normal 4 3 2 2 3 3 2 6" xfId="31945"/>
    <cellStyle name="Normal 4 3 2 2 3 3 3" xfId="2743"/>
    <cellStyle name="Normal 4 3 2 2 3 3 3 2" xfId="6538"/>
    <cellStyle name="Normal 4 3 2 2 3 3 3 2 2" xfId="14061"/>
    <cellStyle name="Normal 4 3 2 2 3 3 3 2 2 2" xfId="29105"/>
    <cellStyle name="Normal 4 3 2 2 3 3 3 2 2 3" xfId="44148"/>
    <cellStyle name="Normal 4 3 2 2 3 3 3 2 3" xfId="21584"/>
    <cellStyle name="Normal 4 3 2 2 3 3 3 2 4" xfId="36627"/>
    <cellStyle name="Normal 4 3 2 2 3 3 3 3" xfId="10312"/>
    <cellStyle name="Normal 4 3 2 2 3 3 3 3 2" xfId="25356"/>
    <cellStyle name="Normal 4 3 2 2 3 3 3 3 3" xfId="40399"/>
    <cellStyle name="Normal 4 3 2 2 3 3 3 4" xfId="17835"/>
    <cellStyle name="Normal 4 3 2 2 3 3 3 5" xfId="32878"/>
    <cellStyle name="Normal 4 3 2 2 3 3 4" xfId="4673"/>
    <cellStyle name="Normal 4 3 2 2 3 3 4 2" xfId="12196"/>
    <cellStyle name="Normal 4 3 2 2 3 3 4 2 2" xfId="27240"/>
    <cellStyle name="Normal 4 3 2 2 3 3 4 2 3" xfId="42283"/>
    <cellStyle name="Normal 4 3 2 2 3 3 4 3" xfId="19719"/>
    <cellStyle name="Normal 4 3 2 2 3 3 4 4" xfId="34762"/>
    <cellStyle name="Normal 4 3 2 2 3 3 5" xfId="8447"/>
    <cellStyle name="Normal 4 3 2 2 3 3 5 2" xfId="23491"/>
    <cellStyle name="Normal 4 3 2 2 3 3 5 3" xfId="38534"/>
    <cellStyle name="Normal 4 3 2 2 3 3 6" xfId="15970"/>
    <cellStyle name="Normal 4 3 2 2 3 3 7" xfId="31013"/>
    <cellStyle name="Normal 4 3 2 2 3 4" xfId="1352"/>
    <cellStyle name="Normal 4 3 2 2 3 4 2" xfId="3223"/>
    <cellStyle name="Normal 4 3 2 2 3 4 2 2" xfId="7018"/>
    <cellStyle name="Normal 4 3 2 2 3 4 2 2 2" xfId="14541"/>
    <cellStyle name="Normal 4 3 2 2 3 4 2 2 2 2" xfId="29585"/>
    <cellStyle name="Normal 4 3 2 2 3 4 2 2 2 3" xfId="44628"/>
    <cellStyle name="Normal 4 3 2 2 3 4 2 2 3" xfId="22064"/>
    <cellStyle name="Normal 4 3 2 2 3 4 2 2 4" xfId="37107"/>
    <cellStyle name="Normal 4 3 2 2 3 4 2 3" xfId="10792"/>
    <cellStyle name="Normal 4 3 2 2 3 4 2 3 2" xfId="25836"/>
    <cellStyle name="Normal 4 3 2 2 3 4 2 3 3" xfId="40879"/>
    <cellStyle name="Normal 4 3 2 2 3 4 2 4" xfId="18315"/>
    <cellStyle name="Normal 4 3 2 2 3 4 2 5" xfId="33358"/>
    <cellStyle name="Normal 4 3 2 2 3 4 3" xfId="5153"/>
    <cellStyle name="Normal 4 3 2 2 3 4 3 2" xfId="12676"/>
    <cellStyle name="Normal 4 3 2 2 3 4 3 2 2" xfId="27720"/>
    <cellStyle name="Normal 4 3 2 2 3 4 3 2 3" xfId="42763"/>
    <cellStyle name="Normal 4 3 2 2 3 4 3 3" xfId="20199"/>
    <cellStyle name="Normal 4 3 2 2 3 4 3 4" xfId="35242"/>
    <cellStyle name="Normal 4 3 2 2 3 4 4" xfId="8927"/>
    <cellStyle name="Normal 4 3 2 2 3 4 4 2" xfId="23971"/>
    <cellStyle name="Normal 4 3 2 2 3 4 4 3" xfId="39014"/>
    <cellStyle name="Normal 4 3 2 2 3 4 5" xfId="16450"/>
    <cellStyle name="Normal 4 3 2 2 3 4 6" xfId="31493"/>
    <cellStyle name="Normal 4 3 2 2 3 5" xfId="2290"/>
    <cellStyle name="Normal 4 3 2 2 3 5 2" xfId="6086"/>
    <cellStyle name="Normal 4 3 2 2 3 5 2 2" xfId="13609"/>
    <cellStyle name="Normal 4 3 2 2 3 5 2 2 2" xfId="28653"/>
    <cellStyle name="Normal 4 3 2 2 3 5 2 2 3" xfId="43696"/>
    <cellStyle name="Normal 4 3 2 2 3 5 2 3" xfId="21132"/>
    <cellStyle name="Normal 4 3 2 2 3 5 2 4" xfId="36175"/>
    <cellStyle name="Normal 4 3 2 2 3 5 3" xfId="9860"/>
    <cellStyle name="Normal 4 3 2 2 3 5 3 2" xfId="24904"/>
    <cellStyle name="Normal 4 3 2 2 3 5 3 3" xfId="39947"/>
    <cellStyle name="Normal 4 3 2 2 3 5 4" xfId="17383"/>
    <cellStyle name="Normal 4 3 2 2 3 5 5" xfId="32426"/>
    <cellStyle name="Normal 4 3 2 2 3 6" xfId="4218"/>
    <cellStyle name="Normal 4 3 2 2 3 6 2" xfId="11742"/>
    <cellStyle name="Normal 4 3 2 2 3 6 2 2" xfId="26786"/>
    <cellStyle name="Normal 4 3 2 2 3 6 2 3" xfId="41829"/>
    <cellStyle name="Normal 4 3 2 2 3 6 3" xfId="19265"/>
    <cellStyle name="Normal 4 3 2 2 3 6 4" xfId="34308"/>
    <cellStyle name="Normal 4 3 2 2 3 7" xfId="7981"/>
    <cellStyle name="Normal 4 3 2 2 3 7 2" xfId="23025"/>
    <cellStyle name="Normal 4 3 2 2 3 7 3" xfId="38068"/>
    <cellStyle name="Normal 4 3 2 2 3 8" xfId="15504"/>
    <cellStyle name="Normal 4 3 2 2 3 9" xfId="30547"/>
    <cellStyle name="Normal 4 3 2 2 4" xfId="323"/>
    <cellStyle name="Normal 4 3 2 2 4 2" xfId="324"/>
    <cellStyle name="Normal 4 3 2 2 4 2 2" xfId="848"/>
    <cellStyle name="Normal 4 3 2 2 4 2 2 2" xfId="1807"/>
    <cellStyle name="Normal 4 3 2 2 4 2 2 2 2" xfId="3678"/>
    <cellStyle name="Normal 4 3 2 2 4 2 2 2 2 2" xfId="7473"/>
    <cellStyle name="Normal 4 3 2 2 4 2 2 2 2 2 2" xfId="14996"/>
    <cellStyle name="Normal 4 3 2 2 4 2 2 2 2 2 2 2" xfId="30040"/>
    <cellStyle name="Normal 4 3 2 2 4 2 2 2 2 2 2 3" xfId="45083"/>
    <cellStyle name="Normal 4 3 2 2 4 2 2 2 2 2 3" xfId="22519"/>
    <cellStyle name="Normal 4 3 2 2 4 2 2 2 2 2 4" xfId="37562"/>
    <cellStyle name="Normal 4 3 2 2 4 2 2 2 2 3" xfId="11247"/>
    <cellStyle name="Normal 4 3 2 2 4 2 2 2 2 3 2" xfId="26291"/>
    <cellStyle name="Normal 4 3 2 2 4 2 2 2 2 3 3" xfId="41334"/>
    <cellStyle name="Normal 4 3 2 2 4 2 2 2 2 4" xfId="18770"/>
    <cellStyle name="Normal 4 3 2 2 4 2 2 2 2 5" xfId="33813"/>
    <cellStyle name="Normal 4 3 2 2 4 2 2 2 3" xfId="5608"/>
    <cellStyle name="Normal 4 3 2 2 4 2 2 2 3 2" xfId="13131"/>
    <cellStyle name="Normal 4 3 2 2 4 2 2 2 3 2 2" xfId="28175"/>
    <cellStyle name="Normal 4 3 2 2 4 2 2 2 3 2 3" xfId="43218"/>
    <cellStyle name="Normal 4 3 2 2 4 2 2 2 3 3" xfId="20654"/>
    <cellStyle name="Normal 4 3 2 2 4 2 2 2 3 4" xfId="35697"/>
    <cellStyle name="Normal 4 3 2 2 4 2 2 2 4" xfId="9382"/>
    <cellStyle name="Normal 4 3 2 2 4 2 2 2 4 2" xfId="24426"/>
    <cellStyle name="Normal 4 3 2 2 4 2 2 2 4 3" xfId="39469"/>
    <cellStyle name="Normal 4 3 2 2 4 2 2 2 5" xfId="16905"/>
    <cellStyle name="Normal 4 3 2 2 4 2 2 2 6" xfId="31948"/>
    <cellStyle name="Normal 4 3 2 2 4 2 2 3" xfId="2746"/>
    <cellStyle name="Normal 4 3 2 2 4 2 2 3 2" xfId="6541"/>
    <cellStyle name="Normal 4 3 2 2 4 2 2 3 2 2" xfId="14064"/>
    <cellStyle name="Normal 4 3 2 2 4 2 2 3 2 2 2" xfId="29108"/>
    <cellStyle name="Normal 4 3 2 2 4 2 2 3 2 2 3" xfId="44151"/>
    <cellStyle name="Normal 4 3 2 2 4 2 2 3 2 3" xfId="21587"/>
    <cellStyle name="Normal 4 3 2 2 4 2 2 3 2 4" xfId="36630"/>
    <cellStyle name="Normal 4 3 2 2 4 2 2 3 3" xfId="10315"/>
    <cellStyle name="Normal 4 3 2 2 4 2 2 3 3 2" xfId="25359"/>
    <cellStyle name="Normal 4 3 2 2 4 2 2 3 3 3" xfId="40402"/>
    <cellStyle name="Normal 4 3 2 2 4 2 2 3 4" xfId="17838"/>
    <cellStyle name="Normal 4 3 2 2 4 2 2 3 5" xfId="32881"/>
    <cellStyle name="Normal 4 3 2 2 4 2 2 4" xfId="4676"/>
    <cellStyle name="Normal 4 3 2 2 4 2 2 4 2" xfId="12199"/>
    <cellStyle name="Normal 4 3 2 2 4 2 2 4 2 2" xfId="27243"/>
    <cellStyle name="Normal 4 3 2 2 4 2 2 4 2 3" xfId="42286"/>
    <cellStyle name="Normal 4 3 2 2 4 2 2 4 3" xfId="19722"/>
    <cellStyle name="Normal 4 3 2 2 4 2 2 4 4" xfId="34765"/>
    <cellStyle name="Normal 4 3 2 2 4 2 2 5" xfId="8450"/>
    <cellStyle name="Normal 4 3 2 2 4 2 2 5 2" xfId="23494"/>
    <cellStyle name="Normal 4 3 2 2 4 2 2 5 3" xfId="38537"/>
    <cellStyle name="Normal 4 3 2 2 4 2 2 6" xfId="15973"/>
    <cellStyle name="Normal 4 3 2 2 4 2 2 7" xfId="31016"/>
    <cellStyle name="Normal 4 3 2 2 4 2 3" xfId="1355"/>
    <cellStyle name="Normal 4 3 2 2 4 2 3 2" xfId="3226"/>
    <cellStyle name="Normal 4 3 2 2 4 2 3 2 2" xfId="7021"/>
    <cellStyle name="Normal 4 3 2 2 4 2 3 2 2 2" xfId="14544"/>
    <cellStyle name="Normal 4 3 2 2 4 2 3 2 2 2 2" xfId="29588"/>
    <cellStyle name="Normal 4 3 2 2 4 2 3 2 2 2 3" xfId="44631"/>
    <cellStyle name="Normal 4 3 2 2 4 2 3 2 2 3" xfId="22067"/>
    <cellStyle name="Normal 4 3 2 2 4 2 3 2 2 4" xfId="37110"/>
    <cellStyle name="Normal 4 3 2 2 4 2 3 2 3" xfId="10795"/>
    <cellStyle name="Normal 4 3 2 2 4 2 3 2 3 2" xfId="25839"/>
    <cellStyle name="Normal 4 3 2 2 4 2 3 2 3 3" xfId="40882"/>
    <cellStyle name="Normal 4 3 2 2 4 2 3 2 4" xfId="18318"/>
    <cellStyle name="Normal 4 3 2 2 4 2 3 2 5" xfId="33361"/>
    <cellStyle name="Normal 4 3 2 2 4 2 3 3" xfId="5156"/>
    <cellStyle name="Normal 4 3 2 2 4 2 3 3 2" xfId="12679"/>
    <cellStyle name="Normal 4 3 2 2 4 2 3 3 2 2" xfId="27723"/>
    <cellStyle name="Normal 4 3 2 2 4 2 3 3 2 3" xfId="42766"/>
    <cellStyle name="Normal 4 3 2 2 4 2 3 3 3" xfId="20202"/>
    <cellStyle name="Normal 4 3 2 2 4 2 3 3 4" xfId="35245"/>
    <cellStyle name="Normal 4 3 2 2 4 2 3 4" xfId="8930"/>
    <cellStyle name="Normal 4 3 2 2 4 2 3 4 2" xfId="23974"/>
    <cellStyle name="Normal 4 3 2 2 4 2 3 4 3" xfId="39017"/>
    <cellStyle name="Normal 4 3 2 2 4 2 3 5" xfId="16453"/>
    <cellStyle name="Normal 4 3 2 2 4 2 3 6" xfId="31496"/>
    <cellStyle name="Normal 4 3 2 2 4 2 4" xfId="2293"/>
    <cellStyle name="Normal 4 3 2 2 4 2 4 2" xfId="6089"/>
    <cellStyle name="Normal 4 3 2 2 4 2 4 2 2" xfId="13612"/>
    <cellStyle name="Normal 4 3 2 2 4 2 4 2 2 2" xfId="28656"/>
    <cellStyle name="Normal 4 3 2 2 4 2 4 2 2 3" xfId="43699"/>
    <cellStyle name="Normal 4 3 2 2 4 2 4 2 3" xfId="21135"/>
    <cellStyle name="Normal 4 3 2 2 4 2 4 2 4" xfId="36178"/>
    <cellStyle name="Normal 4 3 2 2 4 2 4 3" xfId="9863"/>
    <cellStyle name="Normal 4 3 2 2 4 2 4 3 2" xfId="24907"/>
    <cellStyle name="Normal 4 3 2 2 4 2 4 3 3" xfId="39950"/>
    <cellStyle name="Normal 4 3 2 2 4 2 4 4" xfId="17386"/>
    <cellStyle name="Normal 4 3 2 2 4 2 4 5" xfId="32429"/>
    <cellStyle name="Normal 4 3 2 2 4 2 5" xfId="4221"/>
    <cellStyle name="Normal 4 3 2 2 4 2 5 2" xfId="11745"/>
    <cellStyle name="Normal 4 3 2 2 4 2 5 2 2" xfId="26789"/>
    <cellStyle name="Normal 4 3 2 2 4 2 5 2 3" xfId="41832"/>
    <cellStyle name="Normal 4 3 2 2 4 2 5 3" xfId="19268"/>
    <cellStyle name="Normal 4 3 2 2 4 2 5 4" xfId="34311"/>
    <cellStyle name="Normal 4 3 2 2 4 2 6" xfId="7984"/>
    <cellStyle name="Normal 4 3 2 2 4 2 6 2" xfId="23028"/>
    <cellStyle name="Normal 4 3 2 2 4 2 6 3" xfId="38071"/>
    <cellStyle name="Normal 4 3 2 2 4 2 7" xfId="15507"/>
    <cellStyle name="Normal 4 3 2 2 4 2 8" xfId="30550"/>
    <cellStyle name="Normal 4 3 2 2 4 3" xfId="847"/>
    <cellStyle name="Normal 4 3 2 2 4 3 2" xfId="1806"/>
    <cellStyle name="Normal 4 3 2 2 4 3 2 2" xfId="3677"/>
    <cellStyle name="Normal 4 3 2 2 4 3 2 2 2" xfId="7472"/>
    <cellStyle name="Normal 4 3 2 2 4 3 2 2 2 2" xfId="14995"/>
    <cellStyle name="Normal 4 3 2 2 4 3 2 2 2 2 2" xfId="30039"/>
    <cellStyle name="Normal 4 3 2 2 4 3 2 2 2 2 3" xfId="45082"/>
    <cellStyle name="Normal 4 3 2 2 4 3 2 2 2 3" xfId="22518"/>
    <cellStyle name="Normal 4 3 2 2 4 3 2 2 2 4" xfId="37561"/>
    <cellStyle name="Normal 4 3 2 2 4 3 2 2 3" xfId="11246"/>
    <cellStyle name="Normal 4 3 2 2 4 3 2 2 3 2" xfId="26290"/>
    <cellStyle name="Normal 4 3 2 2 4 3 2 2 3 3" xfId="41333"/>
    <cellStyle name="Normal 4 3 2 2 4 3 2 2 4" xfId="18769"/>
    <cellStyle name="Normal 4 3 2 2 4 3 2 2 5" xfId="33812"/>
    <cellStyle name="Normal 4 3 2 2 4 3 2 3" xfId="5607"/>
    <cellStyle name="Normal 4 3 2 2 4 3 2 3 2" xfId="13130"/>
    <cellStyle name="Normal 4 3 2 2 4 3 2 3 2 2" xfId="28174"/>
    <cellStyle name="Normal 4 3 2 2 4 3 2 3 2 3" xfId="43217"/>
    <cellStyle name="Normal 4 3 2 2 4 3 2 3 3" xfId="20653"/>
    <cellStyle name="Normal 4 3 2 2 4 3 2 3 4" xfId="35696"/>
    <cellStyle name="Normal 4 3 2 2 4 3 2 4" xfId="9381"/>
    <cellStyle name="Normal 4 3 2 2 4 3 2 4 2" xfId="24425"/>
    <cellStyle name="Normal 4 3 2 2 4 3 2 4 3" xfId="39468"/>
    <cellStyle name="Normal 4 3 2 2 4 3 2 5" xfId="16904"/>
    <cellStyle name="Normal 4 3 2 2 4 3 2 6" xfId="31947"/>
    <cellStyle name="Normal 4 3 2 2 4 3 3" xfId="2745"/>
    <cellStyle name="Normal 4 3 2 2 4 3 3 2" xfId="6540"/>
    <cellStyle name="Normal 4 3 2 2 4 3 3 2 2" xfId="14063"/>
    <cellStyle name="Normal 4 3 2 2 4 3 3 2 2 2" xfId="29107"/>
    <cellStyle name="Normal 4 3 2 2 4 3 3 2 2 3" xfId="44150"/>
    <cellStyle name="Normal 4 3 2 2 4 3 3 2 3" xfId="21586"/>
    <cellStyle name="Normal 4 3 2 2 4 3 3 2 4" xfId="36629"/>
    <cellStyle name="Normal 4 3 2 2 4 3 3 3" xfId="10314"/>
    <cellStyle name="Normal 4 3 2 2 4 3 3 3 2" xfId="25358"/>
    <cellStyle name="Normal 4 3 2 2 4 3 3 3 3" xfId="40401"/>
    <cellStyle name="Normal 4 3 2 2 4 3 3 4" xfId="17837"/>
    <cellStyle name="Normal 4 3 2 2 4 3 3 5" xfId="32880"/>
    <cellStyle name="Normal 4 3 2 2 4 3 4" xfId="4675"/>
    <cellStyle name="Normal 4 3 2 2 4 3 4 2" xfId="12198"/>
    <cellStyle name="Normal 4 3 2 2 4 3 4 2 2" xfId="27242"/>
    <cellStyle name="Normal 4 3 2 2 4 3 4 2 3" xfId="42285"/>
    <cellStyle name="Normal 4 3 2 2 4 3 4 3" xfId="19721"/>
    <cellStyle name="Normal 4 3 2 2 4 3 4 4" xfId="34764"/>
    <cellStyle name="Normal 4 3 2 2 4 3 5" xfId="8449"/>
    <cellStyle name="Normal 4 3 2 2 4 3 5 2" xfId="23493"/>
    <cellStyle name="Normal 4 3 2 2 4 3 5 3" xfId="38536"/>
    <cellStyle name="Normal 4 3 2 2 4 3 6" xfId="15972"/>
    <cellStyle name="Normal 4 3 2 2 4 3 7" xfId="31015"/>
    <cellStyle name="Normal 4 3 2 2 4 4" xfId="1354"/>
    <cellStyle name="Normal 4 3 2 2 4 4 2" xfId="3225"/>
    <cellStyle name="Normal 4 3 2 2 4 4 2 2" xfId="7020"/>
    <cellStyle name="Normal 4 3 2 2 4 4 2 2 2" xfId="14543"/>
    <cellStyle name="Normal 4 3 2 2 4 4 2 2 2 2" xfId="29587"/>
    <cellStyle name="Normal 4 3 2 2 4 4 2 2 2 3" xfId="44630"/>
    <cellStyle name="Normal 4 3 2 2 4 4 2 2 3" xfId="22066"/>
    <cellStyle name="Normal 4 3 2 2 4 4 2 2 4" xfId="37109"/>
    <cellStyle name="Normal 4 3 2 2 4 4 2 3" xfId="10794"/>
    <cellStyle name="Normal 4 3 2 2 4 4 2 3 2" xfId="25838"/>
    <cellStyle name="Normal 4 3 2 2 4 4 2 3 3" xfId="40881"/>
    <cellStyle name="Normal 4 3 2 2 4 4 2 4" xfId="18317"/>
    <cellStyle name="Normal 4 3 2 2 4 4 2 5" xfId="33360"/>
    <cellStyle name="Normal 4 3 2 2 4 4 3" xfId="5155"/>
    <cellStyle name="Normal 4 3 2 2 4 4 3 2" xfId="12678"/>
    <cellStyle name="Normal 4 3 2 2 4 4 3 2 2" xfId="27722"/>
    <cellStyle name="Normal 4 3 2 2 4 4 3 2 3" xfId="42765"/>
    <cellStyle name="Normal 4 3 2 2 4 4 3 3" xfId="20201"/>
    <cellStyle name="Normal 4 3 2 2 4 4 3 4" xfId="35244"/>
    <cellStyle name="Normal 4 3 2 2 4 4 4" xfId="8929"/>
    <cellStyle name="Normal 4 3 2 2 4 4 4 2" xfId="23973"/>
    <cellStyle name="Normal 4 3 2 2 4 4 4 3" xfId="39016"/>
    <cellStyle name="Normal 4 3 2 2 4 4 5" xfId="16452"/>
    <cellStyle name="Normal 4 3 2 2 4 4 6" xfId="31495"/>
    <cellStyle name="Normal 4 3 2 2 4 5" xfId="2292"/>
    <cellStyle name="Normal 4 3 2 2 4 5 2" xfId="6088"/>
    <cellStyle name="Normal 4 3 2 2 4 5 2 2" xfId="13611"/>
    <cellStyle name="Normal 4 3 2 2 4 5 2 2 2" xfId="28655"/>
    <cellStyle name="Normal 4 3 2 2 4 5 2 2 3" xfId="43698"/>
    <cellStyle name="Normal 4 3 2 2 4 5 2 3" xfId="21134"/>
    <cellStyle name="Normal 4 3 2 2 4 5 2 4" xfId="36177"/>
    <cellStyle name="Normal 4 3 2 2 4 5 3" xfId="9862"/>
    <cellStyle name="Normal 4 3 2 2 4 5 3 2" xfId="24906"/>
    <cellStyle name="Normal 4 3 2 2 4 5 3 3" xfId="39949"/>
    <cellStyle name="Normal 4 3 2 2 4 5 4" xfId="17385"/>
    <cellStyle name="Normal 4 3 2 2 4 5 5" xfId="32428"/>
    <cellStyle name="Normal 4 3 2 2 4 6" xfId="4220"/>
    <cellStyle name="Normal 4 3 2 2 4 6 2" xfId="11744"/>
    <cellStyle name="Normal 4 3 2 2 4 6 2 2" xfId="26788"/>
    <cellStyle name="Normal 4 3 2 2 4 6 2 3" xfId="41831"/>
    <cellStyle name="Normal 4 3 2 2 4 6 3" xfId="19267"/>
    <cellStyle name="Normal 4 3 2 2 4 6 4" xfId="34310"/>
    <cellStyle name="Normal 4 3 2 2 4 7" xfId="7983"/>
    <cellStyle name="Normal 4 3 2 2 4 7 2" xfId="23027"/>
    <cellStyle name="Normal 4 3 2 2 4 7 3" xfId="38070"/>
    <cellStyle name="Normal 4 3 2 2 4 8" xfId="15506"/>
    <cellStyle name="Normal 4 3 2 2 4 9" xfId="30549"/>
    <cellStyle name="Normal 4 3 2 2 5" xfId="325"/>
    <cellStyle name="Normal 4 3 2 2 5 2" xfId="849"/>
    <cellStyle name="Normal 4 3 2 2 5 2 2" xfId="1808"/>
    <cellStyle name="Normal 4 3 2 2 5 2 2 2" xfId="3679"/>
    <cellStyle name="Normal 4 3 2 2 5 2 2 2 2" xfId="7474"/>
    <cellStyle name="Normal 4 3 2 2 5 2 2 2 2 2" xfId="14997"/>
    <cellStyle name="Normal 4 3 2 2 5 2 2 2 2 2 2" xfId="30041"/>
    <cellStyle name="Normal 4 3 2 2 5 2 2 2 2 2 3" xfId="45084"/>
    <cellStyle name="Normal 4 3 2 2 5 2 2 2 2 3" xfId="22520"/>
    <cellStyle name="Normal 4 3 2 2 5 2 2 2 2 4" xfId="37563"/>
    <cellStyle name="Normal 4 3 2 2 5 2 2 2 3" xfId="11248"/>
    <cellStyle name="Normal 4 3 2 2 5 2 2 2 3 2" xfId="26292"/>
    <cellStyle name="Normal 4 3 2 2 5 2 2 2 3 3" xfId="41335"/>
    <cellStyle name="Normal 4 3 2 2 5 2 2 2 4" xfId="18771"/>
    <cellStyle name="Normal 4 3 2 2 5 2 2 2 5" xfId="33814"/>
    <cellStyle name="Normal 4 3 2 2 5 2 2 3" xfId="5609"/>
    <cellStyle name="Normal 4 3 2 2 5 2 2 3 2" xfId="13132"/>
    <cellStyle name="Normal 4 3 2 2 5 2 2 3 2 2" xfId="28176"/>
    <cellStyle name="Normal 4 3 2 2 5 2 2 3 2 3" xfId="43219"/>
    <cellStyle name="Normal 4 3 2 2 5 2 2 3 3" xfId="20655"/>
    <cellStyle name="Normal 4 3 2 2 5 2 2 3 4" xfId="35698"/>
    <cellStyle name="Normal 4 3 2 2 5 2 2 4" xfId="9383"/>
    <cellStyle name="Normal 4 3 2 2 5 2 2 4 2" xfId="24427"/>
    <cellStyle name="Normal 4 3 2 2 5 2 2 4 3" xfId="39470"/>
    <cellStyle name="Normal 4 3 2 2 5 2 2 5" xfId="16906"/>
    <cellStyle name="Normal 4 3 2 2 5 2 2 6" xfId="31949"/>
    <cellStyle name="Normal 4 3 2 2 5 2 3" xfId="2747"/>
    <cellStyle name="Normal 4 3 2 2 5 2 3 2" xfId="6542"/>
    <cellStyle name="Normal 4 3 2 2 5 2 3 2 2" xfId="14065"/>
    <cellStyle name="Normal 4 3 2 2 5 2 3 2 2 2" xfId="29109"/>
    <cellStyle name="Normal 4 3 2 2 5 2 3 2 2 3" xfId="44152"/>
    <cellStyle name="Normal 4 3 2 2 5 2 3 2 3" xfId="21588"/>
    <cellStyle name="Normal 4 3 2 2 5 2 3 2 4" xfId="36631"/>
    <cellStyle name="Normal 4 3 2 2 5 2 3 3" xfId="10316"/>
    <cellStyle name="Normal 4 3 2 2 5 2 3 3 2" xfId="25360"/>
    <cellStyle name="Normal 4 3 2 2 5 2 3 3 3" xfId="40403"/>
    <cellStyle name="Normal 4 3 2 2 5 2 3 4" xfId="17839"/>
    <cellStyle name="Normal 4 3 2 2 5 2 3 5" xfId="32882"/>
    <cellStyle name="Normal 4 3 2 2 5 2 4" xfId="4677"/>
    <cellStyle name="Normal 4 3 2 2 5 2 4 2" xfId="12200"/>
    <cellStyle name="Normal 4 3 2 2 5 2 4 2 2" xfId="27244"/>
    <cellStyle name="Normal 4 3 2 2 5 2 4 2 3" xfId="42287"/>
    <cellStyle name="Normal 4 3 2 2 5 2 4 3" xfId="19723"/>
    <cellStyle name="Normal 4 3 2 2 5 2 4 4" xfId="34766"/>
    <cellStyle name="Normal 4 3 2 2 5 2 5" xfId="8451"/>
    <cellStyle name="Normal 4 3 2 2 5 2 5 2" xfId="23495"/>
    <cellStyle name="Normal 4 3 2 2 5 2 5 3" xfId="38538"/>
    <cellStyle name="Normal 4 3 2 2 5 2 6" xfId="15974"/>
    <cellStyle name="Normal 4 3 2 2 5 2 7" xfId="31017"/>
    <cellStyle name="Normal 4 3 2 2 5 3" xfId="1356"/>
    <cellStyle name="Normal 4 3 2 2 5 3 2" xfId="3227"/>
    <cellStyle name="Normal 4 3 2 2 5 3 2 2" xfId="7022"/>
    <cellStyle name="Normal 4 3 2 2 5 3 2 2 2" xfId="14545"/>
    <cellStyle name="Normal 4 3 2 2 5 3 2 2 2 2" xfId="29589"/>
    <cellStyle name="Normal 4 3 2 2 5 3 2 2 2 3" xfId="44632"/>
    <cellStyle name="Normal 4 3 2 2 5 3 2 2 3" xfId="22068"/>
    <cellStyle name="Normal 4 3 2 2 5 3 2 2 4" xfId="37111"/>
    <cellStyle name="Normal 4 3 2 2 5 3 2 3" xfId="10796"/>
    <cellStyle name="Normal 4 3 2 2 5 3 2 3 2" xfId="25840"/>
    <cellStyle name="Normal 4 3 2 2 5 3 2 3 3" xfId="40883"/>
    <cellStyle name="Normal 4 3 2 2 5 3 2 4" xfId="18319"/>
    <cellStyle name="Normal 4 3 2 2 5 3 2 5" xfId="33362"/>
    <cellStyle name="Normal 4 3 2 2 5 3 3" xfId="5157"/>
    <cellStyle name="Normal 4 3 2 2 5 3 3 2" xfId="12680"/>
    <cellStyle name="Normal 4 3 2 2 5 3 3 2 2" xfId="27724"/>
    <cellStyle name="Normal 4 3 2 2 5 3 3 2 3" xfId="42767"/>
    <cellStyle name="Normal 4 3 2 2 5 3 3 3" xfId="20203"/>
    <cellStyle name="Normal 4 3 2 2 5 3 3 4" xfId="35246"/>
    <cellStyle name="Normal 4 3 2 2 5 3 4" xfId="8931"/>
    <cellStyle name="Normal 4 3 2 2 5 3 4 2" xfId="23975"/>
    <cellStyle name="Normal 4 3 2 2 5 3 4 3" xfId="39018"/>
    <cellStyle name="Normal 4 3 2 2 5 3 5" xfId="16454"/>
    <cellStyle name="Normal 4 3 2 2 5 3 6" xfId="31497"/>
    <cellStyle name="Normal 4 3 2 2 5 4" xfId="2294"/>
    <cellStyle name="Normal 4 3 2 2 5 4 2" xfId="6090"/>
    <cellStyle name="Normal 4 3 2 2 5 4 2 2" xfId="13613"/>
    <cellStyle name="Normal 4 3 2 2 5 4 2 2 2" xfId="28657"/>
    <cellStyle name="Normal 4 3 2 2 5 4 2 2 3" xfId="43700"/>
    <cellStyle name="Normal 4 3 2 2 5 4 2 3" xfId="21136"/>
    <cellStyle name="Normal 4 3 2 2 5 4 2 4" xfId="36179"/>
    <cellStyle name="Normal 4 3 2 2 5 4 3" xfId="9864"/>
    <cellStyle name="Normal 4 3 2 2 5 4 3 2" xfId="24908"/>
    <cellStyle name="Normal 4 3 2 2 5 4 3 3" xfId="39951"/>
    <cellStyle name="Normal 4 3 2 2 5 4 4" xfId="17387"/>
    <cellStyle name="Normal 4 3 2 2 5 4 5" xfId="32430"/>
    <cellStyle name="Normal 4 3 2 2 5 5" xfId="4222"/>
    <cellStyle name="Normal 4 3 2 2 5 5 2" xfId="11746"/>
    <cellStyle name="Normal 4 3 2 2 5 5 2 2" xfId="26790"/>
    <cellStyle name="Normal 4 3 2 2 5 5 2 3" xfId="41833"/>
    <cellStyle name="Normal 4 3 2 2 5 5 3" xfId="19269"/>
    <cellStyle name="Normal 4 3 2 2 5 5 4" xfId="34312"/>
    <cellStyle name="Normal 4 3 2 2 5 6" xfId="7985"/>
    <cellStyle name="Normal 4 3 2 2 5 6 2" xfId="23029"/>
    <cellStyle name="Normal 4 3 2 2 5 6 3" xfId="38072"/>
    <cellStyle name="Normal 4 3 2 2 5 7" xfId="15508"/>
    <cellStyle name="Normal 4 3 2 2 5 8" xfId="30551"/>
    <cellStyle name="Normal 4 3 2 2 6" xfId="840"/>
    <cellStyle name="Normal 4 3 2 2 6 2" xfId="1799"/>
    <cellStyle name="Normal 4 3 2 2 6 2 2" xfId="3670"/>
    <cellStyle name="Normal 4 3 2 2 6 2 2 2" xfId="7465"/>
    <cellStyle name="Normal 4 3 2 2 6 2 2 2 2" xfId="14988"/>
    <cellStyle name="Normal 4 3 2 2 6 2 2 2 2 2" xfId="30032"/>
    <cellStyle name="Normal 4 3 2 2 6 2 2 2 2 3" xfId="45075"/>
    <cellStyle name="Normal 4 3 2 2 6 2 2 2 3" xfId="22511"/>
    <cellStyle name="Normal 4 3 2 2 6 2 2 2 4" xfId="37554"/>
    <cellStyle name="Normal 4 3 2 2 6 2 2 3" xfId="11239"/>
    <cellStyle name="Normal 4 3 2 2 6 2 2 3 2" xfId="26283"/>
    <cellStyle name="Normal 4 3 2 2 6 2 2 3 3" xfId="41326"/>
    <cellStyle name="Normal 4 3 2 2 6 2 2 4" xfId="18762"/>
    <cellStyle name="Normal 4 3 2 2 6 2 2 5" xfId="33805"/>
    <cellStyle name="Normal 4 3 2 2 6 2 3" xfId="5600"/>
    <cellStyle name="Normal 4 3 2 2 6 2 3 2" xfId="13123"/>
    <cellStyle name="Normal 4 3 2 2 6 2 3 2 2" xfId="28167"/>
    <cellStyle name="Normal 4 3 2 2 6 2 3 2 3" xfId="43210"/>
    <cellStyle name="Normal 4 3 2 2 6 2 3 3" xfId="20646"/>
    <cellStyle name="Normal 4 3 2 2 6 2 3 4" xfId="35689"/>
    <cellStyle name="Normal 4 3 2 2 6 2 4" xfId="9374"/>
    <cellStyle name="Normal 4 3 2 2 6 2 4 2" xfId="24418"/>
    <cellStyle name="Normal 4 3 2 2 6 2 4 3" xfId="39461"/>
    <cellStyle name="Normal 4 3 2 2 6 2 5" xfId="16897"/>
    <cellStyle name="Normal 4 3 2 2 6 2 6" xfId="31940"/>
    <cellStyle name="Normal 4 3 2 2 6 3" xfId="2738"/>
    <cellStyle name="Normal 4 3 2 2 6 3 2" xfId="6533"/>
    <cellStyle name="Normal 4 3 2 2 6 3 2 2" xfId="14056"/>
    <cellStyle name="Normal 4 3 2 2 6 3 2 2 2" xfId="29100"/>
    <cellStyle name="Normal 4 3 2 2 6 3 2 2 3" xfId="44143"/>
    <cellStyle name="Normal 4 3 2 2 6 3 2 3" xfId="21579"/>
    <cellStyle name="Normal 4 3 2 2 6 3 2 4" xfId="36622"/>
    <cellStyle name="Normal 4 3 2 2 6 3 3" xfId="10307"/>
    <cellStyle name="Normal 4 3 2 2 6 3 3 2" xfId="25351"/>
    <cellStyle name="Normal 4 3 2 2 6 3 3 3" xfId="40394"/>
    <cellStyle name="Normal 4 3 2 2 6 3 4" xfId="17830"/>
    <cellStyle name="Normal 4 3 2 2 6 3 5" xfId="32873"/>
    <cellStyle name="Normal 4 3 2 2 6 4" xfId="4668"/>
    <cellStyle name="Normal 4 3 2 2 6 4 2" xfId="12191"/>
    <cellStyle name="Normal 4 3 2 2 6 4 2 2" xfId="27235"/>
    <cellStyle name="Normal 4 3 2 2 6 4 2 3" xfId="42278"/>
    <cellStyle name="Normal 4 3 2 2 6 4 3" xfId="19714"/>
    <cellStyle name="Normal 4 3 2 2 6 4 4" xfId="34757"/>
    <cellStyle name="Normal 4 3 2 2 6 5" xfId="8442"/>
    <cellStyle name="Normal 4 3 2 2 6 5 2" xfId="23486"/>
    <cellStyle name="Normal 4 3 2 2 6 5 3" xfId="38529"/>
    <cellStyle name="Normal 4 3 2 2 6 6" xfId="15965"/>
    <cellStyle name="Normal 4 3 2 2 6 7" xfId="31008"/>
    <cellStyle name="Normal 4 3 2 2 7" xfId="1347"/>
    <cellStyle name="Normal 4 3 2 2 7 2" xfId="3218"/>
    <cellStyle name="Normal 4 3 2 2 7 2 2" xfId="7013"/>
    <cellStyle name="Normal 4 3 2 2 7 2 2 2" xfId="14536"/>
    <cellStyle name="Normal 4 3 2 2 7 2 2 2 2" xfId="29580"/>
    <cellStyle name="Normal 4 3 2 2 7 2 2 2 3" xfId="44623"/>
    <cellStyle name="Normal 4 3 2 2 7 2 2 3" xfId="22059"/>
    <cellStyle name="Normal 4 3 2 2 7 2 2 4" xfId="37102"/>
    <cellStyle name="Normal 4 3 2 2 7 2 3" xfId="10787"/>
    <cellStyle name="Normal 4 3 2 2 7 2 3 2" xfId="25831"/>
    <cellStyle name="Normal 4 3 2 2 7 2 3 3" xfId="40874"/>
    <cellStyle name="Normal 4 3 2 2 7 2 4" xfId="18310"/>
    <cellStyle name="Normal 4 3 2 2 7 2 5" xfId="33353"/>
    <cellStyle name="Normal 4 3 2 2 7 3" xfId="5148"/>
    <cellStyle name="Normal 4 3 2 2 7 3 2" xfId="12671"/>
    <cellStyle name="Normal 4 3 2 2 7 3 2 2" xfId="27715"/>
    <cellStyle name="Normal 4 3 2 2 7 3 2 3" xfId="42758"/>
    <cellStyle name="Normal 4 3 2 2 7 3 3" xfId="20194"/>
    <cellStyle name="Normal 4 3 2 2 7 3 4" xfId="35237"/>
    <cellStyle name="Normal 4 3 2 2 7 4" xfId="8922"/>
    <cellStyle name="Normal 4 3 2 2 7 4 2" xfId="23966"/>
    <cellStyle name="Normal 4 3 2 2 7 4 3" xfId="39009"/>
    <cellStyle name="Normal 4 3 2 2 7 5" xfId="16445"/>
    <cellStyle name="Normal 4 3 2 2 7 6" xfId="31488"/>
    <cellStyle name="Normal 4 3 2 2 8" xfId="2285"/>
    <cellStyle name="Normal 4 3 2 2 8 2" xfId="6081"/>
    <cellStyle name="Normal 4 3 2 2 8 2 2" xfId="13604"/>
    <cellStyle name="Normal 4 3 2 2 8 2 2 2" xfId="28648"/>
    <cellStyle name="Normal 4 3 2 2 8 2 2 3" xfId="43691"/>
    <cellStyle name="Normal 4 3 2 2 8 2 3" xfId="21127"/>
    <cellStyle name="Normal 4 3 2 2 8 2 4" xfId="36170"/>
    <cellStyle name="Normal 4 3 2 2 8 3" xfId="9855"/>
    <cellStyle name="Normal 4 3 2 2 8 3 2" xfId="24899"/>
    <cellStyle name="Normal 4 3 2 2 8 3 3" xfId="39942"/>
    <cellStyle name="Normal 4 3 2 2 8 4" xfId="17378"/>
    <cellStyle name="Normal 4 3 2 2 8 5" xfId="32421"/>
    <cellStyle name="Normal 4 3 2 2 9" xfId="4213"/>
    <cellStyle name="Normal 4 3 2 2 9 2" xfId="11737"/>
    <cellStyle name="Normal 4 3 2 2 9 2 2" xfId="26781"/>
    <cellStyle name="Normal 4 3 2 2 9 2 3" xfId="41824"/>
    <cellStyle name="Normal 4 3 2 2 9 3" xfId="19260"/>
    <cellStyle name="Normal 4 3 2 2 9 4" xfId="34303"/>
    <cellStyle name="Normal 4 3 2 3" xfId="326"/>
    <cellStyle name="Normal 4 3 2 3 10" xfId="15509"/>
    <cellStyle name="Normal 4 3 2 3 11" xfId="30552"/>
    <cellStyle name="Normal 4 3 2 3 2" xfId="327"/>
    <cellStyle name="Normal 4 3 2 3 2 2" xfId="328"/>
    <cellStyle name="Normal 4 3 2 3 2 2 2" xfId="852"/>
    <cellStyle name="Normal 4 3 2 3 2 2 2 2" xfId="1811"/>
    <cellStyle name="Normal 4 3 2 3 2 2 2 2 2" xfId="3682"/>
    <cellStyle name="Normal 4 3 2 3 2 2 2 2 2 2" xfId="7477"/>
    <cellStyle name="Normal 4 3 2 3 2 2 2 2 2 2 2" xfId="15000"/>
    <cellStyle name="Normal 4 3 2 3 2 2 2 2 2 2 2 2" xfId="30044"/>
    <cellStyle name="Normal 4 3 2 3 2 2 2 2 2 2 2 3" xfId="45087"/>
    <cellStyle name="Normal 4 3 2 3 2 2 2 2 2 2 3" xfId="22523"/>
    <cellStyle name="Normal 4 3 2 3 2 2 2 2 2 2 4" xfId="37566"/>
    <cellStyle name="Normal 4 3 2 3 2 2 2 2 2 3" xfId="11251"/>
    <cellStyle name="Normal 4 3 2 3 2 2 2 2 2 3 2" xfId="26295"/>
    <cellStyle name="Normal 4 3 2 3 2 2 2 2 2 3 3" xfId="41338"/>
    <cellStyle name="Normal 4 3 2 3 2 2 2 2 2 4" xfId="18774"/>
    <cellStyle name="Normal 4 3 2 3 2 2 2 2 2 5" xfId="33817"/>
    <cellStyle name="Normal 4 3 2 3 2 2 2 2 3" xfId="5612"/>
    <cellStyle name="Normal 4 3 2 3 2 2 2 2 3 2" xfId="13135"/>
    <cellStyle name="Normal 4 3 2 3 2 2 2 2 3 2 2" xfId="28179"/>
    <cellStyle name="Normal 4 3 2 3 2 2 2 2 3 2 3" xfId="43222"/>
    <cellStyle name="Normal 4 3 2 3 2 2 2 2 3 3" xfId="20658"/>
    <cellStyle name="Normal 4 3 2 3 2 2 2 2 3 4" xfId="35701"/>
    <cellStyle name="Normal 4 3 2 3 2 2 2 2 4" xfId="9386"/>
    <cellStyle name="Normal 4 3 2 3 2 2 2 2 4 2" xfId="24430"/>
    <cellStyle name="Normal 4 3 2 3 2 2 2 2 4 3" xfId="39473"/>
    <cellStyle name="Normal 4 3 2 3 2 2 2 2 5" xfId="16909"/>
    <cellStyle name="Normal 4 3 2 3 2 2 2 2 6" xfId="31952"/>
    <cellStyle name="Normal 4 3 2 3 2 2 2 3" xfId="2750"/>
    <cellStyle name="Normal 4 3 2 3 2 2 2 3 2" xfId="6545"/>
    <cellStyle name="Normal 4 3 2 3 2 2 2 3 2 2" xfId="14068"/>
    <cellStyle name="Normal 4 3 2 3 2 2 2 3 2 2 2" xfId="29112"/>
    <cellStyle name="Normal 4 3 2 3 2 2 2 3 2 2 3" xfId="44155"/>
    <cellStyle name="Normal 4 3 2 3 2 2 2 3 2 3" xfId="21591"/>
    <cellStyle name="Normal 4 3 2 3 2 2 2 3 2 4" xfId="36634"/>
    <cellStyle name="Normal 4 3 2 3 2 2 2 3 3" xfId="10319"/>
    <cellStyle name="Normal 4 3 2 3 2 2 2 3 3 2" xfId="25363"/>
    <cellStyle name="Normal 4 3 2 3 2 2 2 3 3 3" xfId="40406"/>
    <cellStyle name="Normal 4 3 2 3 2 2 2 3 4" xfId="17842"/>
    <cellStyle name="Normal 4 3 2 3 2 2 2 3 5" xfId="32885"/>
    <cellStyle name="Normal 4 3 2 3 2 2 2 4" xfId="4680"/>
    <cellStyle name="Normal 4 3 2 3 2 2 2 4 2" xfId="12203"/>
    <cellStyle name="Normal 4 3 2 3 2 2 2 4 2 2" xfId="27247"/>
    <cellStyle name="Normal 4 3 2 3 2 2 2 4 2 3" xfId="42290"/>
    <cellStyle name="Normal 4 3 2 3 2 2 2 4 3" xfId="19726"/>
    <cellStyle name="Normal 4 3 2 3 2 2 2 4 4" xfId="34769"/>
    <cellStyle name="Normal 4 3 2 3 2 2 2 5" xfId="8454"/>
    <cellStyle name="Normal 4 3 2 3 2 2 2 5 2" xfId="23498"/>
    <cellStyle name="Normal 4 3 2 3 2 2 2 5 3" xfId="38541"/>
    <cellStyle name="Normal 4 3 2 3 2 2 2 6" xfId="15977"/>
    <cellStyle name="Normal 4 3 2 3 2 2 2 7" xfId="31020"/>
    <cellStyle name="Normal 4 3 2 3 2 2 3" xfId="1359"/>
    <cellStyle name="Normal 4 3 2 3 2 2 3 2" xfId="3230"/>
    <cellStyle name="Normal 4 3 2 3 2 2 3 2 2" xfId="7025"/>
    <cellStyle name="Normal 4 3 2 3 2 2 3 2 2 2" xfId="14548"/>
    <cellStyle name="Normal 4 3 2 3 2 2 3 2 2 2 2" xfId="29592"/>
    <cellStyle name="Normal 4 3 2 3 2 2 3 2 2 2 3" xfId="44635"/>
    <cellStyle name="Normal 4 3 2 3 2 2 3 2 2 3" xfId="22071"/>
    <cellStyle name="Normal 4 3 2 3 2 2 3 2 2 4" xfId="37114"/>
    <cellStyle name="Normal 4 3 2 3 2 2 3 2 3" xfId="10799"/>
    <cellStyle name="Normal 4 3 2 3 2 2 3 2 3 2" xfId="25843"/>
    <cellStyle name="Normal 4 3 2 3 2 2 3 2 3 3" xfId="40886"/>
    <cellStyle name="Normal 4 3 2 3 2 2 3 2 4" xfId="18322"/>
    <cellStyle name="Normal 4 3 2 3 2 2 3 2 5" xfId="33365"/>
    <cellStyle name="Normal 4 3 2 3 2 2 3 3" xfId="5160"/>
    <cellStyle name="Normal 4 3 2 3 2 2 3 3 2" xfId="12683"/>
    <cellStyle name="Normal 4 3 2 3 2 2 3 3 2 2" xfId="27727"/>
    <cellStyle name="Normal 4 3 2 3 2 2 3 3 2 3" xfId="42770"/>
    <cellStyle name="Normal 4 3 2 3 2 2 3 3 3" xfId="20206"/>
    <cellStyle name="Normal 4 3 2 3 2 2 3 3 4" xfId="35249"/>
    <cellStyle name="Normal 4 3 2 3 2 2 3 4" xfId="8934"/>
    <cellStyle name="Normal 4 3 2 3 2 2 3 4 2" xfId="23978"/>
    <cellStyle name="Normal 4 3 2 3 2 2 3 4 3" xfId="39021"/>
    <cellStyle name="Normal 4 3 2 3 2 2 3 5" xfId="16457"/>
    <cellStyle name="Normal 4 3 2 3 2 2 3 6" xfId="31500"/>
    <cellStyle name="Normal 4 3 2 3 2 2 4" xfId="2297"/>
    <cellStyle name="Normal 4 3 2 3 2 2 4 2" xfId="6093"/>
    <cellStyle name="Normal 4 3 2 3 2 2 4 2 2" xfId="13616"/>
    <cellStyle name="Normal 4 3 2 3 2 2 4 2 2 2" xfId="28660"/>
    <cellStyle name="Normal 4 3 2 3 2 2 4 2 2 3" xfId="43703"/>
    <cellStyle name="Normal 4 3 2 3 2 2 4 2 3" xfId="21139"/>
    <cellStyle name="Normal 4 3 2 3 2 2 4 2 4" xfId="36182"/>
    <cellStyle name="Normal 4 3 2 3 2 2 4 3" xfId="9867"/>
    <cellStyle name="Normal 4 3 2 3 2 2 4 3 2" xfId="24911"/>
    <cellStyle name="Normal 4 3 2 3 2 2 4 3 3" xfId="39954"/>
    <cellStyle name="Normal 4 3 2 3 2 2 4 4" xfId="17390"/>
    <cellStyle name="Normal 4 3 2 3 2 2 4 5" xfId="32433"/>
    <cellStyle name="Normal 4 3 2 3 2 2 5" xfId="4225"/>
    <cellStyle name="Normal 4 3 2 3 2 2 5 2" xfId="11749"/>
    <cellStyle name="Normal 4 3 2 3 2 2 5 2 2" xfId="26793"/>
    <cellStyle name="Normal 4 3 2 3 2 2 5 2 3" xfId="41836"/>
    <cellStyle name="Normal 4 3 2 3 2 2 5 3" xfId="19272"/>
    <cellStyle name="Normal 4 3 2 3 2 2 5 4" xfId="34315"/>
    <cellStyle name="Normal 4 3 2 3 2 2 6" xfId="7988"/>
    <cellStyle name="Normal 4 3 2 3 2 2 6 2" xfId="23032"/>
    <cellStyle name="Normal 4 3 2 3 2 2 6 3" xfId="38075"/>
    <cellStyle name="Normal 4 3 2 3 2 2 7" xfId="15511"/>
    <cellStyle name="Normal 4 3 2 3 2 2 8" xfId="30554"/>
    <cellStyle name="Normal 4 3 2 3 2 3" xfId="851"/>
    <cellStyle name="Normal 4 3 2 3 2 3 2" xfId="1810"/>
    <cellStyle name="Normal 4 3 2 3 2 3 2 2" xfId="3681"/>
    <cellStyle name="Normal 4 3 2 3 2 3 2 2 2" xfId="7476"/>
    <cellStyle name="Normal 4 3 2 3 2 3 2 2 2 2" xfId="14999"/>
    <cellStyle name="Normal 4 3 2 3 2 3 2 2 2 2 2" xfId="30043"/>
    <cellStyle name="Normal 4 3 2 3 2 3 2 2 2 2 3" xfId="45086"/>
    <cellStyle name="Normal 4 3 2 3 2 3 2 2 2 3" xfId="22522"/>
    <cellStyle name="Normal 4 3 2 3 2 3 2 2 2 4" xfId="37565"/>
    <cellStyle name="Normal 4 3 2 3 2 3 2 2 3" xfId="11250"/>
    <cellStyle name="Normal 4 3 2 3 2 3 2 2 3 2" xfId="26294"/>
    <cellStyle name="Normal 4 3 2 3 2 3 2 2 3 3" xfId="41337"/>
    <cellStyle name="Normal 4 3 2 3 2 3 2 2 4" xfId="18773"/>
    <cellStyle name="Normal 4 3 2 3 2 3 2 2 5" xfId="33816"/>
    <cellStyle name="Normal 4 3 2 3 2 3 2 3" xfId="5611"/>
    <cellStyle name="Normal 4 3 2 3 2 3 2 3 2" xfId="13134"/>
    <cellStyle name="Normal 4 3 2 3 2 3 2 3 2 2" xfId="28178"/>
    <cellStyle name="Normal 4 3 2 3 2 3 2 3 2 3" xfId="43221"/>
    <cellStyle name="Normal 4 3 2 3 2 3 2 3 3" xfId="20657"/>
    <cellStyle name="Normal 4 3 2 3 2 3 2 3 4" xfId="35700"/>
    <cellStyle name="Normal 4 3 2 3 2 3 2 4" xfId="9385"/>
    <cellStyle name="Normal 4 3 2 3 2 3 2 4 2" xfId="24429"/>
    <cellStyle name="Normal 4 3 2 3 2 3 2 4 3" xfId="39472"/>
    <cellStyle name="Normal 4 3 2 3 2 3 2 5" xfId="16908"/>
    <cellStyle name="Normal 4 3 2 3 2 3 2 6" xfId="31951"/>
    <cellStyle name="Normal 4 3 2 3 2 3 3" xfId="2749"/>
    <cellStyle name="Normal 4 3 2 3 2 3 3 2" xfId="6544"/>
    <cellStyle name="Normal 4 3 2 3 2 3 3 2 2" xfId="14067"/>
    <cellStyle name="Normal 4 3 2 3 2 3 3 2 2 2" xfId="29111"/>
    <cellStyle name="Normal 4 3 2 3 2 3 3 2 2 3" xfId="44154"/>
    <cellStyle name="Normal 4 3 2 3 2 3 3 2 3" xfId="21590"/>
    <cellStyle name="Normal 4 3 2 3 2 3 3 2 4" xfId="36633"/>
    <cellStyle name="Normal 4 3 2 3 2 3 3 3" xfId="10318"/>
    <cellStyle name="Normal 4 3 2 3 2 3 3 3 2" xfId="25362"/>
    <cellStyle name="Normal 4 3 2 3 2 3 3 3 3" xfId="40405"/>
    <cellStyle name="Normal 4 3 2 3 2 3 3 4" xfId="17841"/>
    <cellStyle name="Normal 4 3 2 3 2 3 3 5" xfId="32884"/>
    <cellStyle name="Normal 4 3 2 3 2 3 4" xfId="4679"/>
    <cellStyle name="Normal 4 3 2 3 2 3 4 2" xfId="12202"/>
    <cellStyle name="Normal 4 3 2 3 2 3 4 2 2" xfId="27246"/>
    <cellStyle name="Normal 4 3 2 3 2 3 4 2 3" xfId="42289"/>
    <cellStyle name="Normal 4 3 2 3 2 3 4 3" xfId="19725"/>
    <cellStyle name="Normal 4 3 2 3 2 3 4 4" xfId="34768"/>
    <cellStyle name="Normal 4 3 2 3 2 3 5" xfId="8453"/>
    <cellStyle name="Normal 4 3 2 3 2 3 5 2" xfId="23497"/>
    <cellStyle name="Normal 4 3 2 3 2 3 5 3" xfId="38540"/>
    <cellStyle name="Normal 4 3 2 3 2 3 6" xfId="15976"/>
    <cellStyle name="Normal 4 3 2 3 2 3 7" xfId="31019"/>
    <cellStyle name="Normal 4 3 2 3 2 4" xfId="1358"/>
    <cellStyle name="Normal 4 3 2 3 2 4 2" xfId="3229"/>
    <cellStyle name="Normal 4 3 2 3 2 4 2 2" xfId="7024"/>
    <cellStyle name="Normal 4 3 2 3 2 4 2 2 2" xfId="14547"/>
    <cellStyle name="Normal 4 3 2 3 2 4 2 2 2 2" xfId="29591"/>
    <cellStyle name="Normal 4 3 2 3 2 4 2 2 2 3" xfId="44634"/>
    <cellStyle name="Normal 4 3 2 3 2 4 2 2 3" xfId="22070"/>
    <cellStyle name="Normal 4 3 2 3 2 4 2 2 4" xfId="37113"/>
    <cellStyle name="Normal 4 3 2 3 2 4 2 3" xfId="10798"/>
    <cellStyle name="Normal 4 3 2 3 2 4 2 3 2" xfId="25842"/>
    <cellStyle name="Normal 4 3 2 3 2 4 2 3 3" xfId="40885"/>
    <cellStyle name="Normal 4 3 2 3 2 4 2 4" xfId="18321"/>
    <cellStyle name="Normal 4 3 2 3 2 4 2 5" xfId="33364"/>
    <cellStyle name="Normal 4 3 2 3 2 4 3" xfId="5159"/>
    <cellStyle name="Normal 4 3 2 3 2 4 3 2" xfId="12682"/>
    <cellStyle name="Normal 4 3 2 3 2 4 3 2 2" xfId="27726"/>
    <cellStyle name="Normal 4 3 2 3 2 4 3 2 3" xfId="42769"/>
    <cellStyle name="Normal 4 3 2 3 2 4 3 3" xfId="20205"/>
    <cellStyle name="Normal 4 3 2 3 2 4 3 4" xfId="35248"/>
    <cellStyle name="Normal 4 3 2 3 2 4 4" xfId="8933"/>
    <cellStyle name="Normal 4 3 2 3 2 4 4 2" xfId="23977"/>
    <cellStyle name="Normal 4 3 2 3 2 4 4 3" xfId="39020"/>
    <cellStyle name="Normal 4 3 2 3 2 4 5" xfId="16456"/>
    <cellStyle name="Normal 4 3 2 3 2 4 6" xfId="31499"/>
    <cellStyle name="Normal 4 3 2 3 2 5" xfId="2296"/>
    <cellStyle name="Normal 4 3 2 3 2 5 2" xfId="6092"/>
    <cellStyle name="Normal 4 3 2 3 2 5 2 2" xfId="13615"/>
    <cellStyle name="Normal 4 3 2 3 2 5 2 2 2" xfId="28659"/>
    <cellStyle name="Normal 4 3 2 3 2 5 2 2 3" xfId="43702"/>
    <cellStyle name="Normal 4 3 2 3 2 5 2 3" xfId="21138"/>
    <cellStyle name="Normal 4 3 2 3 2 5 2 4" xfId="36181"/>
    <cellStyle name="Normal 4 3 2 3 2 5 3" xfId="9866"/>
    <cellStyle name="Normal 4 3 2 3 2 5 3 2" xfId="24910"/>
    <cellStyle name="Normal 4 3 2 3 2 5 3 3" xfId="39953"/>
    <cellStyle name="Normal 4 3 2 3 2 5 4" xfId="17389"/>
    <cellStyle name="Normal 4 3 2 3 2 5 5" xfId="32432"/>
    <cellStyle name="Normal 4 3 2 3 2 6" xfId="4224"/>
    <cellStyle name="Normal 4 3 2 3 2 6 2" xfId="11748"/>
    <cellStyle name="Normal 4 3 2 3 2 6 2 2" xfId="26792"/>
    <cellStyle name="Normal 4 3 2 3 2 6 2 3" xfId="41835"/>
    <cellStyle name="Normal 4 3 2 3 2 6 3" xfId="19271"/>
    <cellStyle name="Normal 4 3 2 3 2 6 4" xfId="34314"/>
    <cellStyle name="Normal 4 3 2 3 2 7" xfId="7987"/>
    <cellStyle name="Normal 4 3 2 3 2 7 2" xfId="23031"/>
    <cellStyle name="Normal 4 3 2 3 2 7 3" xfId="38074"/>
    <cellStyle name="Normal 4 3 2 3 2 8" xfId="15510"/>
    <cellStyle name="Normal 4 3 2 3 2 9" xfId="30553"/>
    <cellStyle name="Normal 4 3 2 3 3" xfId="329"/>
    <cellStyle name="Normal 4 3 2 3 3 2" xfId="330"/>
    <cellStyle name="Normal 4 3 2 3 3 2 2" xfId="854"/>
    <cellStyle name="Normal 4 3 2 3 3 2 2 2" xfId="1813"/>
    <cellStyle name="Normal 4 3 2 3 3 2 2 2 2" xfId="3684"/>
    <cellStyle name="Normal 4 3 2 3 3 2 2 2 2 2" xfId="7479"/>
    <cellStyle name="Normal 4 3 2 3 3 2 2 2 2 2 2" xfId="15002"/>
    <cellStyle name="Normal 4 3 2 3 3 2 2 2 2 2 2 2" xfId="30046"/>
    <cellStyle name="Normal 4 3 2 3 3 2 2 2 2 2 2 3" xfId="45089"/>
    <cellStyle name="Normal 4 3 2 3 3 2 2 2 2 2 3" xfId="22525"/>
    <cellStyle name="Normal 4 3 2 3 3 2 2 2 2 2 4" xfId="37568"/>
    <cellStyle name="Normal 4 3 2 3 3 2 2 2 2 3" xfId="11253"/>
    <cellStyle name="Normal 4 3 2 3 3 2 2 2 2 3 2" xfId="26297"/>
    <cellStyle name="Normal 4 3 2 3 3 2 2 2 2 3 3" xfId="41340"/>
    <cellStyle name="Normal 4 3 2 3 3 2 2 2 2 4" xfId="18776"/>
    <cellStyle name="Normal 4 3 2 3 3 2 2 2 2 5" xfId="33819"/>
    <cellStyle name="Normal 4 3 2 3 3 2 2 2 3" xfId="5614"/>
    <cellStyle name="Normal 4 3 2 3 3 2 2 2 3 2" xfId="13137"/>
    <cellStyle name="Normal 4 3 2 3 3 2 2 2 3 2 2" xfId="28181"/>
    <cellStyle name="Normal 4 3 2 3 3 2 2 2 3 2 3" xfId="43224"/>
    <cellStyle name="Normal 4 3 2 3 3 2 2 2 3 3" xfId="20660"/>
    <cellStyle name="Normal 4 3 2 3 3 2 2 2 3 4" xfId="35703"/>
    <cellStyle name="Normal 4 3 2 3 3 2 2 2 4" xfId="9388"/>
    <cellStyle name="Normal 4 3 2 3 3 2 2 2 4 2" xfId="24432"/>
    <cellStyle name="Normal 4 3 2 3 3 2 2 2 4 3" xfId="39475"/>
    <cellStyle name="Normal 4 3 2 3 3 2 2 2 5" xfId="16911"/>
    <cellStyle name="Normal 4 3 2 3 3 2 2 2 6" xfId="31954"/>
    <cellStyle name="Normal 4 3 2 3 3 2 2 3" xfId="2752"/>
    <cellStyle name="Normal 4 3 2 3 3 2 2 3 2" xfId="6547"/>
    <cellStyle name="Normal 4 3 2 3 3 2 2 3 2 2" xfId="14070"/>
    <cellStyle name="Normal 4 3 2 3 3 2 2 3 2 2 2" xfId="29114"/>
    <cellStyle name="Normal 4 3 2 3 3 2 2 3 2 2 3" xfId="44157"/>
    <cellStyle name="Normal 4 3 2 3 3 2 2 3 2 3" xfId="21593"/>
    <cellStyle name="Normal 4 3 2 3 3 2 2 3 2 4" xfId="36636"/>
    <cellStyle name="Normal 4 3 2 3 3 2 2 3 3" xfId="10321"/>
    <cellStyle name="Normal 4 3 2 3 3 2 2 3 3 2" xfId="25365"/>
    <cellStyle name="Normal 4 3 2 3 3 2 2 3 3 3" xfId="40408"/>
    <cellStyle name="Normal 4 3 2 3 3 2 2 3 4" xfId="17844"/>
    <cellStyle name="Normal 4 3 2 3 3 2 2 3 5" xfId="32887"/>
    <cellStyle name="Normal 4 3 2 3 3 2 2 4" xfId="4682"/>
    <cellStyle name="Normal 4 3 2 3 3 2 2 4 2" xfId="12205"/>
    <cellStyle name="Normal 4 3 2 3 3 2 2 4 2 2" xfId="27249"/>
    <cellStyle name="Normal 4 3 2 3 3 2 2 4 2 3" xfId="42292"/>
    <cellStyle name="Normal 4 3 2 3 3 2 2 4 3" xfId="19728"/>
    <cellStyle name="Normal 4 3 2 3 3 2 2 4 4" xfId="34771"/>
    <cellStyle name="Normal 4 3 2 3 3 2 2 5" xfId="8456"/>
    <cellStyle name="Normal 4 3 2 3 3 2 2 5 2" xfId="23500"/>
    <cellStyle name="Normal 4 3 2 3 3 2 2 5 3" xfId="38543"/>
    <cellStyle name="Normal 4 3 2 3 3 2 2 6" xfId="15979"/>
    <cellStyle name="Normal 4 3 2 3 3 2 2 7" xfId="31022"/>
    <cellStyle name="Normal 4 3 2 3 3 2 3" xfId="1361"/>
    <cellStyle name="Normal 4 3 2 3 3 2 3 2" xfId="3232"/>
    <cellStyle name="Normal 4 3 2 3 3 2 3 2 2" xfId="7027"/>
    <cellStyle name="Normal 4 3 2 3 3 2 3 2 2 2" xfId="14550"/>
    <cellStyle name="Normal 4 3 2 3 3 2 3 2 2 2 2" xfId="29594"/>
    <cellStyle name="Normal 4 3 2 3 3 2 3 2 2 2 3" xfId="44637"/>
    <cellStyle name="Normal 4 3 2 3 3 2 3 2 2 3" xfId="22073"/>
    <cellStyle name="Normal 4 3 2 3 3 2 3 2 2 4" xfId="37116"/>
    <cellStyle name="Normal 4 3 2 3 3 2 3 2 3" xfId="10801"/>
    <cellStyle name="Normal 4 3 2 3 3 2 3 2 3 2" xfId="25845"/>
    <cellStyle name="Normal 4 3 2 3 3 2 3 2 3 3" xfId="40888"/>
    <cellStyle name="Normal 4 3 2 3 3 2 3 2 4" xfId="18324"/>
    <cellStyle name="Normal 4 3 2 3 3 2 3 2 5" xfId="33367"/>
    <cellStyle name="Normal 4 3 2 3 3 2 3 3" xfId="5162"/>
    <cellStyle name="Normal 4 3 2 3 3 2 3 3 2" xfId="12685"/>
    <cellStyle name="Normal 4 3 2 3 3 2 3 3 2 2" xfId="27729"/>
    <cellStyle name="Normal 4 3 2 3 3 2 3 3 2 3" xfId="42772"/>
    <cellStyle name="Normal 4 3 2 3 3 2 3 3 3" xfId="20208"/>
    <cellStyle name="Normal 4 3 2 3 3 2 3 3 4" xfId="35251"/>
    <cellStyle name="Normal 4 3 2 3 3 2 3 4" xfId="8936"/>
    <cellStyle name="Normal 4 3 2 3 3 2 3 4 2" xfId="23980"/>
    <cellStyle name="Normal 4 3 2 3 3 2 3 4 3" xfId="39023"/>
    <cellStyle name="Normal 4 3 2 3 3 2 3 5" xfId="16459"/>
    <cellStyle name="Normal 4 3 2 3 3 2 3 6" xfId="31502"/>
    <cellStyle name="Normal 4 3 2 3 3 2 4" xfId="2299"/>
    <cellStyle name="Normal 4 3 2 3 3 2 4 2" xfId="6095"/>
    <cellStyle name="Normal 4 3 2 3 3 2 4 2 2" xfId="13618"/>
    <cellStyle name="Normal 4 3 2 3 3 2 4 2 2 2" xfId="28662"/>
    <cellStyle name="Normal 4 3 2 3 3 2 4 2 2 3" xfId="43705"/>
    <cellStyle name="Normal 4 3 2 3 3 2 4 2 3" xfId="21141"/>
    <cellStyle name="Normal 4 3 2 3 3 2 4 2 4" xfId="36184"/>
    <cellStyle name="Normal 4 3 2 3 3 2 4 3" xfId="9869"/>
    <cellStyle name="Normal 4 3 2 3 3 2 4 3 2" xfId="24913"/>
    <cellStyle name="Normal 4 3 2 3 3 2 4 3 3" xfId="39956"/>
    <cellStyle name="Normal 4 3 2 3 3 2 4 4" xfId="17392"/>
    <cellStyle name="Normal 4 3 2 3 3 2 4 5" xfId="32435"/>
    <cellStyle name="Normal 4 3 2 3 3 2 5" xfId="4227"/>
    <cellStyle name="Normal 4 3 2 3 3 2 5 2" xfId="11751"/>
    <cellStyle name="Normal 4 3 2 3 3 2 5 2 2" xfId="26795"/>
    <cellStyle name="Normal 4 3 2 3 3 2 5 2 3" xfId="41838"/>
    <cellStyle name="Normal 4 3 2 3 3 2 5 3" xfId="19274"/>
    <cellStyle name="Normal 4 3 2 3 3 2 5 4" xfId="34317"/>
    <cellStyle name="Normal 4 3 2 3 3 2 6" xfId="7990"/>
    <cellStyle name="Normal 4 3 2 3 3 2 6 2" xfId="23034"/>
    <cellStyle name="Normal 4 3 2 3 3 2 6 3" xfId="38077"/>
    <cellStyle name="Normal 4 3 2 3 3 2 7" xfId="15513"/>
    <cellStyle name="Normal 4 3 2 3 3 2 8" xfId="30556"/>
    <cellStyle name="Normal 4 3 2 3 3 3" xfId="853"/>
    <cellStyle name="Normal 4 3 2 3 3 3 2" xfId="1812"/>
    <cellStyle name="Normal 4 3 2 3 3 3 2 2" xfId="3683"/>
    <cellStyle name="Normal 4 3 2 3 3 3 2 2 2" xfId="7478"/>
    <cellStyle name="Normal 4 3 2 3 3 3 2 2 2 2" xfId="15001"/>
    <cellStyle name="Normal 4 3 2 3 3 3 2 2 2 2 2" xfId="30045"/>
    <cellStyle name="Normal 4 3 2 3 3 3 2 2 2 2 3" xfId="45088"/>
    <cellStyle name="Normal 4 3 2 3 3 3 2 2 2 3" xfId="22524"/>
    <cellStyle name="Normal 4 3 2 3 3 3 2 2 2 4" xfId="37567"/>
    <cellStyle name="Normal 4 3 2 3 3 3 2 2 3" xfId="11252"/>
    <cellStyle name="Normal 4 3 2 3 3 3 2 2 3 2" xfId="26296"/>
    <cellStyle name="Normal 4 3 2 3 3 3 2 2 3 3" xfId="41339"/>
    <cellStyle name="Normal 4 3 2 3 3 3 2 2 4" xfId="18775"/>
    <cellStyle name="Normal 4 3 2 3 3 3 2 2 5" xfId="33818"/>
    <cellStyle name="Normal 4 3 2 3 3 3 2 3" xfId="5613"/>
    <cellStyle name="Normal 4 3 2 3 3 3 2 3 2" xfId="13136"/>
    <cellStyle name="Normal 4 3 2 3 3 3 2 3 2 2" xfId="28180"/>
    <cellStyle name="Normal 4 3 2 3 3 3 2 3 2 3" xfId="43223"/>
    <cellStyle name="Normal 4 3 2 3 3 3 2 3 3" xfId="20659"/>
    <cellStyle name="Normal 4 3 2 3 3 3 2 3 4" xfId="35702"/>
    <cellStyle name="Normal 4 3 2 3 3 3 2 4" xfId="9387"/>
    <cellStyle name="Normal 4 3 2 3 3 3 2 4 2" xfId="24431"/>
    <cellStyle name="Normal 4 3 2 3 3 3 2 4 3" xfId="39474"/>
    <cellStyle name="Normal 4 3 2 3 3 3 2 5" xfId="16910"/>
    <cellStyle name="Normal 4 3 2 3 3 3 2 6" xfId="31953"/>
    <cellStyle name="Normal 4 3 2 3 3 3 3" xfId="2751"/>
    <cellStyle name="Normal 4 3 2 3 3 3 3 2" xfId="6546"/>
    <cellStyle name="Normal 4 3 2 3 3 3 3 2 2" xfId="14069"/>
    <cellStyle name="Normal 4 3 2 3 3 3 3 2 2 2" xfId="29113"/>
    <cellStyle name="Normal 4 3 2 3 3 3 3 2 2 3" xfId="44156"/>
    <cellStyle name="Normal 4 3 2 3 3 3 3 2 3" xfId="21592"/>
    <cellStyle name="Normal 4 3 2 3 3 3 3 2 4" xfId="36635"/>
    <cellStyle name="Normal 4 3 2 3 3 3 3 3" xfId="10320"/>
    <cellStyle name="Normal 4 3 2 3 3 3 3 3 2" xfId="25364"/>
    <cellStyle name="Normal 4 3 2 3 3 3 3 3 3" xfId="40407"/>
    <cellStyle name="Normal 4 3 2 3 3 3 3 4" xfId="17843"/>
    <cellStyle name="Normal 4 3 2 3 3 3 3 5" xfId="32886"/>
    <cellStyle name="Normal 4 3 2 3 3 3 4" xfId="4681"/>
    <cellStyle name="Normal 4 3 2 3 3 3 4 2" xfId="12204"/>
    <cellStyle name="Normal 4 3 2 3 3 3 4 2 2" xfId="27248"/>
    <cellStyle name="Normal 4 3 2 3 3 3 4 2 3" xfId="42291"/>
    <cellStyle name="Normal 4 3 2 3 3 3 4 3" xfId="19727"/>
    <cellStyle name="Normal 4 3 2 3 3 3 4 4" xfId="34770"/>
    <cellStyle name="Normal 4 3 2 3 3 3 5" xfId="8455"/>
    <cellStyle name="Normal 4 3 2 3 3 3 5 2" xfId="23499"/>
    <cellStyle name="Normal 4 3 2 3 3 3 5 3" xfId="38542"/>
    <cellStyle name="Normal 4 3 2 3 3 3 6" xfId="15978"/>
    <cellStyle name="Normal 4 3 2 3 3 3 7" xfId="31021"/>
    <cellStyle name="Normal 4 3 2 3 3 4" xfId="1360"/>
    <cellStyle name="Normal 4 3 2 3 3 4 2" xfId="3231"/>
    <cellStyle name="Normal 4 3 2 3 3 4 2 2" xfId="7026"/>
    <cellStyle name="Normal 4 3 2 3 3 4 2 2 2" xfId="14549"/>
    <cellStyle name="Normal 4 3 2 3 3 4 2 2 2 2" xfId="29593"/>
    <cellStyle name="Normal 4 3 2 3 3 4 2 2 2 3" xfId="44636"/>
    <cellStyle name="Normal 4 3 2 3 3 4 2 2 3" xfId="22072"/>
    <cellStyle name="Normal 4 3 2 3 3 4 2 2 4" xfId="37115"/>
    <cellStyle name="Normal 4 3 2 3 3 4 2 3" xfId="10800"/>
    <cellStyle name="Normal 4 3 2 3 3 4 2 3 2" xfId="25844"/>
    <cellStyle name="Normal 4 3 2 3 3 4 2 3 3" xfId="40887"/>
    <cellStyle name="Normal 4 3 2 3 3 4 2 4" xfId="18323"/>
    <cellStyle name="Normal 4 3 2 3 3 4 2 5" xfId="33366"/>
    <cellStyle name="Normal 4 3 2 3 3 4 3" xfId="5161"/>
    <cellStyle name="Normal 4 3 2 3 3 4 3 2" xfId="12684"/>
    <cellStyle name="Normal 4 3 2 3 3 4 3 2 2" xfId="27728"/>
    <cellStyle name="Normal 4 3 2 3 3 4 3 2 3" xfId="42771"/>
    <cellStyle name="Normal 4 3 2 3 3 4 3 3" xfId="20207"/>
    <cellStyle name="Normal 4 3 2 3 3 4 3 4" xfId="35250"/>
    <cellStyle name="Normal 4 3 2 3 3 4 4" xfId="8935"/>
    <cellStyle name="Normal 4 3 2 3 3 4 4 2" xfId="23979"/>
    <cellStyle name="Normal 4 3 2 3 3 4 4 3" xfId="39022"/>
    <cellStyle name="Normal 4 3 2 3 3 4 5" xfId="16458"/>
    <cellStyle name="Normal 4 3 2 3 3 4 6" xfId="31501"/>
    <cellStyle name="Normal 4 3 2 3 3 5" xfId="2298"/>
    <cellStyle name="Normal 4 3 2 3 3 5 2" xfId="6094"/>
    <cellStyle name="Normal 4 3 2 3 3 5 2 2" xfId="13617"/>
    <cellStyle name="Normal 4 3 2 3 3 5 2 2 2" xfId="28661"/>
    <cellStyle name="Normal 4 3 2 3 3 5 2 2 3" xfId="43704"/>
    <cellStyle name="Normal 4 3 2 3 3 5 2 3" xfId="21140"/>
    <cellStyle name="Normal 4 3 2 3 3 5 2 4" xfId="36183"/>
    <cellStyle name="Normal 4 3 2 3 3 5 3" xfId="9868"/>
    <cellStyle name="Normal 4 3 2 3 3 5 3 2" xfId="24912"/>
    <cellStyle name="Normal 4 3 2 3 3 5 3 3" xfId="39955"/>
    <cellStyle name="Normal 4 3 2 3 3 5 4" xfId="17391"/>
    <cellStyle name="Normal 4 3 2 3 3 5 5" xfId="32434"/>
    <cellStyle name="Normal 4 3 2 3 3 6" xfId="4226"/>
    <cellStyle name="Normal 4 3 2 3 3 6 2" xfId="11750"/>
    <cellStyle name="Normal 4 3 2 3 3 6 2 2" xfId="26794"/>
    <cellStyle name="Normal 4 3 2 3 3 6 2 3" xfId="41837"/>
    <cellStyle name="Normal 4 3 2 3 3 6 3" xfId="19273"/>
    <cellStyle name="Normal 4 3 2 3 3 6 4" xfId="34316"/>
    <cellStyle name="Normal 4 3 2 3 3 7" xfId="7989"/>
    <cellStyle name="Normal 4 3 2 3 3 7 2" xfId="23033"/>
    <cellStyle name="Normal 4 3 2 3 3 7 3" xfId="38076"/>
    <cellStyle name="Normal 4 3 2 3 3 8" xfId="15512"/>
    <cellStyle name="Normal 4 3 2 3 3 9" xfId="30555"/>
    <cellStyle name="Normal 4 3 2 3 4" xfId="331"/>
    <cellStyle name="Normal 4 3 2 3 4 2" xfId="855"/>
    <cellStyle name="Normal 4 3 2 3 4 2 2" xfId="1814"/>
    <cellStyle name="Normal 4 3 2 3 4 2 2 2" xfId="3685"/>
    <cellStyle name="Normal 4 3 2 3 4 2 2 2 2" xfId="7480"/>
    <cellStyle name="Normal 4 3 2 3 4 2 2 2 2 2" xfId="15003"/>
    <cellStyle name="Normal 4 3 2 3 4 2 2 2 2 2 2" xfId="30047"/>
    <cellStyle name="Normal 4 3 2 3 4 2 2 2 2 2 3" xfId="45090"/>
    <cellStyle name="Normal 4 3 2 3 4 2 2 2 2 3" xfId="22526"/>
    <cellStyle name="Normal 4 3 2 3 4 2 2 2 2 4" xfId="37569"/>
    <cellStyle name="Normal 4 3 2 3 4 2 2 2 3" xfId="11254"/>
    <cellStyle name="Normal 4 3 2 3 4 2 2 2 3 2" xfId="26298"/>
    <cellStyle name="Normal 4 3 2 3 4 2 2 2 3 3" xfId="41341"/>
    <cellStyle name="Normal 4 3 2 3 4 2 2 2 4" xfId="18777"/>
    <cellStyle name="Normal 4 3 2 3 4 2 2 2 5" xfId="33820"/>
    <cellStyle name="Normal 4 3 2 3 4 2 2 3" xfId="5615"/>
    <cellStyle name="Normal 4 3 2 3 4 2 2 3 2" xfId="13138"/>
    <cellStyle name="Normal 4 3 2 3 4 2 2 3 2 2" xfId="28182"/>
    <cellStyle name="Normal 4 3 2 3 4 2 2 3 2 3" xfId="43225"/>
    <cellStyle name="Normal 4 3 2 3 4 2 2 3 3" xfId="20661"/>
    <cellStyle name="Normal 4 3 2 3 4 2 2 3 4" xfId="35704"/>
    <cellStyle name="Normal 4 3 2 3 4 2 2 4" xfId="9389"/>
    <cellStyle name="Normal 4 3 2 3 4 2 2 4 2" xfId="24433"/>
    <cellStyle name="Normal 4 3 2 3 4 2 2 4 3" xfId="39476"/>
    <cellStyle name="Normal 4 3 2 3 4 2 2 5" xfId="16912"/>
    <cellStyle name="Normal 4 3 2 3 4 2 2 6" xfId="31955"/>
    <cellStyle name="Normal 4 3 2 3 4 2 3" xfId="2753"/>
    <cellStyle name="Normal 4 3 2 3 4 2 3 2" xfId="6548"/>
    <cellStyle name="Normal 4 3 2 3 4 2 3 2 2" xfId="14071"/>
    <cellStyle name="Normal 4 3 2 3 4 2 3 2 2 2" xfId="29115"/>
    <cellStyle name="Normal 4 3 2 3 4 2 3 2 2 3" xfId="44158"/>
    <cellStyle name="Normal 4 3 2 3 4 2 3 2 3" xfId="21594"/>
    <cellStyle name="Normal 4 3 2 3 4 2 3 2 4" xfId="36637"/>
    <cellStyle name="Normal 4 3 2 3 4 2 3 3" xfId="10322"/>
    <cellStyle name="Normal 4 3 2 3 4 2 3 3 2" xfId="25366"/>
    <cellStyle name="Normal 4 3 2 3 4 2 3 3 3" xfId="40409"/>
    <cellStyle name="Normal 4 3 2 3 4 2 3 4" xfId="17845"/>
    <cellStyle name="Normal 4 3 2 3 4 2 3 5" xfId="32888"/>
    <cellStyle name="Normal 4 3 2 3 4 2 4" xfId="4683"/>
    <cellStyle name="Normal 4 3 2 3 4 2 4 2" xfId="12206"/>
    <cellStyle name="Normal 4 3 2 3 4 2 4 2 2" xfId="27250"/>
    <cellStyle name="Normal 4 3 2 3 4 2 4 2 3" xfId="42293"/>
    <cellStyle name="Normal 4 3 2 3 4 2 4 3" xfId="19729"/>
    <cellStyle name="Normal 4 3 2 3 4 2 4 4" xfId="34772"/>
    <cellStyle name="Normal 4 3 2 3 4 2 5" xfId="8457"/>
    <cellStyle name="Normal 4 3 2 3 4 2 5 2" xfId="23501"/>
    <cellStyle name="Normal 4 3 2 3 4 2 5 3" xfId="38544"/>
    <cellStyle name="Normal 4 3 2 3 4 2 6" xfId="15980"/>
    <cellStyle name="Normal 4 3 2 3 4 2 7" xfId="31023"/>
    <cellStyle name="Normal 4 3 2 3 4 3" xfId="1362"/>
    <cellStyle name="Normal 4 3 2 3 4 3 2" xfId="3233"/>
    <cellStyle name="Normal 4 3 2 3 4 3 2 2" xfId="7028"/>
    <cellStyle name="Normal 4 3 2 3 4 3 2 2 2" xfId="14551"/>
    <cellStyle name="Normal 4 3 2 3 4 3 2 2 2 2" xfId="29595"/>
    <cellStyle name="Normal 4 3 2 3 4 3 2 2 2 3" xfId="44638"/>
    <cellStyle name="Normal 4 3 2 3 4 3 2 2 3" xfId="22074"/>
    <cellStyle name="Normal 4 3 2 3 4 3 2 2 4" xfId="37117"/>
    <cellStyle name="Normal 4 3 2 3 4 3 2 3" xfId="10802"/>
    <cellStyle name="Normal 4 3 2 3 4 3 2 3 2" xfId="25846"/>
    <cellStyle name="Normal 4 3 2 3 4 3 2 3 3" xfId="40889"/>
    <cellStyle name="Normal 4 3 2 3 4 3 2 4" xfId="18325"/>
    <cellStyle name="Normal 4 3 2 3 4 3 2 5" xfId="33368"/>
    <cellStyle name="Normal 4 3 2 3 4 3 3" xfId="5163"/>
    <cellStyle name="Normal 4 3 2 3 4 3 3 2" xfId="12686"/>
    <cellStyle name="Normal 4 3 2 3 4 3 3 2 2" xfId="27730"/>
    <cellStyle name="Normal 4 3 2 3 4 3 3 2 3" xfId="42773"/>
    <cellStyle name="Normal 4 3 2 3 4 3 3 3" xfId="20209"/>
    <cellStyle name="Normal 4 3 2 3 4 3 3 4" xfId="35252"/>
    <cellStyle name="Normal 4 3 2 3 4 3 4" xfId="8937"/>
    <cellStyle name="Normal 4 3 2 3 4 3 4 2" xfId="23981"/>
    <cellStyle name="Normal 4 3 2 3 4 3 4 3" xfId="39024"/>
    <cellStyle name="Normal 4 3 2 3 4 3 5" xfId="16460"/>
    <cellStyle name="Normal 4 3 2 3 4 3 6" xfId="31503"/>
    <cellStyle name="Normal 4 3 2 3 4 4" xfId="2300"/>
    <cellStyle name="Normal 4 3 2 3 4 4 2" xfId="6096"/>
    <cellStyle name="Normal 4 3 2 3 4 4 2 2" xfId="13619"/>
    <cellStyle name="Normal 4 3 2 3 4 4 2 2 2" xfId="28663"/>
    <cellStyle name="Normal 4 3 2 3 4 4 2 2 3" xfId="43706"/>
    <cellStyle name="Normal 4 3 2 3 4 4 2 3" xfId="21142"/>
    <cellStyle name="Normal 4 3 2 3 4 4 2 4" xfId="36185"/>
    <cellStyle name="Normal 4 3 2 3 4 4 3" xfId="9870"/>
    <cellStyle name="Normal 4 3 2 3 4 4 3 2" xfId="24914"/>
    <cellStyle name="Normal 4 3 2 3 4 4 3 3" xfId="39957"/>
    <cellStyle name="Normal 4 3 2 3 4 4 4" xfId="17393"/>
    <cellStyle name="Normal 4 3 2 3 4 4 5" xfId="32436"/>
    <cellStyle name="Normal 4 3 2 3 4 5" xfId="4228"/>
    <cellStyle name="Normal 4 3 2 3 4 5 2" xfId="11752"/>
    <cellStyle name="Normal 4 3 2 3 4 5 2 2" xfId="26796"/>
    <cellStyle name="Normal 4 3 2 3 4 5 2 3" xfId="41839"/>
    <cellStyle name="Normal 4 3 2 3 4 5 3" xfId="19275"/>
    <cellStyle name="Normal 4 3 2 3 4 5 4" xfId="34318"/>
    <cellStyle name="Normal 4 3 2 3 4 6" xfId="7991"/>
    <cellStyle name="Normal 4 3 2 3 4 6 2" xfId="23035"/>
    <cellStyle name="Normal 4 3 2 3 4 6 3" xfId="38078"/>
    <cellStyle name="Normal 4 3 2 3 4 7" xfId="15514"/>
    <cellStyle name="Normal 4 3 2 3 4 8" xfId="30557"/>
    <cellStyle name="Normal 4 3 2 3 5" xfId="850"/>
    <cellStyle name="Normal 4 3 2 3 5 2" xfId="1809"/>
    <cellStyle name="Normal 4 3 2 3 5 2 2" xfId="3680"/>
    <cellStyle name="Normal 4 3 2 3 5 2 2 2" xfId="7475"/>
    <cellStyle name="Normal 4 3 2 3 5 2 2 2 2" xfId="14998"/>
    <cellStyle name="Normal 4 3 2 3 5 2 2 2 2 2" xfId="30042"/>
    <cellStyle name="Normal 4 3 2 3 5 2 2 2 2 3" xfId="45085"/>
    <cellStyle name="Normal 4 3 2 3 5 2 2 2 3" xfId="22521"/>
    <cellStyle name="Normal 4 3 2 3 5 2 2 2 4" xfId="37564"/>
    <cellStyle name="Normal 4 3 2 3 5 2 2 3" xfId="11249"/>
    <cellStyle name="Normal 4 3 2 3 5 2 2 3 2" xfId="26293"/>
    <cellStyle name="Normal 4 3 2 3 5 2 2 3 3" xfId="41336"/>
    <cellStyle name="Normal 4 3 2 3 5 2 2 4" xfId="18772"/>
    <cellStyle name="Normal 4 3 2 3 5 2 2 5" xfId="33815"/>
    <cellStyle name="Normal 4 3 2 3 5 2 3" xfId="5610"/>
    <cellStyle name="Normal 4 3 2 3 5 2 3 2" xfId="13133"/>
    <cellStyle name="Normal 4 3 2 3 5 2 3 2 2" xfId="28177"/>
    <cellStyle name="Normal 4 3 2 3 5 2 3 2 3" xfId="43220"/>
    <cellStyle name="Normal 4 3 2 3 5 2 3 3" xfId="20656"/>
    <cellStyle name="Normal 4 3 2 3 5 2 3 4" xfId="35699"/>
    <cellStyle name="Normal 4 3 2 3 5 2 4" xfId="9384"/>
    <cellStyle name="Normal 4 3 2 3 5 2 4 2" xfId="24428"/>
    <cellStyle name="Normal 4 3 2 3 5 2 4 3" xfId="39471"/>
    <cellStyle name="Normal 4 3 2 3 5 2 5" xfId="16907"/>
    <cellStyle name="Normal 4 3 2 3 5 2 6" xfId="31950"/>
    <cellStyle name="Normal 4 3 2 3 5 3" xfId="2748"/>
    <cellStyle name="Normal 4 3 2 3 5 3 2" xfId="6543"/>
    <cellStyle name="Normal 4 3 2 3 5 3 2 2" xfId="14066"/>
    <cellStyle name="Normal 4 3 2 3 5 3 2 2 2" xfId="29110"/>
    <cellStyle name="Normal 4 3 2 3 5 3 2 2 3" xfId="44153"/>
    <cellStyle name="Normal 4 3 2 3 5 3 2 3" xfId="21589"/>
    <cellStyle name="Normal 4 3 2 3 5 3 2 4" xfId="36632"/>
    <cellStyle name="Normal 4 3 2 3 5 3 3" xfId="10317"/>
    <cellStyle name="Normal 4 3 2 3 5 3 3 2" xfId="25361"/>
    <cellStyle name="Normal 4 3 2 3 5 3 3 3" xfId="40404"/>
    <cellStyle name="Normal 4 3 2 3 5 3 4" xfId="17840"/>
    <cellStyle name="Normal 4 3 2 3 5 3 5" xfId="32883"/>
    <cellStyle name="Normal 4 3 2 3 5 4" xfId="4678"/>
    <cellStyle name="Normal 4 3 2 3 5 4 2" xfId="12201"/>
    <cellStyle name="Normal 4 3 2 3 5 4 2 2" xfId="27245"/>
    <cellStyle name="Normal 4 3 2 3 5 4 2 3" xfId="42288"/>
    <cellStyle name="Normal 4 3 2 3 5 4 3" xfId="19724"/>
    <cellStyle name="Normal 4 3 2 3 5 4 4" xfId="34767"/>
    <cellStyle name="Normal 4 3 2 3 5 5" xfId="8452"/>
    <cellStyle name="Normal 4 3 2 3 5 5 2" xfId="23496"/>
    <cellStyle name="Normal 4 3 2 3 5 5 3" xfId="38539"/>
    <cellStyle name="Normal 4 3 2 3 5 6" xfId="15975"/>
    <cellStyle name="Normal 4 3 2 3 5 7" xfId="31018"/>
    <cellStyle name="Normal 4 3 2 3 6" xfId="1357"/>
    <cellStyle name="Normal 4 3 2 3 6 2" xfId="3228"/>
    <cellStyle name="Normal 4 3 2 3 6 2 2" xfId="7023"/>
    <cellStyle name="Normal 4 3 2 3 6 2 2 2" xfId="14546"/>
    <cellStyle name="Normal 4 3 2 3 6 2 2 2 2" xfId="29590"/>
    <cellStyle name="Normal 4 3 2 3 6 2 2 2 3" xfId="44633"/>
    <cellStyle name="Normal 4 3 2 3 6 2 2 3" xfId="22069"/>
    <cellStyle name="Normal 4 3 2 3 6 2 2 4" xfId="37112"/>
    <cellStyle name="Normal 4 3 2 3 6 2 3" xfId="10797"/>
    <cellStyle name="Normal 4 3 2 3 6 2 3 2" xfId="25841"/>
    <cellStyle name="Normal 4 3 2 3 6 2 3 3" xfId="40884"/>
    <cellStyle name="Normal 4 3 2 3 6 2 4" xfId="18320"/>
    <cellStyle name="Normal 4 3 2 3 6 2 5" xfId="33363"/>
    <cellStyle name="Normal 4 3 2 3 6 3" xfId="5158"/>
    <cellStyle name="Normal 4 3 2 3 6 3 2" xfId="12681"/>
    <cellStyle name="Normal 4 3 2 3 6 3 2 2" xfId="27725"/>
    <cellStyle name="Normal 4 3 2 3 6 3 2 3" xfId="42768"/>
    <cellStyle name="Normal 4 3 2 3 6 3 3" xfId="20204"/>
    <cellStyle name="Normal 4 3 2 3 6 3 4" xfId="35247"/>
    <cellStyle name="Normal 4 3 2 3 6 4" xfId="8932"/>
    <cellStyle name="Normal 4 3 2 3 6 4 2" xfId="23976"/>
    <cellStyle name="Normal 4 3 2 3 6 4 3" xfId="39019"/>
    <cellStyle name="Normal 4 3 2 3 6 5" xfId="16455"/>
    <cellStyle name="Normal 4 3 2 3 6 6" xfId="31498"/>
    <cellStyle name="Normal 4 3 2 3 7" xfId="2295"/>
    <cellStyle name="Normal 4 3 2 3 7 2" xfId="6091"/>
    <cellStyle name="Normal 4 3 2 3 7 2 2" xfId="13614"/>
    <cellStyle name="Normal 4 3 2 3 7 2 2 2" xfId="28658"/>
    <cellStyle name="Normal 4 3 2 3 7 2 2 3" xfId="43701"/>
    <cellStyle name="Normal 4 3 2 3 7 2 3" xfId="21137"/>
    <cellStyle name="Normal 4 3 2 3 7 2 4" xfId="36180"/>
    <cellStyle name="Normal 4 3 2 3 7 3" xfId="9865"/>
    <cellStyle name="Normal 4 3 2 3 7 3 2" xfId="24909"/>
    <cellStyle name="Normal 4 3 2 3 7 3 3" xfId="39952"/>
    <cellStyle name="Normal 4 3 2 3 7 4" xfId="17388"/>
    <cellStyle name="Normal 4 3 2 3 7 5" xfId="32431"/>
    <cellStyle name="Normal 4 3 2 3 8" xfId="4223"/>
    <cellStyle name="Normal 4 3 2 3 8 2" xfId="11747"/>
    <cellStyle name="Normal 4 3 2 3 8 2 2" xfId="26791"/>
    <cellStyle name="Normal 4 3 2 3 8 2 3" xfId="41834"/>
    <cellStyle name="Normal 4 3 2 3 8 3" xfId="19270"/>
    <cellStyle name="Normal 4 3 2 3 8 4" xfId="34313"/>
    <cellStyle name="Normal 4 3 2 3 9" xfId="7986"/>
    <cellStyle name="Normal 4 3 2 3 9 2" xfId="23030"/>
    <cellStyle name="Normal 4 3 2 3 9 3" xfId="38073"/>
    <cellStyle name="Normal 4 3 2 4" xfId="332"/>
    <cellStyle name="Normal 4 3 2 4 2" xfId="333"/>
    <cellStyle name="Normal 4 3 2 4 2 2" xfId="857"/>
    <cellStyle name="Normal 4 3 2 4 2 2 2" xfId="1816"/>
    <cellStyle name="Normal 4 3 2 4 2 2 2 2" xfId="3687"/>
    <cellStyle name="Normal 4 3 2 4 2 2 2 2 2" xfId="7482"/>
    <cellStyle name="Normal 4 3 2 4 2 2 2 2 2 2" xfId="15005"/>
    <cellStyle name="Normal 4 3 2 4 2 2 2 2 2 2 2" xfId="30049"/>
    <cellStyle name="Normal 4 3 2 4 2 2 2 2 2 2 3" xfId="45092"/>
    <cellStyle name="Normal 4 3 2 4 2 2 2 2 2 3" xfId="22528"/>
    <cellStyle name="Normal 4 3 2 4 2 2 2 2 2 4" xfId="37571"/>
    <cellStyle name="Normal 4 3 2 4 2 2 2 2 3" xfId="11256"/>
    <cellStyle name="Normal 4 3 2 4 2 2 2 2 3 2" xfId="26300"/>
    <cellStyle name="Normal 4 3 2 4 2 2 2 2 3 3" xfId="41343"/>
    <cellStyle name="Normal 4 3 2 4 2 2 2 2 4" xfId="18779"/>
    <cellStyle name="Normal 4 3 2 4 2 2 2 2 5" xfId="33822"/>
    <cellStyle name="Normal 4 3 2 4 2 2 2 3" xfId="5617"/>
    <cellStyle name="Normal 4 3 2 4 2 2 2 3 2" xfId="13140"/>
    <cellStyle name="Normal 4 3 2 4 2 2 2 3 2 2" xfId="28184"/>
    <cellStyle name="Normal 4 3 2 4 2 2 2 3 2 3" xfId="43227"/>
    <cellStyle name="Normal 4 3 2 4 2 2 2 3 3" xfId="20663"/>
    <cellStyle name="Normal 4 3 2 4 2 2 2 3 4" xfId="35706"/>
    <cellStyle name="Normal 4 3 2 4 2 2 2 4" xfId="9391"/>
    <cellStyle name="Normal 4 3 2 4 2 2 2 4 2" xfId="24435"/>
    <cellStyle name="Normal 4 3 2 4 2 2 2 4 3" xfId="39478"/>
    <cellStyle name="Normal 4 3 2 4 2 2 2 5" xfId="16914"/>
    <cellStyle name="Normal 4 3 2 4 2 2 2 6" xfId="31957"/>
    <cellStyle name="Normal 4 3 2 4 2 2 3" xfId="2755"/>
    <cellStyle name="Normal 4 3 2 4 2 2 3 2" xfId="6550"/>
    <cellStyle name="Normal 4 3 2 4 2 2 3 2 2" xfId="14073"/>
    <cellStyle name="Normal 4 3 2 4 2 2 3 2 2 2" xfId="29117"/>
    <cellStyle name="Normal 4 3 2 4 2 2 3 2 2 3" xfId="44160"/>
    <cellStyle name="Normal 4 3 2 4 2 2 3 2 3" xfId="21596"/>
    <cellStyle name="Normal 4 3 2 4 2 2 3 2 4" xfId="36639"/>
    <cellStyle name="Normal 4 3 2 4 2 2 3 3" xfId="10324"/>
    <cellStyle name="Normal 4 3 2 4 2 2 3 3 2" xfId="25368"/>
    <cellStyle name="Normal 4 3 2 4 2 2 3 3 3" xfId="40411"/>
    <cellStyle name="Normal 4 3 2 4 2 2 3 4" xfId="17847"/>
    <cellStyle name="Normal 4 3 2 4 2 2 3 5" xfId="32890"/>
    <cellStyle name="Normal 4 3 2 4 2 2 4" xfId="4685"/>
    <cellStyle name="Normal 4 3 2 4 2 2 4 2" xfId="12208"/>
    <cellStyle name="Normal 4 3 2 4 2 2 4 2 2" xfId="27252"/>
    <cellStyle name="Normal 4 3 2 4 2 2 4 2 3" xfId="42295"/>
    <cellStyle name="Normal 4 3 2 4 2 2 4 3" xfId="19731"/>
    <cellStyle name="Normal 4 3 2 4 2 2 4 4" xfId="34774"/>
    <cellStyle name="Normal 4 3 2 4 2 2 5" xfId="8459"/>
    <cellStyle name="Normal 4 3 2 4 2 2 5 2" xfId="23503"/>
    <cellStyle name="Normal 4 3 2 4 2 2 5 3" xfId="38546"/>
    <cellStyle name="Normal 4 3 2 4 2 2 6" xfId="15982"/>
    <cellStyle name="Normal 4 3 2 4 2 2 7" xfId="31025"/>
    <cellStyle name="Normal 4 3 2 4 2 3" xfId="1364"/>
    <cellStyle name="Normal 4 3 2 4 2 3 2" xfId="3235"/>
    <cellStyle name="Normal 4 3 2 4 2 3 2 2" xfId="7030"/>
    <cellStyle name="Normal 4 3 2 4 2 3 2 2 2" xfId="14553"/>
    <cellStyle name="Normal 4 3 2 4 2 3 2 2 2 2" xfId="29597"/>
    <cellStyle name="Normal 4 3 2 4 2 3 2 2 2 3" xfId="44640"/>
    <cellStyle name="Normal 4 3 2 4 2 3 2 2 3" xfId="22076"/>
    <cellStyle name="Normal 4 3 2 4 2 3 2 2 4" xfId="37119"/>
    <cellStyle name="Normal 4 3 2 4 2 3 2 3" xfId="10804"/>
    <cellStyle name="Normal 4 3 2 4 2 3 2 3 2" xfId="25848"/>
    <cellStyle name="Normal 4 3 2 4 2 3 2 3 3" xfId="40891"/>
    <cellStyle name="Normal 4 3 2 4 2 3 2 4" xfId="18327"/>
    <cellStyle name="Normal 4 3 2 4 2 3 2 5" xfId="33370"/>
    <cellStyle name="Normal 4 3 2 4 2 3 3" xfId="5165"/>
    <cellStyle name="Normal 4 3 2 4 2 3 3 2" xfId="12688"/>
    <cellStyle name="Normal 4 3 2 4 2 3 3 2 2" xfId="27732"/>
    <cellStyle name="Normal 4 3 2 4 2 3 3 2 3" xfId="42775"/>
    <cellStyle name="Normal 4 3 2 4 2 3 3 3" xfId="20211"/>
    <cellStyle name="Normal 4 3 2 4 2 3 3 4" xfId="35254"/>
    <cellStyle name="Normal 4 3 2 4 2 3 4" xfId="8939"/>
    <cellStyle name="Normal 4 3 2 4 2 3 4 2" xfId="23983"/>
    <cellStyle name="Normal 4 3 2 4 2 3 4 3" xfId="39026"/>
    <cellStyle name="Normal 4 3 2 4 2 3 5" xfId="16462"/>
    <cellStyle name="Normal 4 3 2 4 2 3 6" xfId="31505"/>
    <cellStyle name="Normal 4 3 2 4 2 4" xfId="2302"/>
    <cellStyle name="Normal 4 3 2 4 2 4 2" xfId="6098"/>
    <cellStyle name="Normal 4 3 2 4 2 4 2 2" xfId="13621"/>
    <cellStyle name="Normal 4 3 2 4 2 4 2 2 2" xfId="28665"/>
    <cellStyle name="Normal 4 3 2 4 2 4 2 2 3" xfId="43708"/>
    <cellStyle name="Normal 4 3 2 4 2 4 2 3" xfId="21144"/>
    <cellStyle name="Normal 4 3 2 4 2 4 2 4" xfId="36187"/>
    <cellStyle name="Normal 4 3 2 4 2 4 3" xfId="9872"/>
    <cellStyle name="Normal 4 3 2 4 2 4 3 2" xfId="24916"/>
    <cellStyle name="Normal 4 3 2 4 2 4 3 3" xfId="39959"/>
    <cellStyle name="Normal 4 3 2 4 2 4 4" xfId="17395"/>
    <cellStyle name="Normal 4 3 2 4 2 4 5" xfId="32438"/>
    <cellStyle name="Normal 4 3 2 4 2 5" xfId="4230"/>
    <cellStyle name="Normal 4 3 2 4 2 5 2" xfId="11754"/>
    <cellStyle name="Normal 4 3 2 4 2 5 2 2" xfId="26798"/>
    <cellStyle name="Normal 4 3 2 4 2 5 2 3" xfId="41841"/>
    <cellStyle name="Normal 4 3 2 4 2 5 3" xfId="19277"/>
    <cellStyle name="Normal 4 3 2 4 2 5 4" xfId="34320"/>
    <cellStyle name="Normal 4 3 2 4 2 6" xfId="7993"/>
    <cellStyle name="Normal 4 3 2 4 2 6 2" xfId="23037"/>
    <cellStyle name="Normal 4 3 2 4 2 6 3" xfId="38080"/>
    <cellStyle name="Normal 4 3 2 4 2 7" xfId="15516"/>
    <cellStyle name="Normal 4 3 2 4 2 8" xfId="30559"/>
    <cellStyle name="Normal 4 3 2 4 3" xfId="856"/>
    <cellStyle name="Normal 4 3 2 4 3 2" xfId="1815"/>
    <cellStyle name="Normal 4 3 2 4 3 2 2" xfId="3686"/>
    <cellStyle name="Normal 4 3 2 4 3 2 2 2" xfId="7481"/>
    <cellStyle name="Normal 4 3 2 4 3 2 2 2 2" xfId="15004"/>
    <cellStyle name="Normal 4 3 2 4 3 2 2 2 2 2" xfId="30048"/>
    <cellStyle name="Normal 4 3 2 4 3 2 2 2 2 3" xfId="45091"/>
    <cellStyle name="Normal 4 3 2 4 3 2 2 2 3" xfId="22527"/>
    <cellStyle name="Normal 4 3 2 4 3 2 2 2 4" xfId="37570"/>
    <cellStyle name="Normal 4 3 2 4 3 2 2 3" xfId="11255"/>
    <cellStyle name="Normal 4 3 2 4 3 2 2 3 2" xfId="26299"/>
    <cellStyle name="Normal 4 3 2 4 3 2 2 3 3" xfId="41342"/>
    <cellStyle name="Normal 4 3 2 4 3 2 2 4" xfId="18778"/>
    <cellStyle name="Normal 4 3 2 4 3 2 2 5" xfId="33821"/>
    <cellStyle name="Normal 4 3 2 4 3 2 3" xfId="5616"/>
    <cellStyle name="Normal 4 3 2 4 3 2 3 2" xfId="13139"/>
    <cellStyle name="Normal 4 3 2 4 3 2 3 2 2" xfId="28183"/>
    <cellStyle name="Normal 4 3 2 4 3 2 3 2 3" xfId="43226"/>
    <cellStyle name="Normal 4 3 2 4 3 2 3 3" xfId="20662"/>
    <cellStyle name="Normal 4 3 2 4 3 2 3 4" xfId="35705"/>
    <cellStyle name="Normal 4 3 2 4 3 2 4" xfId="9390"/>
    <cellStyle name="Normal 4 3 2 4 3 2 4 2" xfId="24434"/>
    <cellStyle name="Normal 4 3 2 4 3 2 4 3" xfId="39477"/>
    <cellStyle name="Normal 4 3 2 4 3 2 5" xfId="16913"/>
    <cellStyle name="Normal 4 3 2 4 3 2 6" xfId="31956"/>
    <cellStyle name="Normal 4 3 2 4 3 3" xfId="2754"/>
    <cellStyle name="Normal 4 3 2 4 3 3 2" xfId="6549"/>
    <cellStyle name="Normal 4 3 2 4 3 3 2 2" xfId="14072"/>
    <cellStyle name="Normal 4 3 2 4 3 3 2 2 2" xfId="29116"/>
    <cellStyle name="Normal 4 3 2 4 3 3 2 2 3" xfId="44159"/>
    <cellStyle name="Normal 4 3 2 4 3 3 2 3" xfId="21595"/>
    <cellStyle name="Normal 4 3 2 4 3 3 2 4" xfId="36638"/>
    <cellStyle name="Normal 4 3 2 4 3 3 3" xfId="10323"/>
    <cellStyle name="Normal 4 3 2 4 3 3 3 2" xfId="25367"/>
    <cellStyle name="Normal 4 3 2 4 3 3 3 3" xfId="40410"/>
    <cellStyle name="Normal 4 3 2 4 3 3 4" xfId="17846"/>
    <cellStyle name="Normal 4 3 2 4 3 3 5" xfId="32889"/>
    <cellStyle name="Normal 4 3 2 4 3 4" xfId="4684"/>
    <cellStyle name="Normal 4 3 2 4 3 4 2" xfId="12207"/>
    <cellStyle name="Normal 4 3 2 4 3 4 2 2" xfId="27251"/>
    <cellStyle name="Normal 4 3 2 4 3 4 2 3" xfId="42294"/>
    <cellStyle name="Normal 4 3 2 4 3 4 3" xfId="19730"/>
    <cellStyle name="Normal 4 3 2 4 3 4 4" xfId="34773"/>
    <cellStyle name="Normal 4 3 2 4 3 5" xfId="8458"/>
    <cellStyle name="Normal 4 3 2 4 3 5 2" xfId="23502"/>
    <cellStyle name="Normal 4 3 2 4 3 5 3" xfId="38545"/>
    <cellStyle name="Normal 4 3 2 4 3 6" xfId="15981"/>
    <cellStyle name="Normal 4 3 2 4 3 7" xfId="31024"/>
    <cellStyle name="Normal 4 3 2 4 4" xfId="1363"/>
    <cellStyle name="Normal 4 3 2 4 4 2" xfId="3234"/>
    <cellStyle name="Normal 4 3 2 4 4 2 2" xfId="7029"/>
    <cellStyle name="Normal 4 3 2 4 4 2 2 2" xfId="14552"/>
    <cellStyle name="Normal 4 3 2 4 4 2 2 2 2" xfId="29596"/>
    <cellStyle name="Normal 4 3 2 4 4 2 2 2 3" xfId="44639"/>
    <cellStyle name="Normal 4 3 2 4 4 2 2 3" xfId="22075"/>
    <cellStyle name="Normal 4 3 2 4 4 2 2 4" xfId="37118"/>
    <cellStyle name="Normal 4 3 2 4 4 2 3" xfId="10803"/>
    <cellStyle name="Normal 4 3 2 4 4 2 3 2" xfId="25847"/>
    <cellStyle name="Normal 4 3 2 4 4 2 3 3" xfId="40890"/>
    <cellStyle name="Normal 4 3 2 4 4 2 4" xfId="18326"/>
    <cellStyle name="Normal 4 3 2 4 4 2 5" xfId="33369"/>
    <cellStyle name="Normal 4 3 2 4 4 3" xfId="5164"/>
    <cellStyle name="Normal 4 3 2 4 4 3 2" xfId="12687"/>
    <cellStyle name="Normal 4 3 2 4 4 3 2 2" xfId="27731"/>
    <cellStyle name="Normal 4 3 2 4 4 3 2 3" xfId="42774"/>
    <cellStyle name="Normal 4 3 2 4 4 3 3" xfId="20210"/>
    <cellStyle name="Normal 4 3 2 4 4 3 4" xfId="35253"/>
    <cellStyle name="Normal 4 3 2 4 4 4" xfId="8938"/>
    <cellStyle name="Normal 4 3 2 4 4 4 2" xfId="23982"/>
    <cellStyle name="Normal 4 3 2 4 4 4 3" xfId="39025"/>
    <cellStyle name="Normal 4 3 2 4 4 5" xfId="16461"/>
    <cellStyle name="Normal 4 3 2 4 4 6" xfId="31504"/>
    <cellStyle name="Normal 4 3 2 4 5" xfId="2301"/>
    <cellStyle name="Normal 4 3 2 4 5 2" xfId="6097"/>
    <cellStyle name="Normal 4 3 2 4 5 2 2" xfId="13620"/>
    <cellStyle name="Normal 4 3 2 4 5 2 2 2" xfId="28664"/>
    <cellStyle name="Normal 4 3 2 4 5 2 2 3" xfId="43707"/>
    <cellStyle name="Normal 4 3 2 4 5 2 3" xfId="21143"/>
    <cellStyle name="Normal 4 3 2 4 5 2 4" xfId="36186"/>
    <cellStyle name="Normal 4 3 2 4 5 3" xfId="9871"/>
    <cellStyle name="Normal 4 3 2 4 5 3 2" xfId="24915"/>
    <cellStyle name="Normal 4 3 2 4 5 3 3" xfId="39958"/>
    <cellStyle name="Normal 4 3 2 4 5 4" xfId="17394"/>
    <cellStyle name="Normal 4 3 2 4 5 5" xfId="32437"/>
    <cellStyle name="Normal 4 3 2 4 6" xfId="4229"/>
    <cellStyle name="Normal 4 3 2 4 6 2" xfId="11753"/>
    <cellStyle name="Normal 4 3 2 4 6 2 2" xfId="26797"/>
    <cellStyle name="Normal 4 3 2 4 6 2 3" xfId="41840"/>
    <cellStyle name="Normal 4 3 2 4 6 3" xfId="19276"/>
    <cellStyle name="Normal 4 3 2 4 6 4" xfId="34319"/>
    <cellStyle name="Normal 4 3 2 4 7" xfId="7992"/>
    <cellStyle name="Normal 4 3 2 4 7 2" xfId="23036"/>
    <cellStyle name="Normal 4 3 2 4 7 3" xfId="38079"/>
    <cellStyle name="Normal 4 3 2 4 8" xfId="15515"/>
    <cellStyle name="Normal 4 3 2 4 9" xfId="30558"/>
    <cellStyle name="Normal 4 3 2 5" xfId="334"/>
    <cellStyle name="Normal 4 3 2 5 2" xfId="335"/>
    <cellStyle name="Normal 4 3 2 5 2 2" xfId="859"/>
    <cellStyle name="Normal 4 3 2 5 2 2 2" xfId="1818"/>
    <cellStyle name="Normal 4 3 2 5 2 2 2 2" xfId="3689"/>
    <cellStyle name="Normal 4 3 2 5 2 2 2 2 2" xfId="7484"/>
    <cellStyle name="Normal 4 3 2 5 2 2 2 2 2 2" xfId="15007"/>
    <cellStyle name="Normal 4 3 2 5 2 2 2 2 2 2 2" xfId="30051"/>
    <cellStyle name="Normal 4 3 2 5 2 2 2 2 2 2 3" xfId="45094"/>
    <cellStyle name="Normal 4 3 2 5 2 2 2 2 2 3" xfId="22530"/>
    <cellStyle name="Normal 4 3 2 5 2 2 2 2 2 4" xfId="37573"/>
    <cellStyle name="Normal 4 3 2 5 2 2 2 2 3" xfId="11258"/>
    <cellStyle name="Normal 4 3 2 5 2 2 2 2 3 2" xfId="26302"/>
    <cellStyle name="Normal 4 3 2 5 2 2 2 2 3 3" xfId="41345"/>
    <cellStyle name="Normal 4 3 2 5 2 2 2 2 4" xfId="18781"/>
    <cellStyle name="Normal 4 3 2 5 2 2 2 2 5" xfId="33824"/>
    <cellStyle name="Normal 4 3 2 5 2 2 2 3" xfId="5619"/>
    <cellStyle name="Normal 4 3 2 5 2 2 2 3 2" xfId="13142"/>
    <cellStyle name="Normal 4 3 2 5 2 2 2 3 2 2" xfId="28186"/>
    <cellStyle name="Normal 4 3 2 5 2 2 2 3 2 3" xfId="43229"/>
    <cellStyle name="Normal 4 3 2 5 2 2 2 3 3" xfId="20665"/>
    <cellStyle name="Normal 4 3 2 5 2 2 2 3 4" xfId="35708"/>
    <cellStyle name="Normal 4 3 2 5 2 2 2 4" xfId="9393"/>
    <cellStyle name="Normal 4 3 2 5 2 2 2 4 2" xfId="24437"/>
    <cellStyle name="Normal 4 3 2 5 2 2 2 4 3" xfId="39480"/>
    <cellStyle name="Normal 4 3 2 5 2 2 2 5" xfId="16916"/>
    <cellStyle name="Normal 4 3 2 5 2 2 2 6" xfId="31959"/>
    <cellStyle name="Normal 4 3 2 5 2 2 3" xfId="2757"/>
    <cellStyle name="Normal 4 3 2 5 2 2 3 2" xfId="6552"/>
    <cellStyle name="Normal 4 3 2 5 2 2 3 2 2" xfId="14075"/>
    <cellStyle name="Normal 4 3 2 5 2 2 3 2 2 2" xfId="29119"/>
    <cellStyle name="Normal 4 3 2 5 2 2 3 2 2 3" xfId="44162"/>
    <cellStyle name="Normal 4 3 2 5 2 2 3 2 3" xfId="21598"/>
    <cellStyle name="Normal 4 3 2 5 2 2 3 2 4" xfId="36641"/>
    <cellStyle name="Normal 4 3 2 5 2 2 3 3" xfId="10326"/>
    <cellStyle name="Normal 4 3 2 5 2 2 3 3 2" xfId="25370"/>
    <cellStyle name="Normal 4 3 2 5 2 2 3 3 3" xfId="40413"/>
    <cellStyle name="Normal 4 3 2 5 2 2 3 4" xfId="17849"/>
    <cellStyle name="Normal 4 3 2 5 2 2 3 5" xfId="32892"/>
    <cellStyle name="Normal 4 3 2 5 2 2 4" xfId="4687"/>
    <cellStyle name="Normal 4 3 2 5 2 2 4 2" xfId="12210"/>
    <cellStyle name="Normal 4 3 2 5 2 2 4 2 2" xfId="27254"/>
    <cellStyle name="Normal 4 3 2 5 2 2 4 2 3" xfId="42297"/>
    <cellStyle name="Normal 4 3 2 5 2 2 4 3" xfId="19733"/>
    <cellStyle name="Normal 4 3 2 5 2 2 4 4" xfId="34776"/>
    <cellStyle name="Normal 4 3 2 5 2 2 5" xfId="8461"/>
    <cellStyle name="Normal 4 3 2 5 2 2 5 2" xfId="23505"/>
    <cellStyle name="Normal 4 3 2 5 2 2 5 3" xfId="38548"/>
    <cellStyle name="Normal 4 3 2 5 2 2 6" xfId="15984"/>
    <cellStyle name="Normal 4 3 2 5 2 2 7" xfId="31027"/>
    <cellStyle name="Normal 4 3 2 5 2 3" xfId="1366"/>
    <cellStyle name="Normal 4 3 2 5 2 3 2" xfId="3237"/>
    <cellStyle name="Normal 4 3 2 5 2 3 2 2" xfId="7032"/>
    <cellStyle name="Normal 4 3 2 5 2 3 2 2 2" xfId="14555"/>
    <cellStyle name="Normal 4 3 2 5 2 3 2 2 2 2" xfId="29599"/>
    <cellStyle name="Normal 4 3 2 5 2 3 2 2 2 3" xfId="44642"/>
    <cellStyle name="Normal 4 3 2 5 2 3 2 2 3" xfId="22078"/>
    <cellStyle name="Normal 4 3 2 5 2 3 2 2 4" xfId="37121"/>
    <cellStyle name="Normal 4 3 2 5 2 3 2 3" xfId="10806"/>
    <cellStyle name="Normal 4 3 2 5 2 3 2 3 2" xfId="25850"/>
    <cellStyle name="Normal 4 3 2 5 2 3 2 3 3" xfId="40893"/>
    <cellStyle name="Normal 4 3 2 5 2 3 2 4" xfId="18329"/>
    <cellStyle name="Normal 4 3 2 5 2 3 2 5" xfId="33372"/>
    <cellStyle name="Normal 4 3 2 5 2 3 3" xfId="5167"/>
    <cellStyle name="Normal 4 3 2 5 2 3 3 2" xfId="12690"/>
    <cellStyle name="Normal 4 3 2 5 2 3 3 2 2" xfId="27734"/>
    <cellStyle name="Normal 4 3 2 5 2 3 3 2 3" xfId="42777"/>
    <cellStyle name="Normal 4 3 2 5 2 3 3 3" xfId="20213"/>
    <cellStyle name="Normal 4 3 2 5 2 3 3 4" xfId="35256"/>
    <cellStyle name="Normal 4 3 2 5 2 3 4" xfId="8941"/>
    <cellStyle name="Normal 4 3 2 5 2 3 4 2" xfId="23985"/>
    <cellStyle name="Normal 4 3 2 5 2 3 4 3" xfId="39028"/>
    <cellStyle name="Normal 4 3 2 5 2 3 5" xfId="16464"/>
    <cellStyle name="Normal 4 3 2 5 2 3 6" xfId="31507"/>
    <cellStyle name="Normal 4 3 2 5 2 4" xfId="2304"/>
    <cellStyle name="Normal 4 3 2 5 2 4 2" xfId="6100"/>
    <cellStyle name="Normal 4 3 2 5 2 4 2 2" xfId="13623"/>
    <cellStyle name="Normal 4 3 2 5 2 4 2 2 2" xfId="28667"/>
    <cellStyle name="Normal 4 3 2 5 2 4 2 2 3" xfId="43710"/>
    <cellStyle name="Normal 4 3 2 5 2 4 2 3" xfId="21146"/>
    <cellStyle name="Normal 4 3 2 5 2 4 2 4" xfId="36189"/>
    <cellStyle name="Normal 4 3 2 5 2 4 3" xfId="9874"/>
    <cellStyle name="Normal 4 3 2 5 2 4 3 2" xfId="24918"/>
    <cellStyle name="Normal 4 3 2 5 2 4 3 3" xfId="39961"/>
    <cellStyle name="Normal 4 3 2 5 2 4 4" xfId="17397"/>
    <cellStyle name="Normal 4 3 2 5 2 4 5" xfId="32440"/>
    <cellStyle name="Normal 4 3 2 5 2 5" xfId="4232"/>
    <cellStyle name="Normal 4 3 2 5 2 5 2" xfId="11756"/>
    <cellStyle name="Normal 4 3 2 5 2 5 2 2" xfId="26800"/>
    <cellStyle name="Normal 4 3 2 5 2 5 2 3" xfId="41843"/>
    <cellStyle name="Normal 4 3 2 5 2 5 3" xfId="19279"/>
    <cellStyle name="Normal 4 3 2 5 2 5 4" xfId="34322"/>
    <cellStyle name="Normal 4 3 2 5 2 6" xfId="7995"/>
    <cellStyle name="Normal 4 3 2 5 2 6 2" xfId="23039"/>
    <cellStyle name="Normal 4 3 2 5 2 6 3" xfId="38082"/>
    <cellStyle name="Normal 4 3 2 5 2 7" xfId="15518"/>
    <cellStyle name="Normal 4 3 2 5 2 8" xfId="30561"/>
    <cellStyle name="Normal 4 3 2 5 3" xfId="858"/>
    <cellStyle name="Normal 4 3 2 5 3 2" xfId="1817"/>
    <cellStyle name="Normal 4 3 2 5 3 2 2" xfId="3688"/>
    <cellStyle name="Normal 4 3 2 5 3 2 2 2" xfId="7483"/>
    <cellStyle name="Normal 4 3 2 5 3 2 2 2 2" xfId="15006"/>
    <cellStyle name="Normal 4 3 2 5 3 2 2 2 2 2" xfId="30050"/>
    <cellStyle name="Normal 4 3 2 5 3 2 2 2 2 3" xfId="45093"/>
    <cellStyle name="Normal 4 3 2 5 3 2 2 2 3" xfId="22529"/>
    <cellStyle name="Normal 4 3 2 5 3 2 2 2 4" xfId="37572"/>
    <cellStyle name="Normal 4 3 2 5 3 2 2 3" xfId="11257"/>
    <cellStyle name="Normal 4 3 2 5 3 2 2 3 2" xfId="26301"/>
    <cellStyle name="Normal 4 3 2 5 3 2 2 3 3" xfId="41344"/>
    <cellStyle name="Normal 4 3 2 5 3 2 2 4" xfId="18780"/>
    <cellStyle name="Normal 4 3 2 5 3 2 2 5" xfId="33823"/>
    <cellStyle name="Normal 4 3 2 5 3 2 3" xfId="5618"/>
    <cellStyle name="Normal 4 3 2 5 3 2 3 2" xfId="13141"/>
    <cellStyle name="Normal 4 3 2 5 3 2 3 2 2" xfId="28185"/>
    <cellStyle name="Normal 4 3 2 5 3 2 3 2 3" xfId="43228"/>
    <cellStyle name="Normal 4 3 2 5 3 2 3 3" xfId="20664"/>
    <cellStyle name="Normal 4 3 2 5 3 2 3 4" xfId="35707"/>
    <cellStyle name="Normal 4 3 2 5 3 2 4" xfId="9392"/>
    <cellStyle name="Normal 4 3 2 5 3 2 4 2" xfId="24436"/>
    <cellStyle name="Normal 4 3 2 5 3 2 4 3" xfId="39479"/>
    <cellStyle name="Normal 4 3 2 5 3 2 5" xfId="16915"/>
    <cellStyle name="Normal 4 3 2 5 3 2 6" xfId="31958"/>
    <cellStyle name="Normal 4 3 2 5 3 3" xfId="2756"/>
    <cellStyle name="Normal 4 3 2 5 3 3 2" xfId="6551"/>
    <cellStyle name="Normal 4 3 2 5 3 3 2 2" xfId="14074"/>
    <cellStyle name="Normal 4 3 2 5 3 3 2 2 2" xfId="29118"/>
    <cellStyle name="Normal 4 3 2 5 3 3 2 2 3" xfId="44161"/>
    <cellStyle name="Normal 4 3 2 5 3 3 2 3" xfId="21597"/>
    <cellStyle name="Normal 4 3 2 5 3 3 2 4" xfId="36640"/>
    <cellStyle name="Normal 4 3 2 5 3 3 3" xfId="10325"/>
    <cellStyle name="Normal 4 3 2 5 3 3 3 2" xfId="25369"/>
    <cellStyle name="Normal 4 3 2 5 3 3 3 3" xfId="40412"/>
    <cellStyle name="Normal 4 3 2 5 3 3 4" xfId="17848"/>
    <cellStyle name="Normal 4 3 2 5 3 3 5" xfId="32891"/>
    <cellStyle name="Normal 4 3 2 5 3 4" xfId="4686"/>
    <cellStyle name="Normal 4 3 2 5 3 4 2" xfId="12209"/>
    <cellStyle name="Normal 4 3 2 5 3 4 2 2" xfId="27253"/>
    <cellStyle name="Normal 4 3 2 5 3 4 2 3" xfId="42296"/>
    <cellStyle name="Normal 4 3 2 5 3 4 3" xfId="19732"/>
    <cellStyle name="Normal 4 3 2 5 3 4 4" xfId="34775"/>
    <cellStyle name="Normal 4 3 2 5 3 5" xfId="8460"/>
    <cellStyle name="Normal 4 3 2 5 3 5 2" xfId="23504"/>
    <cellStyle name="Normal 4 3 2 5 3 5 3" xfId="38547"/>
    <cellStyle name="Normal 4 3 2 5 3 6" xfId="15983"/>
    <cellStyle name="Normal 4 3 2 5 3 7" xfId="31026"/>
    <cellStyle name="Normal 4 3 2 5 4" xfId="1365"/>
    <cellStyle name="Normal 4 3 2 5 4 2" xfId="3236"/>
    <cellStyle name="Normal 4 3 2 5 4 2 2" xfId="7031"/>
    <cellStyle name="Normal 4 3 2 5 4 2 2 2" xfId="14554"/>
    <cellStyle name="Normal 4 3 2 5 4 2 2 2 2" xfId="29598"/>
    <cellStyle name="Normal 4 3 2 5 4 2 2 2 3" xfId="44641"/>
    <cellStyle name="Normal 4 3 2 5 4 2 2 3" xfId="22077"/>
    <cellStyle name="Normal 4 3 2 5 4 2 2 4" xfId="37120"/>
    <cellStyle name="Normal 4 3 2 5 4 2 3" xfId="10805"/>
    <cellStyle name="Normal 4 3 2 5 4 2 3 2" xfId="25849"/>
    <cellStyle name="Normal 4 3 2 5 4 2 3 3" xfId="40892"/>
    <cellStyle name="Normal 4 3 2 5 4 2 4" xfId="18328"/>
    <cellStyle name="Normal 4 3 2 5 4 2 5" xfId="33371"/>
    <cellStyle name="Normal 4 3 2 5 4 3" xfId="5166"/>
    <cellStyle name="Normal 4 3 2 5 4 3 2" xfId="12689"/>
    <cellStyle name="Normal 4 3 2 5 4 3 2 2" xfId="27733"/>
    <cellStyle name="Normal 4 3 2 5 4 3 2 3" xfId="42776"/>
    <cellStyle name="Normal 4 3 2 5 4 3 3" xfId="20212"/>
    <cellStyle name="Normal 4 3 2 5 4 3 4" xfId="35255"/>
    <cellStyle name="Normal 4 3 2 5 4 4" xfId="8940"/>
    <cellStyle name="Normal 4 3 2 5 4 4 2" xfId="23984"/>
    <cellStyle name="Normal 4 3 2 5 4 4 3" xfId="39027"/>
    <cellStyle name="Normal 4 3 2 5 4 5" xfId="16463"/>
    <cellStyle name="Normal 4 3 2 5 4 6" xfId="31506"/>
    <cellStyle name="Normal 4 3 2 5 5" xfId="2303"/>
    <cellStyle name="Normal 4 3 2 5 5 2" xfId="6099"/>
    <cellStyle name="Normal 4 3 2 5 5 2 2" xfId="13622"/>
    <cellStyle name="Normal 4 3 2 5 5 2 2 2" xfId="28666"/>
    <cellStyle name="Normal 4 3 2 5 5 2 2 3" xfId="43709"/>
    <cellStyle name="Normal 4 3 2 5 5 2 3" xfId="21145"/>
    <cellStyle name="Normal 4 3 2 5 5 2 4" xfId="36188"/>
    <cellStyle name="Normal 4 3 2 5 5 3" xfId="9873"/>
    <cellStyle name="Normal 4 3 2 5 5 3 2" xfId="24917"/>
    <cellStyle name="Normal 4 3 2 5 5 3 3" xfId="39960"/>
    <cellStyle name="Normal 4 3 2 5 5 4" xfId="17396"/>
    <cellStyle name="Normal 4 3 2 5 5 5" xfId="32439"/>
    <cellStyle name="Normal 4 3 2 5 6" xfId="4231"/>
    <cellStyle name="Normal 4 3 2 5 6 2" xfId="11755"/>
    <cellStyle name="Normal 4 3 2 5 6 2 2" xfId="26799"/>
    <cellStyle name="Normal 4 3 2 5 6 2 3" xfId="41842"/>
    <cellStyle name="Normal 4 3 2 5 6 3" xfId="19278"/>
    <cellStyle name="Normal 4 3 2 5 6 4" xfId="34321"/>
    <cellStyle name="Normal 4 3 2 5 7" xfId="7994"/>
    <cellStyle name="Normal 4 3 2 5 7 2" xfId="23038"/>
    <cellStyle name="Normal 4 3 2 5 7 3" xfId="38081"/>
    <cellStyle name="Normal 4 3 2 5 8" xfId="15517"/>
    <cellStyle name="Normal 4 3 2 5 9" xfId="30560"/>
    <cellStyle name="Normal 4 3 2 6" xfId="336"/>
    <cellStyle name="Normal 4 3 2 6 2" xfId="860"/>
    <cellStyle name="Normal 4 3 2 6 2 2" xfId="1819"/>
    <cellStyle name="Normal 4 3 2 6 2 2 2" xfId="3690"/>
    <cellStyle name="Normal 4 3 2 6 2 2 2 2" xfId="7485"/>
    <cellStyle name="Normal 4 3 2 6 2 2 2 2 2" xfId="15008"/>
    <cellStyle name="Normal 4 3 2 6 2 2 2 2 2 2" xfId="30052"/>
    <cellStyle name="Normal 4 3 2 6 2 2 2 2 2 3" xfId="45095"/>
    <cellStyle name="Normal 4 3 2 6 2 2 2 2 3" xfId="22531"/>
    <cellStyle name="Normal 4 3 2 6 2 2 2 2 4" xfId="37574"/>
    <cellStyle name="Normal 4 3 2 6 2 2 2 3" xfId="11259"/>
    <cellStyle name="Normal 4 3 2 6 2 2 2 3 2" xfId="26303"/>
    <cellStyle name="Normal 4 3 2 6 2 2 2 3 3" xfId="41346"/>
    <cellStyle name="Normal 4 3 2 6 2 2 2 4" xfId="18782"/>
    <cellStyle name="Normal 4 3 2 6 2 2 2 5" xfId="33825"/>
    <cellStyle name="Normal 4 3 2 6 2 2 3" xfId="5620"/>
    <cellStyle name="Normal 4 3 2 6 2 2 3 2" xfId="13143"/>
    <cellStyle name="Normal 4 3 2 6 2 2 3 2 2" xfId="28187"/>
    <cellStyle name="Normal 4 3 2 6 2 2 3 2 3" xfId="43230"/>
    <cellStyle name="Normal 4 3 2 6 2 2 3 3" xfId="20666"/>
    <cellStyle name="Normal 4 3 2 6 2 2 3 4" xfId="35709"/>
    <cellStyle name="Normal 4 3 2 6 2 2 4" xfId="9394"/>
    <cellStyle name="Normal 4 3 2 6 2 2 4 2" xfId="24438"/>
    <cellStyle name="Normal 4 3 2 6 2 2 4 3" xfId="39481"/>
    <cellStyle name="Normal 4 3 2 6 2 2 5" xfId="16917"/>
    <cellStyle name="Normal 4 3 2 6 2 2 6" xfId="31960"/>
    <cellStyle name="Normal 4 3 2 6 2 3" xfId="2758"/>
    <cellStyle name="Normal 4 3 2 6 2 3 2" xfId="6553"/>
    <cellStyle name="Normal 4 3 2 6 2 3 2 2" xfId="14076"/>
    <cellStyle name="Normal 4 3 2 6 2 3 2 2 2" xfId="29120"/>
    <cellStyle name="Normal 4 3 2 6 2 3 2 2 3" xfId="44163"/>
    <cellStyle name="Normal 4 3 2 6 2 3 2 3" xfId="21599"/>
    <cellStyle name="Normal 4 3 2 6 2 3 2 4" xfId="36642"/>
    <cellStyle name="Normal 4 3 2 6 2 3 3" xfId="10327"/>
    <cellStyle name="Normal 4 3 2 6 2 3 3 2" xfId="25371"/>
    <cellStyle name="Normal 4 3 2 6 2 3 3 3" xfId="40414"/>
    <cellStyle name="Normal 4 3 2 6 2 3 4" xfId="17850"/>
    <cellStyle name="Normal 4 3 2 6 2 3 5" xfId="32893"/>
    <cellStyle name="Normal 4 3 2 6 2 4" xfId="4688"/>
    <cellStyle name="Normal 4 3 2 6 2 4 2" xfId="12211"/>
    <cellStyle name="Normal 4 3 2 6 2 4 2 2" xfId="27255"/>
    <cellStyle name="Normal 4 3 2 6 2 4 2 3" xfId="42298"/>
    <cellStyle name="Normal 4 3 2 6 2 4 3" xfId="19734"/>
    <cellStyle name="Normal 4 3 2 6 2 4 4" xfId="34777"/>
    <cellStyle name="Normal 4 3 2 6 2 5" xfId="8462"/>
    <cellStyle name="Normal 4 3 2 6 2 5 2" xfId="23506"/>
    <cellStyle name="Normal 4 3 2 6 2 5 3" xfId="38549"/>
    <cellStyle name="Normal 4 3 2 6 2 6" xfId="15985"/>
    <cellStyle name="Normal 4 3 2 6 2 7" xfId="31028"/>
    <cellStyle name="Normal 4 3 2 6 3" xfId="1367"/>
    <cellStyle name="Normal 4 3 2 6 3 2" xfId="3238"/>
    <cellStyle name="Normal 4 3 2 6 3 2 2" xfId="7033"/>
    <cellStyle name="Normal 4 3 2 6 3 2 2 2" xfId="14556"/>
    <cellStyle name="Normal 4 3 2 6 3 2 2 2 2" xfId="29600"/>
    <cellStyle name="Normal 4 3 2 6 3 2 2 2 3" xfId="44643"/>
    <cellStyle name="Normal 4 3 2 6 3 2 2 3" xfId="22079"/>
    <cellStyle name="Normal 4 3 2 6 3 2 2 4" xfId="37122"/>
    <cellStyle name="Normal 4 3 2 6 3 2 3" xfId="10807"/>
    <cellStyle name="Normal 4 3 2 6 3 2 3 2" xfId="25851"/>
    <cellStyle name="Normal 4 3 2 6 3 2 3 3" xfId="40894"/>
    <cellStyle name="Normal 4 3 2 6 3 2 4" xfId="18330"/>
    <cellStyle name="Normal 4 3 2 6 3 2 5" xfId="33373"/>
    <cellStyle name="Normal 4 3 2 6 3 3" xfId="5168"/>
    <cellStyle name="Normal 4 3 2 6 3 3 2" xfId="12691"/>
    <cellStyle name="Normal 4 3 2 6 3 3 2 2" xfId="27735"/>
    <cellStyle name="Normal 4 3 2 6 3 3 2 3" xfId="42778"/>
    <cellStyle name="Normal 4 3 2 6 3 3 3" xfId="20214"/>
    <cellStyle name="Normal 4 3 2 6 3 3 4" xfId="35257"/>
    <cellStyle name="Normal 4 3 2 6 3 4" xfId="8942"/>
    <cellStyle name="Normal 4 3 2 6 3 4 2" xfId="23986"/>
    <cellStyle name="Normal 4 3 2 6 3 4 3" xfId="39029"/>
    <cellStyle name="Normal 4 3 2 6 3 5" xfId="16465"/>
    <cellStyle name="Normal 4 3 2 6 3 6" xfId="31508"/>
    <cellStyle name="Normal 4 3 2 6 4" xfId="2305"/>
    <cellStyle name="Normal 4 3 2 6 4 2" xfId="6101"/>
    <cellStyle name="Normal 4 3 2 6 4 2 2" xfId="13624"/>
    <cellStyle name="Normal 4 3 2 6 4 2 2 2" xfId="28668"/>
    <cellStyle name="Normal 4 3 2 6 4 2 2 3" xfId="43711"/>
    <cellStyle name="Normal 4 3 2 6 4 2 3" xfId="21147"/>
    <cellStyle name="Normal 4 3 2 6 4 2 4" xfId="36190"/>
    <cellStyle name="Normal 4 3 2 6 4 3" xfId="9875"/>
    <cellStyle name="Normal 4 3 2 6 4 3 2" xfId="24919"/>
    <cellStyle name="Normal 4 3 2 6 4 3 3" xfId="39962"/>
    <cellStyle name="Normal 4 3 2 6 4 4" xfId="17398"/>
    <cellStyle name="Normal 4 3 2 6 4 5" xfId="32441"/>
    <cellStyle name="Normal 4 3 2 6 5" xfId="4233"/>
    <cellStyle name="Normal 4 3 2 6 5 2" xfId="11757"/>
    <cellStyle name="Normal 4 3 2 6 5 2 2" xfId="26801"/>
    <cellStyle name="Normal 4 3 2 6 5 2 3" xfId="41844"/>
    <cellStyle name="Normal 4 3 2 6 5 3" xfId="19280"/>
    <cellStyle name="Normal 4 3 2 6 5 4" xfId="34323"/>
    <cellStyle name="Normal 4 3 2 6 6" xfId="7996"/>
    <cellStyle name="Normal 4 3 2 6 6 2" xfId="23040"/>
    <cellStyle name="Normal 4 3 2 6 6 3" xfId="38083"/>
    <cellStyle name="Normal 4 3 2 6 7" xfId="15519"/>
    <cellStyle name="Normal 4 3 2 6 8" xfId="30562"/>
    <cellStyle name="Normal 4 3 2 7" xfId="839"/>
    <cellStyle name="Normal 4 3 2 7 2" xfId="1798"/>
    <cellStyle name="Normal 4 3 2 7 2 2" xfId="3669"/>
    <cellStyle name="Normal 4 3 2 7 2 2 2" xfId="7464"/>
    <cellStyle name="Normal 4 3 2 7 2 2 2 2" xfId="14987"/>
    <cellStyle name="Normal 4 3 2 7 2 2 2 2 2" xfId="30031"/>
    <cellStyle name="Normal 4 3 2 7 2 2 2 2 3" xfId="45074"/>
    <cellStyle name="Normal 4 3 2 7 2 2 2 3" xfId="22510"/>
    <cellStyle name="Normal 4 3 2 7 2 2 2 4" xfId="37553"/>
    <cellStyle name="Normal 4 3 2 7 2 2 3" xfId="11238"/>
    <cellStyle name="Normal 4 3 2 7 2 2 3 2" xfId="26282"/>
    <cellStyle name="Normal 4 3 2 7 2 2 3 3" xfId="41325"/>
    <cellStyle name="Normal 4 3 2 7 2 2 4" xfId="18761"/>
    <cellStyle name="Normal 4 3 2 7 2 2 5" xfId="33804"/>
    <cellStyle name="Normal 4 3 2 7 2 3" xfId="5599"/>
    <cellStyle name="Normal 4 3 2 7 2 3 2" xfId="13122"/>
    <cellStyle name="Normal 4 3 2 7 2 3 2 2" xfId="28166"/>
    <cellStyle name="Normal 4 3 2 7 2 3 2 3" xfId="43209"/>
    <cellStyle name="Normal 4 3 2 7 2 3 3" xfId="20645"/>
    <cellStyle name="Normal 4 3 2 7 2 3 4" xfId="35688"/>
    <cellStyle name="Normal 4 3 2 7 2 4" xfId="9373"/>
    <cellStyle name="Normal 4 3 2 7 2 4 2" xfId="24417"/>
    <cellStyle name="Normal 4 3 2 7 2 4 3" xfId="39460"/>
    <cellStyle name="Normal 4 3 2 7 2 5" xfId="16896"/>
    <cellStyle name="Normal 4 3 2 7 2 6" xfId="31939"/>
    <cellStyle name="Normal 4 3 2 7 3" xfId="2737"/>
    <cellStyle name="Normal 4 3 2 7 3 2" xfId="6532"/>
    <cellStyle name="Normal 4 3 2 7 3 2 2" xfId="14055"/>
    <cellStyle name="Normal 4 3 2 7 3 2 2 2" xfId="29099"/>
    <cellStyle name="Normal 4 3 2 7 3 2 2 3" xfId="44142"/>
    <cellStyle name="Normal 4 3 2 7 3 2 3" xfId="21578"/>
    <cellStyle name="Normal 4 3 2 7 3 2 4" xfId="36621"/>
    <cellStyle name="Normal 4 3 2 7 3 3" xfId="10306"/>
    <cellStyle name="Normal 4 3 2 7 3 3 2" xfId="25350"/>
    <cellStyle name="Normal 4 3 2 7 3 3 3" xfId="40393"/>
    <cellStyle name="Normal 4 3 2 7 3 4" xfId="17829"/>
    <cellStyle name="Normal 4 3 2 7 3 5" xfId="32872"/>
    <cellStyle name="Normal 4 3 2 7 4" xfId="4667"/>
    <cellStyle name="Normal 4 3 2 7 4 2" xfId="12190"/>
    <cellStyle name="Normal 4 3 2 7 4 2 2" xfId="27234"/>
    <cellStyle name="Normal 4 3 2 7 4 2 3" xfId="42277"/>
    <cellStyle name="Normal 4 3 2 7 4 3" xfId="19713"/>
    <cellStyle name="Normal 4 3 2 7 4 4" xfId="34756"/>
    <cellStyle name="Normal 4 3 2 7 5" xfId="8441"/>
    <cellStyle name="Normal 4 3 2 7 5 2" xfId="23485"/>
    <cellStyle name="Normal 4 3 2 7 5 3" xfId="38528"/>
    <cellStyle name="Normal 4 3 2 7 6" xfId="15964"/>
    <cellStyle name="Normal 4 3 2 7 7" xfId="31007"/>
    <cellStyle name="Normal 4 3 2 8" xfId="1346"/>
    <cellStyle name="Normal 4 3 2 8 2" xfId="3217"/>
    <cellStyle name="Normal 4 3 2 8 2 2" xfId="7012"/>
    <cellStyle name="Normal 4 3 2 8 2 2 2" xfId="14535"/>
    <cellStyle name="Normal 4 3 2 8 2 2 2 2" xfId="29579"/>
    <cellStyle name="Normal 4 3 2 8 2 2 2 3" xfId="44622"/>
    <cellStyle name="Normal 4 3 2 8 2 2 3" xfId="22058"/>
    <cellStyle name="Normal 4 3 2 8 2 2 4" xfId="37101"/>
    <cellStyle name="Normal 4 3 2 8 2 3" xfId="10786"/>
    <cellStyle name="Normal 4 3 2 8 2 3 2" xfId="25830"/>
    <cellStyle name="Normal 4 3 2 8 2 3 3" xfId="40873"/>
    <cellStyle name="Normal 4 3 2 8 2 4" xfId="18309"/>
    <cellStyle name="Normal 4 3 2 8 2 5" xfId="33352"/>
    <cellStyle name="Normal 4 3 2 8 3" xfId="5147"/>
    <cellStyle name="Normal 4 3 2 8 3 2" xfId="12670"/>
    <cellStyle name="Normal 4 3 2 8 3 2 2" xfId="27714"/>
    <cellStyle name="Normal 4 3 2 8 3 2 3" xfId="42757"/>
    <cellStyle name="Normal 4 3 2 8 3 3" xfId="20193"/>
    <cellStyle name="Normal 4 3 2 8 3 4" xfId="35236"/>
    <cellStyle name="Normal 4 3 2 8 4" xfId="8921"/>
    <cellStyle name="Normal 4 3 2 8 4 2" xfId="23965"/>
    <cellStyle name="Normal 4 3 2 8 4 3" xfId="39008"/>
    <cellStyle name="Normal 4 3 2 8 5" xfId="16444"/>
    <cellStyle name="Normal 4 3 2 8 6" xfId="31487"/>
    <cellStyle name="Normal 4 3 2 9" xfId="2284"/>
    <cellStyle name="Normal 4 3 2 9 2" xfId="6080"/>
    <cellStyle name="Normal 4 3 2 9 2 2" xfId="13603"/>
    <cellStyle name="Normal 4 3 2 9 2 2 2" xfId="28647"/>
    <cellStyle name="Normal 4 3 2 9 2 2 3" xfId="43690"/>
    <cellStyle name="Normal 4 3 2 9 2 3" xfId="21126"/>
    <cellStyle name="Normal 4 3 2 9 2 4" xfId="36169"/>
    <cellStyle name="Normal 4 3 2 9 3" xfId="9854"/>
    <cellStyle name="Normal 4 3 2 9 3 2" xfId="24898"/>
    <cellStyle name="Normal 4 3 2 9 3 3" xfId="39941"/>
    <cellStyle name="Normal 4 3 2 9 4" xfId="17377"/>
    <cellStyle name="Normal 4 3 2 9 5" xfId="32420"/>
    <cellStyle name="Normal 4 3 3" xfId="337"/>
    <cellStyle name="Normal 4 3 3 10" xfId="7997"/>
    <cellStyle name="Normal 4 3 3 10 2" xfId="23041"/>
    <cellStyle name="Normal 4 3 3 10 3" xfId="38084"/>
    <cellStyle name="Normal 4 3 3 11" xfId="15520"/>
    <cellStyle name="Normal 4 3 3 12" xfId="30563"/>
    <cellStyle name="Normal 4 3 3 2" xfId="338"/>
    <cellStyle name="Normal 4 3 3 2 10" xfId="15521"/>
    <cellStyle name="Normal 4 3 3 2 11" xfId="30564"/>
    <cellStyle name="Normal 4 3 3 2 2" xfId="339"/>
    <cellStyle name="Normal 4 3 3 2 2 2" xfId="340"/>
    <cellStyle name="Normal 4 3 3 2 2 2 2" xfId="864"/>
    <cellStyle name="Normal 4 3 3 2 2 2 2 2" xfId="1823"/>
    <cellStyle name="Normal 4 3 3 2 2 2 2 2 2" xfId="3694"/>
    <cellStyle name="Normal 4 3 3 2 2 2 2 2 2 2" xfId="7489"/>
    <cellStyle name="Normal 4 3 3 2 2 2 2 2 2 2 2" xfId="15012"/>
    <cellStyle name="Normal 4 3 3 2 2 2 2 2 2 2 2 2" xfId="30056"/>
    <cellStyle name="Normal 4 3 3 2 2 2 2 2 2 2 2 3" xfId="45099"/>
    <cellStyle name="Normal 4 3 3 2 2 2 2 2 2 2 3" xfId="22535"/>
    <cellStyle name="Normal 4 3 3 2 2 2 2 2 2 2 4" xfId="37578"/>
    <cellStyle name="Normal 4 3 3 2 2 2 2 2 2 3" xfId="11263"/>
    <cellStyle name="Normal 4 3 3 2 2 2 2 2 2 3 2" xfId="26307"/>
    <cellStyle name="Normal 4 3 3 2 2 2 2 2 2 3 3" xfId="41350"/>
    <cellStyle name="Normal 4 3 3 2 2 2 2 2 2 4" xfId="18786"/>
    <cellStyle name="Normal 4 3 3 2 2 2 2 2 2 5" xfId="33829"/>
    <cellStyle name="Normal 4 3 3 2 2 2 2 2 3" xfId="5624"/>
    <cellStyle name="Normal 4 3 3 2 2 2 2 2 3 2" xfId="13147"/>
    <cellStyle name="Normal 4 3 3 2 2 2 2 2 3 2 2" xfId="28191"/>
    <cellStyle name="Normal 4 3 3 2 2 2 2 2 3 2 3" xfId="43234"/>
    <cellStyle name="Normal 4 3 3 2 2 2 2 2 3 3" xfId="20670"/>
    <cellStyle name="Normal 4 3 3 2 2 2 2 2 3 4" xfId="35713"/>
    <cellStyle name="Normal 4 3 3 2 2 2 2 2 4" xfId="9398"/>
    <cellStyle name="Normal 4 3 3 2 2 2 2 2 4 2" xfId="24442"/>
    <cellStyle name="Normal 4 3 3 2 2 2 2 2 4 3" xfId="39485"/>
    <cellStyle name="Normal 4 3 3 2 2 2 2 2 5" xfId="16921"/>
    <cellStyle name="Normal 4 3 3 2 2 2 2 2 6" xfId="31964"/>
    <cellStyle name="Normal 4 3 3 2 2 2 2 3" xfId="2762"/>
    <cellStyle name="Normal 4 3 3 2 2 2 2 3 2" xfId="6557"/>
    <cellStyle name="Normal 4 3 3 2 2 2 2 3 2 2" xfId="14080"/>
    <cellStyle name="Normal 4 3 3 2 2 2 2 3 2 2 2" xfId="29124"/>
    <cellStyle name="Normal 4 3 3 2 2 2 2 3 2 2 3" xfId="44167"/>
    <cellStyle name="Normal 4 3 3 2 2 2 2 3 2 3" xfId="21603"/>
    <cellStyle name="Normal 4 3 3 2 2 2 2 3 2 4" xfId="36646"/>
    <cellStyle name="Normal 4 3 3 2 2 2 2 3 3" xfId="10331"/>
    <cellStyle name="Normal 4 3 3 2 2 2 2 3 3 2" xfId="25375"/>
    <cellStyle name="Normal 4 3 3 2 2 2 2 3 3 3" xfId="40418"/>
    <cellStyle name="Normal 4 3 3 2 2 2 2 3 4" xfId="17854"/>
    <cellStyle name="Normal 4 3 3 2 2 2 2 3 5" xfId="32897"/>
    <cellStyle name="Normal 4 3 3 2 2 2 2 4" xfId="4692"/>
    <cellStyle name="Normal 4 3 3 2 2 2 2 4 2" xfId="12215"/>
    <cellStyle name="Normal 4 3 3 2 2 2 2 4 2 2" xfId="27259"/>
    <cellStyle name="Normal 4 3 3 2 2 2 2 4 2 3" xfId="42302"/>
    <cellStyle name="Normal 4 3 3 2 2 2 2 4 3" xfId="19738"/>
    <cellStyle name="Normal 4 3 3 2 2 2 2 4 4" xfId="34781"/>
    <cellStyle name="Normal 4 3 3 2 2 2 2 5" xfId="8466"/>
    <cellStyle name="Normal 4 3 3 2 2 2 2 5 2" xfId="23510"/>
    <cellStyle name="Normal 4 3 3 2 2 2 2 5 3" xfId="38553"/>
    <cellStyle name="Normal 4 3 3 2 2 2 2 6" xfId="15989"/>
    <cellStyle name="Normal 4 3 3 2 2 2 2 7" xfId="31032"/>
    <cellStyle name="Normal 4 3 3 2 2 2 3" xfId="1371"/>
    <cellStyle name="Normal 4 3 3 2 2 2 3 2" xfId="3242"/>
    <cellStyle name="Normal 4 3 3 2 2 2 3 2 2" xfId="7037"/>
    <cellStyle name="Normal 4 3 3 2 2 2 3 2 2 2" xfId="14560"/>
    <cellStyle name="Normal 4 3 3 2 2 2 3 2 2 2 2" xfId="29604"/>
    <cellStyle name="Normal 4 3 3 2 2 2 3 2 2 2 3" xfId="44647"/>
    <cellStyle name="Normal 4 3 3 2 2 2 3 2 2 3" xfId="22083"/>
    <cellStyle name="Normal 4 3 3 2 2 2 3 2 2 4" xfId="37126"/>
    <cellStyle name="Normal 4 3 3 2 2 2 3 2 3" xfId="10811"/>
    <cellStyle name="Normal 4 3 3 2 2 2 3 2 3 2" xfId="25855"/>
    <cellStyle name="Normal 4 3 3 2 2 2 3 2 3 3" xfId="40898"/>
    <cellStyle name="Normal 4 3 3 2 2 2 3 2 4" xfId="18334"/>
    <cellStyle name="Normal 4 3 3 2 2 2 3 2 5" xfId="33377"/>
    <cellStyle name="Normal 4 3 3 2 2 2 3 3" xfId="5172"/>
    <cellStyle name="Normal 4 3 3 2 2 2 3 3 2" xfId="12695"/>
    <cellStyle name="Normal 4 3 3 2 2 2 3 3 2 2" xfId="27739"/>
    <cellStyle name="Normal 4 3 3 2 2 2 3 3 2 3" xfId="42782"/>
    <cellStyle name="Normal 4 3 3 2 2 2 3 3 3" xfId="20218"/>
    <cellStyle name="Normal 4 3 3 2 2 2 3 3 4" xfId="35261"/>
    <cellStyle name="Normal 4 3 3 2 2 2 3 4" xfId="8946"/>
    <cellStyle name="Normal 4 3 3 2 2 2 3 4 2" xfId="23990"/>
    <cellStyle name="Normal 4 3 3 2 2 2 3 4 3" xfId="39033"/>
    <cellStyle name="Normal 4 3 3 2 2 2 3 5" xfId="16469"/>
    <cellStyle name="Normal 4 3 3 2 2 2 3 6" xfId="31512"/>
    <cellStyle name="Normal 4 3 3 2 2 2 4" xfId="2309"/>
    <cellStyle name="Normal 4 3 3 2 2 2 4 2" xfId="6105"/>
    <cellStyle name="Normal 4 3 3 2 2 2 4 2 2" xfId="13628"/>
    <cellStyle name="Normal 4 3 3 2 2 2 4 2 2 2" xfId="28672"/>
    <cellStyle name="Normal 4 3 3 2 2 2 4 2 2 3" xfId="43715"/>
    <cellStyle name="Normal 4 3 3 2 2 2 4 2 3" xfId="21151"/>
    <cellStyle name="Normal 4 3 3 2 2 2 4 2 4" xfId="36194"/>
    <cellStyle name="Normal 4 3 3 2 2 2 4 3" xfId="9879"/>
    <cellStyle name="Normal 4 3 3 2 2 2 4 3 2" xfId="24923"/>
    <cellStyle name="Normal 4 3 3 2 2 2 4 3 3" xfId="39966"/>
    <cellStyle name="Normal 4 3 3 2 2 2 4 4" xfId="17402"/>
    <cellStyle name="Normal 4 3 3 2 2 2 4 5" xfId="32445"/>
    <cellStyle name="Normal 4 3 3 2 2 2 5" xfId="4237"/>
    <cellStyle name="Normal 4 3 3 2 2 2 5 2" xfId="11761"/>
    <cellStyle name="Normal 4 3 3 2 2 2 5 2 2" xfId="26805"/>
    <cellStyle name="Normal 4 3 3 2 2 2 5 2 3" xfId="41848"/>
    <cellStyle name="Normal 4 3 3 2 2 2 5 3" xfId="19284"/>
    <cellStyle name="Normal 4 3 3 2 2 2 5 4" xfId="34327"/>
    <cellStyle name="Normal 4 3 3 2 2 2 6" xfId="8000"/>
    <cellStyle name="Normal 4 3 3 2 2 2 6 2" xfId="23044"/>
    <cellStyle name="Normal 4 3 3 2 2 2 6 3" xfId="38087"/>
    <cellStyle name="Normal 4 3 3 2 2 2 7" xfId="15523"/>
    <cellStyle name="Normal 4 3 3 2 2 2 8" xfId="30566"/>
    <cellStyle name="Normal 4 3 3 2 2 3" xfId="863"/>
    <cellStyle name="Normal 4 3 3 2 2 3 2" xfId="1822"/>
    <cellStyle name="Normal 4 3 3 2 2 3 2 2" xfId="3693"/>
    <cellStyle name="Normal 4 3 3 2 2 3 2 2 2" xfId="7488"/>
    <cellStyle name="Normal 4 3 3 2 2 3 2 2 2 2" xfId="15011"/>
    <cellStyle name="Normal 4 3 3 2 2 3 2 2 2 2 2" xfId="30055"/>
    <cellStyle name="Normal 4 3 3 2 2 3 2 2 2 2 3" xfId="45098"/>
    <cellStyle name="Normal 4 3 3 2 2 3 2 2 2 3" xfId="22534"/>
    <cellStyle name="Normal 4 3 3 2 2 3 2 2 2 4" xfId="37577"/>
    <cellStyle name="Normal 4 3 3 2 2 3 2 2 3" xfId="11262"/>
    <cellStyle name="Normal 4 3 3 2 2 3 2 2 3 2" xfId="26306"/>
    <cellStyle name="Normal 4 3 3 2 2 3 2 2 3 3" xfId="41349"/>
    <cellStyle name="Normal 4 3 3 2 2 3 2 2 4" xfId="18785"/>
    <cellStyle name="Normal 4 3 3 2 2 3 2 2 5" xfId="33828"/>
    <cellStyle name="Normal 4 3 3 2 2 3 2 3" xfId="5623"/>
    <cellStyle name="Normal 4 3 3 2 2 3 2 3 2" xfId="13146"/>
    <cellStyle name="Normal 4 3 3 2 2 3 2 3 2 2" xfId="28190"/>
    <cellStyle name="Normal 4 3 3 2 2 3 2 3 2 3" xfId="43233"/>
    <cellStyle name="Normal 4 3 3 2 2 3 2 3 3" xfId="20669"/>
    <cellStyle name="Normal 4 3 3 2 2 3 2 3 4" xfId="35712"/>
    <cellStyle name="Normal 4 3 3 2 2 3 2 4" xfId="9397"/>
    <cellStyle name="Normal 4 3 3 2 2 3 2 4 2" xfId="24441"/>
    <cellStyle name="Normal 4 3 3 2 2 3 2 4 3" xfId="39484"/>
    <cellStyle name="Normal 4 3 3 2 2 3 2 5" xfId="16920"/>
    <cellStyle name="Normal 4 3 3 2 2 3 2 6" xfId="31963"/>
    <cellStyle name="Normal 4 3 3 2 2 3 3" xfId="2761"/>
    <cellStyle name="Normal 4 3 3 2 2 3 3 2" xfId="6556"/>
    <cellStyle name="Normal 4 3 3 2 2 3 3 2 2" xfId="14079"/>
    <cellStyle name="Normal 4 3 3 2 2 3 3 2 2 2" xfId="29123"/>
    <cellStyle name="Normal 4 3 3 2 2 3 3 2 2 3" xfId="44166"/>
    <cellStyle name="Normal 4 3 3 2 2 3 3 2 3" xfId="21602"/>
    <cellStyle name="Normal 4 3 3 2 2 3 3 2 4" xfId="36645"/>
    <cellStyle name="Normal 4 3 3 2 2 3 3 3" xfId="10330"/>
    <cellStyle name="Normal 4 3 3 2 2 3 3 3 2" xfId="25374"/>
    <cellStyle name="Normal 4 3 3 2 2 3 3 3 3" xfId="40417"/>
    <cellStyle name="Normal 4 3 3 2 2 3 3 4" xfId="17853"/>
    <cellStyle name="Normal 4 3 3 2 2 3 3 5" xfId="32896"/>
    <cellStyle name="Normal 4 3 3 2 2 3 4" xfId="4691"/>
    <cellStyle name="Normal 4 3 3 2 2 3 4 2" xfId="12214"/>
    <cellStyle name="Normal 4 3 3 2 2 3 4 2 2" xfId="27258"/>
    <cellStyle name="Normal 4 3 3 2 2 3 4 2 3" xfId="42301"/>
    <cellStyle name="Normal 4 3 3 2 2 3 4 3" xfId="19737"/>
    <cellStyle name="Normal 4 3 3 2 2 3 4 4" xfId="34780"/>
    <cellStyle name="Normal 4 3 3 2 2 3 5" xfId="8465"/>
    <cellStyle name="Normal 4 3 3 2 2 3 5 2" xfId="23509"/>
    <cellStyle name="Normal 4 3 3 2 2 3 5 3" xfId="38552"/>
    <cellStyle name="Normal 4 3 3 2 2 3 6" xfId="15988"/>
    <cellStyle name="Normal 4 3 3 2 2 3 7" xfId="31031"/>
    <cellStyle name="Normal 4 3 3 2 2 4" xfId="1370"/>
    <cellStyle name="Normal 4 3 3 2 2 4 2" xfId="3241"/>
    <cellStyle name="Normal 4 3 3 2 2 4 2 2" xfId="7036"/>
    <cellStyle name="Normal 4 3 3 2 2 4 2 2 2" xfId="14559"/>
    <cellStyle name="Normal 4 3 3 2 2 4 2 2 2 2" xfId="29603"/>
    <cellStyle name="Normal 4 3 3 2 2 4 2 2 2 3" xfId="44646"/>
    <cellStyle name="Normal 4 3 3 2 2 4 2 2 3" xfId="22082"/>
    <cellStyle name="Normal 4 3 3 2 2 4 2 2 4" xfId="37125"/>
    <cellStyle name="Normal 4 3 3 2 2 4 2 3" xfId="10810"/>
    <cellStyle name="Normal 4 3 3 2 2 4 2 3 2" xfId="25854"/>
    <cellStyle name="Normal 4 3 3 2 2 4 2 3 3" xfId="40897"/>
    <cellStyle name="Normal 4 3 3 2 2 4 2 4" xfId="18333"/>
    <cellStyle name="Normal 4 3 3 2 2 4 2 5" xfId="33376"/>
    <cellStyle name="Normal 4 3 3 2 2 4 3" xfId="5171"/>
    <cellStyle name="Normal 4 3 3 2 2 4 3 2" xfId="12694"/>
    <cellStyle name="Normal 4 3 3 2 2 4 3 2 2" xfId="27738"/>
    <cellStyle name="Normal 4 3 3 2 2 4 3 2 3" xfId="42781"/>
    <cellStyle name="Normal 4 3 3 2 2 4 3 3" xfId="20217"/>
    <cellStyle name="Normal 4 3 3 2 2 4 3 4" xfId="35260"/>
    <cellStyle name="Normal 4 3 3 2 2 4 4" xfId="8945"/>
    <cellStyle name="Normal 4 3 3 2 2 4 4 2" xfId="23989"/>
    <cellStyle name="Normal 4 3 3 2 2 4 4 3" xfId="39032"/>
    <cellStyle name="Normal 4 3 3 2 2 4 5" xfId="16468"/>
    <cellStyle name="Normal 4 3 3 2 2 4 6" xfId="31511"/>
    <cellStyle name="Normal 4 3 3 2 2 5" xfId="2308"/>
    <cellStyle name="Normal 4 3 3 2 2 5 2" xfId="6104"/>
    <cellStyle name="Normal 4 3 3 2 2 5 2 2" xfId="13627"/>
    <cellStyle name="Normal 4 3 3 2 2 5 2 2 2" xfId="28671"/>
    <cellStyle name="Normal 4 3 3 2 2 5 2 2 3" xfId="43714"/>
    <cellStyle name="Normal 4 3 3 2 2 5 2 3" xfId="21150"/>
    <cellStyle name="Normal 4 3 3 2 2 5 2 4" xfId="36193"/>
    <cellStyle name="Normal 4 3 3 2 2 5 3" xfId="9878"/>
    <cellStyle name="Normal 4 3 3 2 2 5 3 2" xfId="24922"/>
    <cellStyle name="Normal 4 3 3 2 2 5 3 3" xfId="39965"/>
    <cellStyle name="Normal 4 3 3 2 2 5 4" xfId="17401"/>
    <cellStyle name="Normal 4 3 3 2 2 5 5" xfId="32444"/>
    <cellStyle name="Normal 4 3 3 2 2 6" xfId="4236"/>
    <cellStyle name="Normal 4 3 3 2 2 6 2" xfId="11760"/>
    <cellStyle name="Normal 4 3 3 2 2 6 2 2" xfId="26804"/>
    <cellStyle name="Normal 4 3 3 2 2 6 2 3" xfId="41847"/>
    <cellStyle name="Normal 4 3 3 2 2 6 3" xfId="19283"/>
    <cellStyle name="Normal 4 3 3 2 2 6 4" xfId="34326"/>
    <cellStyle name="Normal 4 3 3 2 2 7" xfId="7999"/>
    <cellStyle name="Normal 4 3 3 2 2 7 2" xfId="23043"/>
    <cellStyle name="Normal 4 3 3 2 2 7 3" xfId="38086"/>
    <cellStyle name="Normal 4 3 3 2 2 8" xfId="15522"/>
    <cellStyle name="Normal 4 3 3 2 2 9" xfId="30565"/>
    <cellStyle name="Normal 4 3 3 2 3" xfId="341"/>
    <cellStyle name="Normal 4 3 3 2 3 2" xfId="342"/>
    <cellStyle name="Normal 4 3 3 2 3 2 2" xfId="866"/>
    <cellStyle name="Normal 4 3 3 2 3 2 2 2" xfId="1825"/>
    <cellStyle name="Normal 4 3 3 2 3 2 2 2 2" xfId="3696"/>
    <cellStyle name="Normal 4 3 3 2 3 2 2 2 2 2" xfId="7491"/>
    <cellStyle name="Normal 4 3 3 2 3 2 2 2 2 2 2" xfId="15014"/>
    <cellStyle name="Normal 4 3 3 2 3 2 2 2 2 2 2 2" xfId="30058"/>
    <cellStyle name="Normal 4 3 3 2 3 2 2 2 2 2 2 3" xfId="45101"/>
    <cellStyle name="Normal 4 3 3 2 3 2 2 2 2 2 3" xfId="22537"/>
    <cellStyle name="Normal 4 3 3 2 3 2 2 2 2 2 4" xfId="37580"/>
    <cellStyle name="Normal 4 3 3 2 3 2 2 2 2 3" xfId="11265"/>
    <cellStyle name="Normal 4 3 3 2 3 2 2 2 2 3 2" xfId="26309"/>
    <cellStyle name="Normal 4 3 3 2 3 2 2 2 2 3 3" xfId="41352"/>
    <cellStyle name="Normal 4 3 3 2 3 2 2 2 2 4" xfId="18788"/>
    <cellStyle name="Normal 4 3 3 2 3 2 2 2 2 5" xfId="33831"/>
    <cellStyle name="Normal 4 3 3 2 3 2 2 2 3" xfId="5626"/>
    <cellStyle name="Normal 4 3 3 2 3 2 2 2 3 2" xfId="13149"/>
    <cellStyle name="Normal 4 3 3 2 3 2 2 2 3 2 2" xfId="28193"/>
    <cellStyle name="Normal 4 3 3 2 3 2 2 2 3 2 3" xfId="43236"/>
    <cellStyle name="Normal 4 3 3 2 3 2 2 2 3 3" xfId="20672"/>
    <cellStyle name="Normal 4 3 3 2 3 2 2 2 3 4" xfId="35715"/>
    <cellStyle name="Normal 4 3 3 2 3 2 2 2 4" xfId="9400"/>
    <cellStyle name="Normal 4 3 3 2 3 2 2 2 4 2" xfId="24444"/>
    <cellStyle name="Normal 4 3 3 2 3 2 2 2 4 3" xfId="39487"/>
    <cellStyle name="Normal 4 3 3 2 3 2 2 2 5" xfId="16923"/>
    <cellStyle name="Normal 4 3 3 2 3 2 2 2 6" xfId="31966"/>
    <cellStyle name="Normal 4 3 3 2 3 2 2 3" xfId="2764"/>
    <cellStyle name="Normal 4 3 3 2 3 2 2 3 2" xfId="6559"/>
    <cellStyle name="Normal 4 3 3 2 3 2 2 3 2 2" xfId="14082"/>
    <cellStyle name="Normal 4 3 3 2 3 2 2 3 2 2 2" xfId="29126"/>
    <cellStyle name="Normal 4 3 3 2 3 2 2 3 2 2 3" xfId="44169"/>
    <cellStyle name="Normal 4 3 3 2 3 2 2 3 2 3" xfId="21605"/>
    <cellStyle name="Normal 4 3 3 2 3 2 2 3 2 4" xfId="36648"/>
    <cellStyle name="Normal 4 3 3 2 3 2 2 3 3" xfId="10333"/>
    <cellStyle name="Normal 4 3 3 2 3 2 2 3 3 2" xfId="25377"/>
    <cellStyle name="Normal 4 3 3 2 3 2 2 3 3 3" xfId="40420"/>
    <cellStyle name="Normal 4 3 3 2 3 2 2 3 4" xfId="17856"/>
    <cellStyle name="Normal 4 3 3 2 3 2 2 3 5" xfId="32899"/>
    <cellStyle name="Normal 4 3 3 2 3 2 2 4" xfId="4694"/>
    <cellStyle name="Normal 4 3 3 2 3 2 2 4 2" xfId="12217"/>
    <cellStyle name="Normal 4 3 3 2 3 2 2 4 2 2" xfId="27261"/>
    <cellStyle name="Normal 4 3 3 2 3 2 2 4 2 3" xfId="42304"/>
    <cellStyle name="Normal 4 3 3 2 3 2 2 4 3" xfId="19740"/>
    <cellStyle name="Normal 4 3 3 2 3 2 2 4 4" xfId="34783"/>
    <cellStyle name="Normal 4 3 3 2 3 2 2 5" xfId="8468"/>
    <cellStyle name="Normal 4 3 3 2 3 2 2 5 2" xfId="23512"/>
    <cellStyle name="Normal 4 3 3 2 3 2 2 5 3" xfId="38555"/>
    <cellStyle name="Normal 4 3 3 2 3 2 2 6" xfId="15991"/>
    <cellStyle name="Normal 4 3 3 2 3 2 2 7" xfId="31034"/>
    <cellStyle name="Normal 4 3 3 2 3 2 3" xfId="1373"/>
    <cellStyle name="Normal 4 3 3 2 3 2 3 2" xfId="3244"/>
    <cellStyle name="Normal 4 3 3 2 3 2 3 2 2" xfId="7039"/>
    <cellStyle name="Normal 4 3 3 2 3 2 3 2 2 2" xfId="14562"/>
    <cellStyle name="Normal 4 3 3 2 3 2 3 2 2 2 2" xfId="29606"/>
    <cellStyle name="Normal 4 3 3 2 3 2 3 2 2 2 3" xfId="44649"/>
    <cellStyle name="Normal 4 3 3 2 3 2 3 2 2 3" xfId="22085"/>
    <cellStyle name="Normal 4 3 3 2 3 2 3 2 2 4" xfId="37128"/>
    <cellStyle name="Normal 4 3 3 2 3 2 3 2 3" xfId="10813"/>
    <cellStyle name="Normal 4 3 3 2 3 2 3 2 3 2" xfId="25857"/>
    <cellStyle name="Normal 4 3 3 2 3 2 3 2 3 3" xfId="40900"/>
    <cellStyle name="Normal 4 3 3 2 3 2 3 2 4" xfId="18336"/>
    <cellStyle name="Normal 4 3 3 2 3 2 3 2 5" xfId="33379"/>
    <cellStyle name="Normal 4 3 3 2 3 2 3 3" xfId="5174"/>
    <cellStyle name="Normal 4 3 3 2 3 2 3 3 2" xfId="12697"/>
    <cellStyle name="Normal 4 3 3 2 3 2 3 3 2 2" xfId="27741"/>
    <cellStyle name="Normal 4 3 3 2 3 2 3 3 2 3" xfId="42784"/>
    <cellStyle name="Normal 4 3 3 2 3 2 3 3 3" xfId="20220"/>
    <cellStyle name="Normal 4 3 3 2 3 2 3 3 4" xfId="35263"/>
    <cellStyle name="Normal 4 3 3 2 3 2 3 4" xfId="8948"/>
    <cellStyle name="Normal 4 3 3 2 3 2 3 4 2" xfId="23992"/>
    <cellStyle name="Normal 4 3 3 2 3 2 3 4 3" xfId="39035"/>
    <cellStyle name="Normal 4 3 3 2 3 2 3 5" xfId="16471"/>
    <cellStyle name="Normal 4 3 3 2 3 2 3 6" xfId="31514"/>
    <cellStyle name="Normal 4 3 3 2 3 2 4" xfId="2311"/>
    <cellStyle name="Normal 4 3 3 2 3 2 4 2" xfId="6107"/>
    <cellStyle name="Normal 4 3 3 2 3 2 4 2 2" xfId="13630"/>
    <cellStyle name="Normal 4 3 3 2 3 2 4 2 2 2" xfId="28674"/>
    <cellStyle name="Normal 4 3 3 2 3 2 4 2 2 3" xfId="43717"/>
    <cellStyle name="Normal 4 3 3 2 3 2 4 2 3" xfId="21153"/>
    <cellStyle name="Normal 4 3 3 2 3 2 4 2 4" xfId="36196"/>
    <cellStyle name="Normal 4 3 3 2 3 2 4 3" xfId="9881"/>
    <cellStyle name="Normal 4 3 3 2 3 2 4 3 2" xfId="24925"/>
    <cellStyle name="Normal 4 3 3 2 3 2 4 3 3" xfId="39968"/>
    <cellStyle name="Normal 4 3 3 2 3 2 4 4" xfId="17404"/>
    <cellStyle name="Normal 4 3 3 2 3 2 4 5" xfId="32447"/>
    <cellStyle name="Normal 4 3 3 2 3 2 5" xfId="4239"/>
    <cellStyle name="Normal 4 3 3 2 3 2 5 2" xfId="11763"/>
    <cellStyle name="Normal 4 3 3 2 3 2 5 2 2" xfId="26807"/>
    <cellStyle name="Normal 4 3 3 2 3 2 5 2 3" xfId="41850"/>
    <cellStyle name="Normal 4 3 3 2 3 2 5 3" xfId="19286"/>
    <cellStyle name="Normal 4 3 3 2 3 2 5 4" xfId="34329"/>
    <cellStyle name="Normal 4 3 3 2 3 2 6" xfId="8002"/>
    <cellStyle name="Normal 4 3 3 2 3 2 6 2" xfId="23046"/>
    <cellStyle name="Normal 4 3 3 2 3 2 6 3" xfId="38089"/>
    <cellStyle name="Normal 4 3 3 2 3 2 7" xfId="15525"/>
    <cellStyle name="Normal 4 3 3 2 3 2 8" xfId="30568"/>
    <cellStyle name="Normal 4 3 3 2 3 3" xfId="865"/>
    <cellStyle name="Normal 4 3 3 2 3 3 2" xfId="1824"/>
    <cellStyle name="Normal 4 3 3 2 3 3 2 2" xfId="3695"/>
    <cellStyle name="Normal 4 3 3 2 3 3 2 2 2" xfId="7490"/>
    <cellStyle name="Normal 4 3 3 2 3 3 2 2 2 2" xfId="15013"/>
    <cellStyle name="Normal 4 3 3 2 3 3 2 2 2 2 2" xfId="30057"/>
    <cellStyle name="Normal 4 3 3 2 3 3 2 2 2 2 3" xfId="45100"/>
    <cellStyle name="Normal 4 3 3 2 3 3 2 2 2 3" xfId="22536"/>
    <cellStyle name="Normal 4 3 3 2 3 3 2 2 2 4" xfId="37579"/>
    <cellStyle name="Normal 4 3 3 2 3 3 2 2 3" xfId="11264"/>
    <cellStyle name="Normal 4 3 3 2 3 3 2 2 3 2" xfId="26308"/>
    <cellStyle name="Normal 4 3 3 2 3 3 2 2 3 3" xfId="41351"/>
    <cellStyle name="Normal 4 3 3 2 3 3 2 2 4" xfId="18787"/>
    <cellStyle name="Normal 4 3 3 2 3 3 2 2 5" xfId="33830"/>
    <cellStyle name="Normal 4 3 3 2 3 3 2 3" xfId="5625"/>
    <cellStyle name="Normal 4 3 3 2 3 3 2 3 2" xfId="13148"/>
    <cellStyle name="Normal 4 3 3 2 3 3 2 3 2 2" xfId="28192"/>
    <cellStyle name="Normal 4 3 3 2 3 3 2 3 2 3" xfId="43235"/>
    <cellStyle name="Normal 4 3 3 2 3 3 2 3 3" xfId="20671"/>
    <cellStyle name="Normal 4 3 3 2 3 3 2 3 4" xfId="35714"/>
    <cellStyle name="Normal 4 3 3 2 3 3 2 4" xfId="9399"/>
    <cellStyle name="Normal 4 3 3 2 3 3 2 4 2" xfId="24443"/>
    <cellStyle name="Normal 4 3 3 2 3 3 2 4 3" xfId="39486"/>
    <cellStyle name="Normal 4 3 3 2 3 3 2 5" xfId="16922"/>
    <cellStyle name="Normal 4 3 3 2 3 3 2 6" xfId="31965"/>
    <cellStyle name="Normal 4 3 3 2 3 3 3" xfId="2763"/>
    <cellStyle name="Normal 4 3 3 2 3 3 3 2" xfId="6558"/>
    <cellStyle name="Normal 4 3 3 2 3 3 3 2 2" xfId="14081"/>
    <cellStyle name="Normal 4 3 3 2 3 3 3 2 2 2" xfId="29125"/>
    <cellStyle name="Normal 4 3 3 2 3 3 3 2 2 3" xfId="44168"/>
    <cellStyle name="Normal 4 3 3 2 3 3 3 2 3" xfId="21604"/>
    <cellStyle name="Normal 4 3 3 2 3 3 3 2 4" xfId="36647"/>
    <cellStyle name="Normal 4 3 3 2 3 3 3 3" xfId="10332"/>
    <cellStyle name="Normal 4 3 3 2 3 3 3 3 2" xfId="25376"/>
    <cellStyle name="Normal 4 3 3 2 3 3 3 3 3" xfId="40419"/>
    <cellStyle name="Normal 4 3 3 2 3 3 3 4" xfId="17855"/>
    <cellStyle name="Normal 4 3 3 2 3 3 3 5" xfId="32898"/>
    <cellStyle name="Normal 4 3 3 2 3 3 4" xfId="4693"/>
    <cellStyle name="Normal 4 3 3 2 3 3 4 2" xfId="12216"/>
    <cellStyle name="Normal 4 3 3 2 3 3 4 2 2" xfId="27260"/>
    <cellStyle name="Normal 4 3 3 2 3 3 4 2 3" xfId="42303"/>
    <cellStyle name="Normal 4 3 3 2 3 3 4 3" xfId="19739"/>
    <cellStyle name="Normal 4 3 3 2 3 3 4 4" xfId="34782"/>
    <cellStyle name="Normal 4 3 3 2 3 3 5" xfId="8467"/>
    <cellStyle name="Normal 4 3 3 2 3 3 5 2" xfId="23511"/>
    <cellStyle name="Normal 4 3 3 2 3 3 5 3" xfId="38554"/>
    <cellStyle name="Normal 4 3 3 2 3 3 6" xfId="15990"/>
    <cellStyle name="Normal 4 3 3 2 3 3 7" xfId="31033"/>
    <cellStyle name="Normal 4 3 3 2 3 4" xfId="1372"/>
    <cellStyle name="Normal 4 3 3 2 3 4 2" xfId="3243"/>
    <cellStyle name="Normal 4 3 3 2 3 4 2 2" xfId="7038"/>
    <cellStyle name="Normal 4 3 3 2 3 4 2 2 2" xfId="14561"/>
    <cellStyle name="Normal 4 3 3 2 3 4 2 2 2 2" xfId="29605"/>
    <cellStyle name="Normal 4 3 3 2 3 4 2 2 2 3" xfId="44648"/>
    <cellStyle name="Normal 4 3 3 2 3 4 2 2 3" xfId="22084"/>
    <cellStyle name="Normal 4 3 3 2 3 4 2 2 4" xfId="37127"/>
    <cellStyle name="Normal 4 3 3 2 3 4 2 3" xfId="10812"/>
    <cellStyle name="Normal 4 3 3 2 3 4 2 3 2" xfId="25856"/>
    <cellStyle name="Normal 4 3 3 2 3 4 2 3 3" xfId="40899"/>
    <cellStyle name="Normal 4 3 3 2 3 4 2 4" xfId="18335"/>
    <cellStyle name="Normal 4 3 3 2 3 4 2 5" xfId="33378"/>
    <cellStyle name="Normal 4 3 3 2 3 4 3" xfId="5173"/>
    <cellStyle name="Normal 4 3 3 2 3 4 3 2" xfId="12696"/>
    <cellStyle name="Normal 4 3 3 2 3 4 3 2 2" xfId="27740"/>
    <cellStyle name="Normal 4 3 3 2 3 4 3 2 3" xfId="42783"/>
    <cellStyle name="Normal 4 3 3 2 3 4 3 3" xfId="20219"/>
    <cellStyle name="Normal 4 3 3 2 3 4 3 4" xfId="35262"/>
    <cellStyle name="Normal 4 3 3 2 3 4 4" xfId="8947"/>
    <cellStyle name="Normal 4 3 3 2 3 4 4 2" xfId="23991"/>
    <cellStyle name="Normal 4 3 3 2 3 4 4 3" xfId="39034"/>
    <cellStyle name="Normal 4 3 3 2 3 4 5" xfId="16470"/>
    <cellStyle name="Normal 4 3 3 2 3 4 6" xfId="31513"/>
    <cellStyle name="Normal 4 3 3 2 3 5" xfId="2310"/>
    <cellStyle name="Normal 4 3 3 2 3 5 2" xfId="6106"/>
    <cellStyle name="Normal 4 3 3 2 3 5 2 2" xfId="13629"/>
    <cellStyle name="Normal 4 3 3 2 3 5 2 2 2" xfId="28673"/>
    <cellStyle name="Normal 4 3 3 2 3 5 2 2 3" xfId="43716"/>
    <cellStyle name="Normal 4 3 3 2 3 5 2 3" xfId="21152"/>
    <cellStyle name="Normal 4 3 3 2 3 5 2 4" xfId="36195"/>
    <cellStyle name="Normal 4 3 3 2 3 5 3" xfId="9880"/>
    <cellStyle name="Normal 4 3 3 2 3 5 3 2" xfId="24924"/>
    <cellStyle name="Normal 4 3 3 2 3 5 3 3" xfId="39967"/>
    <cellStyle name="Normal 4 3 3 2 3 5 4" xfId="17403"/>
    <cellStyle name="Normal 4 3 3 2 3 5 5" xfId="32446"/>
    <cellStyle name="Normal 4 3 3 2 3 6" xfId="4238"/>
    <cellStyle name="Normal 4 3 3 2 3 6 2" xfId="11762"/>
    <cellStyle name="Normal 4 3 3 2 3 6 2 2" xfId="26806"/>
    <cellStyle name="Normal 4 3 3 2 3 6 2 3" xfId="41849"/>
    <cellStyle name="Normal 4 3 3 2 3 6 3" xfId="19285"/>
    <cellStyle name="Normal 4 3 3 2 3 6 4" xfId="34328"/>
    <cellStyle name="Normal 4 3 3 2 3 7" xfId="8001"/>
    <cellStyle name="Normal 4 3 3 2 3 7 2" xfId="23045"/>
    <cellStyle name="Normal 4 3 3 2 3 7 3" xfId="38088"/>
    <cellStyle name="Normal 4 3 3 2 3 8" xfId="15524"/>
    <cellStyle name="Normal 4 3 3 2 3 9" xfId="30567"/>
    <cellStyle name="Normal 4 3 3 2 4" xfId="343"/>
    <cellStyle name="Normal 4 3 3 2 4 2" xfId="867"/>
    <cellStyle name="Normal 4 3 3 2 4 2 2" xfId="1826"/>
    <cellStyle name="Normal 4 3 3 2 4 2 2 2" xfId="3697"/>
    <cellStyle name="Normal 4 3 3 2 4 2 2 2 2" xfId="7492"/>
    <cellStyle name="Normal 4 3 3 2 4 2 2 2 2 2" xfId="15015"/>
    <cellStyle name="Normal 4 3 3 2 4 2 2 2 2 2 2" xfId="30059"/>
    <cellStyle name="Normal 4 3 3 2 4 2 2 2 2 2 3" xfId="45102"/>
    <cellStyle name="Normal 4 3 3 2 4 2 2 2 2 3" xfId="22538"/>
    <cellStyle name="Normal 4 3 3 2 4 2 2 2 2 4" xfId="37581"/>
    <cellStyle name="Normal 4 3 3 2 4 2 2 2 3" xfId="11266"/>
    <cellStyle name="Normal 4 3 3 2 4 2 2 2 3 2" xfId="26310"/>
    <cellStyle name="Normal 4 3 3 2 4 2 2 2 3 3" xfId="41353"/>
    <cellStyle name="Normal 4 3 3 2 4 2 2 2 4" xfId="18789"/>
    <cellStyle name="Normal 4 3 3 2 4 2 2 2 5" xfId="33832"/>
    <cellStyle name="Normal 4 3 3 2 4 2 2 3" xfId="5627"/>
    <cellStyle name="Normal 4 3 3 2 4 2 2 3 2" xfId="13150"/>
    <cellStyle name="Normal 4 3 3 2 4 2 2 3 2 2" xfId="28194"/>
    <cellStyle name="Normal 4 3 3 2 4 2 2 3 2 3" xfId="43237"/>
    <cellStyle name="Normal 4 3 3 2 4 2 2 3 3" xfId="20673"/>
    <cellStyle name="Normal 4 3 3 2 4 2 2 3 4" xfId="35716"/>
    <cellStyle name="Normal 4 3 3 2 4 2 2 4" xfId="9401"/>
    <cellStyle name="Normal 4 3 3 2 4 2 2 4 2" xfId="24445"/>
    <cellStyle name="Normal 4 3 3 2 4 2 2 4 3" xfId="39488"/>
    <cellStyle name="Normal 4 3 3 2 4 2 2 5" xfId="16924"/>
    <cellStyle name="Normal 4 3 3 2 4 2 2 6" xfId="31967"/>
    <cellStyle name="Normal 4 3 3 2 4 2 3" xfId="2765"/>
    <cellStyle name="Normal 4 3 3 2 4 2 3 2" xfId="6560"/>
    <cellStyle name="Normal 4 3 3 2 4 2 3 2 2" xfId="14083"/>
    <cellStyle name="Normal 4 3 3 2 4 2 3 2 2 2" xfId="29127"/>
    <cellStyle name="Normal 4 3 3 2 4 2 3 2 2 3" xfId="44170"/>
    <cellStyle name="Normal 4 3 3 2 4 2 3 2 3" xfId="21606"/>
    <cellStyle name="Normal 4 3 3 2 4 2 3 2 4" xfId="36649"/>
    <cellStyle name="Normal 4 3 3 2 4 2 3 3" xfId="10334"/>
    <cellStyle name="Normal 4 3 3 2 4 2 3 3 2" xfId="25378"/>
    <cellStyle name="Normal 4 3 3 2 4 2 3 3 3" xfId="40421"/>
    <cellStyle name="Normal 4 3 3 2 4 2 3 4" xfId="17857"/>
    <cellStyle name="Normal 4 3 3 2 4 2 3 5" xfId="32900"/>
    <cellStyle name="Normal 4 3 3 2 4 2 4" xfId="4695"/>
    <cellStyle name="Normal 4 3 3 2 4 2 4 2" xfId="12218"/>
    <cellStyle name="Normal 4 3 3 2 4 2 4 2 2" xfId="27262"/>
    <cellStyle name="Normal 4 3 3 2 4 2 4 2 3" xfId="42305"/>
    <cellStyle name="Normal 4 3 3 2 4 2 4 3" xfId="19741"/>
    <cellStyle name="Normal 4 3 3 2 4 2 4 4" xfId="34784"/>
    <cellStyle name="Normal 4 3 3 2 4 2 5" xfId="8469"/>
    <cellStyle name="Normal 4 3 3 2 4 2 5 2" xfId="23513"/>
    <cellStyle name="Normal 4 3 3 2 4 2 5 3" xfId="38556"/>
    <cellStyle name="Normal 4 3 3 2 4 2 6" xfId="15992"/>
    <cellStyle name="Normal 4 3 3 2 4 2 7" xfId="31035"/>
    <cellStyle name="Normal 4 3 3 2 4 3" xfId="1374"/>
    <cellStyle name="Normal 4 3 3 2 4 3 2" xfId="3245"/>
    <cellStyle name="Normal 4 3 3 2 4 3 2 2" xfId="7040"/>
    <cellStyle name="Normal 4 3 3 2 4 3 2 2 2" xfId="14563"/>
    <cellStyle name="Normal 4 3 3 2 4 3 2 2 2 2" xfId="29607"/>
    <cellStyle name="Normal 4 3 3 2 4 3 2 2 2 3" xfId="44650"/>
    <cellStyle name="Normal 4 3 3 2 4 3 2 2 3" xfId="22086"/>
    <cellStyle name="Normal 4 3 3 2 4 3 2 2 4" xfId="37129"/>
    <cellStyle name="Normal 4 3 3 2 4 3 2 3" xfId="10814"/>
    <cellStyle name="Normal 4 3 3 2 4 3 2 3 2" xfId="25858"/>
    <cellStyle name="Normal 4 3 3 2 4 3 2 3 3" xfId="40901"/>
    <cellStyle name="Normal 4 3 3 2 4 3 2 4" xfId="18337"/>
    <cellStyle name="Normal 4 3 3 2 4 3 2 5" xfId="33380"/>
    <cellStyle name="Normal 4 3 3 2 4 3 3" xfId="5175"/>
    <cellStyle name="Normal 4 3 3 2 4 3 3 2" xfId="12698"/>
    <cellStyle name="Normal 4 3 3 2 4 3 3 2 2" xfId="27742"/>
    <cellStyle name="Normal 4 3 3 2 4 3 3 2 3" xfId="42785"/>
    <cellStyle name="Normal 4 3 3 2 4 3 3 3" xfId="20221"/>
    <cellStyle name="Normal 4 3 3 2 4 3 3 4" xfId="35264"/>
    <cellStyle name="Normal 4 3 3 2 4 3 4" xfId="8949"/>
    <cellStyle name="Normal 4 3 3 2 4 3 4 2" xfId="23993"/>
    <cellStyle name="Normal 4 3 3 2 4 3 4 3" xfId="39036"/>
    <cellStyle name="Normal 4 3 3 2 4 3 5" xfId="16472"/>
    <cellStyle name="Normal 4 3 3 2 4 3 6" xfId="31515"/>
    <cellStyle name="Normal 4 3 3 2 4 4" xfId="2312"/>
    <cellStyle name="Normal 4 3 3 2 4 4 2" xfId="6108"/>
    <cellStyle name="Normal 4 3 3 2 4 4 2 2" xfId="13631"/>
    <cellStyle name="Normal 4 3 3 2 4 4 2 2 2" xfId="28675"/>
    <cellStyle name="Normal 4 3 3 2 4 4 2 2 3" xfId="43718"/>
    <cellStyle name="Normal 4 3 3 2 4 4 2 3" xfId="21154"/>
    <cellStyle name="Normal 4 3 3 2 4 4 2 4" xfId="36197"/>
    <cellStyle name="Normal 4 3 3 2 4 4 3" xfId="9882"/>
    <cellStyle name="Normal 4 3 3 2 4 4 3 2" xfId="24926"/>
    <cellStyle name="Normal 4 3 3 2 4 4 3 3" xfId="39969"/>
    <cellStyle name="Normal 4 3 3 2 4 4 4" xfId="17405"/>
    <cellStyle name="Normal 4 3 3 2 4 4 5" xfId="32448"/>
    <cellStyle name="Normal 4 3 3 2 4 5" xfId="4240"/>
    <cellStyle name="Normal 4 3 3 2 4 5 2" xfId="11764"/>
    <cellStyle name="Normal 4 3 3 2 4 5 2 2" xfId="26808"/>
    <cellStyle name="Normal 4 3 3 2 4 5 2 3" xfId="41851"/>
    <cellStyle name="Normal 4 3 3 2 4 5 3" xfId="19287"/>
    <cellStyle name="Normal 4 3 3 2 4 5 4" xfId="34330"/>
    <cellStyle name="Normal 4 3 3 2 4 6" xfId="8003"/>
    <cellStyle name="Normal 4 3 3 2 4 6 2" xfId="23047"/>
    <cellStyle name="Normal 4 3 3 2 4 6 3" xfId="38090"/>
    <cellStyle name="Normal 4 3 3 2 4 7" xfId="15526"/>
    <cellStyle name="Normal 4 3 3 2 4 8" xfId="30569"/>
    <cellStyle name="Normal 4 3 3 2 5" xfId="862"/>
    <cellStyle name="Normal 4 3 3 2 5 2" xfId="1821"/>
    <cellStyle name="Normal 4 3 3 2 5 2 2" xfId="3692"/>
    <cellStyle name="Normal 4 3 3 2 5 2 2 2" xfId="7487"/>
    <cellStyle name="Normal 4 3 3 2 5 2 2 2 2" xfId="15010"/>
    <cellStyle name="Normal 4 3 3 2 5 2 2 2 2 2" xfId="30054"/>
    <cellStyle name="Normal 4 3 3 2 5 2 2 2 2 3" xfId="45097"/>
    <cellStyle name="Normal 4 3 3 2 5 2 2 2 3" xfId="22533"/>
    <cellStyle name="Normal 4 3 3 2 5 2 2 2 4" xfId="37576"/>
    <cellStyle name="Normal 4 3 3 2 5 2 2 3" xfId="11261"/>
    <cellStyle name="Normal 4 3 3 2 5 2 2 3 2" xfId="26305"/>
    <cellStyle name="Normal 4 3 3 2 5 2 2 3 3" xfId="41348"/>
    <cellStyle name="Normal 4 3 3 2 5 2 2 4" xfId="18784"/>
    <cellStyle name="Normal 4 3 3 2 5 2 2 5" xfId="33827"/>
    <cellStyle name="Normal 4 3 3 2 5 2 3" xfId="5622"/>
    <cellStyle name="Normal 4 3 3 2 5 2 3 2" xfId="13145"/>
    <cellStyle name="Normal 4 3 3 2 5 2 3 2 2" xfId="28189"/>
    <cellStyle name="Normal 4 3 3 2 5 2 3 2 3" xfId="43232"/>
    <cellStyle name="Normal 4 3 3 2 5 2 3 3" xfId="20668"/>
    <cellStyle name="Normal 4 3 3 2 5 2 3 4" xfId="35711"/>
    <cellStyle name="Normal 4 3 3 2 5 2 4" xfId="9396"/>
    <cellStyle name="Normal 4 3 3 2 5 2 4 2" xfId="24440"/>
    <cellStyle name="Normal 4 3 3 2 5 2 4 3" xfId="39483"/>
    <cellStyle name="Normal 4 3 3 2 5 2 5" xfId="16919"/>
    <cellStyle name="Normal 4 3 3 2 5 2 6" xfId="31962"/>
    <cellStyle name="Normal 4 3 3 2 5 3" xfId="2760"/>
    <cellStyle name="Normal 4 3 3 2 5 3 2" xfId="6555"/>
    <cellStyle name="Normal 4 3 3 2 5 3 2 2" xfId="14078"/>
    <cellStyle name="Normal 4 3 3 2 5 3 2 2 2" xfId="29122"/>
    <cellStyle name="Normal 4 3 3 2 5 3 2 2 3" xfId="44165"/>
    <cellStyle name="Normal 4 3 3 2 5 3 2 3" xfId="21601"/>
    <cellStyle name="Normal 4 3 3 2 5 3 2 4" xfId="36644"/>
    <cellStyle name="Normal 4 3 3 2 5 3 3" xfId="10329"/>
    <cellStyle name="Normal 4 3 3 2 5 3 3 2" xfId="25373"/>
    <cellStyle name="Normal 4 3 3 2 5 3 3 3" xfId="40416"/>
    <cellStyle name="Normal 4 3 3 2 5 3 4" xfId="17852"/>
    <cellStyle name="Normal 4 3 3 2 5 3 5" xfId="32895"/>
    <cellStyle name="Normal 4 3 3 2 5 4" xfId="4690"/>
    <cellStyle name="Normal 4 3 3 2 5 4 2" xfId="12213"/>
    <cellStyle name="Normal 4 3 3 2 5 4 2 2" xfId="27257"/>
    <cellStyle name="Normal 4 3 3 2 5 4 2 3" xfId="42300"/>
    <cellStyle name="Normal 4 3 3 2 5 4 3" xfId="19736"/>
    <cellStyle name="Normal 4 3 3 2 5 4 4" xfId="34779"/>
    <cellStyle name="Normal 4 3 3 2 5 5" xfId="8464"/>
    <cellStyle name="Normal 4 3 3 2 5 5 2" xfId="23508"/>
    <cellStyle name="Normal 4 3 3 2 5 5 3" xfId="38551"/>
    <cellStyle name="Normal 4 3 3 2 5 6" xfId="15987"/>
    <cellStyle name="Normal 4 3 3 2 5 7" xfId="31030"/>
    <cellStyle name="Normal 4 3 3 2 6" xfId="1369"/>
    <cellStyle name="Normal 4 3 3 2 6 2" xfId="3240"/>
    <cellStyle name="Normal 4 3 3 2 6 2 2" xfId="7035"/>
    <cellStyle name="Normal 4 3 3 2 6 2 2 2" xfId="14558"/>
    <cellStyle name="Normal 4 3 3 2 6 2 2 2 2" xfId="29602"/>
    <cellStyle name="Normal 4 3 3 2 6 2 2 2 3" xfId="44645"/>
    <cellStyle name="Normal 4 3 3 2 6 2 2 3" xfId="22081"/>
    <cellStyle name="Normal 4 3 3 2 6 2 2 4" xfId="37124"/>
    <cellStyle name="Normal 4 3 3 2 6 2 3" xfId="10809"/>
    <cellStyle name="Normal 4 3 3 2 6 2 3 2" xfId="25853"/>
    <cellStyle name="Normal 4 3 3 2 6 2 3 3" xfId="40896"/>
    <cellStyle name="Normal 4 3 3 2 6 2 4" xfId="18332"/>
    <cellStyle name="Normal 4 3 3 2 6 2 5" xfId="33375"/>
    <cellStyle name="Normal 4 3 3 2 6 3" xfId="5170"/>
    <cellStyle name="Normal 4 3 3 2 6 3 2" xfId="12693"/>
    <cellStyle name="Normal 4 3 3 2 6 3 2 2" xfId="27737"/>
    <cellStyle name="Normal 4 3 3 2 6 3 2 3" xfId="42780"/>
    <cellStyle name="Normal 4 3 3 2 6 3 3" xfId="20216"/>
    <cellStyle name="Normal 4 3 3 2 6 3 4" xfId="35259"/>
    <cellStyle name="Normal 4 3 3 2 6 4" xfId="8944"/>
    <cellStyle name="Normal 4 3 3 2 6 4 2" xfId="23988"/>
    <cellStyle name="Normal 4 3 3 2 6 4 3" xfId="39031"/>
    <cellStyle name="Normal 4 3 3 2 6 5" xfId="16467"/>
    <cellStyle name="Normal 4 3 3 2 6 6" xfId="31510"/>
    <cellStyle name="Normal 4 3 3 2 7" xfId="2307"/>
    <cellStyle name="Normal 4 3 3 2 7 2" xfId="6103"/>
    <cellStyle name="Normal 4 3 3 2 7 2 2" xfId="13626"/>
    <cellStyle name="Normal 4 3 3 2 7 2 2 2" xfId="28670"/>
    <cellStyle name="Normal 4 3 3 2 7 2 2 3" xfId="43713"/>
    <cellStyle name="Normal 4 3 3 2 7 2 3" xfId="21149"/>
    <cellStyle name="Normal 4 3 3 2 7 2 4" xfId="36192"/>
    <cellStyle name="Normal 4 3 3 2 7 3" xfId="9877"/>
    <cellStyle name="Normal 4 3 3 2 7 3 2" xfId="24921"/>
    <cellStyle name="Normal 4 3 3 2 7 3 3" xfId="39964"/>
    <cellStyle name="Normal 4 3 3 2 7 4" xfId="17400"/>
    <cellStyle name="Normal 4 3 3 2 7 5" xfId="32443"/>
    <cellStyle name="Normal 4 3 3 2 8" xfId="4235"/>
    <cellStyle name="Normal 4 3 3 2 8 2" xfId="11759"/>
    <cellStyle name="Normal 4 3 3 2 8 2 2" xfId="26803"/>
    <cellStyle name="Normal 4 3 3 2 8 2 3" xfId="41846"/>
    <cellStyle name="Normal 4 3 3 2 8 3" xfId="19282"/>
    <cellStyle name="Normal 4 3 3 2 8 4" xfId="34325"/>
    <cellStyle name="Normal 4 3 3 2 9" xfId="7998"/>
    <cellStyle name="Normal 4 3 3 2 9 2" xfId="23042"/>
    <cellStyle name="Normal 4 3 3 2 9 3" xfId="38085"/>
    <cellStyle name="Normal 4 3 3 3" xfId="344"/>
    <cellStyle name="Normal 4 3 3 3 2" xfId="345"/>
    <cellStyle name="Normal 4 3 3 3 2 2" xfId="869"/>
    <cellStyle name="Normal 4 3 3 3 2 2 2" xfId="1828"/>
    <cellStyle name="Normal 4 3 3 3 2 2 2 2" xfId="3699"/>
    <cellStyle name="Normal 4 3 3 3 2 2 2 2 2" xfId="7494"/>
    <cellStyle name="Normal 4 3 3 3 2 2 2 2 2 2" xfId="15017"/>
    <cellStyle name="Normal 4 3 3 3 2 2 2 2 2 2 2" xfId="30061"/>
    <cellStyle name="Normal 4 3 3 3 2 2 2 2 2 2 3" xfId="45104"/>
    <cellStyle name="Normal 4 3 3 3 2 2 2 2 2 3" xfId="22540"/>
    <cellStyle name="Normal 4 3 3 3 2 2 2 2 2 4" xfId="37583"/>
    <cellStyle name="Normal 4 3 3 3 2 2 2 2 3" xfId="11268"/>
    <cellStyle name="Normal 4 3 3 3 2 2 2 2 3 2" xfId="26312"/>
    <cellStyle name="Normal 4 3 3 3 2 2 2 2 3 3" xfId="41355"/>
    <cellStyle name="Normal 4 3 3 3 2 2 2 2 4" xfId="18791"/>
    <cellStyle name="Normal 4 3 3 3 2 2 2 2 5" xfId="33834"/>
    <cellStyle name="Normal 4 3 3 3 2 2 2 3" xfId="5629"/>
    <cellStyle name="Normal 4 3 3 3 2 2 2 3 2" xfId="13152"/>
    <cellStyle name="Normal 4 3 3 3 2 2 2 3 2 2" xfId="28196"/>
    <cellStyle name="Normal 4 3 3 3 2 2 2 3 2 3" xfId="43239"/>
    <cellStyle name="Normal 4 3 3 3 2 2 2 3 3" xfId="20675"/>
    <cellStyle name="Normal 4 3 3 3 2 2 2 3 4" xfId="35718"/>
    <cellStyle name="Normal 4 3 3 3 2 2 2 4" xfId="9403"/>
    <cellStyle name="Normal 4 3 3 3 2 2 2 4 2" xfId="24447"/>
    <cellStyle name="Normal 4 3 3 3 2 2 2 4 3" xfId="39490"/>
    <cellStyle name="Normal 4 3 3 3 2 2 2 5" xfId="16926"/>
    <cellStyle name="Normal 4 3 3 3 2 2 2 6" xfId="31969"/>
    <cellStyle name="Normal 4 3 3 3 2 2 3" xfId="2767"/>
    <cellStyle name="Normal 4 3 3 3 2 2 3 2" xfId="6562"/>
    <cellStyle name="Normal 4 3 3 3 2 2 3 2 2" xfId="14085"/>
    <cellStyle name="Normal 4 3 3 3 2 2 3 2 2 2" xfId="29129"/>
    <cellStyle name="Normal 4 3 3 3 2 2 3 2 2 3" xfId="44172"/>
    <cellStyle name="Normal 4 3 3 3 2 2 3 2 3" xfId="21608"/>
    <cellStyle name="Normal 4 3 3 3 2 2 3 2 4" xfId="36651"/>
    <cellStyle name="Normal 4 3 3 3 2 2 3 3" xfId="10336"/>
    <cellStyle name="Normal 4 3 3 3 2 2 3 3 2" xfId="25380"/>
    <cellStyle name="Normal 4 3 3 3 2 2 3 3 3" xfId="40423"/>
    <cellStyle name="Normal 4 3 3 3 2 2 3 4" xfId="17859"/>
    <cellStyle name="Normal 4 3 3 3 2 2 3 5" xfId="32902"/>
    <cellStyle name="Normal 4 3 3 3 2 2 4" xfId="4697"/>
    <cellStyle name="Normal 4 3 3 3 2 2 4 2" xfId="12220"/>
    <cellStyle name="Normal 4 3 3 3 2 2 4 2 2" xfId="27264"/>
    <cellStyle name="Normal 4 3 3 3 2 2 4 2 3" xfId="42307"/>
    <cellStyle name="Normal 4 3 3 3 2 2 4 3" xfId="19743"/>
    <cellStyle name="Normal 4 3 3 3 2 2 4 4" xfId="34786"/>
    <cellStyle name="Normal 4 3 3 3 2 2 5" xfId="8471"/>
    <cellStyle name="Normal 4 3 3 3 2 2 5 2" xfId="23515"/>
    <cellStyle name="Normal 4 3 3 3 2 2 5 3" xfId="38558"/>
    <cellStyle name="Normal 4 3 3 3 2 2 6" xfId="15994"/>
    <cellStyle name="Normal 4 3 3 3 2 2 7" xfId="31037"/>
    <cellStyle name="Normal 4 3 3 3 2 3" xfId="1376"/>
    <cellStyle name="Normal 4 3 3 3 2 3 2" xfId="3247"/>
    <cellStyle name="Normal 4 3 3 3 2 3 2 2" xfId="7042"/>
    <cellStyle name="Normal 4 3 3 3 2 3 2 2 2" xfId="14565"/>
    <cellStyle name="Normal 4 3 3 3 2 3 2 2 2 2" xfId="29609"/>
    <cellStyle name="Normal 4 3 3 3 2 3 2 2 2 3" xfId="44652"/>
    <cellStyle name="Normal 4 3 3 3 2 3 2 2 3" xfId="22088"/>
    <cellStyle name="Normal 4 3 3 3 2 3 2 2 4" xfId="37131"/>
    <cellStyle name="Normal 4 3 3 3 2 3 2 3" xfId="10816"/>
    <cellStyle name="Normal 4 3 3 3 2 3 2 3 2" xfId="25860"/>
    <cellStyle name="Normal 4 3 3 3 2 3 2 3 3" xfId="40903"/>
    <cellStyle name="Normal 4 3 3 3 2 3 2 4" xfId="18339"/>
    <cellStyle name="Normal 4 3 3 3 2 3 2 5" xfId="33382"/>
    <cellStyle name="Normal 4 3 3 3 2 3 3" xfId="5177"/>
    <cellStyle name="Normal 4 3 3 3 2 3 3 2" xfId="12700"/>
    <cellStyle name="Normal 4 3 3 3 2 3 3 2 2" xfId="27744"/>
    <cellStyle name="Normal 4 3 3 3 2 3 3 2 3" xfId="42787"/>
    <cellStyle name="Normal 4 3 3 3 2 3 3 3" xfId="20223"/>
    <cellStyle name="Normal 4 3 3 3 2 3 3 4" xfId="35266"/>
    <cellStyle name="Normal 4 3 3 3 2 3 4" xfId="8951"/>
    <cellStyle name="Normal 4 3 3 3 2 3 4 2" xfId="23995"/>
    <cellStyle name="Normal 4 3 3 3 2 3 4 3" xfId="39038"/>
    <cellStyle name="Normal 4 3 3 3 2 3 5" xfId="16474"/>
    <cellStyle name="Normal 4 3 3 3 2 3 6" xfId="31517"/>
    <cellStyle name="Normal 4 3 3 3 2 4" xfId="2314"/>
    <cellStyle name="Normal 4 3 3 3 2 4 2" xfId="6110"/>
    <cellStyle name="Normal 4 3 3 3 2 4 2 2" xfId="13633"/>
    <cellStyle name="Normal 4 3 3 3 2 4 2 2 2" xfId="28677"/>
    <cellStyle name="Normal 4 3 3 3 2 4 2 2 3" xfId="43720"/>
    <cellStyle name="Normal 4 3 3 3 2 4 2 3" xfId="21156"/>
    <cellStyle name="Normal 4 3 3 3 2 4 2 4" xfId="36199"/>
    <cellStyle name="Normal 4 3 3 3 2 4 3" xfId="9884"/>
    <cellStyle name="Normal 4 3 3 3 2 4 3 2" xfId="24928"/>
    <cellStyle name="Normal 4 3 3 3 2 4 3 3" xfId="39971"/>
    <cellStyle name="Normal 4 3 3 3 2 4 4" xfId="17407"/>
    <cellStyle name="Normal 4 3 3 3 2 4 5" xfId="32450"/>
    <cellStyle name="Normal 4 3 3 3 2 5" xfId="4242"/>
    <cellStyle name="Normal 4 3 3 3 2 5 2" xfId="11766"/>
    <cellStyle name="Normal 4 3 3 3 2 5 2 2" xfId="26810"/>
    <cellStyle name="Normal 4 3 3 3 2 5 2 3" xfId="41853"/>
    <cellStyle name="Normal 4 3 3 3 2 5 3" xfId="19289"/>
    <cellStyle name="Normal 4 3 3 3 2 5 4" xfId="34332"/>
    <cellStyle name="Normal 4 3 3 3 2 6" xfId="8005"/>
    <cellStyle name="Normal 4 3 3 3 2 6 2" xfId="23049"/>
    <cellStyle name="Normal 4 3 3 3 2 6 3" xfId="38092"/>
    <cellStyle name="Normal 4 3 3 3 2 7" xfId="15528"/>
    <cellStyle name="Normal 4 3 3 3 2 8" xfId="30571"/>
    <cellStyle name="Normal 4 3 3 3 3" xfId="868"/>
    <cellStyle name="Normal 4 3 3 3 3 2" xfId="1827"/>
    <cellStyle name="Normal 4 3 3 3 3 2 2" xfId="3698"/>
    <cellStyle name="Normal 4 3 3 3 3 2 2 2" xfId="7493"/>
    <cellStyle name="Normal 4 3 3 3 3 2 2 2 2" xfId="15016"/>
    <cellStyle name="Normal 4 3 3 3 3 2 2 2 2 2" xfId="30060"/>
    <cellStyle name="Normal 4 3 3 3 3 2 2 2 2 3" xfId="45103"/>
    <cellStyle name="Normal 4 3 3 3 3 2 2 2 3" xfId="22539"/>
    <cellStyle name="Normal 4 3 3 3 3 2 2 2 4" xfId="37582"/>
    <cellStyle name="Normal 4 3 3 3 3 2 2 3" xfId="11267"/>
    <cellStyle name="Normal 4 3 3 3 3 2 2 3 2" xfId="26311"/>
    <cellStyle name="Normal 4 3 3 3 3 2 2 3 3" xfId="41354"/>
    <cellStyle name="Normal 4 3 3 3 3 2 2 4" xfId="18790"/>
    <cellStyle name="Normal 4 3 3 3 3 2 2 5" xfId="33833"/>
    <cellStyle name="Normal 4 3 3 3 3 2 3" xfId="5628"/>
    <cellStyle name="Normal 4 3 3 3 3 2 3 2" xfId="13151"/>
    <cellStyle name="Normal 4 3 3 3 3 2 3 2 2" xfId="28195"/>
    <cellStyle name="Normal 4 3 3 3 3 2 3 2 3" xfId="43238"/>
    <cellStyle name="Normal 4 3 3 3 3 2 3 3" xfId="20674"/>
    <cellStyle name="Normal 4 3 3 3 3 2 3 4" xfId="35717"/>
    <cellStyle name="Normal 4 3 3 3 3 2 4" xfId="9402"/>
    <cellStyle name="Normal 4 3 3 3 3 2 4 2" xfId="24446"/>
    <cellStyle name="Normal 4 3 3 3 3 2 4 3" xfId="39489"/>
    <cellStyle name="Normal 4 3 3 3 3 2 5" xfId="16925"/>
    <cellStyle name="Normal 4 3 3 3 3 2 6" xfId="31968"/>
    <cellStyle name="Normal 4 3 3 3 3 3" xfId="2766"/>
    <cellStyle name="Normal 4 3 3 3 3 3 2" xfId="6561"/>
    <cellStyle name="Normal 4 3 3 3 3 3 2 2" xfId="14084"/>
    <cellStyle name="Normal 4 3 3 3 3 3 2 2 2" xfId="29128"/>
    <cellStyle name="Normal 4 3 3 3 3 3 2 2 3" xfId="44171"/>
    <cellStyle name="Normal 4 3 3 3 3 3 2 3" xfId="21607"/>
    <cellStyle name="Normal 4 3 3 3 3 3 2 4" xfId="36650"/>
    <cellStyle name="Normal 4 3 3 3 3 3 3" xfId="10335"/>
    <cellStyle name="Normal 4 3 3 3 3 3 3 2" xfId="25379"/>
    <cellStyle name="Normal 4 3 3 3 3 3 3 3" xfId="40422"/>
    <cellStyle name="Normal 4 3 3 3 3 3 4" xfId="17858"/>
    <cellStyle name="Normal 4 3 3 3 3 3 5" xfId="32901"/>
    <cellStyle name="Normal 4 3 3 3 3 4" xfId="4696"/>
    <cellStyle name="Normal 4 3 3 3 3 4 2" xfId="12219"/>
    <cellStyle name="Normal 4 3 3 3 3 4 2 2" xfId="27263"/>
    <cellStyle name="Normal 4 3 3 3 3 4 2 3" xfId="42306"/>
    <cellStyle name="Normal 4 3 3 3 3 4 3" xfId="19742"/>
    <cellStyle name="Normal 4 3 3 3 3 4 4" xfId="34785"/>
    <cellStyle name="Normal 4 3 3 3 3 5" xfId="8470"/>
    <cellStyle name="Normal 4 3 3 3 3 5 2" xfId="23514"/>
    <cellStyle name="Normal 4 3 3 3 3 5 3" xfId="38557"/>
    <cellStyle name="Normal 4 3 3 3 3 6" xfId="15993"/>
    <cellStyle name="Normal 4 3 3 3 3 7" xfId="31036"/>
    <cellStyle name="Normal 4 3 3 3 4" xfId="1375"/>
    <cellStyle name="Normal 4 3 3 3 4 2" xfId="3246"/>
    <cellStyle name="Normal 4 3 3 3 4 2 2" xfId="7041"/>
    <cellStyle name="Normal 4 3 3 3 4 2 2 2" xfId="14564"/>
    <cellStyle name="Normal 4 3 3 3 4 2 2 2 2" xfId="29608"/>
    <cellStyle name="Normal 4 3 3 3 4 2 2 2 3" xfId="44651"/>
    <cellStyle name="Normal 4 3 3 3 4 2 2 3" xfId="22087"/>
    <cellStyle name="Normal 4 3 3 3 4 2 2 4" xfId="37130"/>
    <cellStyle name="Normal 4 3 3 3 4 2 3" xfId="10815"/>
    <cellStyle name="Normal 4 3 3 3 4 2 3 2" xfId="25859"/>
    <cellStyle name="Normal 4 3 3 3 4 2 3 3" xfId="40902"/>
    <cellStyle name="Normal 4 3 3 3 4 2 4" xfId="18338"/>
    <cellStyle name="Normal 4 3 3 3 4 2 5" xfId="33381"/>
    <cellStyle name="Normal 4 3 3 3 4 3" xfId="5176"/>
    <cellStyle name="Normal 4 3 3 3 4 3 2" xfId="12699"/>
    <cellStyle name="Normal 4 3 3 3 4 3 2 2" xfId="27743"/>
    <cellStyle name="Normal 4 3 3 3 4 3 2 3" xfId="42786"/>
    <cellStyle name="Normal 4 3 3 3 4 3 3" xfId="20222"/>
    <cellStyle name="Normal 4 3 3 3 4 3 4" xfId="35265"/>
    <cellStyle name="Normal 4 3 3 3 4 4" xfId="8950"/>
    <cellStyle name="Normal 4 3 3 3 4 4 2" xfId="23994"/>
    <cellStyle name="Normal 4 3 3 3 4 4 3" xfId="39037"/>
    <cellStyle name="Normal 4 3 3 3 4 5" xfId="16473"/>
    <cellStyle name="Normal 4 3 3 3 4 6" xfId="31516"/>
    <cellStyle name="Normal 4 3 3 3 5" xfId="2313"/>
    <cellStyle name="Normal 4 3 3 3 5 2" xfId="6109"/>
    <cellStyle name="Normal 4 3 3 3 5 2 2" xfId="13632"/>
    <cellStyle name="Normal 4 3 3 3 5 2 2 2" xfId="28676"/>
    <cellStyle name="Normal 4 3 3 3 5 2 2 3" xfId="43719"/>
    <cellStyle name="Normal 4 3 3 3 5 2 3" xfId="21155"/>
    <cellStyle name="Normal 4 3 3 3 5 2 4" xfId="36198"/>
    <cellStyle name="Normal 4 3 3 3 5 3" xfId="9883"/>
    <cellStyle name="Normal 4 3 3 3 5 3 2" xfId="24927"/>
    <cellStyle name="Normal 4 3 3 3 5 3 3" xfId="39970"/>
    <cellStyle name="Normal 4 3 3 3 5 4" xfId="17406"/>
    <cellStyle name="Normal 4 3 3 3 5 5" xfId="32449"/>
    <cellStyle name="Normal 4 3 3 3 6" xfId="4241"/>
    <cellStyle name="Normal 4 3 3 3 6 2" xfId="11765"/>
    <cellStyle name="Normal 4 3 3 3 6 2 2" xfId="26809"/>
    <cellStyle name="Normal 4 3 3 3 6 2 3" xfId="41852"/>
    <cellStyle name="Normal 4 3 3 3 6 3" xfId="19288"/>
    <cellStyle name="Normal 4 3 3 3 6 4" xfId="34331"/>
    <cellStyle name="Normal 4 3 3 3 7" xfId="8004"/>
    <cellStyle name="Normal 4 3 3 3 7 2" xfId="23048"/>
    <cellStyle name="Normal 4 3 3 3 7 3" xfId="38091"/>
    <cellStyle name="Normal 4 3 3 3 8" xfId="15527"/>
    <cellStyle name="Normal 4 3 3 3 9" xfId="30570"/>
    <cellStyle name="Normal 4 3 3 4" xfId="346"/>
    <cellStyle name="Normal 4 3 3 4 2" xfId="347"/>
    <cellStyle name="Normal 4 3 3 4 2 2" xfId="871"/>
    <cellStyle name="Normal 4 3 3 4 2 2 2" xfId="1830"/>
    <cellStyle name="Normal 4 3 3 4 2 2 2 2" xfId="3701"/>
    <cellStyle name="Normal 4 3 3 4 2 2 2 2 2" xfId="7496"/>
    <cellStyle name="Normal 4 3 3 4 2 2 2 2 2 2" xfId="15019"/>
    <cellStyle name="Normal 4 3 3 4 2 2 2 2 2 2 2" xfId="30063"/>
    <cellStyle name="Normal 4 3 3 4 2 2 2 2 2 2 3" xfId="45106"/>
    <cellStyle name="Normal 4 3 3 4 2 2 2 2 2 3" xfId="22542"/>
    <cellStyle name="Normal 4 3 3 4 2 2 2 2 2 4" xfId="37585"/>
    <cellStyle name="Normal 4 3 3 4 2 2 2 2 3" xfId="11270"/>
    <cellStyle name="Normal 4 3 3 4 2 2 2 2 3 2" xfId="26314"/>
    <cellStyle name="Normal 4 3 3 4 2 2 2 2 3 3" xfId="41357"/>
    <cellStyle name="Normal 4 3 3 4 2 2 2 2 4" xfId="18793"/>
    <cellStyle name="Normal 4 3 3 4 2 2 2 2 5" xfId="33836"/>
    <cellStyle name="Normal 4 3 3 4 2 2 2 3" xfId="5631"/>
    <cellStyle name="Normal 4 3 3 4 2 2 2 3 2" xfId="13154"/>
    <cellStyle name="Normal 4 3 3 4 2 2 2 3 2 2" xfId="28198"/>
    <cellStyle name="Normal 4 3 3 4 2 2 2 3 2 3" xfId="43241"/>
    <cellStyle name="Normal 4 3 3 4 2 2 2 3 3" xfId="20677"/>
    <cellStyle name="Normal 4 3 3 4 2 2 2 3 4" xfId="35720"/>
    <cellStyle name="Normal 4 3 3 4 2 2 2 4" xfId="9405"/>
    <cellStyle name="Normal 4 3 3 4 2 2 2 4 2" xfId="24449"/>
    <cellStyle name="Normal 4 3 3 4 2 2 2 4 3" xfId="39492"/>
    <cellStyle name="Normal 4 3 3 4 2 2 2 5" xfId="16928"/>
    <cellStyle name="Normal 4 3 3 4 2 2 2 6" xfId="31971"/>
    <cellStyle name="Normal 4 3 3 4 2 2 3" xfId="2769"/>
    <cellStyle name="Normal 4 3 3 4 2 2 3 2" xfId="6564"/>
    <cellStyle name="Normal 4 3 3 4 2 2 3 2 2" xfId="14087"/>
    <cellStyle name="Normal 4 3 3 4 2 2 3 2 2 2" xfId="29131"/>
    <cellStyle name="Normal 4 3 3 4 2 2 3 2 2 3" xfId="44174"/>
    <cellStyle name="Normal 4 3 3 4 2 2 3 2 3" xfId="21610"/>
    <cellStyle name="Normal 4 3 3 4 2 2 3 2 4" xfId="36653"/>
    <cellStyle name="Normal 4 3 3 4 2 2 3 3" xfId="10338"/>
    <cellStyle name="Normal 4 3 3 4 2 2 3 3 2" xfId="25382"/>
    <cellStyle name="Normal 4 3 3 4 2 2 3 3 3" xfId="40425"/>
    <cellStyle name="Normal 4 3 3 4 2 2 3 4" xfId="17861"/>
    <cellStyle name="Normal 4 3 3 4 2 2 3 5" xfId="32904"/>
    <cellStyle name="Normal 4 3 3 4 2 2 4" xfId="4699"/>
    <cellStyle name="Normal 4 3 3 4 2 2 4 2" xfId="12222"/>
    <cellStyle name="Normal 4 3 3 4 2 2 4 2 2" xfId="27266"/>
    <cellStyle name="Normal 4 3 3 4 2 2 4 2 3" xfId="42309"/>
    <cellStyle name="Normal 4 3 3 4 2 2 4 3" xfId="19745"/>
    <cellStyle name="Normal 4 3 3 4 2 2 4 4" xfId="34788"/>
    <cellStyle name="Normal 4 3 3 4 2 2 5" xfId="8473"/>
    <cellStyle name="Normal 4 3 3 4 2 2 5 2" xfId="23517"/>
    <cellStyle name="Normal 4 3 3 4 2 2 5 3" xfId="38560"/>
    <cellStyle name="Normal 4 3 3 4 2 2 6" xfId="15996"/>
    <cellStyle name="Normal 4 3 3 4 2 2 7" xfId="31039"/>
    <cellStyle name="Normal 4 3 3 4 2 3" xfId="1378"/>
    <cellStyle name="Normal 4 3 3 4 2 3 2" xfId="3249"/>
    <cellStyle name="Normal 4 3 3 4 2 3 2 2" xfId="7044"/>
    <cellStyle name="Normal 4 3 3 4 2 3 2 2 2" xfId="14567"/>
    <cellStyle name="Normal 4 3 3 4 2 3 2 2 2 2" xfId="29611"/>
    <cellStyle name="Normal 4 3 3 4 2 3 2 2 2 3" xfId="44654"/>
    <cellStyle name="Normal 4 3 3 4 2 3 2 2 3" xfId="22090"/>
    <cellStyle name="Normal 4 3 3 4 2 3 2 2 4" xfId="37133"/>
    <cellStyle name="Normal 4 3 3 4 2 3 2 3" xfId="10818"/>
    <cellStyle name="Normal 4 3 3 4 2 3 2 3 2" xfId="25862"/>
    <cellStyle name="Normal 4 3 3 4 2 3 2 3 3" xfId="40905"/>
    <cellStyle name="Normal 4 3 3 4 2 3 2 4" xfId="18341"/>
    <cellStyle name="Normal 4 3 3 4 2 3 2 5" xfId="33384"/>
    <cellStyle name="Normal 4 3 3 4 2 3 3" xfId="5179"/>
    <cellStyle name="Normal 4 3 3 4 2 3 3 2" xfId="12702"/>
    <cellStyle name="Normal 4 3 3 4 2 3 3 2 2" xfId="27746"/>
    <cellStyle name="Normal 4 3 3 4 2 3 3 2 3" xfId="42789"/>
    <cellStyle name="Normal 4 3 3 4 2 3 3 3" xfId="20225"/>
    <cellStyle name="Normal 4 3 3 4 2 3 3 4" xfId="35268"/>
    <cellStyle name="Normal 4 3 3 4 2 3 4" xfId="8953"/>
    <cellStyle name="Normal 4 3 3 4 2 3 4 2" xfId="23997"/>
    <cellStyle name="Normal 4 3 3 4 2 3 4 3" xfId="39040"/>
    <cellStyle name="Normal 4 3 3 4 2 3 5" xfId="16476"/>
    <cellStyle name="Normal 4 3 3 4 2 3 6" xfId="31519"/>
    <cellStyle name="Normal 4 3 3 4 2 4" xfId="2316"/>
    <cellStyle name="Normal 4 3 3 4 2 4 2" xfId="6112"/>
    <cellStyle name="Normal 4 3 3 4 2 4 2 2" xfId="13635"/>
    <cellStyle name="Normal 4 3 3 4 2 4 2 2 2" xfId="28679"/>
    <cellStyle name="Normal 4 3 3 4 2 4 2 2 3" xfId="43722"/>
    <cellStyle name="Normal 4 3 3 4 2 4 2 3" xfId="21158"/>
    <cellStyle name="Normal 4 3 3 4 2 4 2 4" xfId="36201"/>
    <cellStyle name="Normal 4 3 3 4 2 4 3" xfId="9886"/>
    <cellStyle name="Normal 4 3 3 4 2 4 3 2" xfId="24930"/>
    <cellStyle name="Normal 4 3 3 4 2 4 3 3" xfId="39973"/>
    <cellStyle name="Normal 4 3 3 4 2 4 4" xfId="17409"/>
    <cellStyle name="Normal 4 3 3 4 2 4 5" xfId="32452"/>
    <cellStyle name="Normal 4 3 3 4 2 5" xfId="4244"/>
    <cellStyle name="Normal 4 3 3 4 2 5 2" xfId="11768"/>
    <cellStyle name="Normal 4 3 3 4 2 5 2 2" xfId="26812"/>
    <cellStyle name="Normal 4 3 3 4 2 5 2 3" xfId="41855"/>
    <cellStyle name="Normal 4 3 3 4 2 5 3" xfId="19291"/>
    <cellStyle name="Normal 4 3 3 4 2 5 4" xfId="34334"/>
    <cellStyle name="Normal 4 3 3 4 2 6" xfId="8007"/>
    <cellStyle name="Normal 4 3 3 4 2 6 2" xfId="23051"/>
    <cellStyle name="Normal 4 3 3 4 2 6 3" xfId="38094"/>
    <cellStyle name="Normal 4 3 3 4 2 7" xfId="15530"/>
    <cellStyle name="Normal 4 3 3 4 2 8" xfId="30573"/>
    <cellStyle name="Normal 4 3 3 4 3" xfId="870"/>
    <cellStyle name="Normal 4 3 3 4 3 2" xfId="1829"/>
    <cellStyle name="Normal 4 3 3 4 3 2 2" xfId="3700"/>
    <cellStyle name="Normal 4 3 3 4 3 2 2 2" xfId="7495"/>
    <cellStyle name="Normal 4 3 3 4 3 2 2 2 2" xfId="15018"/>
    <cellStyle name="Normal 4 3 3 4 3 2 2 2 2 2" xfId="30062"/>
    <cellStyle name="Normal 4 3 3 4 3 2 2 2 2 3" xfId="45105"/>
    <cellStyle name="Normal 4 3 3 4 3 2 2 2 3" xfId="22541"/>
    <cellStyle name="Normal 4 3 3 4 3 2 2 2 4" xfId="37584"/>
    <cellStyle name="Normal 4 3 3 4 3 2 2 3" xfId="11269"/>
    <cellStyle name="Normal 4 3 3 4 3 2 2 3 2" xfId="26313"/>
    <cellStyle name="Normal 4 3 3 4 3 2 2 3 3" xfId="41356"/>
    <cellStyle name="Normal 4 3 3 4 3 2 2 4" xfId="18792"/>
    <cellStyle name="Normal 4 3 3 4 3 2 2 5" xfId="33835"/>
    <cellStyle name="Normal 4 3 3 4 3 2 3" xfId="5630"/>
    <cellStyle name="Normal 4 3 3 4 3 2 3 2" xfId="13153"/>
    <cellStyle name="Normal 4 3 3 4 3 2 3 2 2" xfId="28197"/>
    <cellStyle name="Normal 4 3 3 4 3 2 3 2 3" xfId="43240"/>
    <cellStyle name="Normal 4 3 3 4 3 2 3 3" xfId="20676"/>
    <cellStyle name="Normal 4 3 3 4 3 2 3 4" xfId="35719"/>
    <cellStyle name="Normal 4 3 3 4 3 2 4" xfId="9404"/>
    <cellStyle name="Normal 4 3 3 4 3 2 4 2" xfId="24448"/>
    <cellStyle name="Normal 4 3 3 4 3 2 4 3" xfId="39491"/>
    <cellStyle name="Normal 4 3 3 4 3 2 5" xfId="16927"/>
    <cellStyle name="Normal 4 3 3 4 3 2 6" xfId="31970"/>
    <cellStyle name="Normal 4 3 3 4 3 3" xfId="2768"/>
    <cellStyle name="Normal 4 3 3 4 3 3 2" xfId="6563"/>
    <cellStyle name="Normal 4 3 3 4 3 3 2 2" xfId="14086"/>
    <cellStyle name="Normal 4 3 3 4 3 3 2 2 2" xfId="29130"/>
    <cellStyle name="Normal 4 3 3 4 3 3 2 2 3" xfId="44173"/>
    <cellStyle name="Normal 4 3 3 4 3 3 2 3" xfId="21609"/>
    <cellStyle name="Normal 4 3 3 4 3 3 2 4" xfId="36652"/>
    <cellStyle name="Normal 4 3 3 4 3 3 3" xfId="10337"/>
    <cellStyle name="Normal 4 3 3 4 3 3 3 2" xfId="25381"/>
    <cellStyle name="Normal 4 3 3 4 3 3 3 3" xfId="40424"/>
    <cellStyle name="Normal 4 3 3 4 3 3 4" xfId="17860"/>
    <cellStyle name="Normal 4 3 3 4 3 3 5" xfId="32903"/>
    <cellStyle name="Normal 4 3 3 4 3 4" xfId="4698"/>
    <cellStyle name="Normal 4 3 3 4 3 4 2" xfId="12221"/>
    <cellStyle name="Normal 4 3 3 4 3 4 2 2" xfId="27265"/>
    <cellStyle name="Normal 4 3 3 4 3 4 2 3" xfId="42308"/>
    <cellStyle name="Normal 4 3 3 4 3 4 3" xfId="19744"/>
    <cellStyle name="Normal 4 3 3 4 3 4 4" xfId="34787"/>
    <cellStyle name="Normal 4 3 3 4 3 5" xfId="8472"/>
    <cellStyle name="Normal 4 3 3 4 3 5 2" xfId="23516"/>
    <cellStyle name="Normal 4 3 3 4 3 5 3" xfId="38559"/>
    <cellStyle name="Normal 4 3 3 4 3 6" xfId="15995"/>
    <cellStyle name="Normal 4 3 3 4 3 7" xfId="31038"/>
    <cellStyle name="Normal 4 3 3 4 4" xfId="1377"/>
    <cellStyle name="Normal 4 3 3 4 4 2" xfId="3248"/>
    <cellStyle name="Normal 4 3 3 4 4 2 2" xfId="7043"/>
    <cellStyle name="Normal 4 3 3 4 4 2 2 2" xfId="14566"/>
    <cellStyle name="Normal 4 3 3 4 4 2 2 2 2" xfId="29610"/>
    <cellStyle name="Normal 4 3 3 4 4 2 2 2 3" xfId="44653"/>
    <cellStyle name="Normal 4 3 3 4 4 2 2 3" xfId="22089"/>
    <cellStyle name="Normal 4 3 3 4 4 2 2 4" xfId="37132"/>
    <cellStyle name="Normal 4 3 3 4 4 2 3" xfId="10817"/>
    <cellStyle name="Normal 4 3 3 4 4 2 3 2" xfId="25861"/>
    <cellStyle name="Normal 4 3 3 4 4 2 3 3" xfId="40904"/>
    <cellStyle name="Normal 4 3 3 4 4 2 4" xfId="18340"/>
    <cellStyle name="Normal 4 3 3 4 4 2 5" xfId="33383"/>
    <cellStyle name="Normal 4 3 3 4 4 3" xfId="5178"/>
    <cellStyle name="Normal 4 3 3 4 4 3 2" xfId="12701"/>
    <cellStyle name="Normal 4 3 3 4 4 3 2 2" xfId="27745"/>
    <cellStyle name="Normal 4 3 3 4 4 3 2 3" xfId="42788"/>
    <cellStyle name="Normal 4 3 3 4 4 3 3" xfId="20224"/>
    <cellStyle name="Normal 4 3 3 4 4 3 4" xfId="35267"/>
    <cellStyle name="Normal 4 3 3 4 4 4" xfId="8952"/>
    <cellStyle name="Normal 4 3 3 4 4 4 2" xfId="23996"/>
    <cellStyle name="Normal 4 3 3 4 4 4 3" xfId="39039"/>
    <cellStyle name="Normal 4 3 3 4 4 5" xfId="16475"/>
    <cellStyle name="Normal 4 3 3 4 4 6" xfId="31518"/>
    <cellStyle name="Normal 4 3 3 4 5" xfId="2315"/>
    <cellStyle name="Normal 4 3 3 4 5 2" xfId="6111"/>
    <cellStyle name="Normal 4 3 3 4 5 2 2" xfId="13634"/>
    <cellStyle name="Normal 4 3 3 4 5 2 2 2" xfId="28678"/>
    <cellStyle name="Normal 4 3 3 4 5 2 2 3" xfId="43721"/>
    <cellStyle name="Normal 4 3 3 4 5 2 3" xfId="21157"/>
    <cellStyle name="Normal 4 3 3 4 5 2 4" xfId="36200"/>
    <cellStyle name="Normal 4 3 3 4 5 3" xfId="9885"/>
    <cellStyle name="Normal 4 3 3 4 5 3 2" xfId="24929"/>
    <cellStyle name="Normal 4 3 3 4 5 3 3" xfId="39972"/>
    <cellStyle name="Normal 4 3 3 4 5 4" xfId="17408"/>
    <cellStyle name="Normal 4 3 3 4 5 5" xfId="32451"/>
    <cellStyle name="Normal 4 3 3 4 6" xfId="4243"/>
    <cellStyle name="Normal 4 3 3 4 6 2" xfId="11767"/>
    <cellStyle name="Normal 4 3 3 4 6 2 2" xfId="26811"/>
    <cellStyle name="Normal 4 3 3 4 6 2 3" xfId="41854"/>
    <cellStyle name="Normal 4 3 3 4 6 3" xfId="19290"/>
    <cellStyle name="Normal 4 3 3 4 6 4" xfId="34333"/>
    <cellStyle name="Normal 4 3 3 4 7" xfId="8006"/>
    <cellStyle name="Normal 4 3 3 4 7 2" xfId="23050"/>
    <cellStyle name="Normal 4 3 3 4 7 3" xfId="38093"/>
    <cellStyle name="Normal 4 3 3 4 8" xfId="15529"/>
    <cellStyle name="Normal 4 3 3 4 9" xfId="30572"/>
    <cellStyle name="Normal 4 3 3 5" xfId="348"/>
    <cellStyle name="Normal 4 3 3 5 2" xfId="872"/>
    <cellStyle name="Normal 4 3 3 5 2 2" xfId="1831"/>
    <cellStyle name="Normal 4 3 3 5 2 2 2" xfId="3702"/>
    <cellStyle name="Normal 4 3 3 5 2 2 2 2" xfId="7497"/>
    <cellStyle name="Normal 4 3 3 5 2 2 2 2 2" xfId="15020"/>
    <cellStyle name="Normal 4 3 3 5 2 2 2 2 2 2" xfId="30064"/>
    <cellStyle name="Normal 4 3 3 5 2 2 2 2 2 3" xfId="45107"/>
    <cellStyle name="Normal 4 3 3 5 2 2 2 2 3" xfId="22543"/>
    <cellStyle name="Normal 4 3 3 5 2 2 2 2 4" xfId="37586"/>
    <cellStyle name="Normal 4 3 3 5 2 2 2 3" xfId="11271"/>
    <cellStyle name="Normal 4 3 3 5 2 2 2 3 2" xfId="26315"/>
    <cellStyle name="Normal 4 3 3 5 2 2 2 3 3" xfId="41358"/>
    <cellStyle name="Normal 4 3 3 5 2 2 2 4" xfId="18794"/>
    <cellStyle name="Normal 4 3 3 5 2 2 2 5" xfId="33837"/>
    <cellStyle name="Normal 4 3 3 5 2 2 3" xfId="5632"/>
    <cellStyle name="Normal 4 3 3 5 2 2 3 2" xfId="13155"/>
    <cellStyle name="Normal 4 3 3 5 2 2 3 2 2" xfId="28199"/>
    <cellStyle name="Normal 4 3 3 5 2 2 3 2 3" xfId="43242"/>
    <cellStyle name="Normal 4 3 3 5 2 2 3 3" xfId="20678"/>
    <cellStyle name="Normal 4 3 3 5 2 2 3 4" xfId="35721"/>
    <cellStyle name="Normal 4 3 3 5 2 2 4" xfId="9406"/>
    <cellStyle name="Normal 4 3 3 5 2 2 4 2" xfId="24450"/>
    <cellStyle name="Normal 4 3 3 5 2 2 4 3" xfId="39493"/>
    <cellStyle name="Normal 4 3 3 5 2 2 5" xfId="16929"/>
    <cellStyle name="Normal 4 3 3 5 2 2 6" xfId="31972"/>
    <cellStyle name="Normal 4 3 3 5 2 3" xfId="2770"/>
    <cellStyle name="Normal 4 3 3 5 2 3 2" xfId="6565"/>
    <cellStyle name="Normal 4 3 3 5 2 3 2 2" xfId="14088"/>
    <cellStyle name="Normal 4 3 3 5 2 3 2 2 2" xfId="29132"/>
    <cellStyle name="Normal 4 3 3 5 2 3 2 2 3" xfId="44175"/>
    <cellStyle name="Normal 4 3 3 5 2 3 2 3" xfId="21611"/>
    <cellStyle name="Normal 4 3 3 5 2 3 2 4" xfId="36654"/>
    <cellStyle name="Normal 4 3 3 5 2 3 3" xfId="10339"/>
    <cellStyle name="Normal 4 3 3 5 2 3 3 2" xfId="25383"/>
    <cellStyle name="Normal 4 3 3 5 2 3 3 3" xfId="40426"/>
    <cellStyle name="Normal 4 3 3 5 2 3 4" xfId="17862"/>
    <cellStyle name="Normal 4 3 3 5 2 3 5" xfId="32905"/>
    <cellStyle name="Normal 4 3 3 5 2 4" xfId="4700"/>
    <cellStyle name="Normal 4 3 3 5 2 4 2" xfId="12223"/>
    <cellStyle name="Normal 4 3 3 5 2 4 2 2" xfId="27267"/>
    <cellStyle name="Normal 4 3 3 5 2 4 2 3" xfId="42310"/>
    <cellStyle name="Normal 4 3 3 5 2 4 3" xfId="19746"/>
    <cellStyle name="Normal 4 3 3 5 2 4 4" xfId="34789"/>
    <cellStyle name="Normal 4 3 3 5 2 5" xfId="8474"/>
    <cellStyle name="Normal 4 3 3 5 2 5 2" xfId="23518"/>
    <cellStyle name="Normal 4 3 3 5 2 5 3" xfId="38561"/>
    <cellStyle name="Normal 4 3 3 5 2 6" xfId="15997"/>
    <cellStyle name="Normal 4 3 3 5 2 7" xfId="31040"/>
    <cellStyle name="Normal 4 3 3 5 3" xfId="1379"/>
    <cellStyle name="Normal 4 3 3 5 3 2" xfId="3250"/>
    <cellStyle name="Normal 4 3 3 5 3 2 2" xfId="7045"/>
    <cellStyle name="Normal 4 3 3 5 3 2 2 2" xfId="14568"/>
    <cellStyle name="Normal 4 3 3 5 3 2 2 2 2" xfId="29612"/>
    <cellStyle name="Normal 4 3 3 5 3 2 2 2 3" xfId="44655"/>
    <cellStyle name="Normal 4 3 3 5 3 2 2 3" xfId="22091"/>
    <cellStyle name="Normal 4 3 3 5 3 2 2 4" xfId="37134"/>
    <cellStyle name="Normal 4 3 3 5 3 2 3" xfId="10819"/>
    <cellStyle name="Normal 4 3 3 5 3 2 3 2" xfId="25863"/>
    <cellStyle name="Normal 4 3 3 5 3 2 3 3" xfId="40906"/>
    <cellStyle name="Normal 4 3 3 5 3 2 4" xfId="18342"/>
    <cellStyle name="Normal 4 3 3 5 3 2 5" xfId="33385"/>
    <cellStyle name="Normal 4 3 3 5 3 3" xfId="5180"/>
    <cellStyle name="Normal 4 3 3 5 3 3 2" xfId="12703"/>
    <cellStyle name="Normal 4 3 3 5 3 3 2 2" xfId="27747"/>
    <cellStyle name="Normal 4 3 3 5 3 3 2 3" xfId="42790"/>
    <cellStyle name="Normal 4 3 3 5 3 3 3" xfId="20226"/>
    <cellStyle name="Normal 4 3 3 5 3 3 4" xfId="35269"/>
    <cellStyle name="Normal 4 3 3 5 3 4" xfId="8954"/>
    <cellStyle name="Normal 4 3 3 5 3 4 2" xfId="23998"/>
    <cellStyle name="Normal 4 3 3 5 3 4 3" xfId="39041"/>
    <cellStyle name="Normal 4 3 3 5 3 5" xfId="16477"/>
    <cellStyle name="Normal 4 3 3 5 3 6" xfId="31520"/>
    <cellStyle name="Normal 4 3 3 5 4" xfId="2317"/>
    <cellStyle name="Normal 4 3 3 5 4 2" xfId="6113"/>
    <cellStyle name="Normal 4 3 3 5 4 2 2" xfId="13636"/>
    <cellStyle name="Normal 4 3 3 5 4 2 2 2" xfId="28680"/>
    <cellStyle name="Normal 4 3 3 5 4 2 2 3" xfId="43723"/>
    <cellStyle name="Normal 4 3 3 5 4 2 3" xfId="21159"/>
    <cellStyle name="Normal 4 3 3 5 4 2 4" xfId="36202"/>
    <cellStyle name="Normal 4 3 3 5 4 3" xfId="9887"/>
    <cellStyle name="Normal 4 3 3 5 4 3 2" xfId="24931"/>
    <cellStyle name="Normal 4 3 3 5 4 3 3" xfId="39974"/>
    <cellStyle name="Normal 4 3 3 5 4 4" xfId="17410"/>
    <cellStyle name="Normal 4 3 3 5 4 5" xfId="32453"/>
    <cellStyle name="Normal 4 3 3 5 5" xfId="4245"/>
    <cellStyle name="Normal 4 3 3 5 5 2" xfId="11769"/>
    <cellStyle name="Normal 4 3 3 5 5 2 2" xfId="26813"/>
    <cellStyle name="Normal 4 3 3 5 5 2 3" xfId="41856"/>
    <cellStyle name="Normal 4 3 3 5 5 3" xfId="19292"/>
    <cellStyle name="Normal 4 3 3 5 5 4" xfId="34335"/>
    <cellStyle name="Normal 4 3 3 5 6" xfId="8008"/>
    <cellStyle name="Normal 4 3 3 5 6 2" xfId="23052"/>
    <cellStyle name="Normal 4 3 3 5 6 3" xfId="38095"/>
    <cellStyle name="Normal 4 3 3 5 7" xfId="15531"/>
    <cellStyle name="Normal 4 3 3 5 8" xfId="30574"/>
    <cellStyle name="Normal 4 3 3 6" xfId="861"/>
    <cellStyle name="Normal 4 3 3 6 2" xfId="1820"/>
    <cellStyle name="Normal 4 3 3 6 2 2" xfId="3691"/>
    <cellStyle name="Normal 4 3 3 6 2 2 2" xfId="7486"/>
    <cellStyle name="Normal 4 3 3 6 2 2 2 2" xfId="15009"/>
    <cellStyle name="Normal 4 3 3 6 2 2 2 2 2" xfId="30053"/>
    <cellStyle name="Normal 4 3 3 6 2 2 2 2 3" xfId="45096"/>
    <cellStyle name="Normal 4 3 3 6 2 2 2 3" xfId="22532"/>
    <cellStyle name="Normal 4 3 3 6 2 2 2 4" xfId="37575"/>
    <cellStyle name="Normal 4 3 3 6 2 2 3" xfId="11260"/>
    <cellStyle name="Normal 4 3 3 6 2 2 3 2" xfId="26304"/>
    <cellStyle name="Normal 4 3 3 6 2 2 3 3" xfId="41347"/>
    <cellStyle name="Normal 4 3 3 6 2 2 4" xfId="18783"/>
    <cellStyle name="Normal 4 3 3 6 2 2 5" xfId="33826"/>
    <cellStyle name="Normal 4 3 3 6 2 3" xfId="5621"/>
    <cellStyle name="Normal 4 3 3 6 2 3 2" xfId="13144"/>
    <cellStyle name="Normal 4 3 3 6 2 3 2 2" xfId="28188"/>
    <cellStyle name="Normal 4 3 3 6 2 3 2 3" xfId="43231"/>
    <cellStyle name="Normal 4 3 3 6 2 3 3" xfId="20667"/>
    <cellStyle name="Normal 4 3 3 6 2 3 4" xfId="35710"/>
    <cellStyle name="Normal 4 3 3 6 2 4" xfId="9395"/>
    <cellStyle name="Normal 4 3 3 6 2 4 2" xfId="24439"/>
    <cellStyle name="Normal 4 3 3 6 2 4 3" xfId="39482"/>
    <cellStyle name="Normal 4 3 3 6 2 5" xfId="16918"/>
    <cellStyle name="Normal 4 3 3 6 2 6" xfId="31961"/>
    <cellStyle name="Normal 4 3 3 6 3" xfId="2759"/>
    <cellStyle name="Normal 4 3 3 6 3 2" xfId="6554"/>
    <cellStyle name="Normal 4 3 3 6 3 2 2" xfId="14077"/>
    <cellStyle name="Normal 4 3 3 6 3 2 2 2" xfId="29121"/>
    <cellStyle name="Normal 4 3 3 6 3 2 2 3" xfId="44164"/>
    <cellStyle name="Normal 4 3 3 6 3 2 3" xfId="21600"/>
    <cellStyle name="Normal 4 3 3 6 3 2 4" xfId="36643"/>
    <cellStyle name="Normal 4 3 3 6 3 3" xfId="10328"/>
    <cellStyle name="Normal 4 3 3 6 3 3 2" xfId="25372"/>
    <cellStyle name="Normal 4 3 3 6 3 3 3" xfId="40415"/>
    <cellStyle name="Normal 4 3 3 6 3 4" xfId="17851"/>
    <cellStyle name="Normal 4 3 3 6 3 5" xfId="32894"/>
    <cellStyle name="Normal 4 3 3 6 4" xfId="4689"/>
    <cellStyle name="Normal 4 3 3 6 4 2" xfId="12212"/>
    <cellStyle name="Normal 4 3 3 6 4 2 2" xfId="27256"/>
    <cellStyle name="Normal 4 3 3 6 4 2 3" xfId="42299"/>
    <cellStyle name="Normal 4 3 3 6 4 3" xfId="19735"/>
    <cellStyle name="Normal 4 3 3 6 4 4" xfId="34778"/>
    <cellStyle name="Normal 4 3 3 6 5" xfId="8463"/>
    <cellStyle name="Normal 4 3 3 6 5 2" xfId="23507"/>
    <cellStyle name="Normal 4 3 3 6 5 3" xfId="38550"/>
    <cellStyle name="Normal 4 3 3 6 6" xfId="15986"/>
    <cellStyle name="Normal 4 3 3 6 7" xfId="31029"/>
    <cellStyle name="Normal 4 3 3 7" xfId="1368"/>
    <cellStyle name="Normal 4 3 3 7 2" xfId="3239"/>
    <cellStyle name="Normal 4 3 3 7 2 2" xfId="7034"/>
    <cellStyle name="Normal 4 3 3 7 2 2 2" xfId="14557"/>
    <cellStyle name="Normal 4 3 3 7 2 2 2 2" xfId="29601"/>
    <cellStyle name="Normal 4 3 3 7 2 2 2 3" xfId="44644"/>
    <cellStyle name="Normal 4 3 3 7 2 2 3" xfId="22080"/>
    <cellStyle name="Normal 4 3 3 7 2 2 4" xfId="37123"/>
    <cellStyle name="Normal 4 3 3 7 2 3" xfId="10808"/>
    <cellStyle name="Normal 4 3 3 7 2 3 2" xfId="25852"/>
    <cellStyle name="Normal 4 3 3 7 2 3 3" xfId="40895"/>
    <cellStyle name="Normal 4 3 3 7 2 4" xfId="18331"/>
    <cellStyle name="Normal 4 3 3 7 2 5" xfId="33374"/>
    <cellStyle name="Normal 4 3 3 7 3" xfId="5169"/>
    <cellStyle name="Normal 4 3 3 7 3 2" xfId="12692"/>
    <cellStyle name="Normal 4 3 3 7 3 2 2" xfId="27736"/>
    <cellStyle name="Normal 4 3 3 7 3 2 3" xfId="42779"/>
    <cellStyle name="Normal 4 3 3 7 3 3" xfId="20215"/>
    <cellStyle name="Normal 4 3 3 7 3 4" xfId="35258"/>
    <cellStyle name="Normal 4 3 3 7 4" xfId="8943"/>
    <cellStyle name="Normal 4 3 3 7 4 2" xfId="23987"/>
    <cellStyle name="Normal 4 3 3 7 4 3" xfId="39030"/>
    <cellStyle name="Normal 4 3 3 7 5" xfId="16466"/>
    <cellStyle name="Normal 4 3 3 7 6" xfId="31509"/>
    <cellStyle name="Normal 4 3 3 8" xfId="2306"/>
    <cellStyle name="Normal 4 3 3 8 2" xfId="6102"/>
    <cellStyle name="Normal 4 3 3 8 2 2" xfId="13625"/>
    <cellStyle name="Normal 4 3 3 8 2 2 2" xfId="28669"/>
    <cellStyle name="Normal 4 3 3 8 2 2 3" xfId="43712"/>
    <cellStyle name="Normal 4 3 3 8 2 3" xfId="21148"/>
    <cellStyle name="Normal 4 3 3 8 2 4" xfId="36191"/>
    <cellStyle name="Normal 4 3 3 8 3" xfId="9876"/>
    <cellStyle name="Normal 4 3 3 8 3 2" xfId="24920"/>
    <cellStyle name="Normal 4 3 3 8 3 3" xfId="39963"/>
    <cellStyle name="Normal 4 3 3 8 4" xfId="17399"/>
    <cellStyle name="Normal 4 3 3 8 5" xfId="32442"/>
    <cellStyle name="Normal 4 3 3 9" xfId="4234"/>
    <cellStyle name="Normal 4 3 3 9 2" xfId="11758"/>
    <cellStyle name="Normal 4 3 3 9 2 2" xfId="26802"/>
    <cellStyle name="Normal 4 3 3 9 2 3" xfId="41845"/>
    <cellStyle name="Normal 4 3 3 9 3" xfId="19281"/>
    <cellStyle name="Normal 4 3 3 9 4" xfId="34324"/>
    <cellStyle name="Normal 4 3 4" xfId="349"/>
    <cellStyle name="Normal 4 3 4 10" xfId="15532"/>
    <cellStyle name="Normal 4 3 4 11" xfId="30575"/>
    <cellStyle name="Normal 4 3 4 2" xfId="350"/>
    <cellStyle name="Normal 4 3 4 2 2" xfId="351"/>
    <cellStyle name="Normal 4 3 4 2 2 2" xfId="875"/>
    <cellStyle name="Normal 4 3 4 2 2 2 2" xfId="1834"/>
    <cellStyle name="Normal 4 3 4 2 2 2 2 2" xfId="3705"/>
    <cellStyle name="Normal 4 3 4 2 2 2 2 2 2" xfId="7500"/>
    <cellStyle name="Normal 4 3 4 2 2 2 2 2 2 2" xfId="15023"/>
    <cellStyle name="Normal 4 3 4 2 2 2 2 2 2 2 2" xfId="30067"/>
    <cellStyle name="Normal 4 3 4 2 2 2 2 2 2 2 3" xfId="45110"/>
    <cellStyle name="Normal 4 3 4 2 2 2 2 2 2 3" xfId="22546"/>
    <cellStyle name="Normal 4 3 4 2 2 2 2 2 2 4" xfId="37589"/>
    <cellStyle name="Normal 4 3 4 2 2 2 2 2 3" xfId="11274"/>
    <cellStyle name="Normal 4 3 4 2 2 2 2 2 3 2" xfId="26318"/>
    <cellStyle name="Normal 4 3 4 2 2 2 2 2 3 3" xfId="41361"/>
    <cellStyle name="Normal 4 3 4 2 2 2 2 2 4" xfId="18797"/>
    <cellStyle name="Normal 4 3 4 2 2 2 2 2 5" xfId="33840"/>
    <cellStyle name="Normal 4 3 4 2 2 2 2 3" xfId="5635"/>
    <cellStyle name="Normal 4 3 4 2 2 2 2 3 2" xfId="13158"/>
    <cellStyle name="Normal 4 3 4 2 2 2 2 3 2 2" xfId="28202"/>
    <cellStyle name="Normal 4 3 4 2 2 2 2 3 2 3" xfId="43245"/>
    <cellStyle name="Normal 4 3 4 2 2 2 2 3 3" xfId="20681"/>
    <cellStyle name="Normal 4 3 4 2 2 2 2 3 4" xfId="35724"/>
    <cellStyle name="Normal 4 3 4 2 2 2 2 4" xfId="9409"/>
    <cellStyle name="Normal 4 3 4 2 2 2 2 4 2" xfId="24453"/>
    <cellStyle name="Normal 4 3 4 2 2 2 2 4 3" xfId="39496"/>
    <cellStyle name="Normal 4 3 4 2 2 2 2 5" xfId="16932"/>
    <cellStyle name="Normal 4 3 4 2 2 2 2 6" xfId="31975"/>
    <cellStyle name="Normal 4 3 4 2 2 2 3" xfId="2773"/>
    <cellStyle name="Normal 4 3 4 2 2 2 3 2" xfId="6568"/>
    <cellStyle name="Normal 4 3 4 2 2 2 3 2 2" xfId="14091"/>
    <cellStyle name="Normal 4 3 4 2 2 2 3 2 2 2" xfId="29135"/>
    <cellStyle name="Normal 4 3 4 2 2 2 3 2 2 3" xfId="44178"/>
    <cellStyle name="Normal 4 3 4 2 2 2 3 2 3" xfId="21614"/>
    <cellStyle name="Normal 4 3 4 2 2 2 3 2 4" xfId="36657"/>
    <cellStyle name="Normal 4 3 4 2 2 2 3 3" xfId="10342"/>
    <cellStyle name="Normal 4 3 4 2 2 2 3 3 2" xfId="25386"/>
    <cellStyle name="Normal 4 3 4 2 2 2 3 3 3" xfId="40429"/>
    <cellStyle name="Normal 4 3 4 2 2 2 3 4" xfId="17865"/>
    <cellStyle name="Normal 4 3 4 2 2 2 3 5" xfId="32908"/>
    <cellStyle name="Normal 4 3 4 2 2 2 4" xfId="4703"/>
    <cellStyle name="Normal 4 3 4 2 2 2 4 2" xfId="12226"/>
    <cellStyle name="Normal 4 3 4 2 2 2 4 2 2" xfId="27270"/>
    <cellStyle name="Normal 4 3 4 2 2 2 4 2 3" xfId="42313"/>
    <cellStyle name="Normal 4 3 4 2 2 2 4 3" xfId="19749"/>
    <cellStyle name="Normal 4 3 4 2 2 2 4 4" xfId="34792"/>
    <cellStyle name="Normal 4 3 4 2 2 2 5" xfId="8477"/>
    <cellStyle name="Normal 4 3 4 2 2 2 5 2" xfId="23521"/>
    <cellStyle name="Normal 4 3 4 2 2 2 5 3" xfId="38564"/>
    <cellStyle name="Normal 4 3 4 2 2 2 6" xfId="16000"/>
    <cellStyle name="Normal 4 3 4 2 2 2 7" xfId="31043"/>
    <cellStyle name="Normal 4 3 4 2 2 3" xfId="1382"/>
    <cellStyle name="Normal 4 3 4 2 2 3 2" xfId="3253"/>
    <cellStyle name="Normal 4 3 4 2 2 3 2 2" xfId="7048"/>
    <cellStyle name="Normal 4 3 4 2 2 3 2 2 2" xfId="14571"/>
    <cellStyle name="Normal 4 3 4 2 2 3 2 2 2 2" xfId="29615"/>
    <cellStyle name="Normal 4 3 4 2 2 3 2 2 2 3" xfId="44658"/>
    <cellStyle name="Normal 4 3 4 2 2 3 2 2 3" xfId="22094"/>
    <cellStyle name="Normal 4 3 4 2 2 3 2 2 4" xfId="37137"/>
    <cellStyle name="Normal 4 3 4 2 2 3 2 3" xfId="10822"/>
    <cellStyle name="Normal 4 3 4 2 2 3 2 3 2" xfId="25866"/>
    <cellStyle name="Normal 4 3 4 2 2 3 2 3 3" xfId="40909"/>
    <cellStyle name="Normal 4 3 4 2 2 3 2 4" xfId="18345"/>
    <cellStyle name="Normal 4 3 4 2 2 3 2 5" xfId="33388"/>
    <cellStyle name="Normal 4 3 4 2 2 3 3" xfId="5183"/>
    <cellStyle name="Normal 4 3 4 2 2 3 3 2" xfId="12706"/>
    <cellStyle name="Normal 4 3 4 2 2 3 3 2 2" xfId="27750"/>
    <cellStyle name="Normal 4 3 4 2 2 3 3 2 3" xfId="42793"/>
    <cellStyle name="Normal 4 3 4 2 2 3 3 3" xfId="20229"/>
    <cellStyle name="Normal 4 3 4 2 2 3 3 4" xfId="35272"/>
    <cellStyle name="Normal 4 3 4 2 2 3 4" xfId="8957"/>
    <cellStyle name="Normal 4 3 4 2 2 3 4 2" xfId="24001"/>
    <cellStyle name="Normal 4 3 4 2 2 3 4 3" xfId="39044"/>
    <cellStyle name="Normal 4 3 4 2 2 3 5" xfId="16480"/>
    <cellStyle name="Normal 4 3 4 2 2 3 6" xfId="31523"/>
    <cellStyle name="Normal 4 3 4 2 2 4" xfId="2320"/>
    <cellStyle name="Normal 4 3 4 2 2 4 2" xfId="6116"/>
    <cellStyle name="Normal 4 3 4 2 2 4 2 2" xfId="13639"/>
    <cellStyle name="Normal 4 3 4 2 2 4 2 2 2" xfId="28683"/>
    <cellStyle name="Normal 4 3 4 2 2 4 2 2 3" xfId="43726"/>
    <cellStyle name="Normal 4 3 4 2 2 4 2 3" xfId="21162"/>
    <cellStyle name="Normal 4 3 4 2 2 4 2 4" xfId="36205"/>
    <cellStyle name="Normal 4 3 4 2 2 4 3" xfId="9890"/>
    <cellStyle name="Normal 4 3 4 2 2 4 3 2" xfId="24934"/>
    <cellStyle name="Normal 4 3 4 2 2 4 3 3" xfId="39977"/>
    <cellStyle name="Normal 4 3 4 2 2 4 4" xfId="17413"/>
    <cellStyle name="Normal 4 3 4 2 2 4 5" xfId="32456"/>
    <cellStyle name="Normal 4 3 4 2 2 5" xfId="4248"/>
    <cellStyle name="Normal 4 3 4 2 2 5 2" xfId="11772"/>
    <cellStyle name="Normal 4 3 4 2 2 5 2 2" xfId="26816"/>
    <cellStyle name="Normal 4 3 4 2 2 5 2 3" xfId="41859"/>
    <cellStyle name="Normal 4 3 4 2 2 5 3" xfId="19295"/>
    <cellStyle name="Normal 4 3 4 2 2 5 4" xfId="34338"/>
    <cellStyle name="Normal 4 3 4 2 2 6" xfId="8011"/>
    <cellStyle name="Normal 4 3 4 2 2 6 2" xfId="23055"/>
    <cellStyle name="Normal 4 3 4 2 2 6 3" xfId="38098"/>
    <cellStyle name="Normal 4 3 4 2 2 7" xfId="15534"/>
    <cellStyle name="Normal 4 3 4 2 2 8" xfId="30577"/>
    <cellStyle name="Normal 4 3 4 2 3" xfId="874"/>
    <cellStyle name="Normal 4 3 4 2 3 2" xfId="1833"/>
    <cellStyle name="Normal 4 3 4 2 3 2 2" xfId="3704"/>
    <cellStyle name="Normal 4 3 4 2 3 2 2 2" xfId="7499"/>
    <cellStyle name="Normal 4 3 4 2 3 2 2 2 2" xfId="15022"/>
    <cellStyle name="Normal 4 3 4 2 3 2 2 2 2 2" xfId="30066"/>
    <cellStyle name="Normal 4 3 4 2 3 2 2 2 2 3" xfId="45109"/>
    <cellStyle name="Normal 4 3 4 2 3 2 2 2 3" xfId="22545"/>
    <cellStyle name="Normal 4 3 4 2 3 2 2 2 4" xfId="37588"/>
    <cellStyle name="Normal 4 3 4 2 3 2 2 3" xfId="11273"/>
    <cellStyle name="Normal 4 3 4 2 3 2 2 3 2" xfId="26317"/>
    <cellStyle name="Normal 4 3 4 2 3 2 2 3 3" xfId="41360"/>
    <cellStyle name="Normal 4 3 4 2 3 2 2 4" xfId="18796"/>
    <cellStyle name="Normal 4 3 4 2 3 2 2 5" xfId="33839"/>
    <cellStyle name="Normal 4 3 4 2 3 2 3" xfId="5634"/>
    <cellStyle name="Normal 4 3 4 2 3 2 3 2" xfId="13157"/>
    <cellStyle name="Normal 4 3 4 2 3 2 3 2 2" xfId="28201"/>
    <cellStyle name="Normal 4 3 4 2 3 2 3 2 3" xfId="43244"/>
    <cellStyle name="Normal 4 3 4 2 3 2 3 3" xfId="20680"/>
    <cellStyle name="Normal 4 3 4 2 3 2 3 4" xfId="35723"/>
    <cellStyle name="Normal 4 3 4 2 3 2 4" xfId="9408"/>
    <cellStyle name="Normal 4 3 4 2 3 2 4 2" xfId="24452"/>
    <cellStyle name="Normal 4 3 4 2 3 2 4 3" xfId="39495"/>
    <cellStyle name="Normal 4 3 4 2 3 2 5" xfId="16931"/>
    <cellStyle name="Normal 4 3 4 2 3 2 6" xfId="31974"/>
    <cellStyle name="Normal 4 3 4 2 3 3" xfId="2772"/>
    <cellStyle name="Normal 4 3 4 2 3 3 2" xfId="6567"/>
    <cellStyle name="Normal 4 3 4 2 3 3 2 2" xfId="14090"/>
    <cellStyle name="Normal 4 3 4 2 3 3 2 2 2" xfId="29134"/>
    <cellStyle name="Normal 4 3 4 2 3 3 2 2 3" xfId="44177"/>
    <cellStyle name="Normal 4 3 4 2 3 3 2 3" xfId="21613"/>
    <cellStyle name="Normal 4 3 4 2 3 3 2 4" xfId="36656"/>
    <cellStyle name="Normal 4 3 4 2 3 3 3" xfId="10341"/>
    <cellStyle name="Normal 4 3 4 2 3 3 3 2" xfId="25385"/>
    <cellStyle name="Normal 4 3 4 2 3 3 3 3" xfId="40428"/>
    <cellStyle name="Normal 4 3 4 2 3 3 4" xfId="17864"/>
    <cellStyle name="Normal 4 3 4 2 3 3 5" xfId="32907"/>
    <cellStyle name="Normal 4 3 4 2 3 4" xfId="4702"/>
    <cellStyle name="Normal 4 3 4 2 3 4 2" xfId="12225"/>
    <cellStyle name="Normal 4 3 4 2 3 4 2 2" xfId="27269"/>
    <cellStyle name="Normal 4 3 4 2 3 4 2 3" xfId="42312"/>
    <cellStyle name="Normal 4 3 4 2 3 4 3" xfId="19748"/>
    <cellStyle name="Normal 4 3 4 2 3 4 4" xfId="34791"/>
    <cellStyle name="Normal 4 3 4 2 3 5" xfId="8476"/>
    <cellStyle name="Normal 4 3 4 2 3 5 2" xfId="23520"/>
    <cellStyle name="Normal 4 3 4 2 3 5 3" xfId="38563"/>
    <cellStyle name="Normal 4 3 4 2 3 6" xfId="15999"/>
    <cellStyle name="Normal 4 3 4 2 3 7" xfId="31042"/>
    <cellStyle name="Normal 4 3 4 2 4" xfId="1381"/>
    <cellStyle name="Normal 4 3 4 2 4 2" xfId="3252"/>
    <cellStyle name="Normal 4 3 4 2 4 2 2" xfId="7047"/>
    <cellStyle name="Normal 4 3 4 2 4 2 2 2" xfId="14570"/>
    <cellStyle name="Normal 4 3 4 2 4 2 2 2 2" xfId="29614"/>
    <cellStyle name="Normal 4 3 4 2 4 2 2 2 3" xfId="44657"/>
    <cellStyle name="Normal 4 3 4 2 4 2 2 3" xfId="22093"/>
    <cellStyle name="Normal 4 3 4 2 4 2 2 4" xfId="37136"/>
    <cellStyle name="Normal 4 3 4 2 4 2 3" xfId="10821"/>
    <cellStyle name="Normal 4 3 4 2 4 2 3 2" xfId="25865"/>
    <cellStyle name="Normal 4 3 4 2 4 2 3 3" xfId="40908"/>
    <cellStyle name="Normal 4 3 4 2 4 2 4" xfId="18344"/>
    <cellStyle name="Normal 4 3 4 2 4 2 5" xfId="33387"/>
    <cellStyle name="Normal 4 3 4 2 4 3" xfId="5182"/>
    <cellStyle name="Normal 4 3 4 2 4 3 2" xfId="12705"/>
    <cellStyle name="Normal 4 3 4 2 4 3 2 2" xfId="27749"/>
    <cellStyle name="Normal 4 3 4 2 4 3 2 3" xfId="42792"/>
    <cellStyle name="Normal 4 3 4 2 4 3 3" xfId="20228"/>
    <cellStyle name="Normal 4 3 4 2 4 3 4" xfId="35271"/>
    <cellStyle name="Normal 4 3 4 2 4 4" xfId="8956"/>
    <cellStyle name="Normal 4 3 4 2 4 4 2" xfId="24000"/>
    <cellStyle name="Normal 4 3 4 2 4 4 3" xfId="39043"/>
    <cellStyle name="Normal 4 3 4 2 4 5" xfId="16479"/>
    <cellStyle name="Normal 4 3 4 2 4 6" xfId="31522"/>
    <cellStyle name="Normal 4 3 4 2 5" xfId="2319"/>
    <cellStyle name="Normal 4 3 4 2 5 2" xfId="6115"/>
    <cellStyle name="Normal 4 3 4 2 5 2 2" xfId="13638"/>
    <cellStyle name="Normal 4 3 4 2 5 2 2 2" xfId="28682"/>
    <cellStyle name="Normal 4 3 4 2 5 2 2 3" xfId="43725"/>
    <cellStyle name="Normal 4 3 4 2 5 2 3" xfId="21161"/>
    <cellStyle name="Normal 4 3 4 2 5 2 4" xfId="36204"/>
    <cellStyle name="Normal 4 3 4 2 5 3" xfId="9889"/>
    <cellStyle name="Normal 4 3 4 2 5 3 2" xfId="24933"/>
    <cellStyle name="Normal 4 3 4 2 5 3 3" xfId="39976"/>
    <cellStyle name="Normal 4 3 4 2 5 4" xfId="17412"/>
    <cellStyle name="Normal 4 3 4 2 5 5" xfId="32455"/>
    <cellStyle name="Normal 4 3 4 2 6" xfId="4247"/>
    <cellStyle name="Normal 4 3 4 2 6 2" xfId="11771"/>
    <cellStyle name="Normal 4 3 4 2 6 2 2" xfId="26815"/>
    <cellStyle name="Normal 4 3 4 2 6 2 3" xfId="41858"/>
    <cellStyle name="Normal 4 3 4 2 6 3" xfId="19294"/>
    <cellStyle name="Normal 4 3 4 2 6 4" xfId="34337"/>
    <cellStyle name="Normal 4 3 4 2 7" xfId="8010"/>
    <cellStyle name="Normal 4 3 4 2 7 2" xfId="23054"/>
    <cellStyle name="Normal 4 3 4 2 7 3" xfId="38097"/>
    <cellStyle name="Normal 4 3 4 2 8" xfId="15533"/>
    <cellStyle name="Normal 4 3 4 2 9" xfId="30576"/>
    <cellStyle name="Normal 4 3 4 3" xfId="352"/>
    <cellStyle name="Normal 4 3 4 3 2" xfId="353"/>
    <cellStyle name="Normal 4 3 4 3 2 2" xfId="877"/>
    <cellStyle name="Normal 4 3 4 3 2 2 2" xfId="1836"/>
    <cellStyle name="Normal 4 3 4 3 2 2 2 2" xfId="3707"/>
    <cellStyle name="Normal 4 3 4 3 2 2 2 2 2" xfId="7502"/>
    <cellStyle name="Normal 4 3 4 3 2 2 2 2 2 2" xfId="15025"/>
    <cellStyle name="Normal 4 3 4 3 2 2 2 2 2 2 2" xfId="30069"/>
    <cellStyle name="Normal 4 3 4 3 2 2 2 2 2 2 3" xfId="45112"/>
    <cellStyle name="Normal 4 3 4 3 2 2 2 2 2 3" xfId="22548"/>
    <cellStyle name="Normal 4 3 4 3 2 2 2 2 2 4" xfId="37591"/>
    <cellStyle name="Normal 4 3 4 3 2 2 2 2 3" xfId="11276"/>
    <cellStyle name="Normal 4 3 4 3 2 2 2 2 3 2" xfId="26320"/>
    <cellStyle name="Normal 4 3 4 3 2 2 2 2 3 3" xfId="41363"/>
    <cellStyle name="Normal 4 3 4 3 2 2 2 2 4" xfId="18799"/>
    <cellStyle name="Normal 4 3 4 3 2 2 2 2 5" xfId="33842"/>
    <cellStyle name="Normal 4 3 4 3 2 2 2 3" xfId="5637"/>
    <cellStyle name="Normal 4 3 4 3 2 2 2 3 2" xfId="13160"/>
    <cellStyle name="Normal 4 3 4 3 2 2 2 3 2 2" xfId="28204"/>
    <cellStyle name="Normal 4 3 4 3 2 2 2 3 2 3" xfId="43247"/>
    <cellStyle name="Normal 4 3 4 3 2 2 2 3 3" xfId="20683"/>
    <cellStyle name="Normal 4 3 4 3 2 2 2 3 4" xfId="35726"/>
    <cellStyle name="Normal 4 3 4 3 2 2 2 4" xfId="9411"/>
    <cellStyle name="Normal 4 3 4 3 2 2 2 4 2" xfId="24455"/>
    <cellStyle name="Normal 4 3 4 3 2 2 2 4 3" xfId="39498"/>
    <cellStyle name="Normal 4 3 4 3 2 2 2 5" xfId="16934"/>
    <cellStyle name="Normal 4 3 4 3 2 2 2 6" xfId="31977"/>
    <cellStyle name="Normal 4 3 4 3 2 2 3" xfId="2775"/>
    <cellStyle name="Normal 4 3 4 3 2 2 3 2" xfId="6570"/>
    <cellStyle name="Normal 4 3 4 3 2 2 3 2 2" xfId="14093"/>
    <cellStyle name="Normal 4 3 4 3 2 2 3 2 2 2" xfId="29137"/>
    <cellStyle name="Normal 4 3 4 3 2 2 3 2 2 3" xfId="44180"/>
    <cellStyle name="Normal 4 3 4 3 2 2 3 2 3" xfId="21616"/>
    <cellStyle name="Normal 4 3 4 3 2 2 3 2 4" xfId="36659"/>
    <cellStyle name="Normal 4 3 4 3 2 2 3 3" xfId="10344"/>
    <cellStyle name="Normal 4 3 4 3 2 2 3 3 2" xfId="25388"/>
    <cellStyle name="Normal 4 3 4 3 2 2 3 3 3" xfId="40431"/>
    <cellStyle name="Normal 4 3 4 3 2 2 3 4" xfId="17867"/>
    <cellStyle name="Normal 4 3 4 3 2 2 3 5" xfId="32910"/>
    <cellStyle name="Normal 4 3 4 3 2 2 4" xfId="4705"/>
    <cellStyle name="Normal 4 3 4 3 2 2 4 2" xfId="12228"/>
    <cellStyle name="Normal 4 3 4 3 2 2 4 2 2" xfId="27272"/>
    <cellStyle name="Normal 4 3 4 3 2 2 4 2 3" xfId="42315"/>
    <cellStyle name="Normal 4 3 4 3 2 2 4 3" xfId="19751"/>
    <cellStyle name="Normal 4 3 4 3 2 2 4 4" xfId="34794"/>
    <cellStyle name="Normal 4 3 4 3 2 2 5" xfId="8479"/>
    <cellStyle name="Normal 4 3 4 3 2 2 5 2" xfId="23523"/>
    <cellStyle name="Normal 4 3 4 3 2 2 5 3" xfId="38566"/>
    <cellStyle name="Normal 4 3 4 3 2 2 6" xfId="16002"/>
    <cellStyle name="Normal 4 3 4 3 2 2 7" xfId="31045"/>
    <cellStyle name="Normal 4 3 4 3 2 3" xfId="1384"/>
    <cellStyle name="Normal 4 3 4 3 2 3 2" xfId="3255"/>
    <cellStyle name="Normal 4 3 4 3 2 3 2 2" xfId="7050"/>
    <cellStyle name="Normal 4 3 4 3 2 3 2 2 2" xfId="14573"/>
    <cellStyle name="Normal 4 3 4 3 2 3 2 2 2 2" xfId="29617"/>
    <cellStyle name="Normal 4 3 4 3 2 3 2 2 2 3" xfId="44660"/>
    <cellStyle name="Normal 4 3 4 3 2 3 2 2 3" xfId="22096"/>
    <cellStyle name="Normal 4 3 4 3 2 3 2 2 4" xfId="37139"/>
    <cellStyle name="Normal 4 3 4 3 2 3 2 3" xfId="10824"/>
    <cellStyle name="Normal 4 3 4 3 2 3 2 3 2" xfId="25868"/>
    <cellStyle name="Normal 4 3 4 3 2 3 2 3 3" xfId="40911"/>
    <cellStyle name="Normal 4 3 4 3 2 3 2 4" xfId="18347"/>
    <cellStyle name="Normal 4 3 4 3 2 3 2 5" xfId="33390"/>
    <cellStyle name="Normal 4 3 4 3 2 3 3" xfId="5185"/>
    <cellStyle name="Normal 4 3 4 3 2 3 3 2" xfId="12708"/>
    <cellStyle name="Normal 4 3 4 3 2 3 3 2 2" xfId="27752"/>
    <cellStyle name="Normal 4 3 4 3 2 3 3 2 3" xfId="42795"/>
    <cellStyle name="Normal 4 3 4 3 2 3 3 3" xfId="20231"/>
    <cellStyle name="Normal 4 3 4 3 2 3 3 4" xfId="35274"/>
    <cellStyle name="Normal 4 3 4 3 2 3 4" xfId="8959"/>
    <cellStyle name="Normal 4 3 4 3 2 3 4 2" xfId="24003"/>
    <cellStyle name="Normal 4 3 4 3 2 3 4 3" xfId="39046"/>
    <cellStyle name="Normal 4 3 4 3 2 3 5" xfId="16482"/>
    <cellStyle name="Normal 4 3 4 3 2 3 6" xfId="31525"/>
    <cellStyle name="Normal 4 3 4 3 2 4" xfId="2322"/>
    <cellStyle name="Normal 4 3 4 3 2 4 2" xfId="6118"/>
    <cellStyle name="Normal 4 3 4 3 2 4 2 2" xfId="13641"/>
    <cellStyle name="Normal 4 3 4 3 2 4 2 2 2" xfId="28685"/>
    <cellStyle name="Normal 4 3 4 3 2 4 2 2 3" xfId="43728"/>
    <cellStyle name="Normal 4 3 4 3 2 4 2 3" xfId="21164"/>
    <cellStyle name="Normal 4 3 4 3 2 4 2 4" xfId="36207"/>
    <cellStyle name="Normal 4 3 4 3 2 4 3" xfId="9892"/>
    <cellStyle name="Normal 4 3 4 3 2 4 3 2" xfId="24936"/>
    <cellStyle name="Normal 4 3 4 3 2 4 3 3" xfId="39979"/>
    <cellStyle name="Normal 4 3 4 3 2 4 4" xfId="17415"/>
    <cellStyle name="Normal 4 3 4 3 2 4 5" xfId="32458"/>
    <cellStyle name="Normal 4 3 4 3 2 5" xfId="4250"/>
    <cellStyle name="Normal 4 3 4 3 2 5 2" xfId="11774"/>
    <cellStyle name="Normal 4 3 4 3 2 5 2 2" xfId="26818"/>
    <cellStyle name="Normal 4 3 4 3 2 5 2 3" xfId="41861"/>
    <cellStyle name="Normal 4 3 4 3 2 5 3" xfId="19297"/>
    <cellStyle name="Normal 4 3 4 3 2 5 4" xfId="34340"/>
    <cellStyle name="Normal 4 3 4 3 2 6" xfId="8013"/>
    <cellStyle name="Normal 4 3 4 3 2 6 2" xfId="23057"/>
    <cellStyle name="Normal 4 3 4 3 2 6 3" xfId="38100"/>
    <cellStyle name="Normal 4 3 4 3 2 7" xfId="15536"/>
    <cellStyle name="Normal 4 3 4 3 2 8" xfId="30579"/>
    <cellStyle name="Normal 4 3 4 3 3" xfId="876"/>
    <cellStyle name="Normal 4 3 4 3 3 2" xfId="1835"/>
    <cellStyle name="Normal 4 3 4 3 3 2 2" xfId="3706"/>
    <cellStyle name="Normal 4 3 4 3 3 2 2 2" xfId="7501"/>
    <cellStyle name="Normal 4 3 4 3 3 2 2 2 2" xfId="15024"/>
    <cellStyle name="Normal 4 3 4 3 3 2 2 2 2 2" xfId="30068"/>
    <cellStyle name="Normal 4 3 4 3 3 2 2 2 2 3" xfId="45111"/>
    <cellStyle name="Normal 4 3 4 3 3 2 2 2 3" xfId="22547"/>
    <cellStyle name="Normal 4 3 4 3 3 2 2 2 4" xfId="37590"/>
    <cellStyle name="Normal 4 3 4 3 3 2 2 3" xfId="11275"/>
    <cellStyle name="Normal 4 3 4 3 3 2 2 3 2" xfId="26319"/>
    <cellStyle name="Normal 4 3 4 3 3 2 2 3 3" xfId="41362"/>
    <cellStyle name="Normal 4 3 4 3 3 2 2 4" xfId="18798"/>
    <cellStyle name="Normal 4 3 4 3 3 2 2 5" xfId="33841"/>
    <cellStyle name="Normal 4 3 4 3 3 2 3" xfId="5636"/>
    <cellStyle name="Normal 4 3 4 3 3 2 3 2" xfId="13159"/>
    <cellStyle name="Normal 4 3 4 3 3 2 3 2 2" xfId="28203"/>
    <cellStyle name="Normal 4 3 4 3 3 2 3 2 3" xfId="43246"/>
    <cellStyle name="Normal 4 3 4 3 3 2 3 3" xfId="20682"/>
    <cellStyle name="Normal 4 3 4 3 3 2 3 4" xfId="35725"/>
    <cellStyle name="Normal 4 3 4 3 3 2 4" xfId="9410"/>
    <cellStyle name="Normal 4 3 4 3 3 2 4 2" xfId="24454"/>
    <cellStyle name="Normal 4 3 4 3 3 2 4 3" xfId="39497"/>
    <cellStyle name="Normal 4 3 4 3 3 2 5" xfId="16933"/>
    <cellStyle name="Normal 4 3 4 3 3 2 6" xfId="31976"/>
    <cellStyle name="Normal 4 3 4 3 3 3" xfId="2774"/>
    <cellStyle name="Normal 4 3 4 3 3 3 2" xfId="6569"/>
    <cellStyle name="Normal 4 3 4 3 3 3 2 2" xfId="14092"/>
    <cellStyle name="Normal 4 3 4 3 3 3 2 2 2" xfId="29136"/>
    <cellStyle name="Normal 4 3 4 3 3 3 2 2 3" xfId="44179"/>
    <cellStyle name="Normal 4 3 4 3 3 3 2 3" xfId="21615"/>
    <cellStyle name="Normal 4 3 4 3 3 3 2 4" xfId="36658"/>
    <cellStyle name="Normal 4 3 4 3 3 3 3" xfId="10343"/>
    <cellStyle name="Normal 4 3 4 3 3 3 3 2" xfId="25387"/>
    <cellStyle name="Normal 4 3 4 3 3 3 3 3" xfId="40430"/>
    <cellStyle name="Normal 4 3 4 3 3 3 4" xfId="17866"/>
    <cellStyle name="Normal 4 3 4 3 3 3 5" xfId="32909"/>
    <cellStyle name="Normal 4 3 4 3 3 4" xfId="4704"/>
    <cellStyle name="Normal 4 3 4 3 3 4 2" xfId="12227"/>
    <cellStyle name="Normal 4 3 4 3 3 4 2 2" xfId="27271"/>
    <cellStyle name="Normal 4 3 4 3 3 4 2 3" xfId="42314"/>
    <cellStyle name="Normal 4 3 4 3 3 4 3" xfId="19750"/>
    <cellStyle name="Normal 4 3 4 3 3 4 4" xfId="34793"/>
    <cellStyle name="Normal 4 3 4 3 3 5" xfId="8478"/>
    <cellStyle name="Normal 4 3 4 3 3 5 2" xfId="23522"/>
    <cellStyle name="Normal 4 3 4 3 3 5 3" xfId="38565"/>
    <cellStyle name="Normal 4 3 4 3 3 6" xfId="16001"/>
    <cellStyle name="Normal 4 3 4 3 3 7" xfId="31044"/>
    <cellStyle name="Normal 4 3 4 3 4" xfId="1383"/>
    <cellStyle name="Normal 4 3 4 3 4 2" xfId="3254"/>
    <cellStyle name="Normal 4 3 4 3 4 2 2" xfId="7049"/>
    <cellStyle name="Normal 4 3 4 3 4 2 2 2" xfId="14572"/>
    <cellStyle name="Normal 4 3 4 3 4 2 2 2 2" xfId="29616"/>
    <cellStyle name="Normal 4 3 4 3 4 2 2 2 3" xfId="44659"/>
    <cellStyle name="Normal 4 3 4 3 4 2 2 3" xfId="22095"/>
    <cellStyle name="Normal 4 3 4 3 4 2 2 4" xfId="37138"/>
    <cellStyle name="Normal 4 3 4 3 4 2 3" xfId="10823"/>
    <cellStyle name="Normal 4 3 4 3 4 2 3 2" xfId="25867"/>
    <cellStyle name="Normal 4 3 4 3 4 2 3 3" xfId="40910"/>
    <cellStyle name="Normal 4 3 4 3 4 2 4" xfId="18346"/>
    <cellStyle name="Normal 4 3 4 3 4 2 5" xfId="33389"/>
    <cellStyle name="Normal 4 3 4 3 4 3" xfId="5184"/>
    <cellStyle name="Normal 4 3 4 3 4 3 2" xfId="12707"/>
    <cellStyle name="Normal 4 3 4 3 4 3 2 2" xfId="27751"/>
    <cellStyle name="Normal 4 3 4 3 4 3 2 3" xfId="42794"/>
    <cellStyle name="Normal 4 3 4 3 4 3 3" xfId="20230"/>
    <cellStyle name="Normal 4 3 4 3 4 3 4" xfId="35273"/>
    <cellStyle name="Normal 4 3 4 3 4 4" xfId="8958"/>
    <cellStyle name="Normal 4 3 4 3 4 4 2" xfId="24002"/>
    <cellStyle name="Normal 4 3 4 3 4 4 3" xfId="39045"/>
    <cellStyle name="Normal 4 3 4 3 4 5" xfId="16481"/>
    <cellStyle name="Normal 4 3 4 3 4 6" xfId="31524"/>
    <cellStyle name="Normal 4 3 4 3 5" xfId="2321"/>
    <cellStyle name="Normal 4 3 4 3 5 2" xfId="6117"/>
    <cellStyle name="Normal 4 3 4 3 5 2 2" xfId="13640"/>
    <cellStyle name="Normal 4 3 4 3 5 2 2 2" xfId="28684"/>
    <cellStyle name="Normal 4 3 4 3 5 2 2 3" xfId="43727"/>
    <cellStyle name="Normal 4 3 4 3 5 2 3" xfId="21163"/>
    <cellStyle name="Normal 4 3 4 3 5 2 4" xfId="36206"/>
    <cellStyle name="Normal 4 3 4 3 5 3" xfId="9891"/>
    <cellStyle name="Normal 4 3 4 3 5 3 2" xfId="24935"/>
    <cellStyle name="Normal 4 3 4 3 5 3 3" xfId="39978"/>
    <cellStyle name="Normal 4 3 4 3 5 4" xfId="17414"/>
    <cellStyle name="Normal 4 3 4 3 5 5" xfId="32457"/>
    <cellStyle name="Normal 4 3 4 3 6" xfId="4249"/>
    <cellStyle name="Normal 4 3 4 3 6 2" xfId="11773"/>
    <cellStyle name="Normal 4 3 4 3 6 2 2" xfId="26817"/>
    <cellStyle name="Normal 4 3 4 3 6 2 3" xfId="41860"/>
    <cellStyle name="Normal 4 3 4 3 6 3" xfId="19296"/>
    <cellStyle name="Normal 4 3 4 3 6 4" xfId="34339"/>
    <cellStyle name="Normal 4 3 4 3 7" xfId="8012"/>
    <cellStyle name="Normal 4 3 4 3 7 2" xfId="23056"/>
    <cellStyle name="Normal 4 3 4 3 7 3" xfId="38099"/>
    <cellStyle name="Normal 4 3 4 3 8" xfId="15535"/>
    <cellStyle name="Normal 4 3 4 3 9" xfId="30578"/>
    <cellStyle name="Normal 4 3 4 4" xfId="354"/>
    <cellStyle name="Normal 4 3 4 4 2" xfId="878"/>
    <cellStyle name="Normal 4 3 4 4 2 2" xfId="1837"/>
    <cellStyle name="Normal 4 3 4 4 2 2 2" xfId="3708"/>
    <cellStyle name="Normal 4 3 4 4 2 2 2 2" xfId="7503"/>
    <cellStyle name="Normal 4 3 4 4 2 2 2 2 2" xfId="15026"/>
    <cellStyle name="Normal 4 3 4 4 2 2 2 2 2 2" xfId="30070"/>
    <cellStyle name="Normal 4 3 4 4 2 2 2 2 2 3" xfId="45113"/>
    <cellStyle name="Normal 4 3 4 4 2 2 2 2 3" xfId="22549"/>
    <cellStyle name="Normal 4 3 4 4 2 2 2 2 4" xfId="37592"/>
    <cellStyle name="Normal 4 3 4 4 2 2 2 3" xfId="11277"/>
    <cellStyle name="Normal 4 3 4 4 2 2 2 3 2" xfId="26321"/>
    <cellStyle name="Normal 4 3 4 4 2 2 2 3 3" xfId="41364"/>
    <cellStyle name="Normal 4 3 4 4 2 2 2 4" xfId="18800"/>
    <cellStyle name="Normal 4 3 4 4 2 2 2 5" xfId="33843"/>
    <cellStyle name="Normal 4 3 4 4 2 2 3" xfId="5638"/>
    <cellStyle name="Normal 4 3 4 4 2 2 3 2" xfId="13161"/>
    <cellStyle name="Normal 4 3 4 4 2 2 3 2 2" xfId="28205"/>
    <cellStyle name="Normal 4 3 4 4 2 2 3 2 3" xfId="43248"/>
    <cellStyle name="Normal 4 3 4 4 2 2 3 3" xfId="20684"/>
    <cellStyle name="Normal 4 3 4 4 2 2 3 4" xfId="35727"/>
    <cellStyle name="Normal 4 3 4 4 2 2 4" xfId="9412"/>
    <cellStyle name="Normal 4 3 4 4 2 2 4 2" xfId="24456"/>
    <cellStyle name="Normal 4 3 4 4 2 2 4 3" xfId="39499"/>
    <cellStyle name="Normal 4 3 4 4 2 2 5" xfId="16935"/>
    <cellStyle name="Normal 4 3 4 4 2 2 6" xfId="31978"/>
    <cellStyle name="Normal 4 3 4 4 2 3" xfId="2776"/>
    <cellStyle name="Normal 4 3 4 4 2 3 2" xfId="6571"/>
    <cellStyle name="Normal 4 3 4 4 2 3 2 2" xfId="14094"/>
    <cellStyle name="Normal 4 3 4 4 2 3 2 2 2" xfId="29138"/>
    <cellStyle name="Normal 4 3 4 4 2 3 2 2 3" xfId="44181"/>
    <cellStyle name="Normal 4 3 4 4 2 3 2 3" xfId="21617"/>
    <cellStyle name="Normal 4 3 4 4 2 3 2 4" xfId="36660"/>
    <cellStyle name="Normal 4 3 4 4 2 3 3" xfId="10345"/>
    <cellStyle name="Normal 4 3 4 4 2 3 3 2" xfId="25389"/>
    <cellStyle name="Normal 4 3 4 4 2 3 3 3" xfId="40432"/>
    <cellStyle name="Normal 4 3 4 4 2 3 4" xfId="17868"/>
    <cellStyle name="Normal 4 3 4 4 2 3 5" xfId="32911"/>
    <cellStyle name="Normal 4 3 4 4 2 4" xfId="4706"/>
    <cellStyle name="Normal 4 3 4 4 2 4 2" xfId="12229"/>
    <cellStyle name="Normal 4 3 4 4 2 4 2 2" xfId="27273"/>
    <cellStyle name="Normal 4 3 4 4 2 4 2 3" xfId="42316"/>
    <cellStyle name="Normal 4 3 4 4 2 4 3" xfId="19752"/>
    <cellStyle name="Normal 4 3 4 4 2 4 4" xfId="34795"/>
    <cellStyle name="Normal 4 3 4 4 2 5" xfId="8480"/>
    <cellStyle name="Normal 4 3 4 4 2 5 2" xfId="23524"/>
    <cellStyle name="Normal 4 3 4 4 2 5 3" xfId="38567"/>
    <cellStyle name="Normal 4 3 4 4 2 6" xfId="16003"/>
    <cellStyle name="Normal 4 3 4 4 2 7" xfId="31046"/>
    <cellStyle name="Normal 4 3 4 4 3" xfId="1385"/>
    <cellStyle name="Normal 4 3 4 4 3 2" xfId="3256"/>
    <cellStyle name="Normal 4 3 4 4 3 2 2" xfId="7051"/>
    <cellStyle name="Normal 4 3 4 4 3 2 2 2" xfId="14574"/>
    <cellStyle name="Normal 4 3 4 4 3 2 2 2 2" xfId="29618"/>
    <cellStyle name="Normal 4 3 4 4 3 2 2 2 3" xfId="44661"/>
    <cellStyle name="Normal 4 3 4 4 3 2 2 3" xfId="22097"/>
    <cellStyle name="Normal 4 3 4 4 3 2 2 4" xfId="37140"/>
    <cellStyle name="Normal 4 3 4 4 3 2 3" xfId="10825"/>
    <cellStyle name="Normal 4 3 4 4 3 2 3 2" xfId="25869"/>
    <cellStyle name="Normal 4 3 4 4 3 2 3 3" xfId="40912"/>
    <cellStyle name="Normal 4 3 4 4 3 2 4" xfId="18348"/>
    <cellStyle name="Normal 4 3 4 4 3 2 5" xfId="33391"/>
    <cellStyle name="Normal 4 3 4 4 3 3" xfId="5186"/>
    <cellStyle name="Normal 4 3 4 4 3 3 2" xfId="12709"/>
    <cellStyle name="Normal 4 3 4 4 3 3 2 2" xfId="27753"/>
    <cellStyle name="Normal 4 3 4 4 3 3 2 3" xfId="42796"/>
    <cellStyle name="Normal 4 3 4 4 3 3 3" xfId="20232"/>
    <cellStyle name="Normal 4 3 4 4 3 3 4" xfId="35275"/>
    <cellStyle name="Normal 4 3 4 4 3 4" xfId="8960"/>
    <cellStyle name="Normal 4 3 4 4 3 4 2" xfId="24004"/>
    <cellStyle name="Normal 4 3 4 4 3 4 3" xfId="39047"/>
    <cellStyle name="Normal 4 3 4 4 3 5" xfId="16483"/>
    <cellStyle name="Normal 4 3 4 4 3 6" xfId="31526"/>
    <cellStyle name="Normal 4 3 4 4 4" xfId="2323"/>
    <cellStyle name="Normal 4 3 4 4 4 2" xfId="6119"/>
    <cellStyle name="Normal 4 3 4 4 4 2 2" xfId="13642"/>
    <cellStyle name="Normal 4 3 4 4 4 2 2 2" xfId="28686"/>
    <cellStyle name="Normal 4 3 4 4 4 2 2 3" xfId="43729"/>
    <cellStyle name="Normal 4 3 4 4 4 2 3" xfId="21165"/>
    <cellStyle name="Normal 4 3 4 4 4 2 4" xfId="36208"/>
    <cellStyle name="Normal 4 3 4 4 4 3" xfId="9893"/>
    <cellStyle name="Normal 4 3 4 4 4 3 2" xfId="24937"/>
    <cellStyle name="Normal 4 3 4 4 4 3 3" xfId="39980"/>
    <cellStyle name="Normal 4 3 4 4 4 4" xfId="17416"/>
    <cellStyle name="Normal 4 3 4 4 4 5" xfId="32459"/>
    <cellStyle name="Normal 4 3 4 4 5" xfId="4251"/>
    <cellStyle name="Normal 4 3 4 4 5 2" xfId="11775"/>
    <cellStyle name="Normal 4 3 4 4 5 2 2" xfId="26819"/>
    <cellStyle name="Normal 4 3 4 4 5 2 3" xfId="41862"/>
    <cellStyle name="Normal 4 3 4 4 5 3" xfId="19298"/>
    <cellStyle name="Normal 4 3 4 4 5 4" xfId="34341"/>
    <cellStyle name="Normal 4 3 4 4 6" xfId="8014"/>
    <cellStyle name="Normal 4 3 4 4 6 2" xfId="23058"/>
    <cellStyle name="Normal 4 3 4 4 6 3" xfId="38101"/>
    <cellStyle name="Normal 4 3 4 4 7" xfId="15537"/>
    <cellStyle name="Normal 4 3 4 4 8" xfId="30580"/>
    <cellStyle name="Normal 4 3 4 5" xfId="873"/>
    <cellStyle name="Normal 4 3 4 5 2" xfId="1832"/>
    <cellStyle name="Normal 4 3 4 5 2 2" xfId="3703"/>
    <cellStyle name="Normal 4 3 4 5 2 2 2" xfId="7498"/>
    <cellStyle name="Normal 4 3 4 5 2 2 2 2" xfId="15021"/>
    <cellStyle name="Normal 4 3 4 5 2 2 2 2 2" xfId="30065"/>
    <cellStyle name="Normal 4 3 4 5 2 2 2 2 3" xfId="45108"/>
    <cellStyle name="Normal 4 3 4 5 2 2 2 3" xfId="22544"/>
    <cellStyle name="Normal 4 3 4 5 2 2 2 4" xfId="37587"/>
    <cellStyle name="Normal 4 3 4 5 2 2 3" xfId="11272"/>
    <cellStyle name="Normal 4 3 4 5 2 2 3 2" xfId="26316"/>
    <cellStyle name="Normal 4 3 4 5 2 2 3 3" xfId="41359"/>
    <cellStyle name="Normal 4 3 4 5 2 2 4" xfId="18795"/>
    <cellStyle name="Normal 4 3 4 5 2 2 5" xfId="33838"/>
    <cellStyle name="Normal 4 3 4 5 2 3" xfId="5633"/>
    <cellStyle name="Normal 4 3 4 5 2 3 2" xfId="13156"/>
    <cellStyle name="Normal 4 3 4 5 2 3 2 2" xfId="28200"/>
    <cellStyle name="Normal 4 3 4 5 2 3 2 3" xfId="43243"/>
    <cellStyle name="Normal 4 3 4 5 2 3 3" xfId="20679"/>
    <cellStyle name="Normal 4 3 4 5 2 3 4" xfId="35722"/>
    <cellStyle name="Normal 4 3 4 5 2 4" xfId="9407"/>
    <cellStyle name="Normal 4 3 4 5 2 4 2" xfId="24451"/>
    <cellStyle name="Normal 4 3 4 5 2 4 3" xfId="39494"/>
    <cellStyle name="Normal 4 3 4 5 2 5" xfId="16930"/>
    <cellStyle name="Normal 4 3 4 5 2 6" xfId="31973"/>
    <cellStyle name="Normal 4 3 4 5 3" xfId="2771"/>
    <cellStyle name="Normal 4 3 4 5 3 2" xfId="6566"/>
    <cellStyle name="Normal 4 3 4 5 3 2 2" xfId="14089"/>
    <cellStyle name="Normal 4 3 4 5 3 2 2 2" xfId="29133"/>
    <cellStyle name="Normal 4 3 4 5 3 2 2 3" xfId="44176"/>
    <cellStyle name="Normal 4 3 4 5 3 2 3" xfId="21612"/>
    <cellStyle name="Normal 4 3 4 5 3 2 4" xfId="36655"/>
    <cellStyle name="Normal 4 3 4 5 3 3" xfId="10340"/>
    <cellStyle name="Normal 4 3 4 5 3 3 2" xfId="25384"/>
    <cellStyle name="Normal 4 3 4 5 3 3 3" xfId="40427"/>
    <cellStyle name="Normal 4 3 4 5 3 4" xfId="17863"/>
    <cellStyle name="Normal 4 3 4 5 3 5" xfId="32906"/>
    <cellStyle name="Normal 4 3 4 5 4" xfId="4701"/>
    <cellStyle name="Normal 4 3 4 5 4 2" xfId="12224"/>
    <cellStyle name="Normal 4 3 4 5 4 2 2" xfId="27268"/>
    <cellStyle name="Normal 4 3 4 5 4 2 3" xfId="42311"/>
    <cellStyle name="Normal 4 3 4 5 4 3" xfId="19747"/>
    <cellStyle name="Normal 4 3 4 5 4 4" xfId="34790"/>
    <cellStyle name="Normal 4 3 4 5 5" xfId="8475"/>
    <cellStyle name="Normal 4 3 4 5 5 2" xfId="23519"/>
    <cellStyle name="Normal 4 3 4 5 5 3" xfId="38562"/>
    <cellStyle name="Normal 4 3 4 5 6" xfId="15998"/>
    <cellStyle name="Normal 4 3 4 5 7" xfId="31041"/>
    <cellStyle name="Normal 4 3 4 6" xfId="1380"/>
    <cellStyle name="Normal 4 3 4 6 2" xfId="3251"/>
    <cellStyle name="Normal 4 3 4 6 2 2" xfId="7046"/>
    <cellStyle name="Normal 4 3 4 6 2 2 2" xfId="14569"/>
    <cellStyle name="Normal 4 3 4 6 2 2 2 2" xfId="29613"/>
    <cellStyle name="Normal 4 3 4 6 2 2 2 3" xfId="44656"/>
    <cellStyle name="Normal 4 3 4 6 2 2 3" xfId="22092"/>
    <cellStyle name="Normal 4 3 4 6 2 2 4" xfId="37135"/>
    <cellStyle name="Normal 4 3 4 6 2 3" xfId="10820"/>
    <cellStyle name="Normal 4 3 4 6 2 3 2" xfId="25864"/>
    <cellStyle name="Normal 4 3 4 6 2 3 3" xfId="40907"/>
    <cellStyle name="Normal 4 3 4 6 2 4" xfId="18343"/>
    <cellStyle name="Normal 4 3 4 6 2 5" xfId="33386"/>
    <cellStyle name="Normal 4 3 4 6 3" xfId="5181"/>
    <cellStyle name="Normal 4 3 4 6 3 2" xfId="12704"/>
    <cellStyle name="Normal 4 3 4 6 3 2 2" xfId="27748"/>
    <cellStyle name="Normal 4 3 4 6 3 2 3" xfId="42791"/>
    <cellStyle name="Normal 4 3 4 6 3 3" xfId="20227"/>
    <cellStyle name="Normal 4 3 4 6 3 4" xfId="35270"/>
    <cellStyle name="Normal 4 3 4 6 4" xfId="8955"/>
    <cellStyle name="Normal 4 3 4 6 4 2" xfId="23999"/>
    <cellStyle name="Normal 4 3 4 6 4 3" xfId="39042"/>
    <cellStyle name="Normal 4 3 4 6 5" xfId="16478"/>
    <cellStyle name="Normal 4 3 4 6 6" xfId="31521"/>
    <cellStyle name="Normal 4 3 4 7" xfId="2318"/>
    <cellStyle name="Normal 4 3 4 7 2" xfId="6114"/>
    <cellStyle name="Normal 4 3 4 7 2 2" xfId="13637"/>
    <cellStyle name="Normal 4 3 4 7 2 2 2" xfId="28681"/>
    <cellStyle name="Normal 4 3 4 7 2 2 3" xfId="43724"/>
    <cellStyle name="Normal 4 3 4 7 2 3" xfId="21160"/>
    <cellStyle name="Normal 4 3 4 7 2 4" xfId="36203"/>
    <cellStyle name="Normal 4 3 4 7 3" xfId="9888"/>
    <cellStyle name="Normal 4 3 4 7 3 2" xfId="24932"/>
    <cellStyle name="Normal 4 3 4 7 3 3" xfId="39975"/>
    <cellStyle name="Normal 4 3 4 7 4" xfId="17411"/>
    <cellStyle name="Normal 4 3 4 7 5" xfId="32454"/>
    <cellStyle name="Normal 4 3 4 8" xfId="4246"/>
    <cellStyle name="Normal 4 3 4 8 2" xfId="11770"/>
    <cellStyle name="Normal 4 3 4 8 2 2" xfId="26814"/>
    <cellStyle name="Normal 4 3 4 8 2 3" xfId="41857"/>
    <cellStyle name="Normal 4 3 4 8 3" xfId="19293"/>
    <cellStyle name="Normal 4 3 4 8 4" xfId="34336"/>
    <cellStyle name="Normal 4 3 4 9" xfId="8009"/>
    <cellStyle name="Normal 4 3 4 9 2" xfId="23053"/>
    <cellStyle name="Normal 4 3 4 9 3" xfId="38096"/>
    <cellStyle name="Normal 4 3 5" xfId="355"/>
    <cellStyle name="Normal 4 3 5 2" xfId="356"/>
    <cellStyle name="Normal 4 3 5 2 2" xfId="880"/>
    <cellStyle name="Normal 4 3 5 2 2 2" xfId="1839"/>
    <cellStyle name="Normal 4 3 5 2 2 2 2" xfId="3710"/>
    <cellStyle name="Normal 4 3 5 2 2 2 2 2" xfId="7505"/>
    <cellStyle name="Normal 4 3 5 2 2 2 2 2 2" xfId="15028"/>
    <cellStyle name="Normal 4 3 5 2 2 2 2 2 2 2" xfId="30072"/>
    <cellStyle name="Normal 4 3 5 2 2 2 2 2 2 3" xfId="45115"/>
    <cellStyle name="Normal 4 3 5 2 2 2 2 2 3" xfId="22551"/>
    <cellStyle name="Normal 4 3 5 2 2 2 2 2 4" xfId="37594"/>
    <cellStyle name="Normal 4 3 5 2 2 2 2 3" xfId="11279"/>
    <cellStyle name="Normal 4 3 5 2 2 2 2 3 2" xfId="26323"/>
    <cellStyle name="Normal 4 3 5 2 2 2 2 3 3" xfId="41366"/>
    <cellStyle name="Normal 4 3 5 2 2 2 2 4" xfId="18802"/>
    <cellStyle name="Normal 4 3 5 2 2 2 2 5" xfId="33845"/>
    <cellStyle name="Normal 4 3 5 2 2 2 3" xfId="5640"/>
    <cellStyle name="Normal 4 3 5 2 2 2 3 2" xfId="13163"/>
    <cellStyle name="Normal 4 3 5 2 2 2 3 2 2" xfId="28207"/>
    <cellStyle name="Normal 4 3 5 2 2 2 3 2 3" xfId="43250"/>
    <cellStyle name="Normal 4 3 5 2 2 2 3 3" xfId="20686"/>
    <cellStyle name="Normal 4 3 5 2 2 2 3 4" xfId="35729"/>
    <cellStyle name="Normal 4 3 5 2 2 2 4" xfId="9414"/>
    <cellStyle name="Normal 4 3 5 2 2 2 4 2" xfId="24458"/>
    <cellStyle name="Normal 4 3 5 2 2 2 4 3" xfId="39501"/>
    <cellStyle name="Normal 4 3 5 2 2 2 5" xfId="16937"/>
    <cellStyle name="Normal 4 3 5 2 2 2 6" xfId="31980"/>
    <cellStyle name="Normal 4 3 5 2 2 3" xfId="2778"/>
    <cellStyle name="Normal 4 3 5 2 2 3 2" xfId="6573"/>
    <cellStyle name="Normal 4 3 5 2 2 3 2 2" xfId="14096"/>
    <cellStyle name="Normal 4 3 5 2 2 3 2 2 2" xfId="29140"/>
    <cellStyle name="Normal 4 3 5 2 2 3 2 2 3" xfId="44183"/>
    <cellStyle name="Normal 4 3 5 2 2 3 2 3" xfId="21619"/>
    <cellStyle name="Normal 4 3 5 2 2 3 2 4" xfId="36662"/>
    <cellStyle name="Normal 4 3 5 2 2 3 3" xfId="10347"/>
    <cellStyle name="Normal 4 3 5 2 2 3 3 2" xfId="25391"/>
    <cellStyle name="Normal 4 3 5 2 2 3 3 3" xfId="40434"/>
    <cellStyle name="Normal 4 3 5 2 2 3 4" xfId="17870"/>
    <cellStyle name="Normal 4 3 5 2 2 3 5" xfId="32913"/>
    <cellStyle name="Normal 4 3 5 2 2 4" xfId="4708"/>
    <cellStyle name="Normal 4 3 5 2 2 4 2" xfId="12231"/>
    <cellStyle name="Normal 4 3 5 2 2 4 2 2" xfId="27275"/>
    <cellStyle name="Normal 4 3 5 2 2 4 2 3" xfId="42318"/>
    <cellStyle name="Normal 4 3 5 2 2 4 3" xfId="19754"/>
    <cellStyle name="Normal 4 3 5 2 2 4 4" xfId="34797"/>
    <cellStyle name="Normal 4 3 5 2 2 5" xfId="8482"/>
    <cellStyle name="Normal 4 3 5 2 2 5 2" xfId="23526"/>
    <cellStyle name="Normal 4 3 5 2 2 5 3" xfId="38569"/>
    <cellStyle name="Normal 4 3 5 2 2 6" xfId="16005"/>
    <cellStyle name="Normal 4 3 5 2 2 7" xfId="31048"/>
    <cellStyle name="Normal 4 3 5 2 3" xfId="1387"/>
    <cellStyle name="Normal 4 3 5 2 3 2" xfId="3258"/>
    <cellStyle name="Normal 4 3 5 2 3 2 2" xfId="7053"/>
    <cellStyle name="Normal 4 3 5 2 3 2 2 2" xfId="14576"/>
    <cellStyle name="Normal 4 3 5 2 3 2 2 2 2" xfId="29620"/>
    <cellStyle name="Normal 4 3 5 2 3 2 2 2 3" xfId="44663"/>
    <cellStyle name="Normal 4 3 5 2 3 2 2 3" xfId="22099"/>
    <cellStyle name="Normal 4 3 5 2 3 2 2 4" xfId="37142"/>
    <cellStyle name="Normal 4 3 5 2 3 2 3" xfId="10827"/>
    <cellStyle name="Normal 4 3 5 2 3 2 3 2" xfId="25871"/>
    <cellStyle name="Normal 4 3 5 2 3 2 3 3" xfId="40914"/>
    <cellStyle name="Normal 4 3 5 2 3 2 4" xfId="18350"/>
    <cellStyle name="Normal 4 3 5 2 3 2 5" xfId="33393"/>
    <cellStyle name="Normal 4 3 5 2 3 3" xfId="5188"/>
    <cellStyle name="Normal 4 3 5 2 3 3 2" xfId="12711"/>
    <cellStyle name="Normal 4 3 5 2 3 3 2 2" xfId="27755"/>
    <cellStyle name="Normal 4 3 5 2 3 3 2 3" xfId="42798"/>
    <cellStyle name="Normal 4 3 5 2 3 3 3" xfId="20234"/>
    <cellStyle name="Normal 4 3 5 2 3 3 4" xfId="35277"/>
    <cellStyle name="Normal 4 3 5 2 3 4" xfId="8962"/>
    <cellStyle name="Normal 4 3 5 2 3 4 2" xfId="24006"/>
    <cellStyle name="Normal 4 3 5 2 3 4 3" xfId="39049"/>
    <cellStyle name="Normal 4 3 5 2 3 5" xfId="16485"/>
    <cellStyle name="Normal 4 3 5 2 3 6" xfId="31528"/>
    <cellStyle name="Normal 4 3 5 2 4" xfId="2325"/>
    <cellStyle name="Normal 4 3 5 2 4 2" xfId="6121"/>
    <cellStyle name="Normal 4 3 5 2 4 2 2" xfId="13644"/>
    <cellStyle name="Normal 4 3 5 2 4 2 2 2" xfId="28688"/>
    <cellStyle name="Normal 4 3 5 2 4 2 2 3" xfId="43731"/>
    <cellStyle name="Normal 4 3 5 2 4 2 3" xfId="21167"/>
    <cellStyle name="Normal 4 3 5 2 4 2 4" xfId="36210"/>
    <cellStyle name="Normal 4 3 5 2 4 3" xfId="9895"/>
    <cellStyle name="Normal 4 3 5 2 4 3 2" xfId="24939"/>
    <cellStyle name="Normal 4 3 5 2 4 3 3" xfId="39982"/>
    <cellStyle name="Normal 4 3 5 2 4 4" xfId="17418"/>
    <cellStyle name="Normal 4 3 5 2 4 5" xfId="32461"/>
    <cellStyle name="Normal 4 3 5 2 5" xfId="4253"/>
    <cellStyle name="Normal 4 3 5 2 5 2" xfId="11777"/>
    <cellStyle name="Normal 4 3 5 2 5 2 2" xfId="26821"/>
    <cellStyle name="Normal 4 3 5 2 5 2 3" xfId="41864"/>
    <cellStyle name="Normal 4 3 5 2 5 3" xfId="19300"/>
    <cellStyle name="Normal 4 3 5 2 5 4" xfId="34343"/>
    <cellStyle name="Normal 4 3 5 2 6" xfId="8016"/>
    <cellStyle name="Normal 4 3 5 2 6 2" xfId="23060"/>
    <cellStyle name="Normal 4 3 5 2 6 3" xfId="38103"/>
    <cellStyle name="Normal 4 3 5 2 7" xfId="15539"/>
    <cellStyle name="Normal 4 3 5 2 8" xfId="30582"/>
    <cellStyle name="Normal 4 3 5 3" xfId="879"/>
    <cellStyle name="Normal 4 3 5 3 2" xfId="1838"/>
    <cellStyle name="Normal 4 3 5 3 2 2" xfId="3709"/>
    <cellStyle name="Normal 4 3 5 3 2 2 2" xfId="7504"/>
    <cellStyle name="Normal 4 3 5 3 2 2 2 2" xfId="15027"/>
    <cellStyle name="Normal 4 3 5 3 2 2 2 2 2" xfId="30071"/>
    <cellStyle name="Normal 4 3 5 3 2 2 2 2 3" xfId="45114"/>
    <cellStyle name="Normal 4 3 5 3 2 2 2 3" xfId="22550"/>
    <cellStyle name="Normal 4 3 5 3 2 2 2 4" xfId="37593"/>
    <cellStyle name="Normal 4 3 5 3 2 2 3" xfId="11278"/>
    <cellStyle name="Normal 4 3 5 3 2 2 3 2" xfId="26322"/>
    <cellStyle name="Normal 4 3 5 3 2 2 3 3" xfId="41365"/>
    <cellStyle name="Normal 4 3 5 3 2 2 4" xfId="18801"/>
    <cellStyle name="Normal 4 3 5 3 2 2 5" xfId="33844"/>
    <cellStyle name="Normal 4 3 5 3 2 3" xfId="5639"/>
    <cellStyle name="Normal 4 3 5 3 2 3 2" xfId="13162"/>
    <cellStyle name="Normal 4 3 5 3 2 3 2 2" xfId="28206"/>
    <cellStyle name="Normal 4 3 5 3 2 3 2 3" xfId="43249"/>
    <cellStyle name="Normal 4 3 5 3 2 3 3" xfId="20685"/>
    <cellStyle name="Normal 4 3 5 3 2 3 4" xfId="35728"/>
    <cellStyle name="Normal 4 3 5 3 2 4" xfId="9413"/>
    <cellStyle name="Normal 4 3 5 3 2 4 2" xfId="24457"/>
    <cellStyle name="Normal 4 3 5 3 2 4 3" xfId="39500"/>
    <cellStyle name="Normal 4 3 5 3 2 5" xfId="16936"/>
    <cellStyle name="Normal 4 3 5 3 2 6" xfId="31979"/>
    <cellStyle name="Normal 4 3 5 3 3" xfId="2777"/>
    <cellStyle name="Normal 4 3 5 3 3 2" xfId="6572"/>
    <cellStyle name="Normal 4 3 5 3 3 2 2" xfId="14095"/>
    <cellStyle name="Normal 4 3 5 3 3 2 2 2" xfId="29139"/>
    <cellStyle name="Normal 4 3 5 3 3 2 2 3" xfId="44182"/>
    <cellStyle name="Normal 4 3 5 3 3 2 3" xfId="21618"/>
    <cellStyle name="Normal 4 3 5 3 3 2 4" xfId="36661"/>
    <cellStyle name="Normal 4 3 5 3 3 3" xfId="10346"/>
    <cellStyle name="Normal 4 3 5 3 3 3 2" xfId="25390"/>
    <cellStyle name="Normal 4 3 5 3 3 3 3" xfId="40433"/>
    <cellStyle name="Normal 4 3 5 3 3 4" xfId="17869"/>
    <cellStyle name="Normal 4 3 5 3 3 5" xfId="32912"/>
    <cellStyle name="Normal 4 3 5 3 4" xfId="4707"/>
    <cellStyle name="Normal 4 3 5 3 4 2" xfId="12230"/>
    <cellStyle name="Normal 4 3 5 3 4 2 2" xfId="27274"/>
    <cellStyle name="Normal 4 3 5 3 4 2 3" xfId="42317"/>
    <cellStyle name="Normal 4 3 5 3 4 3" xfId="19753"/>
    <cellStyle name="Normal 4 3 5 3 4 4" xfId="34796"/>
    <cellStyle name="Normal 4 3 5 3 5" xfId="8481"/>
    <cellStyle name="Normal 4 3 5 3 5 2" xfId="23525"/>
    <cellStyle name="Normal 4 3 5 3 5 3" xfId="38568"/>
    <cellStyle name="Normal 4 3 5 3 6" xfId="16004"/>
    <cellStyle name="Normal 4 3 5 3 7" xfId="31047"/>
    <cellStyle name="Normal 4 3 5 4" xfId="1386"/>
    <cellStyle name="Normal 4 3 5 4 2" xfId="3257"/>
    <cellStyle name="Normal 4 3 5 4 2 2" xfId="7052"/>
    <cellStyle name="Normal 4 3 5 4 2 2 2" xfId="14575"/>
    <cellStyle name="Normal 4 3 5 4 2 2 2 2" xfId="29619"/>
    <cellStyle name="Normal 4 3 5 4 2 2 2 3" xfId="44662"/>
    <cellStyle name="Normal 4 3 5 4 2 2 3" xfId="22098"/>
    <cellStyle name="Normal 4 3 5 4 2 2 4" xfId="37141"/>
    <cellStyle name="Normal 4 3 5 4 2 3" xfId="10826"/>
    <cellStyle name="Normal 4 3 5 4 2 3 2" xfId="25870"/>
    <cellStyle name="Normal 4 3 5 4 2 3 3" xfId="40913"/>
    <cellStyle name="Normal 4 3 5 4 2 4" xfId="18349"/>
    <cellStyle name="Normal 4 3 5 4 2 5" xfId="33392"/>
    <cellStyle name="Normal 4 3 5 4 3" xfId="5187"/>
    <cellStyle name="Normal 4 3 5 4 3 2" xfId="12710"/>
    <cellStyle name="Normal 4 3 5 4 3 2 2" xfId="27754"/>
    <cellStyle name="Normal 4 3 5 4 3 2 3" xfId="42797"/>
    <cellStyle name="Normal 4 3 5 4 3 3" xfId="20233"/>
    <cellStyle name="Normal 4 3 5 4 3 4" xfId="35276"/>
    <cellStyle name="Normal 4 3 5 4 4" xfId="8961"/>
    <cellStyle name="Normal 4 3 5 4 4 2" xfId="24005"/>
    <cellStyle name="Normal 4 3 5 4 4 3" xfId="39048"/>
    <cellStyle name="Normal 4 3 5 4 5" xfId="16484"/>
    <cellStyle name="Normal 4 3 5 4 6" xfId="31527"/>
    <cellStyle name="Normal 4 3 5 5" xfId="2324"/>
    <cellStyle name="Normal 4 3 5 5 2" xfId="6120"/>
    <cellStyle name="Normal 4 3 5 5 2 2" xfId="13643"/>
    <cellStyle name="Normal 4 3 5 5 2 2 2" xfId="28687"/>
    <cellStyle name="Normal 4 3 5 5 2 2 3" xfId="43730"/>
    <cellStyle name="Normal 4 3 5 5 2 3" xfId="21166"/>
    <cellStyle name="Normal 4 3 5 5 2 4" xfId="36209"/>
    <cellStyle name="Normal 4 3 5 5 3" xfId="9894"/>
    <cellStyle name="Normal 4 3 5 5 3 2" xfId="24938"/>
    <cellStyle name="Normal 4 3 5 5 3 3" xfId="39981"/>
    <cellStyle name="Normal 4 3 5 5 4" xfId="17417"/>
    <cellStyle name="Normal 4 3 5 5 5" xfId="32460"/>
    <cellStyle name="Normal 4 3 5 6" xfId="4252"/>
    <cellStyle name="Normal 4 3 5 6 2" xfId="11776"/>
    <cellStyle name="Normal 4 3 5 6 2 2" xfId="26820"/>
    <cellStyle name="Normal 4 3 5 6 2 3" xfId="41863"/>
    <cellStyle name="Normal 4 3 5 6 3" xfId="19299"/>
    <cellStyle name="Normal 4 3 5 6 4" xfId="34342"/>
    <cellStyle name="Normal 4 3 5 7" xfId="8015"/>
    <cellStyle name="Normal 4 3 5 7 2" xfId="23059"/>
    <cellStyle name="Normal 4 3 5 7 3" xfId="38102"/>
    <cellStyle name="Normal 4 3 5 8" xfId="15538"/>
    <cellStyle name="Normal 4 3 5 9" xfId="30581"/>
    <cellStyle name="Normal 4 3 6" xfId="357"/>
    <cellStyle name="Normal 4 3 6 2" xfId="358"/>
    <cellStyle name="Normal 4 3 6 2 2" xfId="882"/>
    <cellStyle name="Normal 4 3 6 2 2 2" xfId="1841"/>
    <cellStyle name="Normal 4 3 6 2 2 2 2" xfId="3712"/>
    <cellStyle name="Normal 4 3 6 2 2 2 2 2" xfId="7507"/>
    <cellStyle name="Normal 4 3 6 2 2 2 2 2 2" xfId="15030"/>
    <cellStyle name="Normal 4 3 6 2 2 2 2 2 2 2" xfId="30074"/>
    <cellStyle name="Normal 4 3 6 2 2 2 2 2 2 3" xfId="45117"/>
    <cellStyle name="Normal 4 3 6 2 2 2 2 2 3" xfId="22553"/>
    <cellStyle name="Normal 4 3 6 2 2 2 2 2 4" xfId="37596"/>
    <cellStyle name="Normal 4 3 6 2 2 2 2 3" xfId="11281"/>
    <cellStyle name="Normal 4 3 6 2 2 2 2 3 2" xfId="26325"/>
    <cellStyle name="Normal 4 3 6 2 2 2 2 3 3" xfId="41368"/>
    <cellStyle name="Normal 4 3 6 2 2 2 2 4" xfId="18804"/>
    <cellStyle name="Normal 4 3 6 2 2 2 2 5" xfId="33847"/>
    <cellStyle name="Normal 4 3 6 2 2 2 3" xfId="5642"/>
    <cellStyle name="Normal 4 3 6 2 2 2 3 2" xfId="13165"/>
    <cellStyle name="Normal 4 3 6 2 2 2 3 2 2" xfId="28209"/>
    <cellStyle name="Normal 4 3 6 2 2 2 3 2 3" xfId="43252"/>
    <cellStyle name="Normal 4 3 6 2 2 2 3 3" xfId="20688"/>
    <cellStyle name="Normal 4 3 6 2 2 2 3 4" xfId="35731"/>
    <cellStyle name="Normal 4 3 6 2 2 2 4" xfId="9416"/>
    <cellStyle name="Normal 4 3 6 2 2 2 4 2" xfId="24460"/>
    <cellStyle name="Normal 4 3 6 2 2 2 4 3" xfId="39503"/>
    <cellStyle name="Normal 4 3 6 2 2 2 5" xfId="16939"/>
    <cellStyle name="Normal 4 3 6 2 2 2 6" xfId="31982"/>
    <cellStyle name="Normal 4 3 6 2 2 3" xfId="2780"/>
    <cellStyle name="Normal 4 3 6 2 2 3 2" xfId="6575"/>
    <cellStyle name="Normal 4 3 6 2 2 3 2 2" xfId="14098"/>
    <cellStyle name="Normal 4 3 6 2 2 3 2 2 2" xfId="29142"/>
    <cellStyle name="Normal 4 3 6 2 2 3 2 2 3" xfId="44185"/>
    <cellStyle name="Normal 4 3 6 2 2 3 2 3" xfId="21621"/>
    <cellStyle name="Normal 4 3 6 2 2 3 2 4" xfId="36664"/>
    <cellStyle name="Normal 4 3 6 2 2 3 3" xfId="10349"/>
    <cellStyle name="Normal 4 3 6 2 2 3 3 2" xfId="25393"/>
    <cellStyle name="Normal 4 3 6 2 2 3 3 3" xfId="40436"/>
    <cellStyle name="Normal 4 3 6 2 2 3 4" xfId="17872"/>
    <cellStyle name="Normal 4 3 6 2 2 3 5" xfId="32915"/>
    <cellStyle name="Normal 4 3 6 2 2 4" xfId="4710"/>
    <cellStyle name="Normal 4 3 6 2 2 4 2" xfId="12233"/>
    <cellStyle name="Normal 4 3 6 2 2 4 2 2" xfId="27277"/>
    <cellStyle name="Normal 4 3 6 2 2 4 2 3" xfId="42320"/>
    <cellStyle name="Normal 4 3 6 2 2 4 3" xfId="19756"/>
    <cellStyle name="Normal 4 3 6 2 2 4 4" xfId="34799"/>
    <cellStyle name="Normal 4 3 6 2 2 5" xfId="8484"/>
    <cellStyle name="Normal 4 3 6 2 2 5 2" xfId="23528"/>
    <cellStyle name="Normal 4 3 6 2 2 5 3" xfId="38571"/>
    <cellStyle name="Normal 4 3 6 2 2 6" xfId="16007"/>
    <cellStyle name="Normal 4 3 6 2 2 7" xfId="31050"/>
    <cellStyle name="Normal 4 3 6 2 3" xfId="1389"/>
    <cellStyle name="Normal 4 3 6 2 3 2" xfId="3260"/>
    <cellStyle name="Normal 4 3 6 2 3 2 2" xfId="7055"/>
    <cellStyle name="Normal 4 3 6 2 3 2 2 2" xfId="14578"/>
    <cellStyle name="Normal 4 3 6 2 3 2 2 2 2" xfId="29622"/>
    <cellStyle name="Normal 4 3 6 2 3 2 2 2 3" xfId="44665"/>
    <cellStyle name="Normal 4 3 6 2 3 2 2 3" xfId="22101"/>
    <cellStyle name="Normal 4 3 6 2 3 2 2 4" xfId="37144"/>
    <cellStyle name="Normal 4 3 6 2 3 2 3" xfId="10829"/>
    <cellStyle name="Normal 4 3 6 2 3 2 3 2" xfId="25873"/>
    <cellStyle name="Normal 4 3 6 2 3 2 3 3" xfId="40916"/>
    <cellStyle name="Normal 4 3 6 2 3 2 4" xfId="18352"/>
    <cellStyle name="Normal 4 3 6 2 3 2 5" xfId="33395"/>
    <cellStyle name="Normal 4 3 6 2 3 3" xfId="5190"/>
    <cellStyle name="Normal 4 3 6 2 3 3 2" xfId="12713"/>
    <cellStyle name="Normal 4 3 6 2 3 3 2 2" xfId="27757"/>
    <cellStyle name="Normal 4 3 6 2 3 3 2 3" xfId="42800"/>
    <cellStyle name="Normal 4 3 6 2 3 3 3" xfId="20236"/>
    <cellStyle name="Normal 4 3 6 2 3 3 4" xfId="35279"/>
    <cellStyle name="Normal 4 3 6 2 3 4" xfId="8964"/>
    <cellStyle name="Normal 4 3 6 2 3 4 2" xfId="24008"/>
    <cellStyle name="Normal 4 3 6 2 3 4 3" xfId="39051"/>
    <cellStyle name="Normal 4 3 6 2 3 5" xfId="16487"/>
    <cellStyle name="Normal 4 3 6 2 3 6" xfId="31530"/>
    <cellStyle name="Normal 4 3 6 2 4" xfId="2327"/>
    <cellStyle name="Normal 4 3 6 2 4 2" xfId="6123"/>
    <cellStyle name="Normal 4 3 6 2 4 2 2" xfId="13646"/>
    <cellStyle name="Normal 4 3 6 2 4 2 2 2" xfId="28690"/>
    <cellStyle name="Normal 4 3 6 2 4 2 2 3" xfId="43733"/>
    <cellStyle name="Normal 4 3 6 2 4 2 3" xfId="21169"/>
    <cellStyle name="Normal 4 3 6 2 4 2 4" xfId="36212"/>
    <cellStyle name="Normal 4 3 6 2 4 3" xfId="9897"/>
    <cellStyle name="Normal 4 3 6 2 4 3 2" xfId="24941"/>
    <cellStyle name="Normal 4 3 6 2 4 3 3" xfId="39984"/>
    <cellStyle name="Normal 4 3 6 2 4 4" xfId="17420"/>
    <cellStyle name="Normal 4 3 6 2 4 5" xfId="32463"/>
    <cellStyle name="Normal 4 3 6 2 5" xfId="4255"/>
    <cellStyle name="Normal 4 3 6 2 5 2" xfId="11779"/>
    <cellStyle name="Normal 4 3 6 2 5 2 2" xfId="26823"/>
    <cellStyle name="Normal 4 3 6 2 5 2 3" xfId="41866"/>
    <cellStyle name="Normal 4 3 6 2 5 3" xfId="19302"/>
    <cellStyle name="Normal 4 3 6 2 5 4" xfId="34345"/>
    <cellStyle name="Normal 4 3 6 2 6" xfId="8018"/>
    <cellStyle name="Normal 4 3 6 2 6 2" xfId="23062"/>
    <cellStyle name="Normal 4 3 6 2 6 3" xfId="38105"/>
    <cellStyle name="Normal 4 3 6 2 7" xfId="15541"/>
    <cellStyle name="Normal 4 3 6 2 8" xfId="30584"/>
    <cellStyle name="Normal 4 3 6 3" xfId="881"/>
    <cellStyle name="Normal 4 3 6 3 2" xfId="1840"/>
    <cellStyle name="Normal 4 3 6 3 2 2" xfId="3711"/>
    <cellStyle name="Normal 4 3 6 3 2 2 2" xfId="7506"/>
    <cellStyle name="Normal 4 3 6 3 2 2 2 2" xfId="15029"/>
    <cellStyle name="Normal 4 3 6 3 2 2 2 2 2" xfId="30073"/>
    <cellStyle name="Normal 4 3 6 3 2 2 2 2 3" xfId="45116"/>
    <cellStyle name="Normal 4 3 6 3 2 2 2 3" xfId="22552"/>
    <cellStyle name="Normal 4 3 6 3 2 2 2 4" xfId="37595"/>
    <cellStyle name="Normal 4 3 6 3 2 2 3" xfId="11280"/>
    <cellStyle name="Normal 4 3 6 3 2 2 3 2" xfId="26324"/>
    <cellStyle name="Normal 4 3 6 3 2 2 3 3" xfId="41367"/>
    <cellStyle name="Normal 4 3 6 3 2 2 4" xfId="18803"/>
    <cellStyle name="Normal 4 3 6 3 2 2 5" xfId="33846"/>
    <cellStyle name="Normal 4 3 6 3 2 3" xfId="5641"/>
    <cellStyle name="Normal 4 3 6 3 2 3 2" xfId="13164"/>
    <cellStyle name="Normal 4 3 6 3 2 3 2 2" xfId="28208"/>
    <cellStyle name="Normal 4 3 6 3 2 3 2 3" xfId="43251"/>
    <cellStyle name="Normal 4 3 6 3 2 3 3" xfId="20687"/>
    <cellStyle name="Normal 4 3 6 3 2 3 4" xfId="35730"/>
    <cellStyle name="Normal 4 3 6 3 2 4" xfId="9415"/>
    <cellStyle name="Normal 4 3 6 3 2 4 2" xfId="24459"/>
    <cellStyle name="Normal 4 3 6 3 2 4 3" xfId="39502"/>
    <cellStyle name="Normal 4 3 6 3 2 5" xfId="16938"/>
    <cellStyle name="Normal 4 3 6 3 2 6" xfId="31981"/>
    <cellStyle name="Normal 4 3 6 3 3" xfId="2779"/>
    <cellStyle name="Normal 4 3 6 3 3 2" xfId="6574"/>
    <cellStyle name="Normal 4 3 6 3 3 2 2" xfId="14097"/>
    <cellStyle name="Normal 4 3 6 3 3 2 2 2" xfId="29141"/>
    <cellStyle name="Normal 4 3 6 3 3 2 2 3" xfId="44184"/>
    <cellStyle name="Normal 4 3 6 3 3 2 3" xfId="21620"/>
    <cellStyle name="Normal 4 3 6 3 3 2 4" xfId="36663"/>
    <cellStyle name="Normal 4 3 6 3 3 3" xfId="10348"/>
    <cellStyle name="Normal 4 3 6 3 3 3 2" xfId="25392"/>
    <cellStyle name="Normal 4 3 6 3 3 3 3" xfId="40435"/>
    <cellStyle name="Normal 4 3 6 3 3 4" xfId="17871"/>
    <cellStyle name="Normal 4 3 6 3 3 5" xfId="32914"/>
    <cellStyle name="Normal 4 3 6 3 4" xfId="4709"/>
    <cellStyle name="Normal 4 3 6 3 4 2" xfId="12232"/>
    <cellStyle name="Normal 4 3 6 3 4 2 2" xfId="27276"/>
    <cellStyle name="Normal 4 3 6 3 4 2 3" xfId="42319"/>
    <cellStyle name="Normal 4 3 6 3 4 3" xfId="19755"/>
    <cellStyle name="Normal 4 3 6 3 4 4" xfId="34798"/>
    <cellStyle name="Normal 4 3 6 3 5" xfId="8483"/>
    <cellStyle name="Normal 4 3 6 3 5 2" xfId="23527"/>
    <cellStyle name="Normal 4 3 6 3 5 3" xfId="38570"/>
    <cellStyle name="Normal 4 3 6 3 6" xfId="16006"/>
    <cellStyle name="Normal 4 3 6 3 7" xfId="31049"/>
    <cellStyle name="Normal 4 3 6 4" xfId="1388"/>
    <cellStyle name="Normal 4 3 6 4 2" xfId="3259"/>
    <cellStyle name="Normal 4 3 6 4 2 2" xfId="7054"/>
    <cellStyle name="Normal 4 3 6 4 2 2 2" xfId="14577"/>
    <cellStyle name="Normal 4 3 6 4 2 2 2 2" xfId="29621"/>
    <cellStyle name="Normal 4 3 6 4 2 2 2 3" xfId="44664"/>
    <cellStyle name="Normal 4 3 6 4 2 2 3" xfId="22100"/>
    <cellStyle name="Normal 4 3 6 4 2 2 4" xfId="37143"/>
    <cellStyle name="Normal 4 3 6 4 2 3" xfId="10828"/>
    <cellStyle name="Normal 4 3 6 4 2 3 2" xfId="25872"/>
    <cellStyle name="Normal 4 3 6 4 2 3 3" xfId="40915"/>
    <cellStyle name="Normal 4 3 6 4 2 4" xfId="18351"/>
    <cellStyle name="Normal 4 3 6 4 2 5" xfId="33394"/>
    <cellStyle name="Normal 4 3 6 4 3" xfId="5189"/>
    <cellStyle name="Normal 4 3 6 4 3 2" xfId="12712"/>
    <cellStyle name="Normal 4 3 6 4 3 2 2" xfId="27756"/>
    <cellStyle name="Normal 4 3 6 4 3 2 3" xfId="42799"/>
    <cellStyle name="Normal 4 3 6 4 3 3" xfId="20235"/>
    <cellStyle name="Normal 4 3 6 4 3 4" xfId="35278"/>
    <cellStyle name="Normal 4 3 6 4 4" xfId="8963"/>
    <cellStyle name="Normal 4 3 6 4 4 2" xfId="24007"/>
    <cellStyle name="Normal 4 3 6 4 4 3" xfId="39050"/>
    <cellStyle name="Normal 4 3 6 4 5" xfId="16486"/>
    <cellStyle name="Normal 4 3 6 4 6" xfId="31529"/>
    <cellStyle name="Normal 4 3 6 5" xfId="2326"/>
    <cellStyle name="Normal 4 3 6 5 2" xfId="6122"/>
    <cellStyle name="Normal 4 3 6 5 2 2" xfId="13645"/>
    <cellStyle name="Normal 4 3 6 5 2 2 2" xfId="28689"/>
    <cellStyle name="Normal 4 3 6 5 2 2 3" xfId="43732"/>
    <cellStyle name="Normal 4 3 6 5 2 3" xfId="21168"/>
    <cellStyle name="Normal 4 3 6 5 2 4" xfId="36211"/>
    <cellStyle name="Normal 4 3 6 5 3" xfId="9896"/>
    <cellStyle name="Normal 4 3 6 5 3 2" xfId="24940"/>
    <cellStyle name="Normal 4 3 6 5 3 3" xfId="39983"/>
    <cellStyle name="Normal 4 3 6 5 4" xfId="17419"/>
    <cellStyle name="Normal 4 3 6 5 5" xfId="32462"/>
    <cellStyle name="Normal 4 3 6 6" xfId="4254"/>
    <cellStyle name="Normal 4 3 6 6 2" xfId="11778"/>
    <cellStyle name="Normal 4 3 6 6 2 2" xfId="26822"/>
    <cellStyle name="Normal 4 3 6 6 2 3" xfId="41865"/>
    <cellStyle name="Normal 4 3 6 6 3" xfId="19301"/>
    <cellStyle name="Normal 4 3 6 6 4" xfId="34344"/>
    <cellStyle name="Normal 4 3 6 7" xfId="8017"/>
    <cellStyle name="Normal 4 3 6 7 2" xfId="23061"/>
    <cellStyle name="Normal 4 3 6 7 3" xfId="38104"/>
    <cellStyle name="Normal 4 3 6 8" xfId="15540"/>
    <cellStyle name="Normal 4 3 6 9" xfId="30583"/>
    <cellStyle name="Normal 4 3 7" xfId="359"/>
    <cellStyle name="Normal 4 3 7 2" xfId="883"/>
    <cellStyle name="Normal 4 3 7 2 2" xfId="1842"/>
    <cellStyle name="Normal 4 3 7 2 2 2" xfId="3713"/>
    <cellStyle name="Normal 4 3 7 2 2 2 2" xfId="7508"/>
    <cellStyle name="Normal 4 3 7 2 2 2 2 2" xfId="15031"/>
    <cellStyle name="Normal 4 3 7 2 2 2 2 2 2" xfId="30075"/>
    <cellStyle name="Normal 4 3 7 2 2 2 2 2 3" xfId="45118"/>
    <cellStyle name="Normal 4 3 7 2 2 2 2 3" xfId="22554"/>
    <cellStyle name="Normal 4 3 7 2 2 2 2 4" xfId="37597"/>
    <cellStyle name="Normal 4 3 7 2 2 2 3" xfId="11282"/>
    <cellStyle name="Normal 4 3 7 2 2 2 3 2" xfId="26326"/>
    <cellStyle name="Normal 4 3 7 2 2 2 3 3" xfId="41369"/>
    <cellStyle name="Normal 4 3 7 2 2 2 4" xfId="18805"/>
    <cellStyle name="Normal 4 3 7 2 2 2 5" xfId="33848"/>
    <cellStyle name="Normal 4 3 7 2 2 3" xfId="5643"/>
    <cellStyle name="Normal 4 3 7 2 2 3 2" xfId="13166"/>
    <cellStyle name="Normal 4 3 7 2 2 3 2 2" xfId="28210"/>
    <cellStyle name="Normal 4 3 7 2 2 3 2 3" xfId="43253"/>
    <cellStyle name="Normal 4 3 7 2 2 3 3" xfId="20689"/>
    <cellStyle name="Normal 4 3 7 2 2 3 4" xfId="35732"/>
    <cellStyle name="Normal 4 3 7 2 2 4" xfId="9417"/>
    <cellStyle name="Normal 4 3 7 2 2 4 2" xfId="24461"/>
    <cellStyle name="Normal 4 3 7 2 2 4 3" xfId="39504"/>
    <cellStyle name="Normal 4 3 7 2 2 5" xfId="16940"/>
    <cellStyle name="Normal 4 3 7 2 2 6" xfId="31983"/>
    <cellStyle name="Normal 4 3 7 2 3" xfId="2781"/>
    <cellStyle name="Normal 4 3 7 2 3 2" xfId="6576"/>
    <cellStyle name="Normal 4 3 7 2 3 2 2" xfId="14099"/>
    <cellStyle name="Normal 4 3 7 2 3 2 2 2" xfId="29143"/>
    <cellStyle name="Normal 4 3 7 2 3 2 2 3" xfId="44186"/>
    <cellStyle name="Normal 4 3 7 2 3 2 3" xfId="21622"/>
    <cellStyle name="Normal 4 3 7 2 3 2 4" xfId="36665"/>
    <cellStyle name="Normal 4 3 7 2 3 3" xfId="10350"/>
    <cellStyle name="Normal 4 3 7 2 3 3 2" xfId="25394"/>
    <cellStyle name="Normal 4 3 7 2 3 3 3" xfId="40437"/>
    <cellStyle name="Normal 4 3 7 2 3 4" xfId="17873"/>
    <cellStyle name="Normal 4 3 7 2 3 5" xfId="32916"/>
    <cellStyle name="Normal 4 3 7 2 4" xfId="4711"/>
    <cellStyle name="Normal 4 3 7 2 4 2" xfId="12234"/>
    <cellStyle name="Normal 4 3 7 2 4 2 2" xfId="27278"/>
    <cellStyle name="Normal 4 3 7 2 4 2 3" xfId="42321"/>
    <cellStyle name="Normal 4 3 7 2 4 3" xfId="19757"/>
    <cellStyle name="Normal 4 3 7 2 4 4" xfId="34800"/>
    <cellStyle name="Normal 4 3 7 2 5" xfId="8485"/>
    <cellStyle name="Normal 4 3 7 2 5 2" xfId="23529"/>
    <cellStyle name="Normal 4 3 7 2 5 3" xfId="38572"/>
    <cellStyle name="Normal 4 3 7 2 6" xfId="16008"/>
    <cellStyle name="Normal 4 3 7 2 7" xfId="31051"/>
    <cellStyle name="Normal 4 3 7 3" xfId="1390"/>
    <cellStyle name="Normal 4 3 7 3 2" xfId="3261"/>
    <cellStyle name="Normal 4 3 7 3 2 2" xfId="7056"/>
    <cellStyle name="Normal 4 3 7 3 2 2 2" xfId="14579"/>
    <cellStyle name="Normal 4 3 7 3 2 2 2 2" xfId="29623"/>
    <cellStyle name="Normal 4 3 7 3 2 2 2 3" xfId="44666"/>
    <cellStyle name="Normal 4 3 7 3 2 2 3" xfId="22102"/>
    <cellStyle name="Normal 4 3 7 3 2 2 4" xfId="37145"/>
    <cellStyle name="Normal 4 3 7 3 2 3" xfId="10830"/>
    <cellStyle name="Normal 4 3 7 3 2 3 2" xfId="25874"/>
    <cellStyle name="Normal 4 3 7 3 2 3 3" xfId="40917"/>
    <cellStyle name="Normal 4 3 7 3 2 4" xfId="18353"/>
    <cellStyle name="Normal 4 3 7 3 2 5" xfId="33396"/>
    <cellStyle name="Normal 4 3 7 3 3" xfId="5191"/>
    <cellStyle name="Normal 4 3 7 3 3 2" xfId="12714"/>
    <cellStyle name="Normal 4 3 7 3 3 2 2" xfId="27758"/>
    <cellStyle name="Normal 4 3 7 3 3 2 3" xfId="42801"/>
    <cellStyle name="Normal 4 3 7 3 3 3" xfId="20237"/>
    <cellStyle name="Normal 4 3 7 3 3 4" xfId="35280"/>
    <cellStyle name="Normal 4 3 7 3 4" xfId="8965"/>
    <cellStyle name="Normal 4 3 7 3 4 2" xfId="24009"/>
    <cellStyle name="Normal 4 3 7 3 4 3" xfId="39052"/>
    <cellStyle name="Normal 4 3 7 3 5" xfId="16488"/>
    <cellStyle name="Normal 4 3 7 3 6" xfId="31531"/>
    <cellStyle name="Normal 4 3 7 4" xfId="2328"/>
    <cellStyle name="Normal 4 3 7 4 2" xfId="6124"/>
    <cellStyle name="Normal 4 3 7 4 2 2" xfId="13647"/>
    <cellStyle name="Normal 4 3 7 4 2 2 2" xfId="28691"/>
    <cellStyle name="Normal 4 3 7 4 2 2 3" xfId="43734"/>
    <cellStyle name="Normal 4 3 7 4 2 3" xfId="21170"/>
    <cellStyle name="Normal 4 3 7 4 2 4" xfId="36213"/>
    <cellStyle name="Normal 4 3 7 4 3" xfId="9898"/>
    <cellStyle name="Normal 4 3 7 4 3 2" xfId="24942"/>
    <cellStyle name="Normal 4 3 7 4 3 3" xfId="39985"/>
    <cellStyle name="Normal 4 3 7 4 4" xfId="17421"/>
    <cellStyle name="Normal 4 3 7 4 5" xfId="32464"/>
    <cellStyle name="Normal 4 3 7 5" xfId="4256"/>
    <cellStyle name="Normal 4 3 7 5 2" xfId="11780"/>
    <cellStyle name="Normal 4 3 7 5 2 2" xfId="26824"/>
    <cellStyle name="Normal 4 3 7 5 2 3" xfId="41867"/>
    <cellStyle name="Normal 4 3 7 5 3" xfId="19303"/>
    <cellStyle name="Normal 4 3 7 5 4" xfId="34346"/>
    <cellStyle name="Normal 4 3 7 6" xfId="8019"/>
    <cellStyle name="Normal 4 3 7 6 2" xfId="23063"/>
    <cellStyle name="Normal 4 3 7 6 3" xfId="38106"/>
    <cellStyle name="Normal 4 3 7 7" xfId="15542"/>
    <cellStyle name="Normal 4 3 7 8" xfId="30585"/>
    <cellStyle name="Normal 4 3 8" xfId="838"/>
    <cellStyle name="Normal 4 3 8 2" xfId="1797"/>
    <cellStyle name="Normal 4 3 8 2 2" xfId="3668"/>
    <cellStyle name="Normal 4 3 8 2 2 2" xfId="7463"/>
    <cellStyle name="Normal 4 3 8 2 2 2 2" xfId="14986"/>
    <cellStyle name="Normal 4 3 8 2 2 2 2 2" xfId="30030"/>
    <cellStyle name="Normal 4 3 8 2 2 2 2 3" xfId="45073"/>
    <cellStyle name="Normal 4 3 8 2 2 2 3" xfId="22509"/>
    <cellStyle name="Normal 4 3 8 2 2 2 4" xfId="37552"/>
    <cellStyle name="Normal 4 3 8 2 2 3" xfId="11237"/>
    <cellStyle name="Normal 4 3 8 2 2 3 2" xfId="26281"/>
    <cellStyle name="Normal 4 3 8 2 2 3 3" xfId="41324"/>
    <cellStyle name="Normal 4 3 8 2 2 4" xfId="18760"/>
    <cellStyle name="Normal 4 3 8 2 2 5" xfId="33803"/>
    <cellStyle name="Normal 4 3 8 2 3" xfId="5598"/>
    <cellStyle name="Normal 4 3 8 2 3 2" xfId="13121"/>
    <cellStyle name="Normal 4 3 8 2 3 2 2" xfId="28165"/>
    <cellStyle name="Normal 4 3 8 2 3 2 3" xfId="43208"/>
    <cellStyle name="Normal 4 3 8 2 3 3" xfId="20644"/>
    <cellStyle name="Normal 4 3 8 2 3 4" xfId="35687"/>
    <cellStyle name="Normal 4 3 8 2 4" xfId="9372"/>
    <cellStyle name="Normal 4 3 8 2 4 2" xfId="24416"/>
    <cellStyle name="Normal 4 3 8 2 4 3" xfId="39459"/>
    <cellStyle name="Normal 4 3 8 2 5" xfId="16895"/>
    <cellStyle name="Normal 4 3 8 2 6" xfId="31938"/>
    <cellStyle name="Normal 4 3 8 3" xfId="2736"/>
    <cellStyle name="Normal 4 3 8 3 2" xfId="6531"/>
    <cellStyle name="Normal 4 3 8 3 2 2" xfId="14054"/>
    <cellStyle name="Normal 4 3 8 3 2 2 2" xfId="29098"/>
    <cellStyle name="Normal 4 3 8 3 2 2 3" xfId="44141"/>
    <cellStyle name="Normal 4 3 8 3 2 3" xfId="21577"/>
    <cellStyle name="Normal 4 3 8 3 2 4" xfId="36620"/>
    <cellStyle name="Normal 4 3 8 3 3" xfId="10305"/>
    <cellStyle name="Normal 4 3 8 3 3 2" xfId="25349"/>
    <cellStyle name="Normal 4 3 8 3 3 3" xfId="40392"/>
    <cellStyle name="Normal 4 3 8 3 4" xfId="17828"/>
    <cellStyle name="Normal 4 3 8 3 5" xfId="32871"/>
    <cellStyle name="Normal 4 3 8 4" xfId="4666"/>
    <cellStyle name="Normal 4 3 8 4 2" xfId="12189"/>
    <cellStyle name="Normal 4 3 8 4 2 2" xfId="27233"/>
    <cellStyle name="Normal 4 3 8 4 2 3" xfId="42276"/>
    <cellStyle name="Normal 4 3 8 4 3" xfId="19712"/>
    <cellStyle name="Normal 4 3 8 4 4" xfId="34755"/>
    <cellStyle name="Normal 4 3 8 5" xfId="8440"/>
    <cellStyle name="Normal 4 3 8 5 2" xfId="23484"/>
    <cellStyle name="Normal 4 3 8 5 3" xfId="38527"/>
    <cellStyle name="Normal 4 3 8 6" xfId="15963"/>
    <cellStyle name="Normal 4 3 8 7" xfId="31006"/>
    <cellStyle name="Normal 4 3 9" xfId="1345"/>
    <cellStyle name="Normal 4 3 9 2" xfId="3216"/>
    <cellStyle name="Normal 4 3 9 2 2" xfId="7011"/>
    <cellStyle name="Normal 4 3 9 2 2 2" xfId="14534"/>
    <cellStyle name="Normal 4 3 9 2 2 2 2" xfId="29578"/>
    <cellStyle name="Normal 4 3 9 2 2 2 3" xfId="44621"/>
    <cellStyle name="Normal 4 3 9 2 2 3" xfId="22057"/>
    <cellStyle name="Normal 4 3 9 2 2 4" xfId="37100"/>
    <cellStyle name="Normal 4 3 9 2 3" xfId="10785"/>
    <cellStyle name="Normal 4 3 9 2 3 2" xfId="25829"/>
    <cellStyle name="Normal 4 3 9 2 3 3" xfId="40872"/>
    <cellStyle name="Normal 4 3 9 2 4" xfId="18308"/>
    <cellStyle name="Normal 4 3 9 2 5" xfId="33351"/>
    <cellStyle name="Normal 4 3 9 3" xfId="5146"/>
    <cellStyle name="Normal 4 3 9 3 2" xfId="12669"/>
    <cellStyle name="Normal 4 3 9 3 2 2" xfId="27713"/>
    <cellStyle name="Normal 4 3 9 3 2 3" xfId="42756"/>
    <cellStyle name="Normal 4 3 9 3 3" xfId="20192"/>
    <cellStyle name="Normal 4 3 9 3 4" xfId="35235"/>
    <cellStyle name="Normal 4 3 9 4" xfId="8920"/>
    <cellStyle name="Normal 4 3 9 4 2" xfId="23964"/>
    <cellStyle name="Normal 4 3 9 4 3" xfId="39007"/>
    <cellStyle name="Normal 4 3 9 5" xfId="16443"/>
    <cellStyle name="Normal 4 3 9 6" xfId="31486"/>
    <cellStyle name="Normal 4 4" xfId="360"/>
    <cellStyle name="Normal 4 4 10" xfId="4257"/>
    <cellStyle name="Normal 4 4 10 2" xfId="11781"/>
    <cellStyle name="Normal 4 4 10 2 2" xfId="26825"/>
    <cellStyle name="Normal 4 4 10 2 3" xfId="41868"/>
    <cellStyle name="Normal 4 4 10 3" xfId="19304"/>
    <cellStyle name="Normal 4 4 10 4" xfId="34347"/>
    <cellStyle name="Normal 4 4 11" xfId="8020"/>
    <cellStyle name="Normal 4 4 11 2" xfId="23064"/>
    <cellStyle name="Normal 4 4 11 3" xfId="38107"/>
    <cellStyle name="Normal 4 4 12" xfId="15543"/>
    <cellStyle name="Normal 4 4 13" xfId="30586"/>
    <cellStyle name="Normal 4 4 2" xfId="361"/>
    <cellStyle name="Normal 4 4 2 10" xfId="8021"/>
    <cellStyle name="Normal 4 4 2 10 2" xfId="23065"/>
    <cellStyle name="Normal 4 4 2 10 3" xfId="38108"/>
    <cellStyle name="Normal 4 4 2 11" xfId="15544"/>
    <cellStyle name="Normal 4 4 2 12" xfId="30587"/>
    <cellStyle name="Normal 4 4 2 2" xfId="362"/>
    <cellStyle name="Normal 4 4 2 2 10" xfId="15545"/>
    <cellStyle name="Normal 4 4 2 2 11" xfId="30588"/>
    <cellStyle name="Normal 4 4 2 2 2" xfId="363"/>
    <cellStyle name="Normal 4 4 2 2 2 2" xfId="364"/>
    <cellStyle name="Normal 4 4 2 2 2 2 2" xfId="888"/>
    <cellStyle name="Normal 4 4 2 2 2 2 2 2" xfId="1847"/>
    <cellStyle name="Normal 4 4 2 2 2 2 2 2 2" xfId="3718"/>
    <cellStyle name="Normal 4 4 2 2 2 2 2 2 2 2" xfId="7513"/>
    <cellStyle name="Normal 4 4 2 2 2 2 2 2 2 2 2" xfId="15036"/>
    <cellStyle name="Normal 4 4 2 2 2 2 2 2 2 2 2 2" xfId="30080"/>
    <cellStyle name="Normal 4 4 2 2 2 2 2 2 2 2 2 3" xfId="45123"/>
    <cellStyle name="Normal 4 4 2 2 2 2 2 2 2 2 3" xfId="22559"/>
    <cellStyle name="Normal 4 4 2 2 2 2 2 2 2 2 4" xfId="37602"/>
    <cellStyle name="Normal 4 4 2 2 2 2 2 2 2 3" xfId="11287"/>
    <cellStyle name="Normal 4 4 2 2 2 2 2 2 2 3 2" xfId="26331"/>
    <cellStyle name="Normal 4 4 2 2 2 2 2 2 2 3 3" xfId="41374"/>
    <cellStyle name="Normal 4 4 2 2 2 2 2 2 2 4" xfId="18810"/>
    <cellStyle name="Normal 4 4 2 2 2 2 2 2 2 5" xfId="33853"/>
    <cellStyle name="Normal 4 4 2 2 2 2 2 2 3" xfId="5648"/>
    <cellStyle name="Normal 4 4 2 2 2 2 2 2 3 2" xfId="13171"/>
    <cellStyle name="Normal 4 4 2 2 2 2 2 2 3 2 2" xfId="28215"/>
    <cellStyle name="Normal 4 4 2 2 2 2 2 2 3 2 3" xfId="43258"/>
    <cellStyle name="Normal 4 4 2 2 2 2 2 2 3 3" xfId="20694"/>
    <cellStyle name="Normal 4 4 2 2 2 2 2 2 3 4" xfId="35737"/>
    <cellStyle name="Normal 4 4 2 2 2 2 2 2 4" xfId="9422"/>
    <cellStyle name="Normal 4 4 2 2 2 2 2 2 4 2" xfId="24466"/>
    <cellStyle name="Normal 4 4 2 2 2 2 2 2 4 3" xfId="39509"/>
    <cellStyle name="Normal 4 4 2 2 2 2 2 2 5" xfId="16945"/>
    <cellStyle name="Normal 4 4 2 2 2 2 2 2 6" xfId="31988"/>
    <cellStyle name="Normal 4 4 2 2 2 2 2 3" xfId="2786"/>
    <cellStyle name="Normal 4 4 2 2 2 2 2 3 2" xfId="6581"/>
    <cellStyle name="Normal 4 4 2 2 2 2 2 3 2 2" xfId="14104"/>
    <cellStyle name="Normal 4 4 2 2 2 2 2 3 2 2 2" xfId="29148"/>
    <cellStyle name="Normal 4 4 2 2 2 2 2 3 2 2 3" xfId="44191"/>
    <cellStyle name="Normal 4 4 2 2 2 2 2 3 2 3" xfId="21627"/>
    <cellStyle name="Normal 4 4 2 2 2 2 2 3 2 4" xfId="36670"/>
    <cellStyle name="Normal 4 4 2 2 2 2 2 3 3" xfId="10355"/>
    <cellStyle name="Normal 4 4 2 2 2 2 2 3 3 2" xfId="25399"/>
    <cellStyle name="Normal 4 4 2 2 2 2 2 3 3 3" xfId="40442"/>
    <cellStyle name="Normal 4 4 2 2 2 2 2 3 4" xfId="17878"/>
    <cellStyle name="Normal 4 4 2 2 2 2 2 3 5" xfId="32921"/>
    <cellStyle name="Normal 4 4 2 2 2 2 2 4" xfId="4716"/>
    <cellStyle name="Normal 4 4 2 2 2 2 2 4 2" xfId="12239"/>
    <cellStyle name="Normal 4 4 2 2 2 2 2 4 2 2" xfId="27283"/>
    <cellStyle name="Normal 4 4 2 2 2 2 2 4 2 3" xfId="42326"/>
    <cellStyle name="Normal 4 4 2 2 2 2 2 4 3" xfId="19762"/>
    <cellStyle name="Normal 4 4 2 2 2 2 2 4 4" xfId="34805"/>
    <cellStyle name="Normal 4 4 2 2 2 2 2 5" xfId="8490"/>
    <cellStyle name="Normal 4 4 2 2 2 2 2 5 2" xfId="23534"/>
    <cellStyle name="Normal 4 4 2 2 2 2 2 5 3" xfId="38577"/>
    <cellStyle name="Normal 4 4 2 2 2 2 2 6" xfId="16013"/>
    <cellStyle name="Normal 4 4 2 2 2 2 2 7" xfId="31056"/>
    <cellStyle name="Normal 4 4 2 2 2 2 3" xfId="1395"/>
    <cellStyle name="Normal 4 4 2 2 2 2 3 2" xfId="3266"/>
    <cellStyle name="Normal 4 4 2 2 2 2 3 2 2" xfId="7061"/>
    <cellStyle name="Normal 4 4 2 2 2 2 3 2 2 2" xfId="14584"/>
    <cellStyle name="Normal 4 4 2 2 2 2 3 2 2 2 2" xfId="29628"/>
    <cellStyle name="Normal 4 4 2 2 2 2 3 2 2 2 3" xfId="44671"/>
    <cellStyle name="Normal 4 4 2 2 2 2 3 2 2 3" xfId="22107"/>
    <cellStyle name="Normal 4 4 2 2 2 2 3 2 2 4" xfId="37150"/>
    <cellStyle name="Normal 4 4 2 2 2 2 3 2 3" xfId="10835"/>
    <cellStyle name="Normal 4 4 2 2 2 2 3 2 3 2" xfId="25879"/>
    <cellStyle name="Normal 4 4 2 2 2 2 3 2 3 3" xfId="40922"/>
    <cellStyle name="Normal 4 4 2 2 2 2 3 2 4" xfId="18358"/>
    <cellStyle name="Normal 4 4 2 2 2 2 3 2 5" xfId="33401"/>
    <cellStyle name="Normal 4 4 2 2 2 2 3 3" xfId="5196"/>
    <cellStyle name="Normal 4 4 2 2 2 2 3 3 2" xfId="12719"/>
    <cellStyle name="Normal 4 4 2 2 2 2 3 3 2 2" xfId="27763"/>
    <cellStyle name="Normal 4 4 2 2 2 2 3 3 2 3" xfId="42806"/>
    <cellStyle name="Normal 4 4 2 2 2 2 3 3 3" xfId="20242"/>
    <cellStyle name="Normal 4 4 2 2 2 2 3 3 4" xfId="35285"/>
    <cellStyle name="Normal 4 4 2 2 2 2 3 4" xfId="8970"/>
    <cellStyle name="Normal 4 4 2 2 2 2 3 4 2" xfId="24014"/>
    <cellStyle name="Normal 4 4 2 2 2 2 3 4 3" xfId="39057"/>
    <cellStyle name="Normal 4 4 2 2 2 2 3 5" xfId="16493"/>
    <cellStyle name="Normal 4 4 2 2 2 2 3 6" xfId="31536"/>
    <cellStyle name="Normal 4 4 2 2 2 2 4" xfId="2333"/>
    <cellStyle name="Normal 4 4 2 2 2 2 4 2" xfId="6129"/>
    <cellStyle name="Normal 4 4 2 2 2 2 4 2 2" xfId="13652"/>
    <cellStyle name="Normal 4 4 2 2 2 2 4 2 2 2" xfId="28696"/>
    <cellStyle name="Normal 4 4 2 2 2 2 4 2 2 3" xfId="43739"/>
    <cellStyle name="Normal 4 4 2 2 2 2 4 2 3" xfId="21175"/>
    <cellStyle name="Normal 4 4 2 2 2 2 4 2 4" xfId="36218"/>
    <cellStyle name="Normal 4 4 2 2 2 2 4 3" xfId="9903"/>
    <cellStyle name="Normal 4 4 2 2 2 2 4 3 2" xfId="24947"/>
    <cellStyle name="Normal 4 4 2 2 2 2 4 3 3" xfId="39990"/>
    <cellStyle name="Normal 4 4 2 2 2 2 4 4" xfId="17426"/>
    <cellStyle name="Normal 4 4 2 2 2 2 4 5" xfId="32469"/>
    <cellStyle name="Normal 4 4 2 2 2 2 5" xfId="4261"/>
    <cellStyle name="Normal 4 4 2 2 2 2 5 2" xfId="11785"/>
    <cellStyle name="Normal 4 4 2 2 2 2 5 2 2" xfId="26829"/>
    <cellStyle name="Normal 4 4 2 2 2 2 5 2 3" xfId="41872"/>
    <cellStyle name="Normal 4 4 2 2 2 2 5 3" xfId="19308"/>
    <cellStyle name="Normal 4 4 2 2 2 2 5 4" xfId="34351"/>
    <cellStyle name="Normal 4 4 2 2 2 2 6" xfId="8024"/>
    <cellStyle name="Normal 4 4 2 2 2 2 6 2" xfId="23068"/>
    <cellStyle name="Normal 4 4 2 2 2 2 6 3" xfId="38111"/>
    <cellStyle name="Normal 4 4 2 2 2 2 7" xfId="15547"/>
    <cellStyle name="Normal 4 4 2 2 2 2 8" xfId="30590"/>
    <cellStyle name="Normal 4 4 2 2 2 3" xfId="887"/>
    <cellStyle name="Normal 4 4 2 2 2 3 2" xfId="1846"/>
    <cellStyle name="Normal 4 4 2 2 2 3 2 2" xfId="3717"/>
    <cellStyle name="Normal 4 4 2 2 2 3 2 2 2" xfId="7512"/>
    <cellStyle name="Normal 4 4 2 2 2 3 2 2 2 2" xfId="15035"/>
    <cellStyle name="Normal 4 4 2 2 2 3 2 2 2 2 2" xfId="30079"/>
    <cellStyle name="Normal 4 4 2 2 2 3 2 2 2 2 3" xfId="45122"/>
    <cellStyle name="Normal 4 4 2 2 2 3 2 2 2 3" xfId="22558"/>
    <cellStyle name="Normal 4 4 2 2 2 3 2 2 2 4" xfId="37601"/>
    <cellStyle name="Normal 4 4 2 2 2 3 2 2 3" xfId="11286"/>
    <cellStyle name="Normal 4 4 2 2 2 3 2 2 3 2" xfId="26330"/>
    <cellStyle name="Normal 4 4 2 2 2 3 2 2 3 3" xfId="41373"/>
    <cellStyle name="Normal 4 4 2 2 2 3 2 2 4" xfId="18809"/>
    <cellStyle name="Normal 4 4 2 2 2 3 2 2 5" xfId="33852"/>
    <cellStyle name="Normal 4 4 2 2 2 3 2 3" xfId="5647"/>
    <cellStyle name="Normal 4 4 2 2 2 3 2 3 2" xfId="13170"/>
    <cellStyle name="Normal 4 4 2 2 2 3 2 3 2 2" xfId="28214"/>
    <cellStyle name="Normal 4 4 2 2 2 3 2 3 2 3" xfId="43257"/>
    <cellStyle name="Normal 4 4 2 2 2 3 2 3 3" xfId="20693"/>
    <cellStyle name="Normal 4 4 2 2 2 3 2 3 4" xfId="35736"/>
    <cellStyle name="Normal 4 4 2 2 2 3 2 4" xfId="9421"/>
    <cellStyle name="Normal 4 4 2 2 2 3 2 4 2" xfId="24465"/>
    <cellStyle name="Normal 4 4 2 2 2 3 2 4 3" xfId="39508"/>
    <cellStyle name="Normal 4 4 2 2 2 3 2 5" xfId="16944"/>
    <cellStyle name="Normal 4 4 2 2 2 3 2 6" xfId="31987"/>
    <cellStyle name="Normal 4 4 2 2 2 3 3" xfId="2785"/>
    <cellStyle name="Normal 4 4 2 2 2 3 3 2" xfId="6580"/>
    <cellStyle name="Normal 4 4 2 2 2 3 3 2 2" xfId="14103"/>
    <cellStyle name="Normal 4 4 2 2 2 3 3 2 2 2" xfId="29147"/>
    <cellStyle name="Normal 4 4 2 2 2 3 3 2 2 3" xfId="44190"/>
    <cellStyle name="Normal 4 4 2 2 2 3 3 2 3" xfId="21626"/>
    <cellStyle name="Normal 4 4 2 2 2 3 3 2 4" xfId="36669"/>
    <cellStyle name="Normal 4 4 2 2 2 3 3 3" xfId="10354"/>
    <cellStyle name="Normal 4 4 2 2 2 3 3 3 2" xfId="25398"/>
    <cellStyle name="Normal 4 4 2 2 2 3 3 3 3" xfId="40441"/>
    <cellStyle name="Normal 4 4 2 2 2 3 3 4" xfId="17877"/>
    <cellStyle name="Normal 4 4 2 2 2 3 3 5" xfId="32920"/>
    <cellStyle name="Normal 4 4 2 2 2 3 4" xfId="4715"/>
    <cellStyle name="Normal 4 4 2 2 2 3 4 2" xfId="12238"/>
    <cellStyle name="Normal 4 4 2 2 2 3 4 2 2" xfId="27282"/>
    <cellStyle name="Normal 4 4 2 2 2 3 4 2 3" xfId="42325"/>
    <cellStyle name="Normal 4 4 2 2 2 3 4 3" xfId="19761"/>
    <cellStyle name="Normal 4 4 2 2 2 3 4 4" xfId="34804"/>
    <cellStyle name="Normal 4 4 2 2 2 3 5" xfId="8489"/>
    <cellStyle name="Normal 4 4 2 2 2 3 5 2" xfId="23533"/>
    <cellStyle name="Normal 4 4 2 2 2 3 5 3" xfId="38576"/>
    <cellStyle name="Normal 4 4 2 2 2 3 6" xfId="16012"/>
    <cellStyle name="Normal 4 4 2 2 2 3 7" xfId="31055"/>
    <cellStyle name="Normal 4 4 2 2 2 4" xfId="1394"/>
    <cellStyle name="Normal 4 4 2 2 2 4 2" xfId="3265"/>
    <cellStyle name="Normal 4 4 2 2 2 4 2 2" xfId="7060"/>
    <cellStyle name="Normal 4 4 2 2 2 4 2 2 2" xfId="14583"/>
    <cellStyle name="Normal 4 4 2 2 2 4 2 2 2 2" xfId="29627"/>
    <cellStyle name="Normal 4 4 2 2 2 4 2 2 2 3" xfId="44670"/>
    <cellStyle name="Normal 4 4 2 2 2 4 2 2 3" xfId="22106"/>
    <cellStyle name="Normal 4 4 2 2 2 4 2 2 4" xfId="37149"/>
    <cellStyle name="Normal 4 4 2 2 2 4 2 3" xfId="10834"/>
    <cellStyle name="Normal 4 4 2 2 2 4 2 3 2" xfId="25878"/>
    <cellStyle name="Normal 4 4 2 2 2 4 2 3 3" xfId="40921"/>
    <cellStyle name="Normal 4 4 2 2 2 4 2 4" xfId="18357"/>
    <cellStyle name="Normal 4 4 2 2 2 4 2 5" xfId="33400"/>
    <cellStyle name="Normal 4 4 2 2 2 4 3" xfId="5195"/>
    <cellStyle name="Normal 4 4 2 2 2 4 3 2" xfId="12718"/>
    <cellStyle name="Normal 4 4 2 2 2 4 3 2 2" xfId="27762"/>
    <cellStyle name="Normal 4 4 2 2 2 4 3 2 3" xfId="42805"/>
    <cellStyle name="Normal 4 4 2 2 2 4 3 3" xfId="20241"/>
    <cellStyle name="Normal 4 4 2 2 2 4 3 4" xfId="35284"/>
    <cellStyle name="Normal 4 4 2 2 2 4 4" xfId="8969"/>
    <cellStyle name="Normal 4 4 2 2 2 4 4 2" xfId="24013"/>
    <cellStyle name="Normal 4 4 2 2 2 4 4 3" xfId="39056"/>
    <cellStyle name="Normal 4 4 2 2 2 4 5" xfId="16492"/>
    <cellStyle name="Normal 4 4 2 2 2 4 6" xfId="31535"/>
    <cellStyle name="Normal 4 4 2 2 2 5" xfId="2332"/>
    <cellStyle name="Normal 4 4 2 2 2 5 2" xfId="6128"/>
    <cellStyle name="Normal 4 4 2 2 2 5 2 2" xfId="13651"/>
    <cellStyle name="Normal 4 4 2 2 2 5 2 2 2" xfId="28695"/>
    <cellStyle name="Normal 4 4 2 2 2 5 2 2 3" xfId="43738"/>
    <cellStyle name="Normal 4 4 2 2 2 5 2 3" xfId="21174"/>
    <cellStyle name="Normal 4 4 2 2 2 5 2 4" xfId="36217"/>
    <cellStyle name="Normal 4 4 2 2 2 5 3" xfId="9902"/>
    <cellStyle name="Normal 4 4 2 2 2 5 3 2" xfId="24946"/>
    <cellStyle name="Normal 4 4 2 2 2 5 3 3" xfId="39989"/>
    <cellStyle name="Normal 4 4 2 2 2 5 4" xfId="17425"/>
    <cellStyle name="Normal 4 4 2 2 2 5 5" xfId="32468"/>
    <cellStyle name="Normal 4 4 2 2 2 6" xfId="4260"/>
    <cellStyle name="Normal 4 4 2 2 2 6 2" xfId="11784"/>
    <cellStyle name="Normal 4 4 2 2 2 6 2 2" xfId="26828"/>
    <cellStyle name="Normal 4 4 2 2 2 6 2 3" xfId="41871"/>
    <cellStyle name="Normal 4 4 2 2 2 6 3" xfId="19307"/>
    <cellStyle name="Normal 4 4 2 2 2 6 4" xfId="34350"/>
    <cellStyle name="Normal 4 4 2 2 2 7" xfId="8023"/>
    <cellStyle name="Normal 4 4 2 2 2 7 2" xfId="23067"/>
    <cellStyle name="Normal 4 4 2 2 2 7 3" xfId="38110"/>
    <cellStyle name="Normal 4 4 2 2 2 8" xfId="15546"/>
    <cellStyle name="Normal 4 4 2 2 2 9" xfId="30589"/>
    <cellStyle name="Normal 4 4 2 2 3" xfId="365"/>
    <cellStyle name="Normal 4 4 2 2 3 2" xfId="366"/>
    <cellStyle name="Normal 4 4 2 2 3 2 2" xfId="890"/>
    <cellStyle name="Normal 4 4 2 2 3 2 2 2" xfId="1849"/>
    <cellStyle name="Normal 4 4 2 2 3 2 2 2 2" xfId="3720"/>
    <cellStyle name="Normal 4 4 2 2 3 2 2 2 2 2" xfId="7515"/>
    <cellStyle name="Normal 4 4 2 2 3 2 2 2 2 2 2" xfId="15038"/>
    <cellStyle name="Normal 4 4 2 2 3 2 2 2 2 2 2 2" xfId="30082"/>
    <cellStyle name="Normal 4 4 2 2 3 2 2 2 2 2 2 3" xfId="45125"/>
    <cellStyle name="Normal 4 4 2 2 3 2 2 2 2 2 3" xfId="22561"/>
    <cellStyle name="Normal 4 4 2 2 3 2 2 2 2 2 4" xfId="37604"/>
    <cellStyle name="Normal 4 4 2 2 3 2 2 2 2 3" xfId="11289"/>
    <cellStyle name="Normal 4 4 2 2 3 2 2 2 2 3 2" xfId="26333"/>
    <cellStyle name="Normal 4 4 2 2 3 2 2 2 2 3 3" xfId="41376"/>
    <cellStyle name="Normal 4 4 2 2 3 2 2 2 2 4" xfId="18812"/>
    <cellStyle name="Normal 4 4 2 2 3 2 2 2 2 5" xfId="33855"/>
    <cellStyle name="Normal 4 4 2 2 3 2 2 2 3" xfId="5650"/>
    <cellStyle name="Normal 4 4 2 2 3 2 2 2 3 2" xfId="13173"/>
    <cellStyle name="Normal 4 4 2 2 3 2 2 2 3 2 2" xfId="28217"/>
    <cellStyle name="Normal 4 4 2 2 3 2 2 2 3 2 3" xfId="43260"/>
    <cellStyle name="Normal 4 4 2 2 3 2 2 2 3 3" xfId="20696"/>
    <cellStyle name="Normal 4 4 2 2 3 2 2 2 3 4" xfId="35739"/>
    <cellStyle name="Normal 4 4 2 2 3 2 2 2 4" xfId="9424"/>
    <cellStyle name="Normal 4 4 2 2 3 2 2 2 4 2" xfId="24468"/>
    <cellStyle name="Normal 4 4 2 2 3 2 2 2 4 3" xfId="39511"/>
    <cellStyle name="Normal 4 4 2 2 3 2 2 2 5" xfId="16947"/>
    <cellStyle name="Normal 4 4 2 2 3 2 2 2 6" xfId="31990"/>
    <cellStyle name="Normal 4 4 2 2 3 2 2 3" xfId="2788"/>
    <cellStyle name="Normal 4 4 2 2 3 2 2 3 2" xfId="6583"/>
    <cellStyle name="Normal 4 4 2 2 3 2 2 3 2 2" xfId="14106"/>
    <cellStyle name="Normal 4 4 2 2 3 2 2 3 2 2 2" xfId="29150"/>
    <cellStyle name="Normal 4 4 2 2 3 2 2 3 2 2 3" xfId="44193"/>
    <cellStyle name="Normal 4 4 2 2 3 2 2 3 2 3" xfId="21629"/>
    <cellStyle name="Normal 4 4 2 2 3 2 2 3 2 4" xfId="36672"/>
    <cellStyle name="Normal 4 4 2 2 3 2 2 3 3" xfId="10357"/>
    <cellStyle name="Normal 4 4 2 2 3 2 2 3 3 2" xfId="25401"/>
    <cellStyle name="Normal 4 4 2 2 3 2 2 3 3 3" xfId="40444"/>
    <cellStyle name="Normal 4 4 2 2 3 2 2 3 4" xfId="17880"/>
    <cellStyle name="Normal 4 4 2 2 3 2 2 3 5" xfId="32923"/>
    <cellStyle name="Normal 4 4 2 2 3 2 2 4" xfId="4718"/>
    <cellStyle name="Normal 4 4 2 2 3 2 2 4 2" xfId="12241"/>
    <cellStyle name="Normal 4 4 2 2 3 2 2 4 2 2" xfId="27285"/>
    <cellStyle name="Normal 4 4 2 2 3 2 2 4 2 3" xfId="42328"/>
    <cellStyle name="Normal 4 4 2 2 3 2 2 4 3" xfId="19764"/>
    <cellStyle name="Normal 4 4 2 2 3 2 2 4 4" xfId="34807"/>
    <cellStyle name="Normal 4 4 2 2 3 2 2 5" xfId="8492"/>
    <cellStyle name="Normal 4 4 2 2 3 2 2 5 2" xfId="23536"/>
    <cellStyle name="Normal 4 4 2 2 3 2 2 5 3" xfId="38579"/>
    <cellStyle name="Normal 4 4 2 2 3 2 2 6" xfId="16015"/>
    <cellStyle name="Normal 4 4 2 2 3 2 2 7" xfId="31058"/>
    <cellStyle name="Normal 4 4 2 2 3 2 3" xfId="1397"/>
    <cellStyle name="Normal 4 4 2 2 3 2 3 2" xfId="3268"/>
    <cellStyle name="Normal 4 4 2 2 3 2 3 2 2" xfId="7063"/>
    <cellStyle name="Normal 4 4 2 2 3 2 3 2 2 2" xfId="14586"/>
    <cellStyle name="Normal 4 4 2 2 3 2 3 2 2 2 2" xfId="29630"/>
    <cellStyle name="Normal 4 4 2 2 3 2 3 2 2 2 3" xfId="44673"/>
    <cellStyle name="Normal 4 4 2 2 3 2 3 2 2 3" xfId="22109"/>
    <cellStyle name="Normal 4 4 2 2 3 2 3 2 2 4" xfId="37152"/>
    <cellStyle name="Normal 4 4 2 2 3 2 3 2 3" xfId="10837"/>
    <cellStyle name="Normal 4 4 2 2 3 2 3 2 3 2" xfId="25881"/>
    <cellStyle name="Normal 4 4 2 2 3 2 3 2 3 3" xfId="40924"/>
    <cellStyle name="Normal 4 4 2 2 3 2 3 2 4" xfId="18360"/>
    <cellStyle name="Normal 4 4 2 2 3 2 3 2 5" xfId="33403"/>
    <cellStyle name="Normal 4 4 2 2 3 2 3 3" xfId="5198"/>
    <cellStyle name="Normal 4 4 2 2 3 2 3 3 2" xfId="12721"/>
    <cellStyle name="Normal 4 4 2 2 3 2 3 3 2 2" xfId="27765"/>
    <cellStyle name="Normal 4 4 2 2 3 2 3 3 2 3" xfId="42808"/>
    <cellStyle name="Normal 4 4 2 2 3 2 3 3 3" xfId="20244"/>
    <cellStyle name="Normal 4 4 2 2 3 2 3 3 4" xfId="35287"/>
    <cellStyle name="Normal 4 4 2 2 3 2 3 4" xfId="8972"/>
    <cellStyle name="Normal 4 4 2 2 3 2 3 4 2" xfId="24016"/>
    <cellStyle name="Normal 4 4 2 2 3 2 3 4 3" xfId="39059"/>
    <cellStyle name="Normal 4 4 2 2 3 2 3 5" xfId="16495"/>
    <cellStyle name="Normal 4 4 2 2 3 2 3 6" xfId="31538"/>
    <cellStyle name="Normal 4 4 2 2 3 2 4" xfId="2335"/>
    <cellStyle name="Normal 4 4 2 2 3 2 4 2" xfId="6131"/>
    <cellStyle name="Normal 4 4 2 2 3 2 4 2 2" xfId="13654"/>
    <cellStyle name="Normal 4 4 2 2 3 2 4 2 2 2" xfId="28698"/>
    <cellStyle name="Normal 4 4 2 2 3 2 4 2 2 3" xfId="43741"/>
    <cellStyle name="Normal 4 4 2 2 3 2 4 2 3" xfId="21177"/>
    <cellStyle name="Normal 4 4 2 2 3 2 4 2 4" xfId="36220"/>
    <cellStyle name="Normal 4 4 2 2 3 2 4 3" xfId="9905"/>
    <cellStyle name="Normal 4 4 2 2 3 2 4 3 2" xfId="24949"/>
    <cellStyle name="Normal 4 4 2 2 3 2 4 3 3" xfId="39992"/>
    <cellStyle name="Normal 4 4 2 2 3 2 4 4" xfId="17428"/>
    <cellStyle name="Normal 4 4 2 2 3 2 4 5" xfId="32471"/>
    <cellStyle name="Normal 4 4 2 2 3 2 5" xfId="4263"/>
    <cellStyle name="Normal 4 4 2 2 3 2 5 2" xfId="11787"/>
    <cellStyle name="Normal 4 4 2 2 3 2 5 2 2" xfId="26831"/>
    <cellStyle name="Normal 4 4 2 2 3 2 5 2 3" xfId="41874"/>
    <cellStyle name="Normal 4 4 2 2 3 2 5 3" xfId="19310"/>
    <cellStyle name="Normal 4 4 2 2 3 2 5 4" xfId="34353"/>
    <cellStyle name="Normal 4 4 2 2 3 2 6" xfId="8026"/>
    <cellStyle name="Normal 4 4 2 2 3 2 6 2" xfId="23070"/>
    <cellStyle name="Normal 4 4 2 2 3 2 6 3" xfId="38113"/>
    <cellStyle name="Normal 4 4 2 2 3 2 7" xfId="15549"/>
    <cellStyle name="Normal 4 4 2 2 3 2 8" xfId="30592"/>
    <cellStyle name="Normal 4 4 2 2 3 3" xfId="889"/>
    <cellStyle name="Normal 4 4 2 2 3 3 2" xfId="1848"/>
    <cellStyle name="Normal 4 4 2 2 3 3 2 2" xfId="3719"/>
    <cellStyle name="Normal 4 4 2 2 3 3 2 2 2" xfId="7514"/>
    <cellStyle name="Normal 4 4 2 2 3 3 2 2 2 2" xfId="15037"/>
    <cellStyle name="Normal 4 4 2 2 3 3 2 2 2 2 2" xfId="30081"/>
    <cellStyle name="Normal 4 4 2 2 3 3 2 2 2 2 3" xfId="45124"/>
    <cellStyle name="Normal 4 4 2 2 3 3 2 2 2 3" xfId="22560"/>
    <cellStyle name="Normal 4 4 2 2 3 3 2 2 2 4" xfId="37603"/>
    <cellStyle name="Normal 4 4 2 2 3 3 2 2 3" xfId="11288"/>
    <cellStyle name="Normal 4 4 2 2 3 3 2 2 3 2" xfId="26332"/>
    <cellStyle name="Normal 4 4 2 2 3 3 2 2 3 3" xfId="41375"/>
    <cellStyle name="Normal 4 4 2 2 3 3 2 2 4" xfId="18811"/>
    <cellStyle name="Normal 4 4 2 2 3 3 2 2 5" xfId="33854"/>
    <cellStyle name="Normal 4 4 2 2 3 3 2 3" xfId="5649"/>
    <cellStyle name="Normal 4 4 2 2 3 3 2 3 2" xfId="13172"/>
    <cellStyle name="Normal 4 4 2 2 3 3 2 3 2 2" xfId="28216"/>
    <cellStyle name="Normal 4 4 2 2 3 3 2 3 2 3" xfId="43259"/>
    <cellStyle name="Normal 4 4 2 2 3 3 2 3 3" xfId="20695"/>
    <cellStyle name="Normal 4 4 2 2 3 3 2 3 4" xfId="35738"/>
    <cellStyle name="Normal 4 4 2 2 3 3 2 4" xfId="9423"/>
    <cellStyle name="Normal 4 4 2 2 3 3 2 4 2" xfId="24467"/>
    <cellStyle name="Normal 4 4 2 2 3 3 2 4 3" xfId="39510"/>
    <cellStyle name="Normal 4 4 2 2 3 3 2 5" xfId="16946"/>
    <cellStyle name="Normal 4 4 2 2 3 3 2 6" xfId="31989"/>
    <cellStyle name="Normal 4 4 2 2 3 3 3" xfId="2787"/>
    <cellStyle name="Normal 4 4 2 2 3 3 3 2" xfId="6582"/>
    <cellStyle name="Normal 4 4 2 2 3 3 3 2 2" xfId="14105"/>
    <cellStyle name="Normal 4 4 2 2 3 3 3 2 2 2" xfId="29149"/>
    <cellStyle name="Normal 4 4 2 2 3 3 3 2 2 3" xfId="44192"/>
    <cellStyle name="Normal 4 4 2 2 3 3 3 2 3" xfId="21628"/>
    <cellStyle name="Normal 4 4 2 2 3 3 3 2 4" xfId="36671"/>
    <cellStyle name="Normal 4 4 2 2 3 3 3 3" xfId="10356"/>
    <cellStyle name="Normal 4 4 2 2 3 3 3 3 2" xfId="25400"/>
    <cellStyle name="Normal 4 4 2 2 3 3 3 3 3" xfId="40443"/>
    <cellStyle name="Normal 4 4 2 2 3 3 3 4" xfId="17879"/>
    <cellStyle name="Normal 4 4 2 2 3 3 3 5" xfId="32922"/>
    <cellStyle name="Normal 4 4 2 2 3 3 4" xfId="4717"/>
    <cellStyle name="Normal 4 4 2 2 3 3 4 2" xfId="12240"/>
    <cellStyle name="Normal 4 4 2 2 3 3 4 2 2" xfId="27284"/>
    <cellStyle name="Normal 4 4 2 2 3 3 4 2 3" xfId="42327"/>
    <cellStyle name="Normal 4 4 2 2 3 3 4 3" xfId="19763"/>
    <cellStyle name="Normal 4 4 2 2 3 3 4 4" xfId="34806"/>
    <cellStyle name="Normal 4 4 2 2 3 3 5" xfId="8491"/>
    <cellStyle name="Normal 4 4 2 2 3 3 5 2" xfId="23535"/>
    <cellStyle name="Normal 4 4 2 2 3 3 5 3" xfId="38578"/>
    <cellStyle name="Normal 4 4 2 2 3 3 6" xfId="16014"/>
    <cellStyle name="Normal 4 4 2 2 3 3 7" xfId="31057"/>
    <cellStyle name="Normal 4 4 2 2 3 4" xfId="1396"/>
    <cellStyle name="Normal 4 4 2 2 3 4 2" xfId="3267"/>
    <cellStyle name="Normal 4 4 2 2 3 4 2 2" xfId="7062"/>
    <cellStyle name="Normal 4 4 2 2 3 4 2 2 2" xfId="14585"/>
    <cellStyle name="Normal 4 4 2 2 3 4 2 2 2 2" xfId="29629"/>
    <cellStyle name="Normal 4 4 2 2 3 4 2 2 2 3" xfId="44672"/>
    <cellStyle name="Normal 4 4 2 2 3 4 2 2 3" xfId="22108"/>
    <cellStyle name="Normal 4 4 2 2 3 4 2 2 4" xfId="37151"/>
    <cellStyle name="Normal 4 4 2 2 3 4 2 3" xfId="10836"/>
    <cellStyle name="Normal 4 4 2 2 3 4 2 3 2" xfId="25880"/>
    <cellStyle name="Normal 4 4 2 2 3 4 2 3 3" xfId="40923"/>
    <cellStyle name="Normal 4 4 2 2 3 4 2 4" xfId="18359"/>
    <cellStyle name="Normal 4 4 2 2 3 4 2 5" xfId="33402"/>
    <cellStyle name="Normal 4 4 2 2 3 4 3" xfId="5197"/>
    <cellStyle name="Normal 4 4 2 2 3 4 3 2" xfId="12720"/>
    <cellStyle name="Normal 4 4 2 2 3 4 3 2 2" xfId="27764"/>
    <cellStyle name="Normal 4 4 2 2 3 4 3 2 3" xfId="42807"/>
    <cellStyle name="Normal 4 4 2 2 3 4 3 3" xfId="20243"/>
    <cellStyle name="Normal 4 4 2 2 3 4 3 4" xfId="35286"/>
    <cellStyle name="Normal 4 4 2 2 3 4 4" xfId="8971"/>
    <cellStyle name="Normal 4 4 2 2 3 4 4 2" xfId="24015"/>
    <cellStyle name="Normal 4 4 2 2 3 4 4 3" xfId="39058"/>
    <cellStyle name="Normal 4 4 2 2 3 4 5" xfId="16494"/>
    <cellStyle name="Normal 4 4 2 2 3 4 6" xfId="31537"/>
    <cellStyle name="Normal 4 4 2 2 3 5" xfId="2334"/>
    <cellStyle name="Normal 4 4 2 2 3 5 2" xfId="6130"/>
    <cellStyle name="Normal 4 4 2 2 3 5 2 2" xfId="13653"/>
    <cellStyle name="Normal 4 4 2 2 3 5 2 2 2" xfId="28697"/>
    <cellStyle name="Normal 4 4 2 2 3 5 2 2 3" xfId="43740"/>
    <cellStyle name="Normal 4 4 2 2 3 5 2 3" xfId="21176"/>
    <cellStyle name="Normal 4 4 2 2 3 5 2 4" xfId="36219"/>
    <cellStyle name="Normal 4 4 2 2 3 5 3" xfId="9904"/>
    <cellStyle name="Normal 4 4 2 2 3 5 3 2" xfId="24948"/>
    <cellStyle name="Normal 4 4 2 2 3 5 3 3" xfId="39991"/>
    <cellStyle name="Normal 4 4 2 2 3 5 4" xfId="17427"/>
    <cellStyle name="Normal 4 4 2 2 3 5 5" xfId="32470"/>
    <cellStyle name="Normal 4 4 2 2 3 6" xfId="4262"/>
    <cellStyle name="Normal 4 4 2 2 3 6 2" xfId="11786"/>
    <cellStyle name="Normal 4 4 2 2 3 6 2 2" xfId="26830"/>
    <cellStyle name="Normal 4 4 2 2 3 6 2 3" xfId="41873"/>
    <cellStyle name="Normal 4 4 2 2 3 6 3" xfId="19309"/>
    <cellStyle name="Normal 4 4 2 2 3 6 4" xfId="34352"/>
    <cellStyle name="Normal 4 4 2 2 3 7" xfId="8025"/>
    <cellStyle name="Normal 4 4 2 2 3 7 2" xfId="23069"/>
    <cellStyle name="Normal 4 4 2 2 3 7 3" xfId="38112"/>
    <cellStyle name="Normal 4 4 2 2 3 8" xfId="15548"/>
    <cellStyle name="Normal 4 4 2 2 3 9" xfId="30591"/>
    <cellStyle name="Normal 4 4 2 2 4" xfId="367"/>
    <cellStyle name="Normal 4 4 2 2 4 2" xfId="891"/>
    <cellStyle name="Normal 4 4 2 2 4 2 2" xfId="1850"/>
    <cellStyle name="Normal 4 4 2 2 4 2 2 2" xfId="3721"/>
    <cellStyle name="Normal 4 4 2 2 4 2 2 2 2" xfId="7516"/>
    <cellStyle name="Normal 4 4 2 2 4 2 2 2 2 2" xfId="15039"/>
    <cellStyle name="Normal 4 4 2 2 4 2 2 2 2 2 2" xfId="30083"/>
    <cellStyle name="Normal 4 4 2 2 4 2 2 2 2 2 3" xfId="45126"/>
    <cellStyle name="Normal 4 4 2 2 4 2 2 2 2 3" xfId="22562"/>
    <cellStyle name="Normal 4 4 2 2 4 2 2 2 2 4" xfId="37605"/>
    <cellStyle name="Normal 4 4 2 2 4 2 2 2 3" xfId="11290"/>
    <cellStyle name="Normal 4 4 2 2 4 2 2 2 3 2" xfId="26334"/>
    <cellStyle name="Normal 4 4 2 2 4 2 2 2 3 3" xfId="41377"/>
    <cellStyle name="Normal 4 4 2 2 4 2 2 2 4" xfId="18813"/>
    <cellStyle name="Normal 4 4 2 2 4 2 2 2 5" xfId="33856"/>
    <cellStyle name="Normal 4 4 2 2 4 2 2 3" xfId="5651"/>
    <cellStyle name="Normal 4 4 2 2 4 2 2 3 2" xfId="13174"/>
    <cellStyle name="Normal 4 4 2 2 4 2 2 3 2 2" xfId="28218"/>
    <cellStyle name="Normal 4 4 2 2 4 2 2 3 2 3" xfId="43261"/>
    <cellStyle name="Normal 4 4 2 2 4 2 2 3 3" xfId="20697"/>
    <cellStyle name="Normal 4 4 2 2 4 2 2 3 4" xfId="35740"/>
    <cellStyle name="Normal 4 4 2 2 4 2 2 4" xfId="9425"/>
    <cellStyle name="Normal 4 4 2 2 4 2 2 4 2" xfId="24469"/>
    <cellStyle name="Normal 4 4 2 2 4 2 2 4 3" xfId="39512"/>
    <cellStyle name="Normal 4 4 2 2 4 2 2 5" xfId="16948"/>
    <cellStyle name="Normal 4 4 2 2 4 2 2 6" xfId="31991"/>
    <cellStyle name="Normal 4 4 2 2 4 2 3" xfId="2789"/>
    <cellStyle name="Normal 4 4 2 2 4 2 3 2" xfId="6584"/>
    <cellStyle name="Normal 4 4 2 2 4 2 3 2 2" xfId="14107"/>
    <cellStyle name="Normal 4 4 2 2 4 2 3 2 2 2" xfId="29151"/>
    <cellStyle name="Normal 4 4 2 2 4 2 3 2 2 3" xfId="44194"/>
    <cellStyle name="Normal 4 4 2 2 4 2 3 2 3" xfId="21630"/>
    <cellStyle name="Normal 4 4 2 2 4 2 3 2 4" xfId="36673"/>
    <cellStyle name="Normal 4 4 2 2 4 2 3 3" xfId="10358"/>
    <cellStyle name="Normal 4 4 2 2 4 2 3 3 2" xfId="25402"/>
    <cellStyle name="Normal 4 4 2 2 4 2 3 3 3" xfId="40445"/>
    <cellStyle name="Normal 4 4 2 2 4 2 3 4" xfId="17881"/>
    <cellStyle name="Normal 4 4 2 2 4 2 3 5" xfId="32924"/>
    <cellStyle name="Normal 4 4 2 2 4 2 4" xfId="4719"/>
    <cellStyle name="Normal 4 4 2 2 4 2 4 2" xfId="12242"/>
    <cellStyle name="Normal 4 4 2 2 4 2 4 2 2" xfId="27286"/>
    <cellStyle name="Normal 4 4 2 2 4 2 4 2 3" xfId="42329"/>
    <cellStyle name="Normal 4 4 2 2 4 2 4 3" xfId="19765"/>
    <cellStyle name="Normal 4 4 2 2 4 2 4 4" xfId="34808"/>
    <cellStyle name="Normal 4 4 2 2 4 2 5" xfId="8493"/>
    <cellStyle name="Normal 4 4 2 2 4 2 5 2" xfId="23537"/>
    <cellStyle name="Normal 4 4 2 2 4 2 5 3" xfId="38580"/>
    <cellStyle name="Normal 4 4 2 2 4 2 6" xfId="16016"/>
    <cellStyle name="Normal 4 4 2 2 4 2 7" xfId="31059"/>
    <cellStyle name="Normal 4 4 2 2 4 3" xfId="1398"/>
    <cellStyle name="Normal 4 4 2 2 4 3 2" xfId="3269"/>
    <cellStyle name="Normal 4 4 2 2 4 3 2 2" xfId="7064"/>
    <cellStyle name="Normal 4 4 2 2 4 3 2 2 2" xfId="14587"/>
    <cellStyle name="Normal 4 4 2 2 4 3 2 2 2 2" xfId="29631"/>
    <cellStyle name="Normal 4 4 2 2 4 3 2 2 2 3" xfId="44674"/>
    <cellStyle name="Normal 4 4 2 2 4 3 2 2 3" xfId="22110"/>
    <cellStyle name="Normal 4 4 2 2 4 3 2 2 4" xfId="37153"/>
    <cellStyle name="Normal 4 4 2 2 4 3 2 3" xfId="10838"/>
    <cellStyle name="Normal 4 4 2 2 4 3 2 3 2" xfId="25882"/>
    <cellStyle name="Normal 4 4 2 2 4 3 2 3 3" xfId="40925"/>
    <cellStyle name="Normal 4 4 2 2 4 3 2 4" xfId="18361"/>
    <cellStyle name="Normal 4 4 2 2 4 3 2 5" xfId="33404"/>
    <cellStyle name="Normal 4 4 2 2 4 3 3" xfId="5199"/>
    <cellStyle name="Normal 4 4 2 2 4 3 3 2" xfId="12722"/>
    <cellStyle name="Normal 4 4 2 2 4 3 3 2 2" xfId="27766"/>
    <cellStyle name="Normal 4 4 2 2 4 3 3 2 3" xfId="42809"/>
    <cellStyle name="Normal 4 4 2 2 4 3 3 3" xfId="20245"/>
    <cellStyle name="Normal 4 4 2 2 4 3 3 4" xfId="35288"/>
    <cellStyle name="Normal 4 4 2 2 4 3 4" xfId="8973"/>
    <cellStyle name="Normal 4 4 2 2 4 3 4 2" xfId="24017"/>
    <cellStyle name="Normal 4 4 2 2 4 3 4 3" xfId="39060"/>
    <cellStyle name="Normal 4 4 2 2 4 3 5" xfId="16496"/>
    <cellStyle name="Normal 4 4 2 2 4 3 6" xfId="31539"/>
    <cellStyle name="Normal 4 4 2 2 4 4" xfId="2336"/>
    <cellStyle name="Normal 4 4 2 2 4 4 2" xfId="6132"/>
    <cellStyle name="Normal 4 4 2 2 4 4 2 2" xfId="13655"/>
    <cellStyle name="Normal 4 4 2 2 4 4 2 2 2" xfId="28699"/>
    <cellStyle name="Normal 4 4 2 2 4 4 2 2 3" xfId="43742"/>
    <cellStyle name="Normal 4 4 2 2 4 4 2 3" xfId="21178"/>
    <cellStyle name="Normal 4 4 2 2 4 4 2 4" xfId="36221"/>
    <cellStyle name="Normal 4 4 2 2 4 4 3" xfId="9906"/>
    <cellStyle name="Normal 4 4 2 2 4 4 3 2" xfId="24950"/>
    <cellStyle name="Normal 4 4 2 2 4 4 3 3" xfId="39993"/>
    <cellStyle name="Normal 4 4 2 2 4 4 4" xfId="17429"/>
    <cellStyle name="Normal 4 4 2 2 4 4 5" xfId="32472"/>
    <cellStyle name="Normal 4 4 2 2 4 5" xfId="4264"/>
    <cellStyle name="Normal 4 4 2 2 4 5 2" xfId="11788"/>
    <cellStyle name="Normal 4 4 2 2 4 5 2 2" xfId="26832"/>
    <cellStyle name="Normal 4 4 2 2 4 5 2 3" xfId="41875"/>
    <cellStyle name="Normal 4 4 2 2 4 5 3" xfId="19311"/>
    <cellStyle name="Normal 4 4 2 2 4 5 4" xfId="34354"/>
    <cellStyle name="Normal 4 4 2 2 4 6" xfId="8027"/>
    <cellStyle name="Normal 4 4 2 2 4 6 2" xfId="23071"/>
    <cellStyle name="Normal 4 4 2 2 4 6 3" xfId="38114"/>
    <cellStyle name="Normal 4 4 2 2 4 7" xfId="15550"/>
    <cellStyle name="Normal 4 4 2 2 4 8" xfId="30593"/>
    <cellStyle name="Normal 4 4 2 2 5" xfId="886"/>
    <cellStyle name="Normal 4 4 2 2 5 2" xfId="1845"/>
    <cellStyle name="Normal 4 4 2 2 5 2 2" xfId="3716"/>
    <cellStyle name="Normal 4 4 2 2 5 2 2 2" xfId="7511"/>
    <cellStyle name="Normal 4 4 2 2 5 2 2 2 2" xfId="15034"/>
    <cellStyle name="Normal 4 4 2 2 5 2 2 2 2 2" xfId="30078"/>
    <cellStyle name="Normal 4 4 2 2 5 2 2 2 2 3" xfId="45121"/>
    <cellStyle name="Normal 4 4 2 2 5 2 2 2 3" xfId="22557"/>
    <cellStyle name="Normal 4 4 2 2 5 2 2 2 4" xfId="37600"/>
    <cellStyle name="Normal 4 4 2 2 5 2 2 3" xfId="11285"/>
    <cellStyle name="Normal 4 4 2 2 5 2 2 3 2" xfId="26329"/>
    <cellStyle name="Normal 4 4 2 2 5 2 2 3 3" xfId="41372"/>
    <cellStyle name="Normal 4 4 2 2 5 2 2 4" xfId="18808"/>
    <cellStyle name="Normal 4 4 2 2 5 2 2 5" xfId="33851"/>
    <cellStyle name="Normal 4 4 2 2 5 2 3" xfId="5646"/>
    <cellStyle name="Normal 4 4 2 2 5 2 3 2" xfId="13169"/>
    <cellStyle name="Normal 4 4 2 2 5 2 3 2 2" xfId="28213"/>
    <cellStyle name="Normal 4 4 2 2 5 2 3 2 3" xfId="43256"/>
    <cellStyle name="Normal 4 4 2 2 5 2 3 3" xfId="20692"/>
    <cellStyle name="Normal 4 4 2 2 5 2 3 4" xfId="35735"/>
    <cellStyle name="Normal 4 4 2 2 5 2 4" xfId="9420"/>
    <cellStyle name="Normal 4 4 2 2 5 2 4 2" xfId="24464"/>
    <cellStyle name="Normal 4 4 2 2 5 2 4 3" xfId="39507"/>
    <cellStyle name="Normal 4 4 2 2 5 2 5" xfId="16943"/>
    <cellStyle name="Normal 4 4 2 2 5 2 6" xfId="31986"/>
    <cellStyle name="Normal 4 4 2 2 5 3" xfId="2784"/>
    <cellStyle name="Normal 4 4 2 2 5 3 2" xfId="6579"/>
    <cellStyle name="Normal 4 4 2 2 5 3 2 2" xfId="14102"/>
    <cellStyle name="Normal 4 4 2 2 5 3 2 2 2" xfId="29146"/>
    <cellStyle name="Normal 4 4 2 2 5 3 2 2 3" xfId="44189"/>
    <cellStyle name="Normal 4 4 2 2 5 3 2 3" xfId="21625"/>
    <cellStyle name="Normal 4 4 2 2 5 3 2 4" xfId="36668"/>
    <cellStyle name="Normal 4 4 2 2 5 3 3" xfId="10353"/>
    <cellStyle name="Normal 4 4 2 2 5 3 3 2" xfId="25397"/>
    <cellStyle name="Normal 4 4 2 2 5 3 3 3" xfId="40440"/>
    <cellStyle name="Normal 4 4 2 2 5 3 4" xfId="17876"/>
    <cellStyle name="Normal 4 4 2 2 5 3 5" xfId="32919"/>
    <cellStyle name="Normal 4 4 2 2 5 4" xfId="4714"/>
    <cellStyle name="Normal 4 4 2 2 5 4 2" xfId="12237"/>
    <cellStyle name="Normal 4 4 2 2 5 4 2 2" xfId="27281"/>
    <cellStyle name="Normal 4 4 2 2 5 4 2 3" xfId="42324"/>
    <cellStyle name="Normal 4 4 2 2 5 4 3" xfId="19760"/>
    <cellStyle name="Normal 4 4 2 2 5 4 4" xfId="34803"/>
    <cellStyle name="Normal 4 4 2 2 5 5" xfId="8488"/>
    <cellStyle name="Normal 4 4 2 2 5 5 2" xfId="23532"/>
    <cellStyle name="Normal 4 4 2 2 5 5 3" xfId="38575"/>
    <cellStyle name="Normal 4 4 2 2 5 6" xfId="16011"/>
    <cellStyle name="Normal 4 4 2 2 5 7" xfId="31054"/>
    <cellStyle name="Normal 4 4 2 2 6" xfId="1393"/>
    <cellStyle name="Normal 4 4 2 2 6 2" xfId="3264"/>
    <cellStyle name="Normal 4 4 2 2 6 2 2" xfId="7059"/>
    <cellStyle name="Normal 4 4 2 2 6 2 2 2" xfId="14582"/>
    <cellStyle name="Normal 4 4 2 2 6 2 2 2 2" xfId="29626"/>
    <cellStyle name="Normal 4 4 2 2 6 2 2 2 3" xfId="44669"/>
    <cellStyle name="Normal 4 4 2 2 6 2 2 3" xfId="22105"/>
    <cellStyle name="Normal 4 4 2 2 6 2 2 4" xfId="37148"/>
    <cellStyle name="Normal 4 4 2 2 6 2 3" xfId="10833"/>
    <cellStyle name="Normal 4 4 2 2 6 2 3 2" xfId="25877"/>
    <cellStyle name="Normal 4 4 2 2 6 2 3 3" xfId="40920"/>
    <cellStyle name="Normal 4 4 2 2 6 2 4" xfId="18356"/>
    <cellStyle name="Normal 4 4 2 2 6 2 5" xfId="33399"/>
    <cellStyle name="Normal 4 4 2 2 6 3" xfId="5194"/>
    <cellStyle name="Normal 4 4 2 2 6 3 2" xfId="12717"/>
    <cellStyle name="Normal 4 4 2 2 6 3 2 2" xfId="27761"/>
    <cellStyle name="Normal 4 4 2 2 6 3 2 3" xfId="42804"/>
    <cellStyle name="Normal 4 4 2 2 6 3 3" xfId="20240"/>
    <cellStyle name="Normal 4 4 2 2 6 3 4" xfId="35283"/>
    <cellStyle name="Normal 4 4 2 2 6 4" xfId="8968"/>
    <cellStyle name="Normal 4 4 2 2 6 4 2" xfId="24012"/>
    <cellStyle name="Normal 4 4 2 2 6 4 3" xfId="39055"/>
    <cellStyle name="Normal 4 4 2 2 6 5" xfId="16491"/>
    <cellStyle name="Normal 4 4 2 2 6 6" xfId="31534"/>
    <cellStyle name="Normal 4 4 2 2 7" xfId="2331"/>
    <cellStyle name="Normal 4 4 2 2 7 2" xfId="6127"/>
    <cellStyle name="Normal 4 4 2 2 7 2 2" xfId="13650"/>
    <cellStyle name="Normal 4 4 2 2 7 2 2 2" xfId="28694"/>
    <cellStyle name="Normal 4 4 2 2 7 2 2 3" xfId="43737"/>
    <cellStyle name="Normal 4 4 2 2 7 2 3" xfId="21173"/>
    <cellStyle name="Normal 4 4 2 2 7 2 4" xfId="36216"/>
    <cellStyle name="Normal 4 4 2 2 7 3" xfId="9901"/>
    <cellStyle name="Normal 4 4 2 2 7 3 2" xfId="24945"/>
    <cellStyle name="Normal 4 4 2 2 7 3 3" xfId="39988"/>
    <cellStyle name="Normal 4 4 2 2 7 4" xfId="17424"/>
    <cellStyle name="Normal 4 4 2 2 7 5" xfId="32467"/>
    <cellStyle name="Normal 4 4 2 2 8" xfId="4259"/>
    <cellStyle name="Normal 4 4 2 2 8 2" xfId="11783"/>
    <cellStyle name="Normal 4 4 2 2 8 2 2" xfId="26827"/>
    <cellStyle name="Normal 4 4 2 2 8 2 3" xfId="41870"/>
    <cellStyle name="Normal 4 4 2 2 8 3" xfId="19306"/>
    <cellStyle name="Normal 4 4 2 2 8 4" xfId="34349"/>
    <cellStyle name="Normal 4 4 2 2 9" xfId="8022"/>
    <cellStyle name="Normal 4 4 2 2 9 2" xfId="23066"/>
    <cellStyle name="Normal 4 4 2 2 9 3" xfId="38109"/>
    <cellStyle name="Normal 4 4 2 3" xfId="368"/>
    <cellStyle name="Normal 4 4 2 3 2" xfId="369"/>
    <cellStyle name="Normal 4 4 2 3 2 2" xfId="893"/>
    <cellStyle name="Normal 4 4 2 3 2 2 2" xfId="1852"/>
    <cellStyle name="Normal 4 4 2 3 2 2 2 2" xfId="3723"/>
    <cellStyle name="Normal 4 4 2 3 2 2 2 2 2" xfId="7518"/>
    <cellStyle name="Normal 4 4 2 3 2 2 2 2 2 2" xfId="15041"/>
    <cellStyle name="Normal 4 4 2 3 2 2 2 2 2 2 2" xfId="30085"/>
    <cellStyle name="Normal 4 4 2 3 2 2 2 2 2 2 3" xfId="45128"/>
    <cellStyle name="Normal 4 4 2 3 2 2 2 2 2 3" xfId="22564"/>
    <cellStyle name="Normal 4 4 2 3 2 2 2 2 2 4" xfId="37607"/>
    <cellStyle name="Normal 4 4 2 3 2 2 2 2 3" xfId="11292"/>
    <cellStyle name="Normal 4 4 2 3 2 2 2 2 3 2" xfId="26336"/>
    <cellStyle name="Normal 4 4 2 3 2 2 2 2 3 3" xfId="41379"/>
    <cellStyle name="Normal 4 4 2 3 2 2 2 2 4" xfId="18815"/>
    <cellStyle name="Normal 4 4 2 3 2 2 2 2 5" xfId="33858"/>
    <cellStyle name="Normal 4 4 2 3 2 2 2 3" xfId="5653"/>
    <cellStyle name="Normal 4 4 2 3 2 2 2 3 2" xfId="13176"/>
    <cellStyle name="Normal 4 4 2 3 2 2 2 3 2 2" xfId="28220"/>
    <cellStyle name="Normal 4 4 2 3 2 2 2 3 2 3" xfId="43263"/>
    <cellStyle name="Normal 4 4 2 3 2 2 2 3 3" xfId="20699"/>
    <cellStyle name="Normal 4 4 2 3 2 2 2 3 4" xfId="35742"/>
    <cellStyle name="Normal 4 4 2 3 2 2 2 4" xfId="9427"/>
    <cellStyle name="Normal 4 4 2 3 2 2 2 4 2" xfId="24471"/>
    <cellStyle name="Normal 4 4 2 3 2 2 2 4 3" xfId="39514"/>
    <cellStyle name="Normal 4 4 2 3 2 2 2 5" xfId="16950"/>
    <cellStyle name="Normal 4 4 2 3 2 2 2 6" xfId="31993"/>
    <cellStyle name="Normal 4 4 2 3 2 2 3" xfId="2791"/>
    <cellStyle name="Normal 4 4 2 3 2 2 3 2" xfId="6586"/>
    <cellStyle name="Normal 4 4 2 3 2 2 3 2 2" xfId="14109"/>
    <cellStyle name="Normal 4 4 2 3 2 2 3 2 2 2" xfId="29153"/>
    <cellStyle name="Normal 4 4 2 3 2 2 3 2 2 3" xfId="44196"/>
    <cellStyle name="Normal 4 4 2 3 2 2 3 2 3" xfId="21632"/>
    <cellStyle name="Normal 4 4 2 3 2 2 3 2 4" xfId="36675"/>
    <cellStyle name="Normal 4 4 2 3 2 2 3 3" xfId="10360"/>
    <cellStyle name="Normal 4 4 2 3 2 2 3 3 2" xfId="25404"/>
    <cellStyle name="Normal 4 4 2 3 2 2 3 3 3" xfId="40447"/>
    <cellStyle name="Normal 4 4 2 3 2 2 3 4" xfId="17883"/>
    <cellStyle name="Normal 4 4 2 3 2 2 3 5" xfId="32926"/>
    <cellStyle name="Normal 4 4 2 3 2 2 4" xfId="4721"/>
    <cellStyle name="Normal 4 4 2 3 2 2 4 2" xfId="12244"/>
    <cellStyle name="Normal 4 4 2 3 2 2 4 2 2" xfId="27288"/>
    <cellStyle name="Normal 4 4 2 3 2 2 4 2 3" xfId="42331"/>
    <cellStyle name="Normal 4 4 2 3 2 2 4 3" xfId="19767"/>
    <cellStyle name="Normal 4 4 2 3 2 2 4 4" xfId="34810"/>
    <cellStyle name="Normal 4 4 2 3 2 2 5" xfId="8495"/>
    <cellStyle name="Normal 4 4 2 3 2 2 5 2" xfId="23539"/>
    <cellStyle name="Normal 4 4 2 3 2 2 5 3" xfId="38582"/>
    <cellStyle name="Normal 4 4 2 3 2 2 6" xfId="16018"/>
    <cellStyle name="Normal 4 4 2 3 2 2 7" xfId="31061"/>
    <cellStyle name="Normal 4 4 2 3 2 3" xfId="1400"/>
    <cellStyle name="Normal 4 4 2 3 2 3 2" xfId="3271"/>
    <cellStyle name="Normal 4 4 2 3 2 3 2 2" xfId="7066"/>
    <cellStyle name="Normal 4 4 2 3 2 3 2 2 2" xfId="14589"/>
    <cellStyle name="Normal 4 4 2 3 2 3 2 2 2 2" xfId="29633"/>
    <cellStyle name="Normal 4 4 2 3 2 3 2 2 2 3" xfId="44676"/>
    <cellStyle name="Normal 4 4 2 3 2 3 2 2 3" xfId="22112"/>
    <cellStyle name="Normal 4 4 2 3 2 3 2 2 4" xfId="37155"/>
    <cellStyle name="Normal 4 4 2 3 2 3 2 3" xfId="10840"/>
    <cellStyle name="Normal 4 4 2 3 2 3 2 3 2" xfId="25884"/>
    <cellStyle name="Normal 4 4 2 3 2 3 2 3 3" xfId="40927"/>
    <cellStyle name="Normal 4 4 2 3 2 3 2 4" xfId="18363"/>
    <cellStyle name="Normal 4 4 2 3 2 3 2 5" xfId="33406"/>
    <cellStyle name="Normal 4 4 2 3 2 3 3" xfId="5201"/>
    <cellStyle name="Normal 4 4 2 3 2 3 3 2" xfId="12724"/>
    <cellStyle name="Normal 4 4 2 3 2 3 3 2 2" xfId="27768"/>
    <cellStyle name="Normal 4 4 2 3 2 3 3 2 3" xfId="42811"/>
    <cellStyle name="Normal 4 4 2 3 2 3 3 3" xfId="20247"/>
    <cellStyle name="Normal 4 4 2 3 2 3 3 4" xfId="35290"/>
    <cellStyle name="Normal 4 4 2 3 2 3 4" xfId="8975"/>
    <cellStyle name="Normal 4 4 2 3 2 3 4 2" xfId="24019"/>
    <cellStyle name="Normal 4 4 2 3 2 3 4 3" xfId="39062"/>
    <cellStyle name="Normal 4 4 2 3 2 3 5" xfId="16498"/>
    <cellStyle name="Normal 4 4 2 3 2 3 6" xfId="31541"/>
    <cellStyle name="Normal 4 4 2 3 2 4" xfId="2338"/>
    <cellStyle name="Normal 4 4 2 3 2 4 2" xfId="6134"/>
    <cellStyle name="Normal 4 4 2 3 2 4 2 2" xfId="13657"/>
    <cellStyle name="Normal 4 4 2 3 2 4 2 2 2" xfId="28701"/>
    <cellStyle name="Normal 4 4 2 3 2 4 2 2 3" xfId="43744"/>
    <cellStyle name="Normal 4 4 2 3 2 4 2 3" xfId="21180"/>
    <cellStyle name="Normal 4 4 2 3 2 4 2 4" xfId="36223"/>
    <cellStyle name="Normal 4 4 2 3 2 4 3" xfId="9908"/>
    <cellStyle name="Normal 4 4 2 3 2 4 3 2" xfId="24952"/>
    <cellStyle name="Normal 4 4 2 3 2 4 3 3" xfId="39995"/>
    <cellStyle name="Normal 4 4 2 3 2 4 4" xfId="17431"/>
    <cellStyle name="Normal 4 4 2 3 2 4 5" xfId="32474"/>
    <cellStyle name="Normal 4 4 2 3 2 5" xfId="4266"/>
    <cellStyle name="Normal 4 4 2 3 2 5 2" xfId="11790"/>
    <cellStyle name="Normal 4 4 2 3 2 5 2 2" xfId="26834"/>
    <cellStyle name="Normal 4 4 2 3 2 5 2 3" xfId="41877"/>
    <cellStyle name="Normal 4 4 2 3 2 5 3" xfId="19313"/>
    <cellStyle name="Normal 4 4 2 3 2 5 4" xfId="34356"/>
    <cellStyle name="Normal 4 4 2 3 2 6" xfId="8029"/>
    <cellStyle name="Normal 4 4 2 3 2 6 2" xfId="23073"/>
    <cellStyle name="Normal 4 4 2 3 2 6 3" xfId="38116"/>
    <cellStyle name="Normal 4 4 2 3 2 7" xfId="15552"/>
    <cellStyle name="Normal 4 4 2 3 2 8" xfId="30595"/>
    <cellStyle name="Normal 4 4 2 3 3" xfId="892"/>
    <cellStyle name="Normal 4 4 2 3 3 2" xfId="1851"/>
    <cellStyle name="Normal 4 4 2 3 3 2 2" xfId="3722"/>
    <cellStyle name="Normal 4 4 2 3 3 2 2 2" xfId="7517"/>
    <cellStyle name="Normal 4 4 2 3 3 2 2 2 2" xfId="15040"/>
    <cellStyle name="Normal 4 4 2 3 3 2 2 2 2 2" xfId="30084"/>
    <cellStyle name="Normal 4 4 2 3 3 2 2 2 2 3" xfId="45127"/>
    <cellStyle name="Normal 4 4 2 3 3 2 2 2 3" xfId="22563"/>
    <cellStyle name="Normal 4 4 2 3 3 2 2 2 4" xfId="37606"/>
    <cellStyle name="Normal 4 4 2 3 3 2 2 3" xfId="11291"/>
    <cellStyle name="Normal 4 4 2 3 3 2 2 3 2" xfId="26335"/>
    <cellStyle name="Normal 4 4 2 3 3 2 2 3 3" xfId="41378"/>
    <cellStyle name="Normal 4 4 2 3 3 2 2 4" xfId="18814"/>
    <cellStyle name="Normal 4 4 2 3 3 2 2 5" xfId="33857"/>
    <cellStyle name="Normal 4 4 2 3 3 2 3" xfId="5652"/>
    <cellStyle name="Normal 4 4 2 3 3 2 3 2" xfId="13175"/>
    <cellStyle name="Normal 4 4 2 3 3 2 3 2 2" xfId="28219"/>
    <cellStyle name="Normal 4 4 2 3 3 2 3 2 3" xfId="43262"/>
    <cellStyle name="Normal 4 4 2 3 3 2 3 3" xfId="20698"/>
    <cellStyle name="Normal 4 4 2 3 3 2 3 4" xfId="35741"/>
    <cellStyle name="Normal 4 4 2 3 3 2 4" xfId="9426"/>
    <cellStyle name="Normal 4 4 2 3 3 2 4 2" xfId="24470"/>
    <cellStyle name="Normal 4 4 2 3 3 2 4 3" xfId="39513"/>
    <cellStyle name="Normal 4 4 2 3 3 2 5" xfId="16949"/>
    <cellStyle name="Normal 4 4 2 3 3 2 6" xfId="31992"/>
    <cellStyle name="Normal 4 4 2 3 3 3" xfId="2790"/>
    <cellStyle name="Normal 4 4 2 3 3 3 2" xfId="6585"/>
    <cellStyle name="Normal 4 4 2 3 3 3 2 2" xfId="14108"/>
    <cellStyle name="Normal 4 4 2 3 3 3 2 2 2" xfId="29152"/>
    <cellStyle name="Normal 4 4 2 3 3 3 2 2 3" xfId="44195"/>
    <cellStyle name="Normal 4 4 2 3 3 3 2 3" xfId="21631"/>
    <cellStyle name="Normal 4 4 2 3 3 3 2 4" xfId="36674"/>
    <cellStyle name="Normal 4 4 2 3 3 3 3" xfId="10359"/>
    <cellStyle name="Normal 4 4 2 3 3 3 3 2" xfId="25403"/>
    <cellStyle name="Normal 4 4 2 3 3 3 3 3" xfId="40446"/>
    <cellStyle name="Normal 4 4 2 3 3 3 4" xfId="17882"/>
    <cellStyle name="Normal 4 4 2 3 3 3 5" xfId="32925"/>
    <cellStyle name="Normal 4 4 2 3 3 4" xfId="4720"/>
    <cellStyle name="Normal 4 4 2 3 3 4 2" xfId="12243"/>
    <cellStyle name="Normal 4 4 2 3 3 4 2 2" xfId="27287"/>
    <cellStyle name="Normal 4 4 2 3 3 4 2 3" xfId="42330"/>
    <cellStyle name="Normal 4 4 2 3 3 4 3" xfId="19766"/>
    <cellStyle name="Normal 4 4 2 3 3 4 4" xfId="34809"/>
    <cellStyle name="Normal 4 4 2 3 3 5" xfId="8494"/>
    <cellStyle name="Normal 4 4 2 3 3 5 2" xfId="23538"/>
    <cellStyle name="Normal 4 4 2 3 3 5 3" xfId="38581"/>
    <cellStyle name="Normal 4 4 2 3 3 6" xfId="16017"/>
    <cellStyle name="Normal 4 4 2 3 3 7" xfId="31060"/>
    <cellStyle name="Normal 4 4 2 3 4" xfId="1399"/>
    <cellStyle name="Normal 4 4 2 3 4 2" xfId="3270"/>
    <cellStyle name="Normal 4 4 2 3 4 2 2" xfId="7065"/>
    <cellStyle name="Normal 4 4 2 3 4 2 2 2" xfId="14588"/>
    <cellStyle name="Normal 4 4 2 3 4 2 2 2 2" xfId="29632"/>
    <cellStyle name="Normal 4 4 2 3 4 2 2 2 3" xfId="44675"/>
    <cellStyle name="Normal 4 4 2 3 4 2 2 3" xfId="22111"/>
    <cellStyle name="Normal 4 4 2 3 4 2 2 4" xfId="37154"/>
    <cellStyle name="Normal 4 4 2 3 4 2 3" xfId="10839"/>
    <cellStyle name="Normal 4 4 2 3 4 2 3 2" xfId="25883"/>
    <cellStyle name="Normal 4 4 2 3 4 2 3 3" xfId="40926"/>
    <cellStyle name="Normal 4 4 2 3 4 2 4" xfId="18362"/>
    <cellStyle name="Normal 4 4 2 3 4 2 5" xfId="33405"/>
    <cellStyle name="Normal 4 4 2 3 4 3" xfId="5200"/>
    <cellStyle name="Normal 4 4 2 3 4 3 2" xfId="12723"/>
    <cellStyle name="Normal 4 4 2 3 4 3 2 2" xfId="27767"/>
    <cellStyle name="Normal 4 4 2 3 4 3 2 3" xfId="42810"/>
    <cellStyle name="Normal 4 4 2 3 4 3 3" xfId="20246"/>
    <cellStyle name="Normal 4 4 2 3 4 3 4" xfId="35289"/>
    <cellStyle name="Normal 4 4 2 3 4 4" xfId="8974"/>
    <cellStyle name="Normal 4 4 2 3 4 4 2" xfId="24018"/>
    <cellStyle name="Normal 4 4 2 3 4 4 3" xfId="39061"/>
    <cellStyle name="Normal 4 4 2 3 4 5" xfId="16497"/>
    <cellStyle name="Normal 4 4 2 3 4 6" xfId="31540"/>
    <cellStyle name="Normal 4 4 2 3 5" xfId="2337"/>
    <cellStyle name="Normal 4 4 2 3 5 2" xfId="6133"/>
    <cellStyle name="Normal 4 4 2 3 5 2 2" xfId="13656"/>
    <cellStyle name="Normal 4 4 2 3 5 2 2 2" xfId="28700"/>
    <cellStyle name="Normal 4 4 2 3 5 2 2 3" xfId="43743"/>
    <cellStyle name="Normal 4 4 2 3 5 2 3" xfId="21179"/>
    <cellStyle name="Normal 4 4 2 3 5 2 4" xfId="36222"/>
    <cellStyle name="Normal 4 4 2 3 5 3" xfId="9907"/>
    <cellStyle name="Normal 4 4 2 3 5 3 2" xfId="24951"/>
    <cellStyle name="Normal 4 4 2 3 5 3 3" xfId="39994"/>
    <cellStyle name="Normal 4 4 2 3 5 4" xfId="17430"/>
    <cellStyle name="Normal 4 4 2 3 5 5" xfId="32473"/>
    <cellStyle name="Normal 4 4 2 3 6" xfId="4265"/>
    <cellStyle name="Normal 4 4 2 3 6 2" xfId="11789"/>
    <cellStyle name="Normal 4 4 2 3 6 2 2" xfId="26833"/>
    <cellStyle name="Normal 4 4 2 3 6 2 3" xfId="41876"/>
    <cellStyle name="Normal 4 4 2 3 6 3" xfId="19312"/>
    <cellStyle name="Normal 4 4 2 3 6 4" xfId="34355"/>
    <cellStyle name="Normal 4 4 2 3 7" xfId="8028"/>
    <cellStyle name="Normal 4 4 2 3 7 2" xfId="23072"/>
    <cellStyle name="Normal 4 4 2 3 7 3" xfId="38115"/>
    <cellStyle name="Normal 4 4 2 3 8" xfId="15551"/>
    <cellStyle name="Normal 4 4 2 3 9" xfId="30594"/>
    <cellStyle name="Normal 4 4 2 4" xfId="370"/>
    <cellStyle name="Normal 4 4 2 4 2" xfId="371"/>
    <cellStyle name="Normal 4 4 2 4 2 2" xfId="895"/>
    <cellStyle name="Normal 4 4 2 4 2 2 2" xfId="1854"/>
    <cellStyle name="Normal 4 4 2 4 2 2 2 2" xfId="3725"/>
    <cellStyle name="Normal 4 4 2 4 2 2 2 2 2" xfId="7520"/>
    <cellStyle name="Normal 4 4 2 4 2 2 2 2 2 2" xfId="15043"/>
    <cellStyle name="Normal 4 4 2 4 2 2 2 2 2 2 2" xfId="30087"/>
    <cellStyle name="Normal 4 4 2 4 2 2 2 2 2 2 3" xfId="45130"/>
    <cellStyle name="Normal 4 4 2 4 2 2 2 2 2 3" xfId="22566"/>
    <cellStyle name="Normal 4 4 2 4 2 2 2 2 2 4" xfId="37609"/>
    <cellStyle name="Normal 4 4 2 4 2 2 2 2 3" xfId="11294"/>
    <cellStyle name="Normal 4 4 2 4 2 2 2 2 3 2" xfId="26338"/>
    <cellStyle name="Normal 4 4 2 4 2 2 2 2 3 3" xfId="41381"/>
    <cellStyle name="Normal 4 4 2 4 2 2 2 2 4" xfId="18817"/>
    <cellStyle name="Normal 4 4 2 4 2 2 2 2 5" xfId="33860"/>
    <cellStyle name="Normal 4 4 2 4 2 2 2 3" xfId="5655"/>
    <cellStyle name="Normal 4 4 2 4 2 2 2 3 2" xfId="13178"/>
    <cellStyle name="Normal 4 4 2 4 2 2 2 3 2 2" xfId="28222"/>
    <cellStyle name="Normal 4 4 2 4 2 2 2 3 2 3" xfId="43265"/>
    <cellStyle name="Normal 4 4 2 4 2 2 2 3 3" xfId="20701"/>
    <cellStyle name="Normal 4 4 2 4 2 2 2 3 4" xfId="35744"/>
    <cellStyle name="Normal 4 4 2 4 2 2 2 4" xfId="9429"/>
    <cellStyle name="Normal 4 4 2 4 2 2 2 4 2" xfId="24473"/>
    <cellStyle name="Normal 4 4 2 4 2 2 2 4 3" xfId="39516"/>
    <cellStyle name="Normal 4 4 2 4 2 2 2 5" xfId="16952"/>
    <cellStyle name="Normal 4 4 2 4 2 2 2 6" xfId="31995"/>
    <cellStyle name="Normal 4 4 2 4 2 2 3" xfId="2793"/>
    <cellStyle name="Normal 4 4 2 4 2 2 3 2" xfId="6588"/>
    <cellStyle name="Normal 4 4 2 4 2 2 3 2 2" xfId="14111"/>
    <cellStyle name="Normal 4 4 2 4 2 2 3 2 2 2" xfId="29155"/>
    <cellStyle name="Normal 4 4 2 4 2 2 3 2 2 3" xfId="44198"/>
    <cellStyle name="Normal 4 4 2 4 2 2 3 2 3" xfId="21634"/>
    <cellStyle name="Normal 4 4 2 4 2 2 3 2 4" xfId="36677"/>
    <cellStyle name="Normal 4 4 2 4 2 2 3 3" xfId="10362"/>
    <cellStyle name="Normal 4 4 2 4 2 2 3 3 2" xfId="25406"/>
    <cellStyle name="Normal 4 4 2 4 2 2 3 3 3" xfId="40449"/>
    <cellStyle name="Normal 4 4 2 4 2 2 3 4" xfId="17885"/>
    <cellStyle name="Normal 4 4 2 4 2 2 3 5" xfId="32928"/>
    <cellStyle name="Normal 4 4 2 4 2 2 4" xfId="4723"/>
    <cellStyle name="Normal 4 4 2 4 2 2 4 2" xfId="12246"/>
    <cellStyle name="Normal 4 4 2 4 2 2 4 2 2" xfId="27290"/>
    <cellStyle name="Normal 4 4 2 4 2 2 4 2 3" xfId="42333"/>
    <cellStyle name="Normal 4 4 2 4 2 2 4 3" xfId="19769"/>
    <cellStyle name="Normal 4 4 2 4 2 2 4 4" xfId="34812"/>
    <cellStyle name="Normal 4 4 2 4 2 2 5" xfId="8497"/>
    <cellStyle name="Normal 4 4 2 4 2 2 5 2" xfId="23541"/>
    <cellStyle name="Normal 4 4 2 4 2 2 5 3" xfId="38584"/>
    <cellStyle name="Normal 4 4 2 4 2 2 6" xfId="16020"/>
    <cellStyle name="Normal 4 4 2 4 2 2 7" xfId="31063"/>
    <cellStyle name="Normal 4 4 2 4 2 3" xfId="1402"/>
    <cellStyle name="Normal 4 4 2 4 2 3 2" xfId="3273"/>
    <cellStyle name="Normal 4 4 2 4 2 3 2 2" xfId="7068"/>
    <cellStyle name="Normal 4 4 2 4 2 3 2 2 2" xfId="14591"/>
    <cellStyle name="Normal 4 4 2 4 2 3 2 2 2 2" xfId="29635"/>
    <cellStyle name="Normal 4 4 2 4 2 3 2 2 2 3" xfId="44678"/>
    <cellStyle name="Normal 4 4 2 4 2 3 2 2 3" xfId="22114"/>
    <cellStyle name="Normal 4 4 2 4 2 3 2 2 4" xfId="37157"/>
    <cellStyle name="Normal 4 4 2 4 2 3 2 3" xfId="10842"/>
    <cellStyle name="Normal 4 4 2 4 2 3 2 3 2" xfId="25886"/>
    <cellStyle name="Normal 4 4 2 4 2 3 2 3 3" xfId="40929"/>
    <cellStyle name="Normal 4 4 2 4 2 3 2 4" xfId="18365"/>
    <cellStyle name="Normal 4 4 2 4 2 3 2 5" xfId="33408"/>
    <cellStyle name="Normal 4 4 2 4 2 3 3" xfId="5203"/>
    <cellStyle name="Normal 4 4 2 4 2 3 3 2" xfId="12726"/>
    <cellStyle name="Normal 4 4 2 4 2 3 3 2 2" xfId="27770"/>
    <cellStyle name="Normal 4 4 2 4 2 3 3 2 3" xfId="42813"/>
    <cellStyle name="Normal 4 4 2 4 2 3 3 3" xfId="20249"/>
    <cellStyle name="Normal 4 4 2 4 2 3 3 4" xfId="35292"/>
    <cellStyle name="Normal 4 4 2 4 2 3 4" xfId="8977"/>
    <cellStyle name="Normal 4 4 2 4 2 3 4 2" xfId="24021"/>
    <cellStyle name="Normal 4 4 2 4 2 3 4 3" xfId="39064"/>
    <cellStyle name="Normal 4 4 2 4 2 3 5" xfId="16500"/>
    <cellStyle name="Normal 4 4 2 4 2 3 6" xfId="31543"/>
    <cellStyle name="Normal 4 4 2 4 2 4" xfId="2340"/>
    <cellStyle name="Normal 4 4 2 4 2 4 2" xfId="6136"/>
    <cellStyle name="Normal 4 4 2 4 2 4 2 2" xfId="13659"/>
    <cellStyle name="Normal 4 4 2 4 2 4 2 2 2" xfId="28703"/>
    <cellStyle name="Normal 4 4 2 4 2 4 2 2 3" xfId="43746"/>
    <cellStyle name="Normal 4 4 2 4 2 4 2 3" xfId="21182"/>
    <cellStyle name="Normal 4 4 2 4 2 4 2 4" xfId="36225"/>
    <cellStyle name="Normal 4 4 2 4 2 4 3" xfId="9910"/>
    <cellStyle name="Normal 4 4 2 4 2 4 3 2" xfId="24954"/>
    <cellStyle name="Normal 4 4 2 4 2 4 3 3" xfId="39997"/>
    <cellStyle name="Normal 4 4 2 4 2 4 4" xfId="17433"/>
    <cellStyle name="Normal 4 4 2 4 2 4 5" xfId="32476"/>
    <cellStyle name="Normal 4 4 2 4 2 5" xfId="4268"/>
    <cellStyle name="Normal 4 4 2 4 2 5 2" xfId="11792"/>
    <cellStyle name="Normal 4 4 2 4 2 5 2 2" xfId="26836"/>
    <cellStyle name="Normal 4 4 2 4 2 5 2 3" xfId="41879"/>
    <cellStyle name="Normal 4 4 2 4 2 5 3" xfId="19315"/>
    <cellStyle name="Normal 4 4 2 4 2 5 4" xfId="34358"/>
    <cellStyle name="Normal 4 4 2 4 2 6" xfId="8031"/>
    <cellStyle name="Normal 4 4 2 4 2 6 2" xfId="23075"/>
    <cellStyle name="Normal 4 4 2 4 2 6 3" xfId="38118"/>
    <cellStyle name="Normal 4 4 2 4 2 7" xfId="15554"/>
    <cellStyle name="Normal 4 4 2 4 2 8" xfId="30597"/>
    <cellStyle name="Normal 4 4 2 4 3" xfId="894"/>
    <cellStyle name="Normal 4 4 2 4 3 2" xfId="1853"/>
    <cellStyle name="Normal 4 4 2 4 3 2 2" xfId="3724"/>
    <cellStyle name="Normal 4 4 2 4 3 2 2 2" xfId="7519"/>
    <cellStyle name="Normal 4 4 2 4 3 2 2 2 2" xfId="15042"/>
    <cellStyle name="Normal 4 4 2 4 3 2 2 2 2 2" xfId="30086"/>
    <cellStyle name="Normal 4 4 2 4 3 2 2 2 2 3" xfId="45129"/>
    <cellStyle name="Normal 4 4 2 4 3 2 2 2 3" xfId="22565"/>
    <cellStyle name="Normal 4 4 2 4 3 2 2 2 4" xfId="37608"/>
    <cellStyle name="Normal 4 4 2 4 3 2 2 3" xfId="11293"/>
    <cellStyle name="Normal 4 4 2 4 3 2 2 3 2" xfId="26337"/>
    <cellStyle name="Normal 4 4 2 4 3 2 2 3 3" xfId="41380"/>
    <cellStyle name="Normal 4 4 2 4 3 2 2 4" xfId="18816"/>
    <cellStyle name="Normal 4 4 2 4 3 2 2 5" xfId="33859"/>
    <cellStyle name="Normal 4 4 2 4 3 2 3" xfId="5654"/>
    <cellStyle name="Normal 4 4 2 4 3 2 3 2" xfId="13177"/>
    <cellStyle name="Normal 4 4 2 4 3 2 3 2 2" xfId="28221"/>
    <cellStyle name="Normal 4 4 2 4 3 2 3 2 3" xfId="43264"/>
    <cellStyle name="Normal 4 4 2 4 3 2 3 3" xfId="20700"/>
    <cellStyle name="Normal 4 4 2 4 3 2 3 4" xfId="35743"/>
    <cellStyle name="Normal 4 4 2 4 3 2 4" xfId="9428"/>
    <cellStyle name="Normal 4 4 2 4 3 2 4 2" xfId="24472"/>
    <cellStyle name="Normal 4 4 2 4 3 2 4 3" xfId="39515"/>
    <cellStyle name="Normal 4 4 2 4 3 2 5" xfId="16951"/>
    <cellStyle name="Normal 4 4 2 4 3 2 6" xfId="31994"/>
    <cellStyle name="Normal 4 4 2 4 3 3" xfId="2792"/>
    <cellStyle name="Normal 4 4 2 4 3 3 2" xfId="6587"/>
    <cellStyle name="Normal 4 4 2 4 3 3 2 2" xfId="14110"/>
    <cellStyle name="Normal 4 4 2 4 3 3 2 2 2" xfId="29154"/>
    <cellStyle name="Normal 4 4 2 4 3 3 2 2 3" xfId="44197"/>
    <cellStyle name="Normal 4 4 2 4 3 3 2 3" xfId="21633"/>
    <cellStyle name="Normal 4 4 2 4 3 3 2 4" xfId="36676"/>
    <cellStyle name="Normal 4 4 2 4 3 3 3" xfId="10361"/>
    <cellStyle name="Normal 4 4 2 4 3 3 3 2" xfId="25405"/>
    <cellStyle name="Normal 4 4 2 4 3 3 3 3" xfId="40448"/>
    <cellStyle name="Normal 4 4 2 4 3 3 4" xfId="17884"/>
    <cellStyle name="Normal 4 4 2 4 3 3 5" xfId="32927"/>
    <cellStyle name="Normal 4 4 2 4 3 4" xfId="4722"/>
    <cellStyle name="Normal 4 4 2 4 3 4 2" xfId="12245"/>
    <cellStyle name="Normal 4 4 2 4 3 4 2 2" xfId="27289"/>
    <cellStyle name="Normal 4 4 2 4 3 4 2 3" xfId="42332"/>
    <cellStyle name="Normal 4 4 2 4 3 4 3" xfId="19768"/>
    <cellStyle name="Normal 4 4 2 4 3 4 4" xfId="34811"/>
    <cellStyle name="Normal 4 4 2 4 3 5" xfId="8496"/>
    <cellStyle name="Normal 4 4 2 4 3 5 2" xfId="23540"/>
    <cellStyle name="Normal 4 4 2 4 3 5 3" xfId="38583"/>
    <cellStyle name="Normal 4 4 2 4 3 6" xfId="16019"/>
    <cellStyle name="Normal 4 4 2 4 3 7" xfId="31062"/>
    <cellStyle name="Normal 4 4 2 4 4" xfId="1401"/>
    <cellStyle name="Normal 4 4 2 4 4 2" xfId="3272"/>
    <cellStyle name="Normal 4 4 2 4 4 2 2" xfId="7067"/>
    <cellStyle name="Normal 4 4 2 4 4 2 2 2" xfId="14590"/>
    <cellStyle name="Normal 4 4 2 4 4 2 2 2 2" xfId="29634"/>
    <cellStyle name="Normal 4 4 2 4 4 2 2 2 3" xfId="44677"/>
    <cellStyle name="Normal 4 4 2 4 4 2 2 3" xfId="22113"/>
    <cellStyle name="Normal 4 4 2 4 4 2 2 4" xfId="37156"/>
    <cellStyle name="Normal 4 4 2 4 4 2 3" xfId="10841"/>
    <cellStyle name="Normal 4 4 2 4 4 2 3 2" xfId="25885"/>
    <cellStyle name="Normal 4 4 2 4 4 2 3 3" xfId="40928"/>
    <cellStyle name="Normal 4 4 2 4 4 2 4" xfId="18364"/>
    <cellStyle name="Normal 4 4 2 4 4 2 5" xfId="33407"/>
    <cellStyle name="Normal 4 4 2 4 4 3" xfId="5202"/>
    <cellStyle name="Normal 4 4 2 4 4 3 2" xfId="12725"/>
    <cellStyle name="Normal 4 4 2 4 4 3 2 2" xfId="27769"/>
    <cellStyle name="Normal 4 4 2 4 4 3 2 3" xfId="42812"/>
    <cellStyle name="Normal 4 4 2 4 4 3 3" xfId="20248"/>
    <cellStyle name="Normal 4 4 2 4 4 3 4" xfId="35291"/>
    <cellStyle name="Normal 4 4 2 4 4 4" xfId="8976"/>
    <cellStyle name="Normal 4 4 2 4 4 4 2" xfId="24020"/>
    <cellStyle name="Normal 4 4 2 4 4 4 3" xfId="39063"/>
    <cellStyle name="Normal 4 4 2 4 4 5" xfId="16499"/>
    <cellStyle name="Normal 4 4 2 4 4 6" xfId="31542"/>
    <cellStyle name="Normal 4 4 2 4 5" xfId="2339"/>
    <cellStyle name="Normal 4 4 2 4 5 2" xfId="6135"/>
    <cellStyle name="Normal 4 4 2 4 5 2 2" xfId="13658"/>
    <cellStyle name="Normal 4 4 2 4 5 2 2 2" xfId="28702"/>
    <cellStyle name="Normal 4 4 2 4 5 2 2 3" xfId="43745"/>
    <cellStyle name="Normal 4 4 2 4 5 2 3" xfId="21181"/>
    <cellStyle name="Normal 4 4 2 4 5 2 4" xfId="36224"/>
    <cellStyle name="Normal 4 4 2 4 5 3" xfId="9909"/>
    <cellStyle name="Normal 4 4 2 4 5 3 2" xfId="24953"/>
    <cellStyle name="Normal 4 4 2 4 5 3 3" xfId="39996"/>
    <cellStyle name="Normal 4 4 2 4 5 4" xfId="17432"/>
    <cellStyle name="Normal 4 4 2 4 5 5" xfId="32475"/>
    <cellStyle name="Normal 4 4 2 4 6" xfId="4267"/>
    <cellStyle name="Normal 4 4 2 4 6 2" xfId="11791"/>
    <cellStyle name="Normal 4 4 2 4 6 2 2" xfId="26835"/>
    <cellStyle name="Normal 4 4 2 4 6 2 3" xfId="41878"/>
    <cellStyle name="Normal 4 4 2 4 6 3" xfId="19314"/>
    <cellStyle name="Normal 4 4 2 4 6 4" xfId="34357"/>
    <cellStyle name="Normal 4 4 2 4 7" xfId="8030"/>
    <cellStyle name="Normal 4 4 2 4 7 2" xfId="23074"/>
    <cellStyle name="Normal 4 4 2 4 7 3" xfId="38117"/>
    <cellStyle name="Normal 4 4 2 4 8" xfId="15553"/>
    <cellStyle name="Normal 4 4 2 4 9" xfId="30596"/>
    <cellStyle name="Normal 4 4 2 5" xfId="372"/>
    <cellStyle name="Normal 4 4 2 5 2" xfId="896"/>
    <cellStyle name="Normal 4 4 2 5 2 2" xfId="1855"/>
    <cellStyle name="Normal 4 4 2 5 2 2 2" xfId="3726"/>
    <cellStyle name="Normal 4 4 2 5 2 2 2 2" xfId="7521"/>
    <cellStyle name="Normal 4 4 2 5 2 2 2 2 2" xfId="15044"/>
    <cellStyle name="Normal 4 4 2 5 2 2 2 2 2 2" xfId="30088"/>
    <cellStyle name="Normal 4 4 2 5 2 2 2 2 2 3" xfId="45131"/>
    <cellStyle name="Normal 4 4 2 5 2 2 2 2 3" xfId="22567"/>
    <cellStyle name="Normal 4 4 2 5 2 2 2 2 4" xfId="37610"/>
    <cellStyle name="Normal 4 4 2 5 2 2 2 3" xfId="11295"/>
    <cellStyle name="Normal 4 4 2 5 2 2 2 3 2" xfId="26339"/>
    <cellStyle name="Normal 4 4 2 5 2 2 2 3 3" xfId="41382"/>
    <cellStyle name="Normal 4 4 2 5 2 2 2 4" xfId="18818"/>
    <cellStyle name="Normal 4 4 2 5 2 2 2 5" xfId="33861"/>
    <cellStyle name="Normal 4 4 2 5 2 2 3" xfId="5656"/>
    <cellStyle name="Normal 4 4 2 5 2 2 3 2" xfId="13179"/>
    <cellStyle name="Normal 4 4 2 5 2 2 3 2 2" xfId="28223"/>
    <cellStyle name="Normal 4 4 2 5 2 2 3 2 3" xfId="43266"/>
    <cellStyle name="Normal 4 4 2 5 2 2 3 3" xfId="20702"/>
    <cellStyle name="Normal 4 4 2 5 2 2 3 4" xfId="35745"/>
    <cellStyle name="Normal 4 4 2 5 2 2 4" xfId="9430"/>
    <cellStyle name="Normal 4 4 2 5 2 2 4 2" xfId="24474"/>
    <cellStyle name="Normal 4 4 2 5 2 2 4 3" xfId="39517"/>
    <cellStyle name="Normal 4 4 2 5 2 2 5" xfId="16953"/>
    <cellStyle name="Normal 4 4 2 5 2 2 6" xfId="31996"/>
    <cellStyle name="Normal 4 4 2 5 2 3" xfId="2794"/>
    <cellStyle name="Normal 4 4 2 5 2 3 2" xfId="6589"/>
    <cellStyle name="Normal 4 4 2 5 2 3 2 2" xfId="14112"/>
    <cellStyle name="Normal 4 4 2 5 2 3 2 2 2" xfId="29156"/>
    <cellStyle name="Normal 4 4 2 5 2 3 2 2 3" xfId="44199"/>
    <cellStyle name="Normal 4 4 2 5 2 3 2 3" xfId="21635"/>
    <cellStyle name="Normal 4 4 2 5 2 3 2 4" xfId="36678"/>
    <cellStyle name="Normal 4 4 2 5 2 3 3" xfId="10363"/>
    <cellStyle name="Normal 4 4 2 5 2 3 3 2" xfId="25407"/>
    <cellStyle name="Normal 4 4 2 5 2 3 3 3" xfId="40450"/>
    <cellStyle name="Normal 4 4 2 5 2 3 4" xfId="17886"/>
    <cellStyle name="Normal 4 4 2 5 2 3 5" xfId="32929"/>
    <cellStyle name="Normal 4 4 2 5 2 4" xfId="4724"/>
    <cellStyle name="Normal 4 4 2 5 2 4 2" xfId="12247"/>
    <cellStyle name="Normal 4 4 2 5 2 4 2 2" xfId="27291"/>
    <cellStyle name="Normal 4 4 2 5 2 4 2 3" xfId="42334"/>
    <cellStyle name="Normal 4 4 2 5 2 4 3" xfId="19770"/>
    <cellStyle name="Normal 4 4 2 5 2 4 4" xfId="34813"/>
    <cellStyle name="Normal 4 4 2 5 2 5" xfId="8498"/>
    <cellStyle name="Normal 4 4 2 5 2 5 2" xfId="23542"/>
    <cellStyle name="Normal 4 4 2 5 2 5 3" xfId="38585"/>
    <cellStyle name="Normal 4 4 2 5 2 6" xfId="16021"/>
    <cellStyle name="Normal 4 4 2 5 2 7" xfId="31064"/>
    <cellStyle name="Normal 4 4 2 5 3" xfId="1403"/>
    <cellStyle name="Normal 4 4 2 5 3 2" xfId="3274"/>
    <cellStyle name="Normal 4 4 2 5 3 2 2" xfId="7069"/>
    <cellStyle name="Normal 4 4 2 5 3 2 2 2" xfId="14592"/>
    <cellStyle name="Normal 4 4 2 5 3 2 2 2 2" xfId="29636"/>
    <cellStyle name="Normal 4 4 2 5 3 2 2 2 3" xfId="44679"/>
    <cellStyle name="Normal 4 4 2 5 3 2 2 3" xfId="22115"/>
    <cellStyle name="Normal 4 4 2 5 3 2 2 4" xfId="37158"/>
    <cellStyle name="Normal 4 4 2 5 3 2 3" xfId="10843"/>
    <cellStyle name="Normal 4 4 2 5 3 2 3 2" xfId="25887"/>
    <cellStyle name="Normal 4 4 2 5 3 2 3 3" xfId="40930"/>
    <cellStyle name="Normal 4 4 2 5 3 2 4" xfId="18366"/>
    <cellStyle name="Normal 4 4 2 5 3 2 5" xfId="33409"/>
    <cellStyle name="Normal 4 4 2 5 3 3" xfId="5204"/>
    <cellStyle name="Normal 4 4 2 5 3 3 2" xfId="12727"/>
    <cellStyle name="Normal 4 4 2 5 3 3 2 2" xfId="27771"/>
    <cellStyle name="Normal 4 4 2 5 3 3 2 3" xfId="42814"/>
    <cellStyle name="Normal 4 4 2 5 3 3 3" xfId="20250"/>
    <cellStyle name="Normal 4 4 2 5 3 3 4" xfId="35293"/>
    <cellStyle name="Normal 4 4 2 5 3 4" xfId="8978"/>
    <cellStyle name="Normal 4 4 2 5 3 4 2" xfId="24022"/>
    <cellStyle name="Normal 4 4 2 5 3 4 3" xfId="39065"/>
    <cellStyle name="Normal 4 4 2 5 3 5" xfId="16501"/>
    <cellStyle name="Normal 4 4 2 5 3 6" xfId="31544"/>
    <cellStyle name="Normal 4 4 2 5 4" xfId="2341"/>
    <cellStyle name="Normal 4 4 2 5 4 2" xfId="6137"/>
    <cellStyle name="Normal 4 4 2 5 4 2 2" xfId="13660"/>
    <cellStyle name="Normal 4 4 2 5 4 2 2 2" xfId="28704"/>
    <cellStyle name="Normal 4 4 2 5 4 2 2 3" xfId="43747"/>
    <cellStyle name="Normal 4 4 2 5 4 2 3" xfId="21183"/>
    <cellStyle name="Normal 4 4 2 5 4 2 4" xfId="36226"/>
    <cellStyle name="Normal 4 4 2 5 4 3" xfId="9911"/>
    <cellStyle name="Normal 4 4 2 5 4 3 2" xfId="24955"/>
    <cellStyle name="Normal 4 4 2 5 4 3 3" xfId="39998"/>
    <cellStyle name="Normal 4 4 2 5 4 4" xfId="17434"/>
    <cellStyle name="Normal 4 4 2 5 4 5" xfId="32477"/>
    <cellStyle name="Normal 4 4 2 5 5" xfId="4269"/>
    <cellStyle name="Normal 4 4 2 5 5 2" xfId="11793"/>
    <cellStyle name="Normal 4 4 2 5 5 2 2" xfId="26837"/>
    <cellStyle name="Normal 4 4 2 5 5 2 3" xfId="41880"/>
    <cellStyle name="Normal 4 4 2 5 5 3" xfId="19316"/>
    <cellStyle name="Normal 4 4 2 5 5 4" xfId="34359"/>
    <cellStyle name="Normal 4 4 2 5 6" xfId="8032"/>
    <cellStyle name="Normal 4 4 2 5 6 2" xfId="23076"/>
    <cellStyle name="Normal 4 4 2 5 6 3" xfId="38119"/>
    <cellStyle name="Normal 4 4 2 5 7" xfId="15555"/>
    <cellStyle name="Normal 4 4 2 5 8" xfId="30598"/>
    <cellStyle name="Normal 4 4 2 6" xfId="885"/>
    <cellStyle name="Normal 4 4 2 6 2" xfId="1844"/>
    <cellStyle name="Normal 4 4 2 6 2 2" xfId="3715"/>
    <cellStyle name="Normal 4 4 2 6 2 2 2" xfId="7510"/>
    <cellStyle name="Normal 4 4 2 6 2 2 2 2" xfId="15033"/>
    <cellStyle name="Normal 4 4 2 6 2 2 2 2 2" xfId="30077"/>
    <cellStyle name="Normal 4 4 2 6 2 2 2 2 3" xfId="45120"/>
    <cellStyle name="Normal 4 4 2 6 2 2 2 3" xfId="22556"/>
    <cellStyle name="Normal 4 4 2 6 2 2 2 4" xfId="37599"/>
    <cellStyle name="Normal 4 4 2 6 2 2 3" xfId="11284"/>
    <cellStyle name="Normal 4 4 2 6 2 2 3 2" xfId="26328"/>
    <cellStyle name="Normal 4 4 2 6 2 2 3 3" xfId="41371"/>
    <cellStyle name="Normal 4 4 2 6 2 2 4" xfId="18807"/>
    <cellStyle name="Normal 4 4 2 6 2 2 5" xfId="33850"/>
    <cellStyle name="Normal 4 4 2 6 2 3" xfId="5645"/>
    <cellStyle name="Normal 4 4 2 6 2 3 2" xfId="13168"/>
    <cellStyle name="Normal 4 4 2 6 2 3 2 2" xfId="28212"/>
    <cellStyle name="Normal 4 4 2 6 2 3 2 3" xfId="43255"/>
    <cellStyle name="Normal 4 4 2 6 2 3 3" xfId="20691"/>
    <cellStyle name="Normal 4 4 2 6 2 3 4" xfId="35734"/>
    <cellStyle name="Normal 4 4 2 6 2 4" xfId="9419"/>
    <cellStyle name="Normal 4 4 2 6 2 4 2" xfId="24463"/>
    <cellStyle name="Normal 4 4 2 6 2 4 3" xfId="39506"/>
    <cellStyle name="Normal 4 4 2 6 2 5" xfId="16942"/>
    <cellStyle name="Normal 4 4 2 6 2 6" xfId="31985"/>
    <cellStyle name="Normal 4 4 2 6 3" xfId="2783"/>
    <cellStyle name="Normal 4 4 2 6 3 2" xfId="6578"/>
    <cellStyle name="Normal 4 4 2 6 3 2 2" xfId="14101"/>
    <cellStyle name="Normal 4 4 2 6 3 2 2 2" xfId="29145"/>
    <cellStyle name="Normal 4 4 2 6 3 2 2 3" xfId="44188"/>
    <cellStyle name="Normal 4 4 2 6 3 2 3" xfId="21624"/>
    <cellStyle name="Normal 4 4 2 6 3 2 4" xfId="36667"/>
    <cellStyle name="Normal 4 4 2 6 3 3" xfId="10352"/>
    <cellStyle name="Normal 4 4 2 6 3 3 2" xfId="25396"/>
    <cellStyle name="Normal 4 4 2 6 3 3 3" xfId="40439"/>
    <cellStyle name="Normal 4 4 2 6 3 4" xfId="17875"/>
    <cellStyle name="Normal 4 4 2 6 3 5" xfId="32918"/>
    <cellStyle name="Normal 4 4 2 6 4" xfId="4713"/>
    <cellStyle name="Normal 4 4 2 6 4 2" xfId="12236"/>
    <cellStyle name="Normal 4 4 2 6 4 2 2" xfId="27280"/>
    <cellStyle name="Normal 4 4 2 6 4 2 3" xfId="42323"/>
    <cellStyle name="Normal 4 4 2 6 4 3" xfId="19759"/>
    <cellStyle name="Normal 4 4 2 6 4 4" xfId="34802"/>
    <cellStyle name="Normal 4 4 2 6 5" xfId="8487"/>
    <cellStyle name="Normal 4 4 2 6 5 2" xfId="23531"/>
    <cellStyle name="Normal 4 4 2 6 5 3" xfId="38574"/>
    <cellStyle name="Normal 4 4 2 6 6" xfId="16010"/>
    <cellStyle name="Normal 4 4 2 6 7" xfId="31053"/>
    <cellStyle name="Normal 4 4 2 7" xfId="1392"/>
    <cellStyle name="Normal 4 4 2 7 2" xfId="3263"/>
    <cellStyle name="Normal 4 4 2 7 2 2" xfId="7058"/>
    <cellStyle name="Normal 4 4 2 7 2 2 2" xfId="14581"/>
    <cellStyle name="Normal 4 4 2 7 2 2 2 2" xfId="29625"/>
    <cellStyle name="Normal 4 4 2 7 2 2 2 3" xfId="44668"/>
    <cellStyle name="Normal 4 4 2 7 2 2 3" xfId="22104"/>
    <cellStyle name="Normal 4 4 2 7 2 2 4" xfId="37147"/>
    <cellStyle name="Normal 4 4 2 7 2 3" xfId="10832"/>
    <cellStyle name="Normal 4 4 2 7 2 3 2" xfId="25876"/>
    <cellStyle name="Normal 4 4 2 7 2 3 3" xfId="40919"/>
    <cellStyle name="Normal 4 4 2 7 2 4" xfId="18355"/>
    <cellStyle name="Normal 4 4 2 7 2 5" xfId="33398"/>
    <cellStyle name="Normal 4 4 2 7 3" xfId="5193"/>
    <cellStyle name="Normal 4 4 2 7 3 2" xfId="12716"/>
    <cellStyle name="Normal 4 4 2 7 3 2 2" xfId="27760"/>
    <cellStyle name="Normal 4 4 2 7 3 2 3" xfId="42803"/>
    <cellStyle name="Normal 4 4 2 7 3 3" xfId="20239"/>
    <cellStyle name="Normal 4 4 2 7 3 4" xfId="35282"/>
    <cellStyle name="Normal 4 4 2 7 4" xfId="8967"/>
    <cellStyle name="Normal 4 4 2 7 4 2" xfId="24011"/>
    <cellStyle name="Normal 4 4 2 7 4 3" xfId="39054"/>
    <cellStyle name="Normal 4 4 2 7 5" xfId="16490"/>
    <cellStyle name="Normal 4 4 2 7 6" xfId="31533"/>
    <cellStyle name="Normal 4 4 2 8" xfId="2330"/>
    <cellStyle name="Normal 4 4 2 8 2" xfId="6126"/>
    <cellStyle name="Normal 4 4 2 8 2 2" xfId="13649"/>
    <cellStyle name="Normal 4 4 2 8 2 2 2" xfId="28693"/>
    <cellStyle name="Normal 4 4 2 8 2 2 3" xfId="43736"/>
    <cellStyle name="Normal 4 4 2 8 2 3" xfId="21172"/>
    <cellStyle name="Normal 4 4 2 8 2 4" xfId="36215"/>
    <cellStyle name="Normal 4 4 2 8 3" xfId="9900"/>
    <cellStyle name="Normal 4 4 2 8 3 2" xfId="24944"/>
    <cellStyle name="Normal 4 4 2 8 3 3" xfId="39987"/>
    <cellStyle name="Normal 4 4 2 8 4" xfId="17423"/>
    <cellStyle name="Normal 4 4 2 8 5" xfId="32466"/>
    <cellStyle name="Normal 4 4 2 9" xfId="4258"/>
    <cellStyle name="Normal 4 4 2 9 2" xfId="11782"/>
    <cellStyle name="Normal 4 4 2 9 2 2" xfId="26826"/>
    <cellStyle name="Normal 4 4 2 9 2 3" xfId="41869"/>
    <cellStyle name="Normal 4 4 2 9 3" xfId="19305"/>
    <cellStyle name="Normal 4 4 2 9 4" xfId="34348"/>
    <cellStyle name="Normal 4 4 3" xfId="373"/>
    <cellStyle name="Normal 4 4 3 10" xfId="15556"/>
    <cellStyle name="Normal 4 4 3 11" xfId="30599"/>
    <cellStyle name="Normal 4 4 3 2" xfId="374"/>
    <cellStyle name="Normal 4 4 3 2 2" xfId="375"/>
    <cellStyle name="Normal 4 4 3 2 2 2" xfId="899"/>
    <cellStyle name="Normal 4 4 3 2 2 2 2" xfId="1858"/>
    <cellStyle name="Normal 4 4 3 2 2 2 2 2" xfId="3729"/>
    <cellStyle name="Normal 4 4 3 2 2 2 2 2 2" xfId="7524"/>
    <cellStyle name="Normal 4 4 3 2 2 2 2 2 2 2" xfId="15047"/>
    <cellStyle name="Normal 4 4 3 2 2 2 2 2 2 2 2" xfId="30091"/>
    <cellStyle name="Normal 4 4 3 2 2 2 2 2 2 2 3" xfId="45134"/>
    <cellStyle name="Normal 4 4 3 2 2 2 2 2 2 3" xfId="22570"/>
    <cellStyle name="Normal 4 4 3 2 2 2 2 2 2 4" xfId="37613"/>
    <cellStyle name="Normal 4 4 3 2 2 2 2 2 3" xfId="11298"/>
    <cellStyle name="Normal 4 4 3 2 2 2 2 2 3 2" xfId="26342"/>
    <cellStyle name="Normal 4 4 3 2 2 2 2 2 3 3" xfId="41385"/>
    <cellStyle name="Normal 4 4 3 2 2 2 2 2 4" xfId="18821"/>
    <cellStyle name="Normal 4 4 3 2 2 2 2 2 5" xfId="33864"/>
    <cellStyle name="Normal 4 4 3 2 2 2 2 3" xfId="5659"/>
    <cellStyle name="Normal 4 4 3 2 2 2 2 3 2" xfId="13182"/>
    <cellStyle name="Normal 4 4 3 2 2 2 2 3 2 2" xfId="28226"/>
    <cellStyle name="Normal 4 4 3 2 2 2 2 3 2 3" xfId="43269"/>
    <cellStyle name="Normal 4 4 3 2 2 2 2 3 3" xfId="20705"/>
    <cellStyle name="Normal 4 4 3 2 2 2 2 3 4" xfId="35748"/>
    <cellStyle name="Normal 4 4 3 2 2 2 2 4" xfId="9433"/>
    <cellStyle name="Normal 4 4 3 2 2 2 2 4 2" xfId="24477"/>
    <cellStyle name="Normal 4 4 3 2 2 2 2 4 3" xfId="39520"/>
    <cellStyle name="Normal 4 4 3 2 2 2 2 5" xfId="16956"/>
    <cellStyle name="Normal 4 4 3 2 2 2 2 6" xfId="31999"/>
    <cellStyle name="Normal 4 4 3 2 2 2 3" xfId="2797"/>
    <cellStyle name="Normal 4 4 3 2 2 2 3 2" xfId="6592"/>
    <cellStyle name="Normal 4 4 3 2 2 2 3 2 2" xfId="14115"/>
    <cellStyle name="Normal 4 4 3 2 2 2 3 2 2 2" xfId="29159"/>
    <cellStyle name="Normal 4 4 3 2 2 2 3 2 2 3" xfId="44202"/>
    <cellStyle name="Normal 4 4 3 2 2 2 3 2 3" xfId="21638"/>
    <cellStyle name="Normal 4 4 3 2 2 2 3 2 4" xfId="36681"/>
    <cellStyle name="Normal 4 4 3 2 2 2 3 3" xfId="10366"/>
    <cellStyle name="Normal 4 4 3 2 2 2 3 3 2" xfId="25410"/>
    <cellStyle name="Normal 4 4 3 2 2 2 3 3 3" xfId="40453"/>
    <cellStyle name="Normal 4 4 3 2 2 2 3 4" xfId="17889"/>
    <cellStyle name="Normal 4 4 3 2 2 2 3 5" xfId="32932"/>
    <cellStyle name="Normal 4 4 3 2 2 2 4" xfId="4727"/>
    <cellStyle name="Normal 4 4 3 2 2 2 4 2" xfId="12250"/>
    <cellStyle name="Normal 4 4 3 2 2 2 4 2 2" xfId="27294"/>
    <cellStyle name="Normal 4 4 3 2 2 2 4 2 3" xfId="42337"/>
    <cellStyle name="Normal 4 4 3 2 2 2 4 3" xfId="19773"/>
    <cellStyle name="Normal 4 4 3 2 2 2 4 4" xfId="34816"/>
    <cellStyle name="Normal 4 4 3 2 2 2 5" xfId="8501"/>
    <cellStyle name="Normal 4 4 3 2 2 2 5 2" xfId="23545"/>
    <cellStyle name="Normal 4 4 3 2 2 2 5 3" xfId="38588"/>
    <cellStyle name="Normal 4 4 3 2 2 2 6" xfId="16024"/>
    <cellStyle name="Normal 4 4 3 2 2 2 7" xfId="31067"/>
    <cellStyle name="Normal 4 4 3 2 2 3" xfId="1406"/>
    <cellStyle name="Normal 4 4 3 2 2 3 2" xfId="3277"/>
    <cellStyle name="Normal 4 4 3 2 2 3 2 2" xfId="7072"/>
    <cellStyle name="Normal 4 4 3 2 2 3 2 2 2" xfId="14595"/>
    <cellStyle name="Normal 4 4 3 2 2 3 2 2 2 2" xfId="29639"/>
    <cellStyle name="Normal 4 4 3 2 2 3 2 2 2 3" xfId="44682"/>
    <cellStyle name="Normal 4 4 3 2 2 3 2 2 3" xfId="22118"/>
    <cellStyle name="Normal 4 4 3 2 2 3 2 2 4" xfId="37161"/>
    <cellStyle name="Normal 4 4 3 2 2 3 2 3" xfId="10846"/>
    <cellStyle name="Normal 4 4 3 2 2 3 2 3 2" xfId="25890"/>
    <cellStyle name="Normal 4 4 3 2 2 3 2 3 3" xfId="40933"/>
    <cellStyle name="Normal 4 4 3 2 2 3 2 4" xfId="18369"/>
    <cellStyle name="Normal 4 4 3 2 2 3 2 5" xfId="33412"/>
    <cellStyle name="Normal 4 4 3 2 2 3 3" xfId="5207"/>
    <cellStyle name="Normal 4 4 3 2 2 3 3 2" xfId="12730"/>
    <cellStyle name="Normal 4 4 3 2 2 3 3 2 2" xfId="27774"/>
    <cellStyle name="Normal 4 4 3 2 2 3 3 2 3" xfId="42817"/>
    <cellStyle name="Normal 4 4 3 2 2 3 3 3" xfId="20253"/>
    <cellStyle name="Normal 4 4 3 2 2 3 3 4" xfId="35296"/>
    <cellStyle name="Normal 4 4 3 2 2 3 4" xfId="8981"/>
    <cellStyle name="Normal 4 4 3 2 2 3 4 2" xfId="24025"/>
    <cellStyle name="Normal 4 4 3 2 2 3 4 3" xfId="39068"/>
    <cellStyle name="Normal 4 4 3 2 2 3 5" xfId="16504"/>
    <cellStyle name="Normal 4 4 3 2 2 3 6" xfId="31547"/>
    <cellStyle name="Normal 4 4 3 2 2 4" xfId="2344"/>
    <cellStyle name="Normal 4 4 3 2 2 4 2" xfId="6140"/>
    <cellStyle name="Normal 4 4 3 2 2 4 2 2" xfId="13663"/>
    <cellStyle name="Normal 4 4 3 2 2 4 2 2 2" xfId="28707"/>
    <cellStyle name="Normal 4 4 3 2 2 4 2 2 3" xfId="43750"/>
    <cellStyle name="Normal 4 4 3 2 2 4 2 3" xfId="21186"/>
    <cellStyle name="Normal 4 4 3 2 2 4 2 4" xfId="36229"/>
    <cellStyle name="Normal 4 4 3 2 2 4 3" xfId="9914"/>
    <cellStyle name="Normal 4 4 3 2 2 4 3 2" xfId="24958"/>
    <cellStyle name="Normal 4 4 3 2 2 4 3 3" xfId="40001"/>
    <cellStyle name="Normal 4 4 3 2 2 4 4" xfId="17437"/>
    <cellStyle name="Normal 4 4 3 2 2 4 5" xfId="32480"/>
    <cellStyle name="Normal 4 4 3 2 2 5" xfId="4272"/>
    <cellStyle name="Normal 4 4 3 2 2 5 2" xfId="11796"/>
    <cellStyle name="Normal 4 4 3 2 2 5 2 2" xfId="26840"/>
    <cellStyle name="Normal 4 4 3 2 2 5 2 3" xfId="41883"/>
    <cellStyle name="Normal 4 4 3 2 2 5 3" xfId="19319"/>
    <cellStyle name="Normal 4 4 3 2 2 5 4" xfId="34362"/>
    <cellStyle name="Normal 4 4 3 2 2 6" xfId="8035"/>
    <cellStyle name="Normal 4 4 3 2 2 6 2" xfId="23079"/>
    <cellStyle name="Normal 4 4 3 2 2 6 3" xfId="38122"/>
    <cellStyle name="Normal 4 4 3 2 2 7" xfId="15558"/>
    <cellStyle name="Normal 4 4 3 2 2 8" xfId="30601"/>
    <cellStyle name="Normal 4 4 3 2 3" xfId="898"/>
    <cellStyle name="Normal 4 4 3 2 3 2" xfId="1857"/>
    <cellStyle name="Normal 4 4 3 2 3 2 2" xfId="3728"/>
    <cellStyle name="Normal 4 4 3 2 3 2 2 2" xfId="7523"/>
    <cellStyle name="Normal 4 4 3 2 3 2 2 2 2" xfId="15046"/>
    <cellStyle name="Normal 4 4 3 2 3 2 2 2 2 2" xfId="30090"/>
    <cellStyle name="Normal 4 4 3 2 3 2 2 2 2 3" xfId="45133"/>
    <cellStyle name="Normal 4 4 3 2 3 2 2 2 3" xfId="22569"/>
    <cellStyle name="Normal 4 4 3 2 3 2 2 2 4" xfId="37612"/>
    <cellStyle name="Normal 4 4 3 2 3 2 2 3" xfId="11297"/>
    <cellStyle name="Normal 4 4 3 2 3 2 2 3 2" xfId="26341"/>
    <cellStyle name="Normal 4 4 3 2 3 2 2 3 3" xfId="41384"/>
    <cellStyle name="Normal 4 4 3 2 3 2 2 4" xfId="18820"/>
    <cellStyle name="Normal 4 4 3 2 3 2 2 5" xfId="33863"/>
    <cellStyle name="Normal 4 4 3 2 3 2 3" xfId="5658"/>
    <cellStyle name="Normal 4 4 3 2 3 2 3 2" xfId="13181"/>
    <cellStyle name="Normal 4 4 3 2 3 2 3 2 2" xfId="28225"/>
    <cellStyle name="Normal 4 4 3 2 3 2 3 2 3" xfId="43268"/>
    <cellStyle name="Normal 4 4 3 2 3 2 3 3" xfId="20704"/>
    <cellStyle name="Normal 4 4 3 2 3 2 3 4" xfId="35747"/>
    <cellStyle name="Normal 4 4 3 2 3 2 4" xfId="9432"/>
    <cellStyle name="Normal 4 4 3 2 3 2 4 2" xfId="24476"/>
    <cellStyle name="Normal 4 4 3 2 3 2 4 3" xfId="39519"/>
    <cellStyle name="Normal 4 4 3 2 3 2 5" xfId="16955"/>
    <cellStyle name="Normal 4 4 3 2 3 2 6" xfId="31998"/>
    <cellStyle name="Normal 4 4 3 2 3 3" xfId="2796"/>
    <cellStyle name="Normal 4 4 3 2 3 3 2" xfId="6591"/>
    <cellStyle name="Normal 4 4 3 2 3 3 2 2" xfId="14114"/>
    <cellStyle name="Normal 4 4 3 2 3 3 2 2 2" xfId="29158"/>
    <cellStyle name="Normal 4 4 3 2 3 3 2 2 3" xfId="44201"/>
    <cellStyle name="Normal 4 4 3 2 3 3 2 3" xfId="21637"/>
    <cellStyle name="Normal 4 4 3 2 3 3 2 4" xfId="36680"/>
    <cellStyle name="Normal 4 4 3 2 3 3 3" xfId="10365"/>
    <cellStyle name="Normal 4 4 3 2 3 3 3 2" xfId="25409"/>
    <cellStyle name="Normal 4 4 3 2 3 3 3 3" xfId="40452"/>
    <cellStyle name="Normal 4 4 3 2 3 3 4" xfId="17888"/>
    <cellStyle name="Normal 4 4 3 2 3 3 5" xfId="32931"/>
    <cellStyle name="Normal 4 4 3 2 3 4" xfId="4726"/>
    <cellStyle name="Normal 4 4 3 2 3 4 2" xfId="12249"/>
    <cellStyle name="Normal 4 4 3 2 3 4 2 2" xfId="27293"/>
    <cellStyle name="Normal 4 4 3 2 3 4 2 3" xfId="42336"/>
    <cellStyle name="Normal 4 4 3 2 3 4 3" xfId="19772"/>
    <cellStyle name="Normal 4 4 3 2 3 4 4" xfId="34815"/>
    <cellStyle name="Normal 4 4 3 2 3 5" xfId="8500"/>
    <cellStyle name="Normal 4 4 3 2 3 5 2" xfId="23544"/>
    <cellStyle name="Normal 4 4 3 2 3 5 3" xfId="38587"/>
    <cellStyle name="Normal 4 4 3 2 3 6" xfId="16023"/>
    <cellStyle name="Normal 4 4 3 2 3 7" xfId="31066"/>
    <cellStyle name="Normal 4 4 3 2 4" xfId="1405"/>
    <cellStyle name="Normal 4 4 3 2 4 2" xfId="3276"/>
    <cellStyle name="Normal 4 4 3 2 4 2 2" xfId="7071"/>
    <cellStyle name="Normal 4 4 3 2 4 2 2 2" xfId="14594"/>
    <cellStyle name="Normal 4 4 3 2 4 2 2 2 2" xfId="29638"/>
    <cellStyle name="Normal 4 4 3 2 4 2 2 2 3" xfId="44681"/>
    <cellStyle name="Normal 4 4 3 2 4 2 2 3" xfId="22117"/>
    <cellStyle name="Normal 4 4 3 2 4 2 2 4" xfId="37160"/>
    <cellStyle name="Normal 4 4 3 2 4 2 3" xfId="10845"/>
    <cellStyle name="Normal 4 4 3 2 4 2 3 2" xfId="25889"/>
    <cellStyle name="Normal 4 4 3 2 4 2 3 3" xfId="40932"/>
    <cellStyle name="Normal 4 4 3 2 4 2 4" xfId="18368"/>
    <cellStyle name="Normal 4 4 3 2 4 2 5" xfId="33411"/>
    <cellStyle name="Normal 4 4 3 2 4 3" xfId="5206"/>
    <cellStyle name="Normal 4 4 3 2 4 3 2" xfId="12729"/>
    <cellStyle name="Normal 4 4 3 2 4 3 2 2" xfId="27773"/>
    <cellStyle name="Normal 4 4 3 2 4 3 2 3" xfId="42816"/>
    <cellStyle name="Normal 4 4 3 2 4 3 3" xfId="20252"/>
    <cellStyle name="Normal 4 4 3 2 4 3 4" xfId="35295"/>
    <cellStyle name="Normal 4 4 3 2 4 4" xfId="8980"/>
    <cellStyle name="Normal 4 4 3 2 4 4 2" xfId="24024"/>
    <cellStyle name="Normal 4 4 3 2 4 4 3" xfId="39067"/>
    <cellStyle name="Normal 4 4 3 2 4 5" xfId="16503"/>
    <cellStyle name="Normal 4 4 3 2 4 6" xfId="31546"/>
    <cellStyle name="Normal 4 4 3 2 5" xfId="2343"/>
    <cellStyle name="Normal 4 4 3 2 5 2" xfId="6139"/>
    <cellStyle name="Normal 4 4 3 2 5 2 2" xfId="13662"/>
    <cellStyle name="Normal 4 4 3 2 5 2 2 2" xfId="28706"/>
    <cellStyle name="Normal 4 4 3 2 5 2 2 3" xfId="43749"/>
    <cellStyle name="Normal 4 4 3 2 5 2 3" xfId="21185"/>
    <cellStyle name="Normal 4 4 3 2 5 2 4" xfId="36228"/>
    <cellStyle name="Normal 4 4 3 2 5 3" xfId="9913"/>
    <cellStyle name="Normal 4 4 3 2 5 3 2" xfId="24957"/>
    <cellStyle name="Normal 4 4 3 2 5 3 3" xfId="40000"/>
    <cellStyle name="Normal 4 4 3 2 5 4" xfId="17436"/>
    <cellStyle name="Normal 4 4 3 2 5 5" xfId="32479"/>
    <cellStyle name="Normal 4 4 3 2 6" xfId="4271"/>
    <cellStyle name="Normal 4 4 3 2 6 2" xfId="11795"/>
    <cellStyle name="Normal 4 4 3 2 6 2 2" xfId="26839"/>
    <cellStyle name="Normal 4 4 3 2 6 2 3" xfId="41882"/>
    <cellStyle name="Normal 4 4 3 2 6 3" xfId="19318"/>
    <cellStyle name="Normal 4 4 3 2 6 4" xfId="34361"/>
    <cellStyle name="Normal 4 4 3 2 7" xfId="8034"/>
    <cellStyle name="Normal 4 4 3 2 7 2" xfId="23078"/>
    <cellStyle name="Normal 4 4 3 2 7 3" xfId="38121"/>
    <cellStyle name="Normal 4 4 3 2 8" xfId="15557"/>
    <cellStyle name="Normal 4 4 3 2 9" xfId="30600"/>
    <cellStyle name="Normal 4 4 3 3" xfId="376"/>
    <cellStyle name="Normal 4 4 3 3 2" xfId="377"/>
    <cellStyle name="Normal 4 4 3 3 2 2" xfId="901"/>
    <cellStyle name="Normal 4 4 3 3 2 2 2" xfId="1860"/>
    <cellStyle name="Normal 4 4 3 3 2 2 2 2" xfId="3731"/>
    <cellStyle name="Normal 4 4 3 3 2 2 2 2 2" xfId="7526"/>
    <cellStyle name="Normal 4 4 3 3 2 2 2 2 2 2" xfId="15049"/>
    <cellStyle name="Normal 4 4 3 3 2 2 2 2 2 2 2" xfId="30093"/>
    <cellStyle name="Normal 4 4 3 3 2 2 2 2 2 2 3" xfId="45136"/>
    <cellStyle name="Normal 4 4 3 3 2 2 2 2 2 3" xfId="22572"/>
    <cellStyle name="Normal 4 4 3 3 2 2 2 2 2 4" xfId="37615"/>
    <cellStyle name="Normal 4 4 3 3 2 2 2 2 3" xfId="11300"/>
    <cellStyle name="Normal 4 4 3 3 2 2 2 2 3 2" xfId="26344"/>
    <cellStyle name="Normal 4 4 3 3 2 2 2 2 3 3" xfId="41387"/>
    <cellStyle name="Normal 4 4 3 3 2 2 2 2 4" xfId="18823"/>
    <cellStyle name="Normal 4 4 3 3 2 2 2 2 5" xfId="33866"/>
    <cellStyle name="Normal 4 4 3 3 2 2 2 3" xfId="5661"/>
    <cellStyle name="Normal 4 4 3 3 2 2 2 3 2" xfId="13184"/>
    <cellStyle name="Normal 4 4 3 3 2 2 2 3 2 2" xfId="28228"/>
    <cellStyle name="Normal 4 4 3 3 2 2 2 3 2 3" xfId="43271"/>
    <cellStyle name="Normal 4 4 3 3 2 2 2 3 3" xfId="20707"/>
    <cellStyle name="Normal 4 4 3 3 2 2 2 3 4" xfId="35750"/>
    <cellStyle name="Normal 4 4 3 3 2 2 2 4" xfId="9435"/>
    <cellStyle name="Normal 4 4 3 3 2 2 2 4 2" xfId="24479"/>
    <cellStyle name="Normal 4 4 3 3 2 2 2 4 3" xfId="39522"/>
    <cellStyle name="Normal 4 4 3 3 2 2 2 5" xfId="16958"/>
    <cellStyle name="Normal 4 4 3 3 2 2 2 6" xfId="32001"/>
    <cellStyle name="Normal 4 4 3 3 2 2 3" xfId="2799"/>
    <cellStyle name="Normal 4 4 3 3 2 2 3 2" xfId="6594"/>
    <cellStyle name="Normal 4 4 3 3 2 2 3 2 2" xfId="14117"/>
    <cellStyle name="Normal 4 4 3 3 2 2 3 2 2 2" xfId="29161"/>
    <cellStyle name="Normal 4 4 3 3 2 2 3 2 2 3" xfId="44204"/>
    <cellStyle name="Normal 4 4 3 3 2 2 3 2 3" xfId="21640"/>
    <cellStyle name="Normal 4 4 3 3 2 2 3 2 4" xfId="36683"/>
    <cellStyle name="Normal 4 4 3 3 2 2 3 3" xfId="10368"/>
    <cellStyle name="Normal 4 4 3 3 2 2 3 3 2" xfId="25412"/>
    <cellStyle name="Normal 4 4 3 3 2 2 3 3 3" xfId="40455"/>
    <cellStyle name="Normal 4 4 3 3 2 2 3 4" xfId="17891"/>
    <cellStyle name="Normal 4 4 3 3 2 2 3 5" xfId="32934"/>
    <cellStyle name="Normal 4 4 3 3 2 2 4" xfId="4729"/>
    <cellStyle name="Normal 4 4 3 3 2 2 4 2" xfId="12252"/>
    <cellStyle name="Normal 4 4 3 3 2 2 4 2 2" xfId="27296"/>
    <cellStyle name="Normal 4 4 3 3 2 2 4 2 3" xfId="42339"/>
    <cellStyle name="Normal 4 4 3 3 2 2 4 3" xfId="19775"/>
    <cellStyle name="Normal 4 4 3 3 2 2 4 4" xfId="34818"/>
    <cellStyle name="Normal 4 4 3 3 2 2 5" xfId="8503"/>
    <cellStyle name="Normal 4 4 3 3 2 2 5 2" xfId="23547"/>
    <cellStyle name="Normal 4 4 3 3 2 2 5 3" xfId="38590"/>
    <cellStyle name="Normal 4 4 3 3 2 2 6" xfId="16026"/>
    <cellStyle name="Normal 4 4 3 3 2 2 7" xfId="31069"/>
    <cellStyle name="Normal 4 4 3 3 2 3" xfId="1408"/>
    <cellStyle name="Normal 4 4 3 3 2 3 2" xfId="3279"/>
    <cellStyle name="Normal 4 4 3 3 2 3 2 2" xfId="7074"/>
    <cellStyle name="Normal 4 4 3 3 2 3 2 2 2" xfId="14597"/>
    <cellStyle name="Normal 4 4 3 3 2 3 2 2 2 2" xfId="29641"/>
    <cellStyle name="Normal 4 4 3 3 2 3 2 2 2 3" xfId="44684"/>
    <cellStyle name="Normal 4 4 3 3 2 3 2 2 3" xfId="22120"/>
    <cellStyle name="Normal 4 4 3 3 2 3 2 2 4" xfId="37163"/>
    <cellStyle name="Normal 4 4 3 3 2 3 2 3" xfId="10848"/>
    <cellStyle name="Normal 4 4 3 3 2 3 2 3 2" xfId="25892"/>
    <cellStyle name="Normal 4 4 3 3 2 3 2 3 3" xfId="40935"/>
    <cellStyle name="Normal 4 4 3 3 2 3 2 4" xfId="18371"/>
    <cellStyle name="Normal 4 4 3 3 2 3 2 5" xfId="33414"/>
    <cellStyle name="Normal 4 4 3 3 2 3 3" xfId="5209"/>
    <cellStyle name="Normal 4 4 3 3 2 3 3 2" xfId="12732"/>
    <cellStyle name="Normal 4 4 3 3 2 3 3 2 2" xfId="27776"/>
    <cellStyle name="Normal 4 4 3 3 2 3 3 2 3" xfId="42819"/>
    <cellStyle name="Normal 4 4 3 3 2 3 3 3" xfId="20255"/>
    <cellStyle name="Normal 4 4 3 3 2 3 3 4" xfId="35298"/>
    <cellStyle name="Normal 4 4 3 3 2 3 4" xfId="8983"/>
    <cellStyle name="Normal 4 4 3 3 2 3 4 2" xfId="24027"/>
    <cellStyle name="Normal 4 4 3 3 2 3 4 3" xfId="39070"/>
    <cellStyle name="Normal 4 4 3 3 2 3 5" xfId="16506"/>
    <cellStyle name="Normal 4 4 3 3 2 3 6" xfId="31549"/>
    <cellStyle name="Normal 4 4 3 3 2 4" xfId="2346"/>
    <cellStyle name="Normal 4 4 3 3 2 4 2" xfId="6142"/>
    <cellStyle name="Normal 4 4 3 3 2 4 2 2" xfId="13665"/>
    <cellStyle name="Normal 4 4 3 3 2 4 2 2 2" xfId="28709"/>
    <cellStyle name="Normal 4 4 3 3 2 4 2 2 3" xfId="43752"/>
    <cellStyle name="Normal 4 4 3 3 2 4 2 3" xfId="21188"/>
    <cellStyle name="Normal 4 4 3 3 2 4 2 4" xfId="36231"/>
    <cellStyle name="Normal 4 4 3 3 2 4 3" xfId="9916"/>
    <cellStyle name="Normal 4 4 3 3 2 4 3 2" xfId="24960"/>
    <cellStyle name="Normal 4 4 3 3 2 4 3 3" xfId="40003"/>
    <cellStyle name="Normal 4 4 3 3 2 4 4" xfId="17439"/>
    <cellStyle name="Normal 4 4 3 3 2 4 5" xfId="32482"/>
    <cellStyle name="Normal 4 4 3 3 2 5" xfId="4274"/>
    <cellStyle name="Normal 4 4 3 3 2 5 2" xfId="11798"/>
    <cellStyle name="Normal 4 4 3 3 2 5 2 2" xfId="26842"/>
    <cellStyle name="Normal 4 4 3 3 2 5 2 3" xfId="41885"/>
    <cellStyle name="Normal 4 4 3 3 2 5 3" xfId="19321"/>
    <cellStyle name="Normal 4 4 3 3 2 5 4" xfId="34364"/>
    <cellStyle name="Normal 4 4 3 3 2 6" xfId="8037"/>
    <cellStyle name="Normal 4 4 3 3 2 6 2" xfId="23081"/>
    <cellStyle name="Normal 4 4 3 3 2 6 3" xfId="38124"/>
    <cellStyle name="Normal 4 4 3 3 2 7" xfId="15560"/>
    <cellStyle name="Normal 4 4 3 3 2 8" xfId="30603"/>
    <cellStyle name="Normal 4 4 3 3 3" xfId="900"/>
    <cellStyle name="Normal 4 4 3 3 3 2" xfId="1859"/>
    <cellStyle name="Normal 4 4 3 3 3 2 2" xfId="3730"/>
    <cellStyle name="Normal 4 4 3 3 3 2 2 2" xfId="7525"/>
    <cellStyle name="Normal 4 4 3 3 3 2 2 2 2" xfId="15048"/>
    <cellStyle name="Normal 4 4 3 3 3 2 2 2 2 2" xfId="30092"/>
    <cellStyle name="Normal 4 4 3 3 3 2 2 2 2 3" xfId="45135"/>
    <cellStyle name="Normal 4 4 3 3 3 2 2 2 3" xfId="22571"/>
    <cellStyle name="Normal 4 4 3 3 3 2 2 2 4" xfId="37614"/>
    <cellStyle name="Normal 4 4 3 3 3 2 2 3" xfId="11299"/>
    <cellStyle name="Normal 4 4 3 3 3 2 2 3 2" xfId="26343"/>
    <cellStyle name="Normal 4 4 3 3 3 2 2 3 3" xfId="41386"/>
    <cellStyle name="Normal 4 4 3 3 3 2 2 4" xfId="18822"/>
    <cellStyle name="Normal 4 4 3 3 3 2 2 5" xfId="33865"/>
    <cellStyle name="Normal 4 4 3 3 3 2 3" xfId="5660"/>
    <cellStyle name="Normal 4 4 3 3 3 2 3 2" xfId="13183"/>
    <cellStyle name="Normal 4 4 3 3 3 2 3 2 2" xfId="28227"/>
    <cellStyle name="Normal 4 4 3 3 3 2 3 2 3" xfId="43270"/>
    <cellStyle name="Normal 4 4 3 3 3 2 3 3" xfId="20706"/>
    <cellStyle name="Normal 4 4 3 3 3 2 3 4" xfId="35749"/>
    <cellStyle name="Normal 4 4 3 3 3 2 4" xfId="9434"/>
    <cellStyle name="Normal 4 4 3 3 3 2 4 2" xfId="24478"/>
    <cellStyle name="Normal 4 4 3 3 3 2 4 3" xfId="39521"/>
    <cellStyle name="Normal 4 4 3 3 3 2 5" xfId="16957"/>
    <cellStyle name="Normal 4 4 3 3 3 2 6" xfId="32000"/>
    <cellStyle name="Normal 4 4 3 3 3 3" xfId="2798"/>
    <cellStyle name="Normal 4 4 3 3 3 3 2" xfId="6593"/>
    <cellStyle name="Normal 4 4 3 3 3 3 2 2" xfId="14116"/>
    <cellStyle name="Normal 4 4 3 3 3 3 2 2 2" xfId="29160"/>
    <cellStyle name="Normal 4 4 3 3 3 3 2 2 3" xfId="44203"/>
    <cellStyle name="Normal 4 4 3 3 3 3 2 3" xfId="21639"/>
    <cellStyle name="Normal 4 4 3 3 3 3 2 4" xfId="36682"/>
    <cellStyle name="Normal 4 4 3 3 3 3 3" xfId="10367"/>
    <cellStyle name="Normal 4 4 3 3 3 3 3 2" xfId="25411"/>
    <cellStyle name="Normal 4 4 3 3 3 3 3 3" xfId="40454"/>
    <cellStyle name="Normal 4 4 3 3 3 3 4" xfId="17890"/>
    <cellStyle name="Normal 4 4 3 3 3 3 5" xfId="32933"/>
    <cellStyle name="Normal 4 4 3 3 3 4" xfId="4728"/>
    <cellStyle name="Normal 4 4 3 3 3 4 2" xfId="12251"/>
    <cellStyle name="Normal 4 4 3 3 3 4 2 2" xfId="27295"/>
    <cellStyle name="Normal 4 4 3 3 3 4 2 3" xfId="42338"/>
    <cellStyle name="Normal 4 4 3 3 3 4 3" xfId="19774"/>
    <cellStyle name="Normal 4 4 3 3 3 4 4" xfId="34817"/>
    <cellStyle name="Normal 4 4 3 3 3 5" xfId="8502"/>
    <cellStyle name="Normal 4 4 3 3 3 5 2" xfId="23546"/>
    <cellStyle name="Normal 4 4 3 3 3 5 3" xfId="38589"/>
    <cellStyle name="Normal 4 4 3 3 3 6" xfId="16025"/>
    <cellStyle name="Normal 4 4 3 3 3 7" xfId="31068"/>
    <cellStyle name="Normal 4 4 3 3 4" xfId="1407"/>
    <cellStyle name="Normal 4 4 3 3 4 2" xfId="3278"/>
    <cellStyle name="Normal 4 4 3 3 4 2 2" xfId="7073"/>
    <cellStyle name="Normal 4 4 3 3 4 2 2 2" xfId="14596"/>
    <cellStyle name="Normal 4 4 3 3 4 2 2 2 2" xfId="29640"/>
    <cellStyle name="Normal 4 4 3 3 4 2 2 2 3" xfId="44683"/>
    <cellStyle name="Normal 4 4 3 3 4 2 2 3" xfId="22119"/>
    <cellStyle name="Normal 4 4 3 3 4 2 2 4" xfId="37162"/>
    <cellStyle name="Normal 4 4 3 3 4 2 3" xfId="10847"/>
    <cellStyle name="Normal 4 4 3 3 4 2 3 2" xfId="25891"/>
    <cellStyle name="Normal 4 4 3 3 4 2 3 3" xfId="40934"/>
    <cellStyle name="Normal 4 4 3 3 4 2 4" xfId="18370"/>
    <cellStyle name="Normal 4 4 3 3 4 2 5" xfId="33413"/>
    <cellStyle name="Normal 4 4 3 3 4 3" xfId="5208"/>
    <cellStyle name="Normal 4 4 3 3 4 3 2" xfId="12731"/>
    <cellStyle name="Normal 4 4 3 3 4 3 2 2" xfId="27775"/>
    <cellStyle name="Normal 4 4 3 3 4 3 2 3" xfId="42818"/>
    <cellStyle name="Normal 4 4 3 3 4 3 3" xfId="20254"/>
    <cellStyle name="Normal 4 4 3 3 4 3 4" xfId="35297"/>
    <cellStyle name="Normal 4 4 3 3 4 4" xfId="8982"/>
    <cellStyle name="Normal 4 4 3 3 4 4 2" xfId="24026"/>
    <cellStyle name="Normal 4 4 3 3 4 4 3" xfId="39069"/>
    <cellStyle name="Normal 4 4 3 3 4 5" xfId="16505"/>
    <cellStyle name="Normal 4 4 3 3 4 6" xfId="31548"/>
    <cellStyle name="Normal 4 4 3 3 5" xfId="2345"/>
    <cellStyle name="Normal 4 4 3 3 5 2" xfId="6141"/>
    <cellStyle name="Normal 4 4 3 3 5 2 2" xfId="13664"/>
    <cellStyle name="Normal 4 4 3 3 5 2 2 2" xfId="28708"/>
    <cellStyle name="Normal 4 4 3 3 5 2 2 3" xfId="43751"/>
    <cellStyle name="Normal 4 4 3 3 5 2 3" xfId="21187"/>
    <cellStyle name="Normal 4 4 3 3 5 2 4" xfId="36230"/>
    <cellStyle name="Normal 4 4 3 3 5 3" xfId="9915"/>
    <cellStyle name="Normal 4 4 3 3 5 3 2" xfId="24959"/>
    <cellStyle name="Normal 4 4 3 3 5 3 3" xfId="40002"/>
    <cellStyle name="Normal 4 4 3 3 5 4" xfId="17438"/>
    <cellStyle name="Normal 4 4 3 3 5 5" xfId="32481"/>
    <cellStyle name="Normal 4 4 3 3 6" xfId="4273"/>
    <cellStyle name="Normal 4 4 3 3 6 2" xfId="11797"/>
    <cellStyle name="Normal 4 4 3 3 6 2 2" xfId="26841"/>
    <cellStyle name="Normal 4 4 3 3 6 2 3" xfId="41884"/>
    <cellStyle name="Normal 4 4 3 3 6 3" xfId="19320"/>
    <cellStyle name="Normal 4 4 3 3 6 4" xfId="34363"/>
    <cellStyle name="Normal 4 4 3 3 7" xfId="8036"/>
    <cellStyle name="Normal 4 4 3 3 7 2" xfId="23080"/>
    <cellStyle name="Normal 4 4 3 3 7 3" xfId="38123"/>
    <cellStyle name="Normal 4 4 3 3 8" xfId="15559"/>
    <cellStyle name="Normal 4 4 3 3 9" xfId="30602"/>
    <cellStyle name="Normal 4 4 3 4" xfId="378"/>
    <cellStyle name="Normal 4 4 3 4 2" xfId="902"/>
    <cellStyle name="Normal 4 4 3 4 2 2" xfId="1861"/>
    <cellStyle name="Normal 4 4 3 4 2 2 2" xfId="3732"/>
    <cellStyle name="Normal 4 4 3 4 2 2 2 2" xfId="7527"/>
    <cellStyle name="Normal 4 4 3 4 2 2 2 2 2" xfId="15050"/>
    <cellStyle name="Normal 4 4 3 4 2 2 2 2 2 2" xfId="30094"/>
    <cellStyle name="Normal 4 4 3 4 2 2 2 2 2 3" xfId="45137"/>
    <cellStyle name="Normal 4 4 3 4 2 2 2 2 3" xfId="22573"/>
    <cellStyle name="Normal 4 4 3 4 2 2 2 2 4" xfId="37616"/>
    <cellStyle name="Normal 4 4 3 4 2 2 2 3" xfId="11301"/>
    <cellStyle name="Normal 4 4 3 4 2 2 2 3 2" xfId="26345"/>
    <cellStyle name="Normal 4 4 3 4 2 2 2 3 3" xfId="41388"/>
    <cellStyle name="Normal 4 4 3 4 2 2 2 4" xfId="18824"/>
    <cellStyle name="Normal 4 4 3 4 2 2 2 5" xfId="33867"/>
    <cellStyle name="Normal 4 4 3 4 2 2 3" xfId="5662"/>
    <cellStyle name="Normal 4 4 3 4 2 2 3 2" xfId="13185"/>
    <cellStyle name="Normal 4 4 3 4 2 2 3 2 2" xfId="28229"/>
    <cellStyle name="Normal 4 4 3 4 2 2 3 2 3" xfId="43272"/>
    <cellStyle name="Normal 4 4 3 4 2 2 3 3" xfId="20708"/>
    <cellStyle name="Normal 4 4 3 4 2 2 3 4" xfId="35751"/>
    <cellStyle name="Normal 4 4 3 4 2 2 4" xfId="9436"/>
    <cellStyle name="Normal 4 4 3 4 2 2 4 2" xfId="24480"/>
    <cellStyle name="Normal 4 4 3 4 2 2 4 3" xfId="39523"/>
    <cellStyle name="Normal 4 4 3 4 2 2 5" xfId="16959"/>
    <cellStyle name="Normal 4 4 3 4 2 2 6" xfId="32002"/>
    <cellStyle name="Normal 4 4 3 4 2 3" xfId="2800"/>
    <cellStyle name="Normal 4 4 3 4 2 3 2" xfId="6595"/>
    <cellStyle name="Normal 4 4 3 4 2 3 2 2" xfId="14118"/>
    <cellStyle name="Normal 4 4 3 4 2 3 2 2 2" xfId="29162"/>
    <cellStyle name="Normal 4 4 3 4 2 3 2 2 3" xfId="44205"/>
    <cellStyle name="Normal 4 4 3 4 2 3 2 3" xfId="21641"/>
    <cellStyle name="Normal 4 4 3 4 2 3 2 4" xfId="36684"/>
    <cellStyle name="Normal 4 4 3 4 2 3 3" xfId="10369"/>
    <cellStyle name="Normal 4 4 3 4 2 3 3 2" xfId="25413"/>
    <cellStyle name="Normal 4 4 3 4 2 3 3 3" xfId="40456"/>
    <cellStyle name="Normal 4 4 3 4 2 3 4" xfId="17892"/>
    <cellStyle name="Normal 4 4 3 4 2 3 5" xfId="32935"/>
    <cellStyle name="Normal 4 4 3 4 2 4" xfId="4730"/>
    <cellStyle name="Normal 4 4 3 4 2 4 2" xfId="12253"/>
    <cellStyle name="Normal 4 4 3 4 2 4 2 2" xfId="27297"/>
    <cellStyle name="Normal 4 4 3 4 2 4 2 3" xfId="42340"/>
    <cellStyle name="Normal 4 4 3 4 2 4 3" xfId="19776"/>
    <cellStyle name="Normal 4 4 3 4 2 4 4" xfId="34819"/>
    <cellStyle name="Normal 4 4 3 4 2 5" xfId="8504"/>
    <cellStyle name="Normal 4 4 3 4 2 5 2" xfId="23548"/>
    <cellStyle name="Normal 4 4 3 4 2 5 3" xfId="38591"/>
    <cellStyle name="Normal 4 4 3 4 2 6" xfId="16027"/>
    <cellStyle name="Normal 4 4 3 4 2 7" xfId="31070"/>
    <cellStyle name="Normal 4 4 3 4 3" xfId="1409"/>
    <cellStyle name="Normal 4 4 3 4 3 2" xfId="3280"/>
    <cellStyle name="Normal 4 4 3 4 3 2 2" xfId="7075"/>
    <cellStyle name="Normal 4 4 3 4 3 2 2 2" xfId="14598"/>
    <cellStyle name="Normal 4 4 3 4 3 2 2 2 2" xfId="29642"/>
    <cellStyle name="Normal 4 4 3 4 3 2 2 2 3" xfId="44685"/>
    <cellStyle name="Normal 4 4 3 4 3 2 2 3" xfId="22121"/>
    <cellStyle name="Normal 4 4 3 4 3 2 2 4" xfId="37164"/>
    <cellStyle name="Normal 4 4 3 4 3 2 3" xfId="10849"/>
    <cellStyle name="Normal 4 4 3 4 3 2 3 2" xfId="25893"/>
    <cellStyle name="Normal 4 4 3 4 3 2 3 3" xfId="40936"/>
    <cellStyle name="Normal 4 4 3 4 3 2 4" xfId="18372"/>
    <cellStyle name="Normal 4 4 3 4 3 2 5" xfId="33415"/>
    <cellStyle name="Normal 4 4 3 4 3 3" xfId="5210"/>
    <cellStyle name="Normal 4 4 3 4 3 3 2" xfId="12733"/>
    <cellStyle name="Normal 4 4 3 4 3 3 2 2" xfId="27777"/>
    <cellStyle name="Normal 4 4 3 4 3 3 2 3" xfId="42820"/>
    <cellStyle name="Normal 4 4 3 4 3 3 3" xfId="20256"/>
    <cellStyle name="Normal 4 4 3 4 3 3 4" xfId="35299"/>
    <cellStyle name="Normal 4 4 3 4 3 4" xfId="8984"/>
    <cellStyle name="Normal 4 4 3 4 3 4 2" xfId="24028"/>
    <cellStyle name="Normal 4 4 3 4 3 4 3" xfId="39071"/>
    <cellStyle name="Normal 4 4 3 4 3 5" xfId="16507"/>
    <cellStyle name="Normal 4 4 3 4 3 6" xfId="31550"/>
    <cellStyle name="Normal 4 4 3 4 4" xfId="2347"/>
    <cellStyle name="Normal 4 4 3 4 4 2" xfId="6143"/>
    <cellStyle name="Normal 4 4 3 4 4 2 2" xfId="13666"/>
    <cellStyle name="Normal 4 4 3 4 4 2 2 2" xfId="28710"/>
    <cellStyle name="Normal 4 4 3 4 4 2 2 3" xfId="43753"/>
    <cellStyle name="Normal 4 4 3 4 4 2 3" xfId="21189"/>
    <cellStyle name="Normal 4 4 3 4 4 2 4" xfId="36232"/>
    <cellStyle name="Normal 4 4 3 4 4 3" xfId="9917"/>
    <cellStyle name="Normal 4 4 3 4 4 3 2" xfId="24961"/>
    <cellStyle name="Normal 4 4 3 4 4 3 3" xfId="40004"/>
    <cellStyle name="Normal 4 4 3 4 4 4" xfId="17440"/>
    <cellStyle name="Normal 4 4 3 4 4 5" xfId="32483"/>
    <cellStyle name="Normal 4 4 3 4 5" xfId="4275"/>
    <cellStyle name="Normal 4 4 3 4 5 2" xfId="11799"/>
    <cellStyle name="Normal 4 4 3 4 5 2 2" xfId="26843"/>
    <cellStyle name="Normal 4 4 3 4 5 2 3" xfId="41886"/>
    <cellStyle name="Normal 4 4 3 4 5 3" xfId="19322"/>
    <cellStyle name="Normal 4 4 3 4 5 4" xfId="34365"/>
    <cellStyle name="Normal 4 4 3 4 6" xfId="8038"/>
    <cellStyle name="Normal 4 4 3 4 6 2" xfId="23082"/>
    <cellStyle name="Normal 4 4 3 4 6 3" xfId="38125"/>
    <cellStyle name="Normal 4 4 3 4 7" xfId="15561"/>
    <cellStyle name="Normal 4 4 3 4 8" xfId="30604"/>
    <cellStyle name="Normal 4 4 3 5" xfId="897"/>
    <cellStyle name="Normal 4 4 3 5 2" xfId="1856"/>
    <cellStyle name="Normal 4 4 3 5 2 2" xfId="3727"/>
    <cellStyle name="Normal 4 4 3 5 2 2 2" xfId="7522"/>
    <cellStyle name="Normal 4 4 3 5 2 2 2 2" xfId="15045"/>
    <cellStyle name="Normal 4 4 3 5 2 2 2 2 2" xfId="30089"/>
    <cellStyle name="Normal 4 4 3 5 2 2 2 2 3" xfId="45132"/>
    <cellStyle name="Normal 4 4 3 5 2 2 2 3" xfId="22568"/>
    <cellStyle name="Normal 4 4 3 5 2 2 2 4" xfId="37611"/>
    <cellStyle name="Normal 4 4 3 5 2 2 3" xfId="11296"/>
    <cellStyle name="Normal 4 4 3 5 2 2 3 2" xfId="26340"/>
    <cellStyle name="Normal 4 4 3 5 2 2 3 3" xfId="41383"/>
    <cellStyle name="Normal 4 4 3 5 2 2 4" xfId="18819"/>
    <cellStyle name="Normal 4 4 3 5 2 2 5" xfId="33862"/>
    <cellStyle name="Normal 4 4 3 5 2 3" xfId="5657"/>
    <cellStyle name="Normal 4 4 3 5 2 3 2" xfId="13180"/>
    <cellStyle name="Normal 4 4 3 5 2 3 2 2" xfId="28224"/>
    <cellStyle name="Normal 4 4 3 5 2 3 2 3" xfId="43267"/>
    <cellStyle name="Normal 4 4 3 5 2 3 3" xfId="20703"/>
    <cellStyle name="Normal 4 4 3 5 2 3 4" xfId="35746"/>
    <cellStyle name="Normal 4 4 3 5 2 4" xfId="9431"/>
    <cellStyle name="Normal 4 4 3 5 2 4 2" xfId="24475"/>
    <cellStyle name="Normal 4 4 3 5 2 4 3" xfId="39518"/>
    <cellStyle name="Normal 4 4 3 5 2 5" xfId="16954"/>
    <cellStyle name="Normal 4 4 3 5 2 6" xfId="31997"/>
    <cellStyle name="Normal 4 4 3 5 3" xfId="2795"/>
    <cellStyle name="Normal 4 4 3 5 3 2" xfId="6590"/>
    <cellStyle name="Normal 4 4 3 5 3 2 2" xfId="14113"/>
    <cellStyle name="Normal 4 4 3 5 3 2 2 2" xfId="29157"/>
    <cellStyle name="Normal 4 4 3 5 3 2 2 3" xfId="44200"/>
    <cellStyle name="Normal 4 4 3 5 3 2 3" xfId="21636"/>
    <cellStyle name="Normal 4 4 3 5 3 2 4" xfId="36679"/>
    <cellStyle name="Normal 4 4 3 5 3 3" xfId="10364"/>
    <cellStyle name="Normal 4 4 3 5 3 3 2" xfId="25408"/>
    <cellStyle name="Normal 4 4 3 5 3 3 3" xfId="40451"/>
    <cellStyle name="Normal 4 4 3 5 3 4" xfId="17887"/>
    <cellStyle name="Normal 4 4 3 5 3 5" xfId="32930"/>
    <cellStyle name="Normal 4 4 3 5 4" xfId="4725"/>
    <cellStyle name="Normal 4 4 3 5 4 2" xfId="12248"/>
    <cellStyle name="Normal 4 4 3 5 4 2 2" xfId="27292"/>
    <cellStyle name="Normal 4 4 3 5 4 2 3" xfId="42335"/>
    <cellStyle name="Normal 4 4 3 5 4 3" xfId="19771"/>
    <cellStyle name="Normal 4 4 3 5 4 4" xfId="34814"/>
    <cellStyle name="Normal 4 4 3 5 5" xfId="8499"/>
    <cellStyle name="Normal 4 4 3 5 5 2" xfId="23543"/>
    <cellStyle name="Normal 4 4 3 5 5 3" xfId="38586"/>
    <cellStyle name="Normal 4 4 3 5 6" xfId="16022"/>
    <cellStyle name="Normal 4 4 3 5 7" xfId="31065"/>
    <cellStyle name="Normal 4 4 3 6" xfId="1404"/>
    <cellStyle name="Normal 4 4 3 6 2" xfId="3275"/>
    <cellStyle name="Normal 4 4 3 6 2 2" xfId="7070"/>
    <cellStyle name="Normal 4 4 3 6 2 2 2" xfId="14593"/>
    <cellStyle name="Normal 4 4 3 6 2 2 2 2" xfId="29637"/>
    <cellStyle name="Normal 4 4 3 6 2 2 2 3" xfId="44680"/>
    <cellStyle name="Normal 4 4 3 6 2 2 3" xfId="22116"/>
    <cellStyle name="Normal 4 4 3 6 2 2 4" xfId="37159"/>
    <cellStyle name="Normal 4 4 3 6 2 3" xfId="10844"/>
    <cellStyle name="Normal 4 4 3 6 2 3 2" xfId="25888"/>
    <cellStyle name="Normal 4 4 3 6 2 3 3" xfId="40931"/>
    <cellStyle name="Normal 4 4 3 6 2 4" xfId="18367"/>
    <cellStyle name="Normal 4 4 3 6 2 5" xfId="33410"/>
    <cellStyle name="Normal 4 4 3 6 3" xfId="5205"/>
    <cellStyle name="Normal 4 4 3 6 3 2" xfId="12728"/>
    <cellStyle name="Normal 4 4 3 6 3 2 2" xfId="27772"/>
    <cellStyle name="Normal 4 4 3 6 3 2 3" xfId="42815"/>
    <cellStyle name="Normal 4 4 3 6 3 3" xfId="20251"/>
    <cellStyle name="Normal 4 4 3 6 3 4" xfId="35294"/>
    <cellStyle name="Normal 4 4 3 6 4" xfId="8979"/>
    <cellStyle name="Normal 4 4 3 6 4 2" xfId="24023"/>
    <cellStyle name="Normal 4 4 3 6 4 3" xfId="39066"/>
    <cellStyle name="Normal 4 4 3 6 5" xfId="16502"/>
    <cellStyle name="Normal 4 4 3 6 6" xfId="31545"/>
    <cellStyle name="Normal 4 4 3 7" xfId="2342"/>
    <cellStyle name="Normal 4 4 3 7 2" xfId="6138"/>
    <cellStyle name="Normal 4 4 3 7 2 2" xfId="13661"/>
    <cellStyle name="Normal 4 4 3 7 2 2 2" xfId="28705"/>
    <cellStyle name="Normal 4 4 3 7 2 2 3" xfId="43748"/>
    <cellStyle name="Normal 4 4 3 7 2 3" xfId="21184"/>
    <cellStyle name="Normal 4 4 3 7 2 4" xfId="36227"/>
    <cellStyle name="Normal 4 4 3 7 3" xfId="9912"/>
    <cellStyle name="Normal 4 4 3 7 3 2" xfId="24956"/>
    <cellStyle name="Normal 4 4 3 7 3 3" xfId="39999"/>
    <cellStyle name="Normal 4 4 3 7 4" xfId="17435"/>
    <cellStyle name="Normal 4 4 3 7 5" xfId="32478"/>
    <cellStyle name="Normal 4 4 3 8" xfId="4270"/>
    <cellStyle name="Normal 4 4 3 8 2" xfId="11794"/>
    <cellStyle name="Normal 4 4 3 8 2 2" xfId="26838"/>
    <cellStyle name="Normal 4 4 3 8 2 3" xfId="41881"/>
    <cellStyle name="Normal 4 4 3 8 3" xfId="19317"/>
    <cellStyle name="Normal 4 4 3 8 4" xfId="34360"/>
    <cellStyle name="Normal 4 4 3 9" xfId="8033"/>
    <cellStyle name="Normal 4 4 3 9 2" xfId="23077"/>
    <cellStyle name="Normal 4 4 3 9 3" xfId="38120"/>
    <cellStyle name="Normal 4 4 4" xfId="379"/>
    <cellStyle name="Normal 4 4 4 2" xfId="380"/>
    <cellStyle name="Normal 4 4 4 2 2" xfId="904"/>
    <cellStyle name="Normal 4 4 4 2 2 2" xfId="1863"/>
    <cellStyle name="Normal 4 4 4 2 2 2 2" xfId="3734"/>
    <cellStyle name="Normal 4 4 4 2 2 2 2 2" xfId="7529"/>
    <cellStyle name="Normal 4 4 4 2 2 2 2 2 2" xfId="15052"/>
    <cellStyle name="Normal 4 4 4 2 2 2 2 2 2 2" xfId="30096"/>
    <cellStyle name="Normal 4 4 4 2 2 2 2 2 2 3" xfId="45139"/>
    <cellStyle name="Normal 4 4 4 2 2 2 2 2 3" xfId="22575"/>
    <cellStyle name="Normal 4 4 4 2 2 2 2 2 4" xfId="37618"/>
    <cellStyle name="Normal 4 4 4 2 2 2 2 3" xfId="11303"/>
    <cellStyle name="Normal 4 4 4 2 2 2 2 3 2" xfId="26347"/>
    <cellStyle name="Normal 4 4 4 2 2 2 2 3 3" xfId="41390"/>
    <cellStyle name="Normal 4 4 4 2 2 2 2 4" xfId="18826"/>
    <cellStyle name="Normal 4 4 4 2 2 2 2 5" xfId="33869"/>
    <cellStyle name="Normal 4 4 4 2 2 2 3" xfId="5664"/>
    <cellStyle name="Normal 4 4 4 2 2 2 3 2" xfId="13187"/>
    <cellStyle name="Normal 4 4 4 2 2 2 3 2 2" xfId="28231"/>
    <cellStyle name="Normal 4 4 4 2 2 2 3 2 3" xfId="43274"/>
    <cellStyle name="Normal 4 4 4 2 2 2 3 3" xfId="20710"/>
    <cellStyle name="Normal 4 4 4 2 2 2 3 4" xfId="35753"/>
    <cellStyle name="Normal 4 4 4 2 2 2 4" xfId="9438"/>
    <cellStyle name="Normal 4 4 4 2 2 2 4 2" xfId="24482"/>
    <cellStyle name="Normal 4 4 4 2 2 2 4 3" xfId="39525"/>
    <cellStyle name="Normal 4 4 4 2 2 2 5" xfId="16961"/>
    <cellStyle name="Normal 4 4 4 2 2 2 6" xfId="32004"/>
    <cellStyle name="Normal 4 4 4 2 2 3" xfId="2802"/>
    <cellStyle name="Normal 4 4 4 2 2 3 2" xfId="6597"/>
    <cellStyle name="Normal 4 4 4 2 2 3 2 2" xfId="14120"/>
    <cellStyle name="Normal 4 4 4 2 2 3 2 2 2" xfId="29164"/>
    <cellStyle name="Normal 4 4 4 2 2 3 2 2 3" xfId="44207"/>
    <cellStyle name="Normal 4 4 4 2 2 3 2 3" xfId="21643"/>
    <cellStyle name="Normal 4 4 4 2 2 3 2 4" xfId="36686"/>
    <cellStyle name="Normal 4 4 4 2 2 3 3" xfId="10371"/>
    <cellStyle name="Normal 4 4 4 2 2 3 3 2" xfId="25415"/>
    <cellStyle name="Normal 4 4 4 2 2 3 3 3" xfId="40458"/>
    <cellStyle name="Normal 4 4 4 2 2 3 4" xfId="17894"/>
    <cellStyle name="Normal 4 4 4 2 2 3 5" xfId="32937"/>
    <cellStyle name="Normal 4 4 4 2 2 4" xfId="4732"/>
    <cellStyle name="Normal 4 4 4 2 2 4 2" xfId="12255"/>
    <cellStyle name="Normal 4 4 4 2 2 4 2 2" xfId="27299"/>
    <cellStyle name="Normal 4 4 4 2 2 4 2 3" xfId="42342"/>
    <cellStyle name="Normal 4 4 4 2 2 4 3" xfId="19778"/>
    <cellStyle name="Normal 4 4 4 2 2 4 4" xfId="34821"/>
    <cellStyle name="Normal 4 4 4 2 2 5" xfId="8506"/>
    <cellStyle name="Normal 4 4 4 2 2 5 2" xfId="23550"/>
    <cellStyle name="Normal 4 4 4 2 2 5 3" xfId="38593"/>
    <cellStyle name="Normal 4 4 4 2 2 6" xfId="16029"/>
    <cellStyle name="Normal 4 4 4 2 2 7" xfId="31072"/>
    <cellStyle name="Normal 4 4 4 2 3" xfId="1411"/>
    <cellStyle name="Normal 4 4 4 2 3 2" xfId="3282"/>
    <cellStyle name="Normal 4 4 4 2 3 2 2" xfId="7077"/>
    <cellStyle name="Normal 4 4 4 2 3 2 2 2" xfId="14600"/>
    <cellStyle name="Normal 4 4 4 2 3 2 2 2 2" xfId="29644"/>
    <cellStyle name="Normal 4 4 4 2 3 2 2 2 3" xfId="44687"/>
    <cellStyle name="Normal 4 4 4 2 3 2 2 3" xfId="22123"/>
    <cellStyle name="Normal 4 4 4 2 3 2 2 4" xfId="37166"/>
    <cellStyle name="Normal 4 4 4 2 3 2 3" xfId="10851"/>
    <cellStyle name="Normal 4 4 4 2 3 2 3 2" xfId="25895"/>
    <cellStyle name="Normal 4 4 4 2 3 2 3 3" xfId="40938"/>
    <cellStyle name="Normal 4 4 4 2 3 2 4" xfId="18374"/>
    <cellStyle name="Normal 4 4 4 2 3 2 5" xfId="33417"/>
    <cellStyle name="Normal 4 4 4 2 3 3" xfId="5212"/>
    <cellStyle name="Normal 4 4 4 2 3 3 2" xfId="12735"/>
    <cellStyle name="Normal 4 4 4 2 3 3 2 2" xfId="27779"/>
    <cellStyle name="Normal 4 4 4 2 3 3 2 3" xfId="42822"/>
    <cellStyle name="Normal 4 4 4 2 3 3 3" xfId="20258"/>
    <cellStyle name="Normal 4 4 4 2 3 3 4" xfId="35301"/>
    <cellStyle name="Normal 4 4 4 2 3 4" xfId="8986"/>
    <cellStyle name="Normal 4 4 4 2 3 4 2" xfId="24030"/>
    <cellStyle name="Normal 4 4 4 2 3 4 3" xfId="39073"/>
    <cellStyle name="Normal 4 4 4 2 3 5" xfId="16509"/>
    <cellStyle name="Normal 4 4 4 2 3 6" xfId="31552"/>
    <cellStyle name="Normal 4 4 4 2 4" xfId="2349"/>
    <cellStyle name="Normal 4 4 4 2 4 2" xfId="6145"/>
    <cellStyle name="Normal 4 4 4 2 4 2 2" xfId="13668"/>
    <cellStyle name="Normal 4 4 4 2 4 2 2 2" xfId="28712"/>
    <cellStyle name="Normal 4 4 4 2 4 2 2 3" xfId="43755"/>
    <cellStyle name="Normal 4 4 4 2 4 2 3" xfId="21191"/>
    <cellStyle name="Normal 4 4 4 2 4 2 4" xfId="36234"/>
    <cellStyle name="Normal 4 4 4 2 4 3" xfId="9919"/>
    <cellStyle name="Normal 4 4 4 2 4 3 2" xfId="24963"/>
    <cellStyle name="Normal 4 4 4 2 4 3 3" xfId="40006"/>
    <cellStyle name="Normal 4 4 4 2 4 4" xfId="17442"/>
    <cellStyle name="Normal 4 4 4 2 4 5" xfId="32485"/>
    <cellStyle name="Normal 4 4 4 2 5" xfId="4277"/>
    <cellStyle name="Normal 4 4 4 2 5 2" xfId="11801"/>
    <cellStyle name="Normal 4 4 4 2 5 2 2" xfId="26845"/>
    <cellStyle name="Normal 4 4 4 2 5 2 3" xfId="41888"/>
    <cellStyle name="Normal 4 4 4 2 5 3" xfId="19324"/>
    <cellStyle name="Normal 4 4 4 2 5 4" xfId="34367"/>
    <cellStyle name="Normal 4 4 4 2 6" xfId="8040"/>
    <cellStyle name="Normal 4 4 4 2 6 2" xfId="23084"/>
    <cellStyle name="Normal 4 4 4 2 6 3" xfId="38127"/>
    <cellStyle name="Normal 4 4 4 2 7" xfId="15563"/>
    <cellStyle name="Normal 4 4 4 2 8" xfId="30606"/>
    <cellStyle name="Normal 4 4 4 3" xfId="903"/>
    <cellStyle name="Normal 4 4 4 3 2" xfId="1862"/>
    <cellStyle name="Normal 4 4 4 3 2 2" xfId="3733"/>
    <cellStyle name="Normal 4 4 4 3 2 2 2" xfId="7528"/>
    <cellStyle name="Normal 4 4 4 3 2 2 2 2" xfId="15051"/>
    <cellStyle name="Normal 4 4 4 3 2 2 2 2 2" xfId="30095"/>
    <cellStyle name="Normal 4 4 4 3 2 2 2 2 3" xfId="45138"/>
    <cellStyle name="Normal 4 4 4 3 2 2 2 3" xfId="22574"/>
    <cellStyle name="Normal 4 4 4 3 2 2 2 4" xfId="37617"/>
    <cellStyle name="Normal 4 4 4 3 2 2 3" xfId="11302"/>
    <cellStyle name="Normal 4 4 4 3 2 2 3 2" xfId="26346"/>
    <cellStyle name="Normal 4 4 4 3 2 2 3 3" xfId="41389"/>
    <cellStyle name="Normal 4 4 4 3 2 2 4" xfId="18825"/>
    <cellStyle name="Normal 4 4 4 3 2 2 5" xfId="33868"/>
    <cellStyle name="Normal 4 4 4 3 2 3" xfId="5663"/>
    <cellStyle name="Normal 4 4 4 3 2 3 2" xfId="13186"/>
    <cellStyle name="Normal 4 4 4 3 2 3 2 2" xfId="28230"/>
    <cellStyle name="Normal 4 4 4 3 2 3 2 3" xfId="43273"/>
    <cellStyle name="Normal 4 4 4 3 2 3 3" xfId="20709"/>
    <cellStyle name="Normal 4 4 4 3 2 3 4" xfId="35752"/>
    <cellStyle name="Normal 4 4 4 3 2 4" xfId="9437"/>
    <cellStyle name="Normal 4 4 4 3 2 4 2" xfId="24481"/>
    <cellStyle name="Normal 4 4 4 3 2 4 3" xfId="39524"/>
    <cellStyle name="Normal 4 4 4 3 2 5" xfId="16960"/>
    <cellStyle name="Normal 4 4 4 3 2 6" xfId="32003"/>
    <cellStyle name="Normal 4 4 4 3 3" xfId="2801"/>
    <cellStyle name="Normal 4 4 4 3 3 2" xfId="6596"/>
    <cellStyle name="Normal 4 4 4 3 3 2 2" xfId="14119"/>
    <cellStyle name="Normal 4 4 4 3 3 2 2 2" xfId="29163"/>
    <cellStyle name="Normal 4 4 4 3 3 2 2 3" xfId="44206"/>
    <cellStyle name="Normal 4 4 4 3 3 2 3" xfId="21642"/>
    <cellStyle name="Normal 4 4 4 3 3 2 4" xfId="36685"/>
    <cellStyle name="Normal 4 4 4 3 3 3" xfId="10370"/>
    <cellStyle name="Normal 4 4 4 3 3 3 2" xfId="25414"/>
    <cellStyle name="Normal 4 4 4 3 3 3 3" xfId="40457"/>
    <cellStyle name="Normal 4 4 4 3 3 4" xfId="17893"/>
    <cellStyle name="Normal 4 4 4 3 3 5" xfId="32936"/>
    <cellStyle name="Normal 4 4 4 3 4" xfId="4731"/>
    <cellStyle name="Normal 4 4 4 3 4 2" xfId="12254"/>
    <cellStyle name="Normal 4 4 4 3 4 2 2" xfId="27298"/>
    <cellStyle name="Normal 4 4 4 3 4 2 3" xfId="42341"/>
    <cellStyle name="Normal 4 4 4 3 4 3" xfId="19777"/>
    <cellStyle name="Normal 4 4 4 3 4 4" xfId="34820"/>
    <cellStyle name="Normal 4 4 4 3 5" xfId="8505"/>
    <cellStyle name="Normal 4 4 4 3 5 2" xfId="23549"/>
    <cellStyle name="Normal 4 4 4 3 5 3" xfId="38592"/>
    <cellStyle name="Normal 4 4 4 3 6" xfId="16028"/>
    <cellStyle name="Normal 4 4 4 3 7" xfId="31071"/>
    <cellStyle name="Normal 4 4 4 4" xfId="1410"/>
    <cellStyle name="Normal 4 4 4 4 2" xfId="3281"/>
    <cellStyle name="Normal 4 4 4 4 2 2" xfId="7076"/>
    <cellStyle name="Normal 4 4 4 4 2 2 2" xfId="14599"/>
    <cellStyle name="Normal 4 4 4 4 2 2 2 2" xfId="29643"/>
    <cellStyle name="Normal 4 4 4 4 2 2 2 3" xfId="44686"/>
    <cellStyle name="Normal 4 4 4 4 2 2 3" xfId="22122"/>
    <cellStyle name="Normal 4 4 4 4 2 2 4" xfId="37165"/>
    <cellStyle name="Normal 4 4 4 4 2 3" xfId="10850"/>
    <cellStyle name="Normal 4 4 4 4 2 3 2" xfId="25894"/>
    <cellStyle name="Normal 4 4 4 4 2 3 3" xfId="40937"/>
    <cellStyle name="Normal 4 4 4 4 2 4" xfId="18373"/>
    <cellStyle name="Normal 4 4 4 4 2 5" xfId="33416"/>
    <cellStyle name="Normal 4 4 4 4 3" xfId="5211"/>
    <cellStyle name="Normal 4 4 4 4 3 2" xfId="12734"/>
    <cellStyle name="Normal 4 4 4 4 3 2 2" xfId="27778"/>
    <cellStyle name="Normal 4 4 4 4 3 2 3" xfId="42821"/>
    <cellStyle name="Normal 4 4 4 4 3 3" xfId="20257"/>
    <cellStyle name="Normal 4 4 4 4 3 4" xfId="35300"/>
    <cellStyle name="Normal 4 4 4 4 4" xfId="8985"/>
    <cellStyle name="Normal 4 4 4 4 4 2" xfId="24029"/>
    <cellStyle name="Normal 4 4 4 4 4 3" xfId="39072"/>
    <cellStyle name="Normal 4 4 4 4 5" xfId="16508"/>
    <cellStyle name="Normal 4 4 4 4 6" xfId="31551"/>
    <cellStyle name="Normal 4 4 4 5" xfId="2348"/>
    <cellStyle name="Normal 4 4 4 5 2" xfId="6144"/>
    <cellStyle name="Normal 4 4 4 5 2 2" xfId="13667"/>
    <cellStyle name="Normal 4 4 4 5 2 2 2" xfId="28711"/>
    <cellStyle name="Normal 4 4 4 5 2 2 3" xfId="43754"/>
    <cellStyle name="Normal 4 4 4 5 2 3" xfId="21190"/>
    <cellStyle name="Normal 4 4 4 5 2 4" xfId="36233"/>
    <cellStyle name="Normal 4 4 4 5 3" xfId="9918"/>
    <cellStyle name="Normal 4 4 4 5 3 2" xfId="24962"/>
    <cellStyle name="Normal 4 4 4 5 3 3" xfId="40005"/>
    <cellStyle name="Normal 4 4 4 5 4" xfId="17441"/>
    <cellStyle name="Normal 4 4 4 5 5" xfId="32484"/>
    <cellStyle name="Normal 4 4 4 6" xfId="4276"/>
    <cellStyle name="Normal 4 4 4 6 2" xfId="11800"/>
    <cellStyle name="Normal 4 4 4 6 2 2" xfId="26844"/>
    <cellStyle name="Normal 4 4 4 6 2 3" xfId="41887"/>
    <cellStyle name="Normal 4 4 4 6 3" xfId="19323"/>
    <cellStyle name="Normal 4 4 4 6 4" xfId="34366"/>
    <cellStyle name="Normal 4 4 4 7" xfId="8039"/>
    <cellStyle name="Normal 4 4 4 7 2" xfId="23083"/>
    <cellStyle name="Normal 4 4 4 7 3" xfId="38126"/>
    <cellStyle name="Normal 4 4 4 8" xfId="15562"/>
    <cellStyle name="Normal 4 4 4 9" xfId="30605"/>
    <cellStyle name="Normal 4 4 5" xfId="381"/>
    <cellStyle name="Normal 4 4 5 2" xfId="382"/>
    <cellStyle name="Normal 4 4 5 2 2" xfId="906"/>
    <cellStyle name="Normal 4 4 5 2 2 2" xfId="1865"/>
    <cellStyle name="Normal 4 4 5 2 2 2 2" xfId="3736"/>
    <cellStyle name="Normal 4 4 5 2 2 2 2 2" xfId="7531"/>
    <cellStyle name="Normal 4 4 5 2 2 2 2 2 2" xfId="15054"/>
    <cellStyle name="Normal 4 4 5 2 2 2 2 2 2 2" xfId="30098"/>
    <cellStyle name="Normal 4 4 5 2 2 2 2 2 2 3" xfId="45141"/>
    <cellStyle name="Normal 4 4 5 2 2 2 2 2 3" xfId="22577"/>
    <cellStyle name="Normal 4 4 5 2 2 2 2 2 4" xfId="37620"/>
    <cellStyle name="Normal 4 4 5 2 2 2 2 3" xfId="11305"/>
    <cellStyle name="Normal 4 4 5 2 2 2 2 3 2" xfId="26349"/>
    <cellStyle name="Normal 4 4 5 2 2 2 2 3 3" xfId="41392"/>
    <cellStyle name="Normal 4 4 5 2 2 2 2 4" xfId="18828"/>
    <cellStyle name="Normal 4 4 5 2 2 2 2 5" xfId="33871"/>
    <cellStyle name="Normal 4 4 5 2 2 2 3" xfId="5666"/>
    <cellStyle name="Normal 4 4 5 2 2 2 3 2" xfId="13189"/>
    <cellStyle name="Normal 4 4 5 2 2 2 3 2 2" xfId="28233"/>
    <cellStyle name="Normal 4 4 5 2 2 2 3 2 3" xfId="43276"/>
    <cellStyle name="Normal 4 4 5 2 2 2 3 3" xfId="20712"/>
    <cellStyle name="Normal 4 4 5 2 2 2 3 4" xfId="35755"/>
    <cellStyle name="Normal 4 4 5 2 2 2 4" xfId="9440"/>
    <cellStyle name="Normal 4 4 5 2 2 2 4 2" xfId="24484"/>
    <cellStyle name="Normal 4 4 5 2 2 2 4 3" xfId="39527"/>
    <cellStyle name="Normal 4 4 5 2 2 2 5" xfId="16963"/>
    <cellStyle name="Normal 4 4 5 2 2 2 6" xfId="32006"/>
    <cellStyle name="Normal 4 4 5 2 2 3" xfId="2804"/>
    <cellStyle name="Normal 4 4 5 2 2 3 2" xfId="6599"/>
    <cellStyle name="Normal 4 4 5 2 2 3 2 2" xfId="14122"/>
    <cellStyle name="Normal 4 4 5 2 2 3 2 2 2" xfId="29166"/>
    <cellStyle name="Normal 4 4 5 2 2 3 2 2 3" xfId="44209"/>
    <cellStyle name="Normal 4 4 5 2 2 3 2 3" xfId="21645"/>
    <cellStyle name="Normal 4 4 5 2 2 3 2 4" xfId="36688"/>
    <cellStyle name="Normal 4 4 5 2 2 3 3" xfId="10373"/>
    <cellStyle name="Normal 4 4 5 2 2 3 3 2" xfId="25417"/>
    <cellStyle name="Normal 4 4 5 2 2 3 3 3" xfId="40460"/>
    <cellStyle name="Normal 4 4 5 2 2 3 4" xfId="17896"/>
    <cellStyle name="Normal 4 4 5 2 2 3 5" xfId="32939"/>
    <cellStyle name="Normal 4 4 5 2 2 4" xfId="4734"/>
    <cellStyle name="Normal 4 4 5 2 2 4 2" xfId="12257"/>
    <cellStyle name="Normal 4 4 5 2 2 4 2 2" xfId="27301"/>
    <cellStyle name="Normal 4 4 5 2 2 4 2 3" xfId="42344"/>
    <cellStyle name="Normal 4 4 5 2 2 4 3" xfId="19780"/>
    <cellStyle name="Normal 4 4 5 2 2 4 4" xfId="34823"/>
    <cellStyle name="Normal 4 4 5 2 2 5" xfId="8508"/>
    <cellStyle name="Normal 4 4 5 2 2 5 2" xfId="23552"/>
    <cellStyle name="Normal 4 4 5 2 2 5 3" xfId="38595"/>
    <cellStyle name="Normal 4 4 5 2 2 6" xfId="16031"/>
    <cellStyle name="Normal 4 4 5 2 2 7" xfId="31074"/>
    <cellStyle name="Normal 4 4 5 2 3" xfId="1413"/>
    <cellStyle name="Normal 4 4 5 2 3 2" xfId="3284"/>
    <cellStyle name="Normal 4 4 5 2 3 2 2" xfId="7079"/>
    <cellStyle name="Normal 4 4 5 2 3 2 2 2" xfId="14602"/>
    <cellStyle name="Normal 4 4 5 2 3 2 2 2 2" xfId="29646"/>
    <cellStyle name="Normal 4 4 5 2 3 2 2 2 3" xfId="44689"/>
    <cellStyle name="Normal 4 4 5 2 3 2 2 3" xfId="22125"/>
    <cellStyle name="Normal 4 4 5 2 3 2 2 4" xfId="37168"/>
    <cellStyle name="Normal 4 4 5 2 3 2 3" xfId="10853"/>
    <cellStyle name="Normal 4 4 5 2 3 2 3 2" xfId="25897"/>
    <cellStyle name="Normal 4 4 5 2 3 2 3 3" xfId="40940"/>
    <cellStyle name="Normal 4 4 5 2 3 2 4" xfId="18376"/>
    <cellStyle name="Normal 4 4 5 2 3 2 5" xfId="33419"/>
    <cellStyle name="Normal 4 4 5 2 3 3" xfId="5214"/>
    <cellStyle name="Normal 4 4 5 2 3 3 2" xfId="12737"/>
    <cellStyle name="Normal 4 4 5 2 3 3 2 2" xfId="27781"/>
    <cellStyle name="Normal 4 4 5 2 3 3 2 3" xfId="42824"/>
    <cellStyle name="Normal 4 4 5 2 3 3 3" xfId="20260"/>
    <cellStyle name="Normal 4 4 5 2 3 3 4" xfId="35303"/>
    <cellStyle name="Normal 4 4 5 2 3 4" xfId="8988"/>
    <cellStyle name="Normal 4 4 5 2 3 4 2" xfId="24032"/>
    <cellStyle name="Normal 4 4 5 2 3 4 3" xfId="39075"/>
    <cellStyle name="Normal 4 4 5 2 3 5" xfId="16511"/>
    <cellStyle name="Normal 4 4 5 2 3 6" xfId="31554"/>
    <cellStyle name="Normal 4 4 5 2 4" xfId="2351"/>
    <cellStyle name="Normal 4 4 5 2 4 2" xfId="6147"/>
    <cellStyle name="Normal 4 4 5 2 4 2 2" xfId="13670"/>
    <cellStyle name="Normal 4 4 5 2 4 2 2 2" xfId="28714"/>
    <cellStyle name="Normal 4 4 5 2 4 2 2 3" xfId="43757"/>
    <cellStyle name="Normal 4 4 5 2 4 2 3" xfId="21193"/>
    <cellStyle name="Normal 4 4 5 2 4 2 4" xfId="36236"/>
    <cellStyle name="Normal 4 4 5 2 4 3" xfId="9921"/>
    <cellStyle name="Normal 4 4 5 2 4 3 2" xfId="24965"/>
    <cellStyle name="Normal 4 4 5 2 4 3 3" xfId="40008"/>
    <cellStyle name="Normal 4 4 5 2 4 4" xfId="17444"/>
    <cellStyle name="Normal 4 4 5 2 4 5" xfId="32487"/>
    <cellStyle name="Normal 4 4 5 2 5" xfId="4279"/>
    <cellStyle name="Normal 4 4 5 2 5 2" xfId="11803"/>
    <cellStyle name="Normal 4 4 5 2 5 2 2" xfId="26847"/>
    <cellStyle name="Normal 4 4 5 2 5 2 3" xfId="41890"/>
    <cellStyle name="Normal 4 4 5 2 5 3" xfId="19326"/>
    <cellStyle name="Normal 4 4 5 2 5 4" xfId="34369"/>
    <cellStyle name="Normal 4 4 5 2 6" xfId="8042"/>
    <cellStyle name="Normal 4 4 5 2 6 2" xfId="23086"/>
    <cellStyle name="Normal 4 4 5 2 6 3" xfId="38129"/>
    <cellStyle name="Normal 4 4 5 2 7" xfId="15565"/>
    <cellStyle name="Normal 4 4 5 2 8" xfId="30608"/>
    <cellStyle name="Normal 4 4 5 3" xfId="905"/>
    <cellStyle name="Normal 4 4 5 3 2" xfId="1864"/>
    <cellStyle name="Normal 4 4 5 3 2 2" xfId="3735"/>
    <cellStyle name="Normal 4 4 5 3 2 2 2" xfId="7530"/>
    <cellStyle name="Normal 4 4 5 3 2 2 2 2" xfId="15053"/>
    <cellStyle name="Normal 4 4 5 3 2 2 2 2 2" xfId="30097"/>
    <cellStyle name="Normal 4 4 5 3 2 2 2 2 3" xfId="45140"/>
    <cellStyle name="Normal 4 4 5 3 2 2 2 3" xfId="22576"/>
    <cellStyle name="Normal 4 4 5 3 2 2 2 4" xfId="37619"/>
    <cellStyle name="Normal 4 4 5 3 2 2 3" xfId="11304"/>
    <cellStyle name="Normal 4 4 5 3 2 2 3 2" xfId="26348"/>
    <cellStyle name="Normal 4 4 5 3 2 2 3 3" xfId="41391"/>
    <cellStyle name="Normal 4 4 5 3 2 2 4" xfId="18827"/>
    <cellStyle name="Normal 4 4 5 3 2 2 5" xfId="33870"/>
    <cellStyle name="Normal 4 4 5 3 2 3" xfId="5665"/>
    <cellStyle name="Normal 4 4 5 3 2 3 2" xfId="13188"/>
    <cellStyle name="Normal 4 4 5 3 2 3 2 2" xfId="28232"/>
    <cellStyle name="Normal 4 4 5 3 2 3 2 3" xfId="43275"/>
    <cellStyle name="Normal 4 4 5 3 2 3 3" xfId="20711"/>
    <cellStyle name="Normal 4 4 5 3 2 3 4" xfId="35754"/>
    <cellStyle name="Normal 4 4 5 3 2 4" xfId="9439"/>
    <cellStyle name="Normal 4 4 5 3 2 4 2" xfId="24483"/>
    <cellStyle name="Normal 4 4 5 3 2 4 3" xfId="39526"/>
    <cellStyle name="Normal 4 4 5 3 2 5" xfId="16962"/>
    <cellStyle name="Normal 4 4 5 3 2 6" xfId="32005"/>
    <cellStyle name="Normal 4 4 5 3 3" xfId="2803"/>
    <cellStyle name="Normal 4 4 5 3 3 2" xfId="6598"/>
    <cellStyle name="Normal 4 4 5 3 3 2 2" xfId="14121"/>
    <cellStyle name="Normal 4 4 5 3 3 2 2 2" xfId="29165"/>
    <cellStyle name="Normal 4 4 5 3 3 2 2 3" xfId="44208"/>
    <cellStyle name="Normal 4 4 5 3 3 2 3" xfId="21644"/>
    <cellStyle name="Normal 4 4 5 3 3 2 4" xfId="36687"/>
    <cellStyle name="Normal 4 4 5 3 3 3" xfId="10372"/>
    <cellStyle name="Normal 4 4 5 3 3 3 2" xfId="25416"/>
    <cellStyle name="Normal 4 4 5 3 3 3 3" xfId="40459"/>
    <cellStyle name="Normal 4 4 5 3 3 4" xfId="17895"/>
    <cellStyle name="Normal 4 4 5 3 3 5" xfId="32938"/>
    <cellStyle name="Normal 4 4 5 3 4" xfId="4733"/>
    <cellStyle name="Normal 4 4 5 3 4 2" xfId="12256"/>
    <cellStyle name="Normal 4 4 5 3 4 2 2" xfId="27300"/>
    <cellStyle name="Normal 4 4 5 3 4 2 3" xfId="42343"/>
    <cellStyle name="Normal 4 4 5 3 4 3" xfId="19779"/>
    <cellStyle name="Normal 4 4 5 3 4 4" xfId="34822"/>
    <cellStyle name="Normal 4 4 5 3 5" xfId="8507"/>
    <cellStyle name="Normal 4 4 5 3 5 2" xfId="23551"/>
    <cellStyle name="Normal 4 4 5 3 5 3" xfId="38594"/>
    <cellStyle name="Normal 4 4 5 3 6" xfId="16030"/>
    <cellStyle name="Normal 4 4 5 3 7" xfId="31073"/>
    <cellStyle name="Normal 4 4 5 4" xfId="1412"/>
    <cellStyle name="Normal 4 4 5 4 2" xfId="3283"/>
    <cellStyle name="Normal 4 4 5 4 2 2" xfId="7078"/>
    <cellStyle name="Normal 4 4 5 4 2 2 2" xfId="14601"/>
    <cellStyle name="Normal 4 4 5 4 2 2 2 2" xfId="29645"/>
    <cellStyle name="Normal 4 4 5 4 2 2 2 3" xfId="44688"/>
    <cellStyle name="Normal 4 4 5 4 2 2 3" xfId="22124"/>
    <cellStyle name="Normal 4 4 5 4 2 2 4" xfId="37167"/>
    <cellStyle name="Normal 4 4 5 4 2 3" xfId="10852"/>
    <cellStyle name="Normal 4 4 5 4 2 3 2" xfId="25896"/>
    <cellStyle name="Normal 4 4 5 4 2 3 3" xfId="40939"/>
    <cellStyle name="Normal 4 4 5 4 2 4" xfId="18375"/>
    <cellStyle name="Normal 4 4 5 4 2 5" xfId="33418"/>
    <cellStyle name="Normal 4 4 5 4 3" xfId="5213"/>
    <cellStyle name="Normal 4 4 5 4 3 2" xfId="12736"/>
    <cellStyle name="Normal 4 4 5 4 3 2 2" xfId="27780"/>
    <cellStyle name="Normal 4 4 5 4 3 2 3" xfId="42823"/>
    <cellStyle name="Normal 4 4 5 4 3 3" xfId="20259"/>
    <cellStyle name="Normal 4 4 5 4 3 4" xfId="35302"/>
    <cellStyle name="Normal 4 4 5 4 4" xfId="8987"/>
    <cellStyle name="Normal 4 4 5 4 4 2" xfId="24031"/>
    <cellStyle name="Normal 4 4 5 4 4 3" xfId="39074"/>
    <cellStyle name="Normal 4 4 5 4 5" xfId="16510"/>
    <cellStyle name="Normal 4 4 5 4 6" xfId="31553"/>
    <cellStyle name="Normal 4 4 5 5" xfId="2350"/>
    <cellStyle name="Normal 4 4 5 5 2" xfId="6146"/>
    <cellStyle name="Normal 4 4 5 5 2 2" xfId="13669"/>
    <cellStyle name="Normal 4 4 5 5 2 2 2" xfId="28713"/>
    <cellStyle name="Normal 4 4 5 5 2 2 3" xfId="43756"/>
    <cellStyle name="Normal 4 4 5 5 2 3" xfId="21192"/>
    <cellStyle name="Normal 4 4 5 5 2 4" xfId="36235"/>
    <cellStyle name="Normal 4 4 5 5 3" xfId="9920"/>
    <cellStyle name="Normal 4 4 5 5 3 2" xfId="24964"/>
    <cellStyle name="Normal 4 4 5 5 3 3" xfId="40007"/>
    <cellStyle name="Normal 4 4 5 5 4" xfId="17443"/>
    <cellStyle name="Normal 4 4 5 5 5" xfId="32486"/>
    <cellStyle name="Normal 4 4 5 6" xfId="4278"/>
    <cellStyle name="Normal 4 4 5 6 2" xfId="11802"/>
    <cellStyle name="Normal 4 4 5 6 2 2" xfId="26846"/>
    <cellStyle name="Normal 4 4 5 6 2 3" xfId="41889"/>
    <cellStyle name="Normal 4 4 5 6 3" xfId="19325"/>
    <cellStyle name="Normal 4 4 5 6 4" xfId="34368"/>
    <cellStyle name="Normal 4 4 5 7" xfId="8041"/>
    <cellStyle name="Normal 4 4 5 7 2" xfId="23085"/>
    <cellStyle name="Normal 4 4 5 7 3" xfId="38128"/>
    <cellStyle name="Normal 4 4 5 8" xfId="15564"/>
    <cellStyle name="Normal 4 4 5 9" xfId="30607"/>
    <cellStyle name="Normal 4 4 6" xfId="383"/>
    <cellStyle name="Normal 4 4 6 2" xfId="907"/>
    <cellStyle name="Normal 4 4 6 2 2" xfId="1866"/>
    <cellStyle name="Normal 4 4 6 2 2 2" xfId="3737"/>
    <cellStyle name="Normal 4 4 6 2 2 2 2" xfId="7532"/>
    <cellStyle name="Normal 4 4 6 2 2 2 2 2" xfId="15055"/>
    <cellStyle name="Normal 4 4 6 2 2 2 2 2 2" xfId="30099"/>
    <cellStyle name="Normal 4 4 6 2 2 2 2 2 3" xfId="45142"/>
    <cellStyle name="Normal 4 4 6 2 2 2 2 3" xfId="22578"/>
    <cellStyle name="Normal 4 4 6 2 2 2 2 4" xfId="37621"/>
    <cellStyle name="Normal 4 4 6 2 2 2 3" xfId="11306"/>
    <cellStyle name="Normal 4 4 6 2 2 2 3 2" xfId="26350"/>
    <cellStyle name="Normal 4 4 6 2 2 2 3 3" xfId="41393"/>
    <cellStyle name="Normal 4 4 6 2 2 2 4" xfId="18829"/>
    <cellStyle name="Normal 4 4 6 2 2 2 5" xfId="33872"/>
    <cellStyle name="Normal 4 4 6 2 2 3" xfId="5667"/>
    <cellStyle name="Normal 4 4 6 2 2 3 2" xfId="13190"/>
    <cellStyle name="Normal 4 4 6 2 2 3 2 2" xfId="28234"/>
    <cellStyle name="Normal 4 4 6 2 2 3 2 3" xfId="43277"/>
    <cellStyle name="Normal 4 4 6 2 2 3 3" xfId="20713"/>
    <cellStyle name="Normal 4 4 6 2 2 3 4" xfId="35756"/>
    <cellStyle name="Normal 4 4 6 2 2 4" xfId="9441"/>
    <cellStyle name="Normal 4 4 6 2 2 4 2" xfId="24485"/>
    <cellStyle name="Normal 4 4 6 2 2 4 3" xfId="39528"/>
    <cellStyle name="Normal 4 4 6 2 2 5" xfId="16964"/>
    <cellStyle name="Normal 4 4 6 2 2 6" xfId="32007"/>
    <cellStyle name="Normal 4 4 6 2 3" xfId="2805"/>
    <cellStyle name="Normal 4 4 6 2 3 2" xfId="6600"/>
    <cellStyle name="Normal 4 4 6 2 3 2 2" xfId="14123"/>
    <cellStyle name="Normal 4 4 6 2 3 2 2 2" xfId="29167"/>
    <cellStyle name="Normal 4 4 6 2 3 2 2 3" xfId="44210"/>
    <cellStyle name="Normal 4 4 6 2 3 2 3" xfId="21646"/>
    <cellStyle name="Normal 4 4 6 2 3 2 4" xfId="36689"/>
    <cellStyle name="Normal 4 4 6 2 3 3" xfId="10374"/>
    <cellStyle name="Normal 4 4 6 2 3 3 2" xfId="25418"/>
    <cellStyle name="Normal 4 4 6 2 3 3 3" xfId="40461"/>
    <cellStyle name="Normal 4 4 6 2 3 4" xfId="17897"/>
    <cellStyle name="Normal 4 4 6 2 3 5" xfId="32940"/>
    <cellStyle name="Normal 4 4 6 2 4" xfId="4735"/>
    <cellStyle name="Normal 4 4 6 2 4 2" xfId="12258"/>
    <cellStyle name="Normal 4 4 6 2 4 2 2" xfId="27302"/>
    <cellStyle name="Normal 4 4 6 2 4 2 3" xfId="42345"/>
    <cellStyle name="Normal 4 4 6 2 4 3" xfId="19781"/>
    <cellStyle name="Normal 4 4 6 2 4 4" xfId="34824"/>
    <cellStyle name="Normal 4 4 6 2 5" xfId="8509"/>
    <cellStyle name="Normal 4 4 6 2 5 2" xfId="23553"/>
    <cellStyle name="Normal 4 4 6 2 5 3" xfId="38596"/>
    <cellStyle name="Normal 4 4 6 2 6" xfId="16032"/>
    <cellStyle name="Normal 4 4 6 2 7" xfId="31075"/>
    <cellStyle name="Normal 4 4 6 3" xfId="1414"/>
    <cellStyle name="Normal 4 4 6 3 2" xfId="3285"/>
    <cellStyle name="Normal 4 4 6 3 2 2" xfId="7080"/>
    <cellStyle name="Normal 4 4 6 3 2 2 2" xfId="14603"/>
    <cellStyle name="Normal 4 4 6 3 2 2 2 2" xfId="29647"/>
    <cellStyle name="Normal 4 4 6 3 2 2 2 3" xfId="44690"/>
    <cellStyle name="Normal 4 4 6 3 2 2 3" xfId="22126"/>
    <cellStyle name="Normal 4 4 6 3 2 2 4" xfId="37169"/>
    <cellStyle name="Normal 4 4 6 3 2 3" xfId="10854"/>
    <cellStyle name="Normal 4 4 6 3 2 3 2" xfId="25898"/>
    <cellStyle name="Normal 4 4 6 3 2 3 3" xfId="40941"/>
    <cellStyle name="Normal 4 4 6 3 2 4" xfId="18377"/>
    <cellStyle name="Normal 4 4 6 3 2 5" xfId="33420"/>
    <cellStyle name="Normal 4 4 6 3 3" xfId="5215"/>
    <cellStyle name="Normal 4 4 6 3 3 2" xfId="12738"/>
    <cellStyle name="Normal 4 4 6 3 3 2 2" xfId="27782"/>
    <cellStyle name="Normal 4 4 6 3 3 2 3" xfId="42825"/>
    <cellStyle name="Normal 4 4 6 3 3 3" xfId="20261"/>
    <cellStyle name="Normal 4 4 6 3 3 4" xfId="35304"/>
    <cellStyle name="Normal 4 4 6 3 4" xfId="8989"/>
    <cellStyle name="Normal 4 4 6 3 4 2" xfId="24033"/>
    <cellStyle name="Normal 4 4 6 3 4 3" xfId="39076"/>
    <cellStyle name="Normal 4 4 6 3 5" xfId="16512"/>
    <cellStyle name="Normal 4 4 6 3 6" xfId="31555"/>
    <cellStyle name="Normal 4 4 6 4" xfId="2352"/>
    <cellStyle name="Normal 4 4 6 4 2" xfId="6148"/>
    <cellStyle name="Normal 4 4 6 4 2 2" xfId="13671"/>
    <cellStyle name="Normal 4 4 6 4 2 2 2" xfId="28715"/>
    <cellStyle name="Normal 4 4 6 4 2 2 3" xfId="43758"/>
    <cellStyle name="Normal 4 4 6 4 2 3" xfId="21194"/>
    <cellStyle name="Normal 4 4 6 4 2 4" xfId="36237"/>
    <cellStyle name="Normal 4 4 6 4 3" xfId="9922"/>
    <cellStyle name="Normal 4 4 6 4 3 2" xfId="24966"/>
    <cellStyle name="Normal 4 4 6 4 3 3" xfId="40009"/>
    <cellStyle name="Normal 4 4 6 4 4" xfId="17445"/>
    <cellStyle name="Normal 4 4 6 4 5" xfId="32488"/>
    <cellStyle name="Normal 4 4 6 5" xfId="4280"/>
    <cellStyle name="Normal 4 4 6 5 2" xfId="11804"/>
    <cellStyle name="Normal 4 4 6 5 2 2" xfId="26848"/>
    <cellStyle name="Normal 4 4 6 5 2 3" xfId="41891"/>
    <cellStyle name="Normal 4 4 6 5 3" xfId="19327"/>
    <cellStyle name="Normal 4 4 6 5 4" xfId="34370"/>
    <cellStyle name="Normal 4 4 6 6" xfId="8043"/>
    <cellStyle name="Normal 4 4 6 6 2" xfId="23087"/>
    <cellStyle name="Normal 4 4 6 6 3" xfId="38130"/>
    <cellStyle name="Normal 4 4 6 7" xfId="15566"/>
    <cellStyle name="Normal 4 4 6 8" xfId="30609"/>
    <cellStyle name="Normal 4 4 7" xfId="884"/>
    <cellStyle name="Normal 4 4 7 2" xfId="1843"/>
    <cellStyle name="Normal 4 4 7 2 2" xfId="3714"/>
    <cellStyle name="Normal 4 4 7 2 2 2" xfId="7509"/>
    <cellStyle name="Normal 4 4 7 2 2 2 2" xfId="15032"/>
    <cellStyle name="Normal 4 4 7 2 2 2 2 2" xfId="30076"/>
    <cellStyle name="Normal 4 4 7 2 2 2 2 3" xfId="45119"/>
    <cellStyle name="Normal 4 4 7 2 2 2 3" xfId="22555"/>
    <cellStyle name="Normal 4 4 7 2 2 2 4" xfId="37598"/>
    <cellStyle name="Normal 4 4 7 2 2 3" xfId="11283"/>
    <cellStyle name="Normal 4 4 7 2 2 3 2" xfId="26327"/>
    <cellStyle name="Normal 4 4 7 2 2 3 3" xfId="41370"/>
    <cellStyle name="Normal 4 4 7 2 2 4" xfId="18806"/>
    <cellStyle name="Normal 4 4 7 2 2 5" xfId="33849"/>
    <cellStyle name="Normal 4 4 7 2 3" xfId="5644"/>
    <cellStyle name="Normal 4 4 7 2 3 2" xfId="13167"/>
    <cellStyle name="Normal 4 4 7 2 3 2 2" xfId="28211"/>
    <cellStyle name="Normal 4 4 7 2 3 2 3" xfId="43254"/>
    <cellStyle name="Normal 4 4 7 2 3 3" xfId="20690"/>
    <cellStyle name="Normal 4 4 7 2 3 4" xfId="35733"/>
    <cellStyle name="Normal 4 4 7 2 4" xfId="9418"/>
    <cellStyle name="Normal 4 4 7 2 4 2" xfId="24462"/>
    <cellStyle name="Normal 4 4 7 2 4 3" xfId="39505"/>
    <cellStyle name="Normal 4 4 7 2 5" xfId="16941"/>
    <cellStyle name="Normal 4 4 7 2 6" xfId="31984"/>
    <cellStyle name="Normal 4 4 7 3" xfId="2782"/>
    <cellStyle name="Normal 4 4 7 3 2" xfId="6577"/>
    <cellStyle name="Normal 4 4 7 3 2 2" xfId="14100"/>
    <cellStyle name="Normal 4 4 7 3 2 2 2" xfId="29144"/>
    <cellStyle name="Normal 4 4 7 3 2 2 3" xfId="44187"/>
    <cellStyle name="Normal 4 4 7 3 2 3" xfId="21623"/>
    <cellStyle name="Normal 4 4 7 3 2 4" xfId="36666"/>
    <cellStyle name="Normal 4 4 7 3 3" xfId="10351"/>
    <cellStyle name="Normal 4 4 7 3 3 2" xfId="25395"/>
    <cellStyle name="Normal 4 4 7 3 3 3" xfId="40438"/>
    <cellStyle name="Normal 4 4 7 3 4" xfId="17874"/>
    <cellStyle name="Normal 4 4 7 3 5" xfId="32917"/>
    <cellStyle name="Normal 4 4 7 4" xfId="4712"/>
    <cellStyle name="Normal 4 4 7 4 2" xfId="12235"/>
    <cellStyle name="Normal 4 4 7 4 2 2" xfId="27279"/>
    <cellStyle name="Normal 4 4 7 4 2 3" xfId="42322"/>
    <cellStyle name="Normal 4 4 7 4 3" xfId="19758"/>
    <cellStyle name="Normal 4 4 7 4 4" xfId="34801"/>
    <cellStyle name="Normal 4 4 7 5" xfId="8486"/>
    <cellStyle name="Normal 4 4 7 5 2" xfId="23530"/>
    <cellStyle name="Normal 4 4 7 5 3" xfId="38573"/>
    <cellStyle name="Normal 4 4 7 6" xfId="16009"/>
    <cellStyle name="Normal 4 4 7 7" xfId="31052"/>
    <cellStyle name="Normal 4 4 8" xfId="1391"/>
    <cellStyle name="Normal 4 4 8 2" xfId="3262"/>
    <cellStyle name="Normal 4 4 8 2 2" xfId="7057"/>
    <cellStyle name="Normal 4 4 8 2 2 2" xfId="14580"/>
    <cellStyle name="Normal 4 4 8 2 2 2 2" xfId="29624"/>
    <cellStyle name="Normal 4 4 8 2 2 2 3" xfId="44667"/>
    <cellStyle name="Normal 4 4 8 2 2 3" xfId="22103"/>
    <cellStyle name="Normal 4 4 8 2 2 4" xfId="37146"/>
    <cellStyle name="Normal 4 4 8 2 3" xfId="10831"/>
    <cellStyle name="Normal 4 4 8 2 3 2" xfId="25875"/>
    <cellStyle name="Normal 4 4 8 2 3 3" xfId="40918"/>
    <cellStyle name="Normal 4 4 8 2 4" xfId="18354"/>
    <cellStyle name="Normal 4 4 8 2 5" xfId="33397"/>
    <cellStyle name="Normal 4 4 8 3" xfId="5192"/>
    <cellStyle name="Normal 4 4 8 3 2" xfId="12715"/>
    <cellStyle name="Normal 4 4 8 3 2 2" xfId="27759"/>
    <cellStyle name="Normal 4 4 8 3 2 3" xfId="42802"/>
    <cellStyle name="Normal 4 4 8 3 3" xfId="20238"/>
    <cellStyle name="Normal 4 4 8 3 4" xfId="35281"/>
    <cellStyle name="Normal 4 4 8 4" xfId="8966"/>
    <cellStyle name="Normal 4 4 8 4 2" xfId="24010"/>
    <cellStyle name="Normal 4 4 8 4 3" xfId="39053"/>
    <cellStyle name="Normal 4 4 8 5" xfId="16489"/>
    <cellStyle name="Normal 4 4 8 6" xfId="31532"/>
    <cellStyle name="Normal 4 4 9" xfId="2329"/>
    <cellStyle name="Normal 4 4 9 2" xfId="6125"/>
    <cellStyle name="Normal 4 4 9 2 2" xfId="13648"/>
    <cellStyle name="Normal 4 4 9 2 2 2" xfId="28692"/>
    <cellStyle name="Normal 4 4 9 2 2 3" xfId="43735"/>
    <cellStyle name="Normal 4 4 9 2 3" xfId="21171"/>
    <cellStyle name="Normal 4 4 9 2 4" xfId="36214"/>
    <cellStyle name="Normal 4 4 9 3" xfId="9899"/>
    <cellStyle name="Normal 4 4 9 3 2" xfId="24943"/>
    <cellStyle name="Normal 4 4 9 3 3" xfId="39986"/>
    <cellStyle name="Normal 4 4 9 4" xfId="17422"/>
    <cellStyle name="Normal 4 4 9 5" xfId="32465"/>
    <cellStyle name="Normal 4 5" xfId="384"/>
    <cellStyle name="Normal 4 5 10" xfId="8044"/>
    <cellStyle name="Normal 4 5 10 2" xfId="23088"/>
    <cellStyle name="Normal 4 5 10 3" xfId="38131"/>
    <cellStyle name="Normal 4 5 11" xfId="15567"/>
    <cellStyle name="Normal 4 5 12" xfId="30610"/>
    <cellStyle name="Normal 4 5 2" xfId="385"/>
    <cellStyle name="Normal 4 5 2 10" xfId="15568"/>
    <cellStyle name="Normal 4 5 2 11" xfId="30611"/>
    <cellStyle name="Normal 4 5 2 2" xfId="386"/>
    <cellStyle name="Normal 4 5 2 2 2" xfId="387"/>
    <cellStyle name="Normal 4 5 2 2 2 2" xfId="911"/>
    <cellStyle name="Normal 4 5 2 2 2 2 2" xfId="1870"/>
    <cellStyle name="Normal 4 5 2 2 2 2 2 2" xfId="3741"/>
    <cellStyle name="Normal 4 5 2 2 2 2 2 2 2" xfId="7536"/>
    <cellStyle name="Normal 4 5 2 2 2 2 2 2 2 2" xfId="15059"/>
    <cellStyle name="Normal 4 5 2 2 2 2 2 2 2 2 2" xfId="30103"/>
    <cellStyle name="Normal 4 5 2 2 2 2 2 2 2 2 3" xfId="45146"/>
    <cellStyle name="Normal 4 5 2 2 2 2 2 2 2 3" xfId="22582"/>
    <cellStyle name="Normal 4 5 2 2 2 2 2 2 2 4" xfId="37625"/>
    <cellStyle name="Normal 4 5 2 2 2 2 2 2 3" xfId="11310"/>
    <cellStyle name="Normal 4 5 2 2 2 2 2 2 3 2" xfId="26354"/>
    <cellStyle name="Normal 4 5 2 2 2 2 2 2 3 3" xfId="41397"/>
    <cellStyle name="Normal 4 5 2 2 2 2 2 2 4" xfId="18833"/>
    <cellStyle name="Normal 4 5 2 2 2 2 2 2 5" xfId="33876"/>
    <cellStyle name="Normal 4 5 2 2 2 2 2 3" xfId="5671"/>
    <cellStyle name="Normal 4 5 2 2 2 2 2 3 2" xfId="13194"/>
    <cellStyle name="Normal 4 5 2 2 2 2 2 3 2 2" xfId="28238"/>
    <cellStyle name="Normal 4 5 2 2 2 2 2 3 2 3" xfId="43281"/>
    <cellStyle name="Normal 4 5 2 2 2 2 2 3 3" xfId="20717"/>
    <cellStyle name="Normal 4 5 2 2 2 2 2 3 4" xfId="35760"/>
    <cellStyle name="Normal 4 5 2 2 2 2 2 4" xfId="9445"/>
    <cellStyle name="Normal 4 5 2 2 2 2 2 4 2" xfId="24489"/>
    <cellStyle name="Normal 4 5 2 2 2 2 2 4 3" xfId="39532"/>
    <cellStyle name="Normal 4 5 2 2 2 2 2 5" xfId="16968"/>
    <cellStyle name="Normal 4 5 2 2 2 2 2 6" xfId="32011"/>
    <cellStyle name="Normal 4 5 2 2 2 2 3" xfId="2809"/>
    <cellStyle name="Normal 4 5 2 2 2 2 3 2" xfId="6604"/>
    <cellStyle name="Normal 4 5 2 2 2 2 3 2 2" xfId="14127"/>
    <cellStyle name="Normal 4 5 2 2 2 2 3 2 2 2" xfId="29171"/>
    <cellStyle name="Normal 4 5 2 2 2 2 3 2 2 3" xfId="44214"/>
    <cellStyle name="Normal 4 5 2 2 2 2 3 2 3" xfId="21650"/>
    <cellStyle name="Normal 4 5 2 2 2 2 3 2 4" xfId="36693"/>
    <cellStyle name="Normal 4 5 2 2 2 2 3 3" xfId="10378"/>
    <cellStyle name="Normal 4 5 2 2 2 2 3 3 2" xfId="25422"/>
    <cellStyle name="Normal 4 5 2 2 2 2 3 3 3" xfId="40465"/>
    <cellStyle name="Normal 4 5 2 2 2 2 3 4" xfId="17901"/>
    <cellStyle name="Normal 4 5 2 2 2 2 3 5" xfId="32944"/>
    <cellStyle name="Normal 4 5 2 2 2 2 4" xfId="4739"/>
    <cellStyle name="Normal 4 5 2 2 2 2 4 2" xfId="12262"/>
    <cellStyle name="Normal 4 5 2 2 2 2 4 2 2" xfId="27306"/>
    <cellStyle name="Normal 4 5 2 2 2 2 4 2 3" xfId="42349"/>
    <cellStyle name="Normal 4 5 2 2 2 2 4 3" xfId="19785"/>
    <cellStyle name="Normal 4 5 2 2 2 2 4 4" xfId="34828"/>
    <cellStyle name="Normal 4 5 2 2 2 2 5" xfId="8513"/>
    <cellStyle name="Normal 4 5 2 2 2 2 5 2" xfId="23557"/>
    <cellStyle name="Normal 4 5 2 2 2 2 5 3" xfId="38600"/>
    <cellStyle name="Normal 4 5 2 2 2 2 6" xfId="16036"/>
    <cellStyle name="Normal 4 5 2 2 2 2 7" xfId="31079"/>
    <cellStyle name="Normal 4 5 2 2 2 3" xfId="1418"/>
    <cellStyle name="Normal 4 5 2 2 2 3 2" xfId="3289"/>
    <cellStyle name="Normal 4 5 2 2 2 3 2 2" xfId="7084"/>
    <cellStyle name="Normal 4 5 2 2 2 3 2 2 2" xfId="14607"/>
    <cellStyle name="Normal 4 5 2 2 2 3 2 2 2 2" xfId="29651"/>
    <cellStyle name="Normal 4 5 2 2 2 3 2 2 2 3" xfId="44694"/>
    <cellStyle name="Normal 4 5 2 2 2 3 2 2 3" xfId="22130"/>
    <cellStyle name="Normal 4 5 2 2 2 3 2 2 4" xfId="37173"/>
    <cellStyle name="Normal 4 5 2 2 2 3 2 3" xfId="10858"/>
    <cellStyle name="Normal 4 5 2 2 2 3 2 3 2" xfId="25902"/>
    <cellStyle name="Normal 4 5 2 2 2 3 2 3 3" xfId="40945"/>
    <cellStyle name="Normal 4 5 2 2 2 3 2 4" xfId="18381"/>
    <cellStyle name="Normal 4 5 2 2 2 3 2 5" xfId="33424"/>
    <cellStyle name="Normal 4 5 2 2 2 3 3" xfId="5219"/>
    <cellStyle name="Normal 4 5 2 2 2 3 3 2" xfId="12742"/>
    <cellStyle name="Normal 4 5 2 2 2 3 3 2 2" xfId="27786"/>
    <cellStyle name="Normal 4 5 2 2 2 3 3 2 3" xfId="42829"/>
    <cellStyle name="Normal 4 5 2 2 2 3 3 3" xfId="20265"/>
    <cellStyle name="Normal 4 5 2 2 2 3 3 4" xfId="35308"/>
    <cellStyle name="Normal 4 5 2 2 2 3 4" xfId="8993"/>
    <cellStyle name="Normal 4 5 2 2 2 3 4 2" xfId="24037"/>
    <cellStyle name="Normal 4 5 2 2 2 3 4 3" xfId="39080"/>
    <cellStyle name="Normal 4 5 2 2 2 3 5" xfId="16516"/>
    <cellStyle name="Normal 4 5 2 2 2 3 6" xfId="31559"/>
    <cellStyle name="Normal 4 5 2 2 2 4" xfId="2356"/>
    <cellStyle name="Normal 4 5 2 2 2 4 2" xfId="6152"/>
    <cellStyle name="Normal 4 5 2 2 2 4 2 2" xfId="13675"/>
    <cellStyle name="Normal 4 5 2 2 2 4 2 2 2" xfId="28719"/>
    <cellStyle name="Normal 4 5 2 2 2 4 2 2 3" xfId="43762"/>
    <cellStyle name="Normal 4 5 2 2 2 4 2 3" xfId="21198"/>
    <cellStyle name="Normal 4 5 2 2 2 4 2 4" xfId="36241"/>
    <cellStyle name="Normal 4 5 2 2 2 4 3" xfId="9926"/>
    <cellStyle name="Normal 4 5 2 2 2 4 3 2" xfId="24970"/>
    <cellStyle name="Normal 4 5 2 2 2 4 3 3" xfId="40013"/>
    <cellStyle name="Normal 4 5 2 2 2 4 4" xfId="17449"/>
    <cellStyle name="Normal 4 5 2 2 2 4 5" xfId="32492"/>
    <cellStyle name="Normal 4 5 2 2 2 5" xfId="4284"/>
    <cellStyle name="Normal 4 5 2 2 2 5 2" xfId="11808"/>
    <cellStyle name="Normal 4 5 2 2 2 5 2 2" xfId="26852"/>
    <cellStyle name="Normal 4 5 2 2 2 5 2 3" xfId="41895"/>
    <cellStyle name="Normal 4 5 2 2 2 5 3" xfId="19331"/>
    <cellStyle name="Normal 4 5 2 2 2 5 4" xfId="34374"/>
    <cellStyle name="Normal 4 5 2 2 2 6" xfId="8047"/>
    <cellStyle name="Normal 4 5 2 2 2 6 2" xfId="23091"/>
    <cellStyle name="Normal 4 5 2 2 2 6 3" xfId="38134"/>
    <cellStyle name="Normal 4 5 2 2 2 7" xfId="15570"/>
    <cellStyle name="Normal 4 5 2 2 2 8" xfId="30613"/>
    <cellStyle name="Normal 4 5 2 2 3" xfId="910"/>
    <cellStyle name="Normal 4 5 2 2 3 2" xfId="1869"/>
    <cellStyle name="Normal 4 5 2 2 3 2 2" xfId="3740"/>
    <cellStyle name="Normal 4 5 2 2 3 2 2 2" xfId="7535"/>
    <cellStyle name="Normal 4 5 2 2 3 2 2 2 2" xfId="15058"/>
    <cellStyle name="Normal 4 5 2 2 3 2 2 2 2 2" xfId="30102"/>
    <cellStyle name="Normal 4 5 2 2 3 2 2 2 2 3" xfId="45145"/>
    <cellStyle name="Normal 4 5 2 2 3 2 2 2 3" xfId="22581"/>
    <cellStyle name="Normal 4 5 2 2 3 2 2 2 4" xfId="37624"/>
    <cellStyle name="Normal 4 5 2 2 3 2 2 3" xfId="11309"/>
    <cellStyle name="Normal 4 5 2 2 3 2 2 3 2" xfId="26353"/>
    <cellStyle name="Normal 4 5 2 2 3 2 2 3 3" xfId="41396"/>
    <cellStyle name="Normal 4 5 2 2 3 2 2 4" xfId="18832"/>
    <cellStyle name="Normal 4 5 2 2 3 2 2 5" xfId="33875"/>
    <cellStyle name="Normal 4 5 2 2 3 2 3" xfId="5670"/>
    <cellStyle name="Normal 4 5 2 2 3 2 3 2" xfId="13193"/>
    <cellStyle name="Normal 4 5 2 2 3 2 3 2 2" xfId="28237"/>
    <cellStyle name="Normal 4 5 2 2 3 2 3 2 3" xfId="43280"/>
    <cellStyle name="Normal 4 5 2 2 3 2 3 3" xfId="20716"/>
    <cellStyle name="Normal 4 5 2 2 3 2 3 4" xfId="35759"/>
    <cellStyle name="Normal 4 5 2 2 3 2 4" xfId="9444"/>
    <cellStyle name="Normal 4 5 2 2 3 2 4 2" xfId="24488"/>
    <cellStyle name="Normal 4 5 2 2 3 2 4 3" xfId="39531"/>
    <cellStyle name="Normal 4 5 2 2 3 2 5" xfId="16967"/>
    <cellStyle name="Normal 4 5 2 2 3 2 6" xfId="32010"/>
    <cellStyle name="Normal 4 5 2 2 3 3" xfId="2808"/>
    <cellStyle name="Normal 4 5 2 2 3 3 2" xfId="6603"/>
    <cellStyle name="Normal 4 5 2 2 3 3 2 2" xfId="14126"/>
    <cellStyle name="Normal 4 5 2 2 3 3 2 2 2" xfId="29170"/>
    <cellStyle name="Normal 4 5 2 2 3 3 2 2 3" xfId="44213"/>
    <cellStyle name="Normal 4 5 2 2 3 3 2 3" xfId="21649"/>
    <cellStyle name="Normal 4 5 2 2 3 3 2 4" xfId="36692"/>
    <cellStyle name="Normal 4 5 2 2 3 3 3" xfId="10377"/>
    <cellStyle name="Normal 4 5 2 2 3 3 3 2" xfId="25421"/>
    <cellStyle name="Normal 4 5 2 2 3 3 3 3" xfId="40464"/>
    <cellStyle name="Normal 4 5 2 2 3 3 4" xfId="17900"/>
    <cellStyle name="Normal 4 5 2 2 3 3 5" xfId="32943"/>
    <cellStyle name="Normal 4 5 2 2 3 4" xfId="4738"/>
    <cellStyle name="Normal 4 5 2 2 3 4 2" xfId="12261"/>
    <cellStyle name="Normal 4 5 2 2 3 4 2 2" xfId="27305"/>
    <cellStyle name="Normal 4 5 2 2 3 4 2 3" xfId="42348"/>
    <cellStyle name="Normal 4 5 2 2 3 4 3" xfId="19784"/>
    <cellStyle name="Normal 4 5 2 2 3 4 4" xfId="34827"/>
    <cellStyle name="Normal 4 5 2 2 3 5" xfId="8512"/>
    <cellStyle name="Normal 4 5 2 2 3 5 2" xfId="23556"/>
    <cellStyle name="Normal 4 5 2 2 3 5 3" xfId="38599"/>
    <cellStyle name="Normal 4 5 2 2 3 6" xfId="16035"/>
    <cellStyle name="Normal 4 5 2 2 3 7" xfId="31078"/>
    <cellStyle name="Normal 4 5 2 2 4" xfId="1417"/>
    <cellStyle name="Normal 4 5 2 2 4 2" xfId="3288"/>
    <cellStyle name="Normal 4 5 2 2 4 2 2" xfId="7083"/>
    <cellStyle name="Normal 4 5 2 2 4 2 2 2" xfId="14606"/>
    <cellStyle name="Normal 4 5 2 2 4 2 2 2 2" xfId="29650"/>
    <cellStyle name="Normal 4 5 2 2 4 2 2 2 3" xfId="44693"/>
    <cellStyle name="Normal 4 5 2 2 4 2 2 3" xfId="22129"/>
    <cellStyle name="Normal 4 5 2 2 4 2 2 4" xfId="37172"/>
    <cellStyle name="Normal 4 5 2 2 4 2 3" xfId="10857"/>
    <cellStyle name="Normal 4 5 2 2 4 2 3 2" xfId="25901"/>
    <cellStyle name="Normal 4 5 2 2 4 2 3 3" xfId="40944"/>
    <cellStyle name="Normal 4 5 2 2 4 2 4" xfId="18380"/>
    <cellStyle name="Normal 4 5 2 2 4 2 5" xfId="33423"/>
    <cellStyle name="Normal 4 5 2 2 4 3" xfId="5218"/>
    <cellStyle name="Normal 4 5 2 2 4 3 2" xfId="12741"/>
    <cellStyle name="Normal 4 5 2 2 4 3 2 2" xfId="27785"/>
    <cellStyle name="Normal 4 5 2 2 4 3 2 3" xfId="42828"/>
    <cellStyle name="Normal 4 5 2 2 4 3 3" xfId="20264"/>
    <cellStyle name="Normal 4 5 2 2 4 3 4" xfId="35307"/>
    <cellStyle name="Normal 4 5 2 2 4 4" xfId="8992"/>
    <cellStyle name="Normal 4 5 2 2 4 4 2" xfId="24036"/>
    <cellStyle name="Normal 4 5 2 2 4 4 3" xfId="39079"/>
    <cellStyle name="Normal 4 5 2 2 4 5" xfId="16515"/>
    <cellStyle name="Normal 4 5 2 2 4 6" xfId="31558"/>
    <cellStyle name="Normal 4 5 2 2 5" xfId="2355"/>
    <cellStyle name="Normal 4 5 2 2 5 2" xfId="6151"/>
    <cellStyle name="Normal 4 5 2 2 5 2 2" xfId="13674"/>
    <cellStyle name="Normal 4 5 2 2 5 2 2 2" xfId="28718"/>
    <cellStyle name="Normal 4 5 2 2 5 2 2 3" xfId="43761"/>
    <cellStyle name="Normal 4 5 2 2 5 2 3" xfId="21197"/>
    <cellStyle name="Normal 4 5 2 2 5 2 4" xfId="36240"/>
    <cellStyle name="Normal 4 5 2 2 5 3" xfId="9925"/>
    <cellStyle name="Normal 4 5 2 2 5 3 2" xfId="24969"/>
    <cellStyle name="Normal 4 5 2 2 5 3 3" xfId="40012"/>
    <cellStyle name="Normal 4 5 2 2 5 4" xfId="17448"/>
    <cellStyle name="Normal 4 5 2 2 5 5" xfId="32491"/>
    <cellStyle name="Normal 4 5 2 2 6" xfId="4283"/>
    <cellStyle name="Normal 4 5 2 2 6 2" xfId="11807"/>
    <cellStyle name="Normal 4 5 2 2 6 2 2" xfId="26851"/>
    <cellStyle name="Normal 4 5 2 2 6 2 3" xfId="41894"/>
    <cellStyle name="Normal 4 5 2 2 6 3" xfId="19330"/>
    <cellStyle name="Normal 4 5 2 2 6 4" xfId="34373"/>
    <cellStyle name="Normal 4 5 2 2 7" xfId="8046"/>
    <cellStyle name="Normal 4 5 2 2 7 2" xfId="23090"/>
    <cellStyle name="Normal 4 5 2 2 7 3" xfId="38133"/>
    <cellStyle name="Normal 4 5 2 2 8" xfId="15569"/>
    <cellStyle name="Normal 4 5 2 2 9" xfId="30612"/>
    <cellStyle name="Normal 4 5 2 3" xfId="388"/>
    <cellStyle name="Normal 4 5 2 3 2" xfId="389"/>
    <cellStyle name="Normal 4 5 2 3 2 2" xfId="913"/>
    <cellStyle name="Normal 4 5 2 3 2 2 2" xfId="1872"/>
    <cellStyle name="Normal 4 5 2 3 2 2 2 2" xfId="3743"/>
    <cellStyle name="Normal 4 5 2 3 2 2 2 2 2" xfId="7538"/>
    <cellStyle name="Normal 4 5 2 3 2 2 2 2 2 2" xfId="15061"/>
    <cellStyle name="Normal 4 5 2 3 2 2 2 2 2 2 2" xfId="30105"/>
    <cellStyle name="Normal 4 5 2 3 2 2 2 2 2 2 3" xfId="45148"/>
    <cellStyle name="Normal 4 5 2 3 2 2 2 2 2 3" xfId="22584"/>
    <cellStyle name="Normal 4 5 2 3 2 2 2 2 2 4" xfId="37627"/>
    <cellStyle name="Normal 4 5 2 3 2 2 2 2 3" xfId="11312"/>
    <cellStyle name="Normal 4 5 2 3 2 2 2 2 3 2" xfId="26356"/>
    <cellStyle name="Normal 4 5 2 3 2 2 2 2 3 3" xfId="41399"/>
    <cellStyle name="Normal 4 5 2 3 2 2 2 2 4" xfId="18835"/>
    <cellStyle name="Normal 4 5 2 3 2 2 2 2 5" xfId="33878"/>
    <cellStyle name="Normal 4 5 2 3 2 2 2 3" xfId="5673"/>
    <cellStyle name="Normal 4 5 2 3 2 2 2 3 2" xfId="13196"/>
    <cellStyle name="Normal 4 5 2 3 2 2 2 3 2 2" xfId="28240"/>
    <cellStyle name="Normal 4 5 2 3 2 2 2 3 2 3" xfId="43283"/>
    <cellStyle name="Normal 4 5 2 3 2 2 2 3 3" xfId="20719"/>
    <cellStyle name="Normal 4 5 2 3 2 2 2 3 4" xfId="35762"/>
    <cellStyle name="Normal 4 5 2 3 2 2 2 4" xfId="9447"/>
    <cellStyle name="Normal 4 5 2 3 2 2 2 4 2" xfId="24491"/>
    <cellStyle name="Normal 4 5 2 3 2 2 2 4 3" xfId="39534"/>
    <cellStyle name="Normal 4 5 2 3 2 2 2 5" xfId="16970"/>
    <cellStyle name="Normal 4 5 2 3 2 2 2 6" xfId="32013"/>
    <cellStyle name="Normal 4 5 2 3 2 2 3" xfId="2811"/>
    <cellStyle name="Normal 4 5 2 3 2 2 3 2" xfId="6606"/>
    <cellStyle name="Normal 4 5 2 3 2 2 3 2 2" xfId="14129"/>
    <cellStyle name="Normal 4 5 2 3 2 2 3 2 2 2" xfId="29173"/>
    <cellStyle name="Normal 4 5 2 3 2 2 3 2 2 3" xfId="44216"/>
    <cellStyle name="Normal 4 5 2 3 2 2 3 2 3" xfId="21652"/>
    <cellStyle name="Normal 4 5 2 3 2 2 3 2 4" xfId="36695"/>
    <cellStyle name="Normal 4 5 2 3 2 2 3 3" xfId="10380"/>
    <cellStyle name="Normal 4 5 2 3 2 2 3 3 2" xfId="25424"/>
    <cellStyle name="Normal 4 5 2 3 2 2 3 3 3" xfId="40467"/>
    <cellStyle name="Normal 4 5 2 3 2 2 3 4" xfId="17903"/>
    <cellStyle name="Normal 4 5 2 3 2 2 3 5" xfId="32946"/>
    <cellStyle name="Normal 4 5 2 3 2 2 4" xfId="4741"/>
    <cellStyle name="Normal 4 5 2 3 2 2 4 2" xfId="12264"/>
    <cellStyle name="Normal 4 5 2 3 2 2 4 2 2" xfId="27308"/>
    <cellStyle name="Normal 4 5 2 3 2 2 4 2 3" xfId="42351"/>
    <cellStyle name="Normal 4 5 2 3 2 2 4 3" xfId="19787"/>
    <cellStyle name="Normal 4 5 2 3 2 2 4 4" xfId="34830"/>
    <cellStyle name="Normal 4 5 2 3 2 2 5" xfId="8515"/>
    <cellStyle name="Normal 4 5 2 3 2 2 5 2" xfId="23559"/>
    <cellStyle name="Normal 4 5 2 3 2 2 5 3" xfId="38602"/>
    <cellStyle name="Normal 4 5 2 3 2 2 6" xfId="16038"/>
    <cellStyle name="Normal 4 5 2 3 2 2 7" xfId="31081"/>
    <cellStyle name="Normal 4 5 2 3 2 3" xfId="1420"/>
    <cellStyle name="Normal 4 5 2 3 2 3 2" xfId="3291"/>
    <cellStyle name="Normal 4 5 2 3 2 3 2 2" xfId="7086"/>
    <cellStyle name="Normal 4 5 2 3 2 3 2 2 2" xfId="14609"/>
    <cellStyle name="Normal 4 5 2 3 2 3 2 2 2 2" xfId="29653"/>
    <cellStyle name="Normal 4 5 2 3 2 3 2 2 2 3" xfId="44696"/>
    <cellStyle name="Normal 4 5 2 3 2 3 2 2 3" xfId="22132"/>
    <cellStyle name="Normal 4 5 2 3 2 3 2 2 4" xfId="37175"/>
    <cellStyle name="Normal 4 5 2 3 2 3 2 3" xfId="10860"/>
    <cellStyle name="Normal 4 5 2 3 2 3 2 3 2" xfId="25904"/>
    <cellStyle name="Normal 4 5 2 3 2 3 2 3 3" xfId="40947"/>
    <cellStyle name="Normal 4 5 2 3 2 3 2 4" xfId="18383"/>
    <cellStyle name="Normal 4 5 2 3 2 3 2 5" xfId="33426"/>
    <cellStyle name="Normal 4 5 2 3 2 3 3" xfId="5221"/>
    <cellStyle name="Normal 4 5 2 3 2 3 3 2" xfId="12744"/>
    <cellStyle name="Normal 4 5 2 3 2 3 3 2 2" xfId="27788"/>
    <cellStyle name="Normal 4 5 2 3 2 3 3 2 3" xfId="42831"/>
    <cellStyle name="Normal 4 5 2 3 2 3 3 3" xfId="20267"/>
    <cellStyle name="Normal 4 5 2 3 2 3 3 4" xfId="35310"/>
    <cellStyle name="Normal 4 5 2 3 2 3 4" xfId="8995"/>
    <cellStyle name="Normal 4 5 2 3 2 3 4 2" xfId="24039"/>
    <cellStyle name="Normal 4 5 2 3 2 3 4 3" xfId="39082"/>
    <cellStyle name="Normal 4 5 2 3 2 3 5" xfId="16518"/>
    <cellStyle name="Normal 4 5 2 3 2 3 6" xfId="31561"/>
    <cellStyle name="Normal 4 5 2 3 2 4" xfId="2358"/>
    <cellStyle name="Normal 4 5 2 3 2 4 2" xfId="6154"/>
    <cellStyle name="Normal 4 5 2 3 2 4 2 2" xfId="13677"/>
    <cellStyle name="Normal 4 5 2 3 2 4 2 2 2" xfId="28721"/>
    <cellStyle name="Normal 4 5 2 3 2 4 2 2 3" xfId="43764"/>
    <cellStyle name="Normal 4 5 2 3 2 4 2 3" xfId="21200"/>
    <cellStyle name="Normal 4 5 2 3 2 4 2 4" xfId="36243"/>
    <cellStyle name="Normal 4 5 2 3 2 4 3" xfId="9928"/>
    <cellStyle name="Normal 4 5 2 3 2 4 3 2" xfId="24972"/>
    <cellStyle name="Normal 4 5 2 3 2 4 3 3" xfId="40015"/>
    <cellStyle name="Normal 4 5 2 3 2 4 4" xfId="17451"/>
    <cellStyle name="Normal 4 5 2 3 2 4 5" xfId="32494"/>
    <cellStyle name="Normal 4 5 2 3 2 5" xfId="4286"/>
    <cellStyle name="Normal 4 5 2 3 2 5 2" xfId="11810"/>
    <cellStyle name="Normal 4 5 2 3 2 5 2 2" xfId="26854"/>
    <cellStyle name="Normal 4 5 2 3 2 5 2 3" xfId="41897"/>
    <cellStyle name="Normal 4 5 2 3 2 5 3" xfId="19333"/>
    <cellStyle name="Normal 4 5 2 3 2 5 4" xfId="34376"/>
    <cellStyle name="Normal 4 5 2 3 2 6" xfId="8049"/>
    <cellStyle name="Normal 4 5 2 3 2 6 2" xfId="23093"/>
    <cellStyle name="Normal 4 5 2 3 2 6 3" xfId="38136"/>
    <cellStyle name="Normal 4 5 2 3 2 7" xfId="15572"/>
    <cellStyle name="Normal 4 5 2 3 2 8" xfId="30615"/>
    <cellStyle name="Normal 4 5 2 3 3" xfId="912"/>
    <cellStyle name="Normal 4 5 2 3 3 2" xfId="1871"/>
    <cellStyle name="Normal 4 5 2 3 3 2 2" xfId="3742"/>
    <cellStyle name="Normal 4 5 2 3 3 2 2 2" xfId="7537"/>
    <cellStyle name="Normal 4 5 2 3 3 2 2 2 2" xfId="15060"/>
    <cellStyle name="Normal 4 5 2 3 3 2 2 2 2 2" xfId="30104"/>
    <cellStyle name="Normal 4 5 2 3 3 2 2 2 2 3" xfId="45147"/>
    <cellStyle name="Normal 4 5 2 3 3 2 2 2 3" xfId="22583"/>
    <cellStyle name="Normal 4 5 2 3 3 2 2 2 4" xfId="37626"/>
    <cellStyle name="Normal 4 5 2 3 3 2 2 3" xfId="11311"/>
    <cellStyle name="Normal 4 5 2 3 3 2 2 3 2" xfId="26355"/>
    <cellStyle name="Normal 4 5 2 3 3 2 2 3 3" xfId="41398"/>
    <cellStyle name="Normal 4 5 2 3 3 2 2 4" xfId="18834"/>
    <cellStyle name="Normal 4 5 2 3 3 2 2 5" xfId="33877"/>
    <cellStyle name="Normal 4 5 2 3 3 2 3" xfId="5672"/>
    <cellStyle name="Normal 4 5 2 3 3 2 3 2" xfId="13195"/>
    <cellStyle name="Normal 4 5 2 3 3 2 3 2 2" xfId="28239"/>
    <cellStyle name="Normal 4 5 2 3 3 2 3 2 3" xfId="43282"/>
    <cellStyle name="Normal 4 5 2 3 3 2 3 3" xfId="20718"/>
    <cellStyle name="Normal 4 5 2 3 3 2 3 4" xfId="35761"/>
    <cellStyle name="Normal 4 5 2 3 3 2 4" xfId="9446"/>
    <cellStyle name="Normal 4 5 2 3 3 2 4 2" xfId="24490"/>
    <cellStyle name="Normal 4 5 2 3 3 2 4 3" xfId="39533"/>
    <cellStyle name="Normal 4 5 2 3 3 2 5" xfId="16969"/>
    <cellStyle name="Normal 4 5 2 3 3 2 6" xfId="32012"/>
    <cellStyle name="Normal 4 5 2 3 3 3" xfId="2810"/>
    <cellStyle name="Normal 4 5 2 3 3 3 2" xfId="6605"/>
    <cellStyle name="Normal 4 5 2 3 3 3 2 2" xfId="14128"/>
    <cellStyle name="Normal 4 5 2 3 3 3 2 2 2" xfId="29172"/>
    <cellStyle name="Normal 4 5 2 3 3 3 2 2 3" xfId="44215"/>
    <cellStyle name="Normal 4 5 2 3 3 3 2 3" xfId="21651"/>
    <cellStyle name="Normal 4 5 2 3 3 3 2 4" xfId="36694"/>
    <cellStyle name="Normal 4 5 2 3 3 3 3" xfId="10379"/>
    <cellStyle name="Normal 4 5 2 3 3 3 3 2" xfId="25423"/>
    <cellStyle name="Normal 4 5 2 3 3 3 3 3" xfId="40466"/>
    <cellStyle name="Normal 4 5 2 3 3 3 4" xfId="17902"/>
    <cellStyle name="Normal 4 5 2 3 3 3 5" xfId="32945"/>
    <cellStyle name="Normal 4 5 2 3 3 4" xfId="4740"/>
    <cellStyle name="Normal 4 5 2 3 3 4 2" xfId="12263"/>
    <cellStyle name="Normal 4 5 2 3 3 4 2 2" xfId="27307"/>
    <cellStyle name="Normal 4 5 2 3 3 4 2 3" xfId="42350"/>
    <cellStyle name="Normal 4 5 2 3 3 4 3" xfId="19786"/>
    <cellStyle name="Normal 4 5 2 3 3 4 4" xfId="34829"/>
    <cellStyle name="Normal 4 5 2 3 3 5" xfId="8514"/>
    <cellStyle name="Normal 4 5 2 3 3 5 2" xfId="23558"/>
    <cellStyle name="Normal 4 5 2 3 3 5 3" xfId="38601"/>
    <cellStyle name="Normal 4 5 2 3 3 6" xfId="16037"/>
    <cellStyle name="Normal 4 5 2 3 3 7" xfId="31080"/>
    <cellStyle name="Normal 4 5 2 3 4" xfId="1419"/>
    <cellStyle name="Normal 4 5 2 3 4 2" xfId="3290"/>
    <cellStyle name="Normal 4 5 2 3 4 2 2" xfId="7085"/>
    <cellStyle name="Normal 4 5 2 3 4 2 2 2" xfId="14608"/>
    <cellStyle name="Normal 4 5 2 3 4 2 2 2 2" xfId="29652"/>
    <cellStyle name="Normal 4 5 2 3 4 2 2 2 3" xfId="44695"/>
    <cellStyle name="Normal 4 5 2 3 4 2 2 3" xfId="22131"/>
    <cellStyle name="Normal 4 5 2 3 4 2 2 4" xfId="37174"/>
    <cellStyle name="Normal 4 5 2 3 4 2 3" xfId="10859"/>
    <cellStyle name="Normal 4 5 2 3 4 2 3 2" xfId="25903"/>
    <cellStyle name="Normal 4 5 2 3 4 2 3 3" xfId="40946"/>
    <cellStyle name="Normal 4 5 2 3 4 2 4" xfId="18382"/>
    <cellStyle name="Normal 4 5 2 3 4 2 5" xfId="33425"/>
    <cellStyle name="Normal 4 5 2 3 4 3" xfId="5220"/>
    <cellStyle name="Normal 4 5 2 3 4 3 2" xfId="12743"/>
    <cellStyle name="Normal 4 5 2 3 4 3 2 2" xfId="27787"/>
    <cellStyle name="Normal 4 5 2 3 4 3 2 3" xfId="42830"/>
    <cellStyle name="Normal 4 5 2 3 4 3 3" xfId="20266"/>
    <cellStyle name="Normal 4 5 2 3 4 3 4" xfId="35309"/>
    <cellStyle name="Normal 4 5 2 3 4 4" xfId="8994"/>
    <cellStyle name="Normal 4 5 2 3 4 4 2" xfId="24038"/>
    <cellStyle name="Normal 4 5 2 3 4 4 3" xfId="39081"/>
    <cellStyle name="Normal 4 5 2 3 4 5" xfId="16517"/>
    <cellStyle name="Normal 4 5 2 3 4 6" xfId="31560"/>
    <cellStyle name="Normal 4 5 2 3 5" xfId="2357"/>
    <cellStyle name="Normal 4 5 2 3 5 2" xfId="6153"/>
    <cellStyle name="Normal 4 5 2 3 5 2 2" xfId="13676"/>
    <cellStyle name="Normal 4 5 2 3 5 2 2 2" xfId="28720"/>
    <cellStyle name="Normal 4 5 2 3 5 2 2 3" xfId="43763"/>
    <cellStyle name="Normal 4 5 2 3 5 2 3" xfId="21199"/>
    <cellStyle name="Normal 4 5 2 3 5 2 4" xfId="36242"/>
    <cellStyle name="Normal 4 5 2 3 5 3" xfId="9927"/>
    <cellStyle name="Normal 4 5 2 3 5 3 2" xfId="24971"/>
    <cellStyle name="Normal 4 5 2 3 5 3 3" xfId="40014"/>
    <cellStyle name="Normal 4 5 2 3 5 4" xfId="17450"/>
    <cellStyle name="Normal 4 5 2 3 5 5" xfId="32493"/>
    <cellStyle name="Normal 4 5 2 3 6" xfId="4285"/>
    <cellStyle name="Normal 4 5 2 3 6 2" xfId="11809"/>
    <cellStyle name="Normal 4 5 2 3 6 2 2" xfId="26853"/>
    <cellStyle name="Normal 4 5 2 3 6 2 3" xfId="41896"/>
    <cellStyle name="Normal 4 5 2 3 6 3" xfId="19332"/>
    <cellStyle name="Normal 4 5 2 3 6 4" xfId="34375"/>
    <cellStyle name="Normal 4 5 2 3 7" xfId="8048"/>
    <cellStyle name="Normal 4 5 2 3 7 2" xfId="23092"/>
    <cellStyle name="Normal 4 5 2 3 7 3" xfId="38135"/>
    <cellStyle name="Normal 4 5 2 3 8" xfId="15571"/>
    <cellStyle name="Normal 4 5 2 3 9" xfId="30614"/>
    <cellStyle name="Normal 4 5 2 4" xfId="390"/>
    <cellStyle name="Normal 4 5 2 4 2" xfId="914"/>
    <cellStyle name="Normal 4 5 2 4 2 2" xfId="1873"/>
    <cellStyle name="Normal 4 5 2 4 2 2 2" xfId="3744"/>
    <cellStyle name="Normal 4 5 2 4 2 2 2 2" xfId="7539"/>
    <cellStyle name="Normal 4 5 2 4 2 2 2 2 2" xfId="15062"/>
    <cellStyle name="Normal 4 5 2 4 2 2 2 2 2 2" xfId="30106"/>
    <cellStyle name="Normal 4 5 2 4 2 2 2 2 2 3" xfId="45149"/>
    <cellStyle name="Normal 4 5 2 4 2 2 2 2 3" xfId="22585"/>
    <cellStyle name="Normal 4 5 2 4 2 2 2 2 4" xfId="37628"/>
    <cellStyle name="Normal 4 5 2 4 2 2 2 3" xfId="11313"/>
    <cellStyle name="Normal 4 5 2 4 2 2 2 3 2" xfId="26357"/>
    <cellStyle name="Normal 4 5 2 4 2 2 2 3 3" xfId="41400"/>
    <cellStyle name="Normal 4 5 2 4 2 2 2 4" xfId="18836"/>
    <cellStyle name="Normal 4 5 2 4 2 2 2 5" xfId="33879"/>
    <cellStyle name="Normal 4 5 2 4 2 2 3" xfId="5674"/>
    <cellStyle name="Normal 4 5 2 4 2 2 3 2" xfId="13197"/>
    <cellStyle name="Normal 4 5 2 4 2 2 3 2 2" xfId="28241"/>
    <cellStyle name="Normal 4 5 2 4 2 2 3 2 3" xfId="43284"/>
    <cellStyle name="Normal 4 5 2 4 2 2 3 3" xfId="20720"/>
    <cellStyle name="Normal 4 5 2 4 2 2 3 4" xfId="35763"/>
    <cellStyle name="Normal 4 5 2 4 2 2 4" xfId="9448"/>
    <cellStyle name="Normal 4 5 2 4 2 2 4 2" xfId="24492"/>
    <cellStyle name="Normal 4 5 2 4 2 2 4 3" xfId="39535"/>
    <cellStyle name="Normal 4 5 2 4 2 2 5" xfId="16971"/>
    <cellStyle name="Normal 4 5 2 4 2 2 6" xfId="32014"/>
    <cellStyle name="Normal 4 5 2 4 2 3" xfId="2812"/>
    <cellStyle name="Normal 4 5 2 4 2 3 2" xfId="6607"/>
    <cellStyle name="Normal 4 5 2 4 2 3 2 2" xfId="14130"/>
    <cellStyle name="Normal 4 5 2 4 2 3 2 2 2" xfId="29174"/>
    <cellStyle name="Normal 4 5 2 4 2 3 2 2 3" xfId="44217"/>
    <cellStyle name="Normal 4 5 2 4 2 3 2 3" xfId="21653"/>
    <cellStyle name="Normal 4 5 2 4 2 3 2 4" xfId="36696"/>
    <cellStyle name="Normal 4 5 2 4 2 3 3" xfId="10381"/>
    <cellStyle name="Normal 4 5 2 4 2 3 3 2" xfId="25425"/>
    <cellStyle name="Normal 4 5 2 4 2 3 3 3" xfId="40468"/>
    <cellStyle name="Normal 4 5 2 4 2 3 4" xfId="17904"/>
    <cellStyle name="Normal 4 5 2 4 2 3 5" xfId="32947"/>
    <cellStyle name="Normal 4 5 2 4 2 4" xfId="4742"/>
    <cellStyle name="Normal 4 5 2 4 2 4 2" xfId="12265"/>
    <cellStyle name="Normal 4 5 2 4 2 4 2 2" xfId="27309"/>
    <cellStyle name="Normal 4 5 2 4 2 4 2 3" xfId="42352"/>
    <cellStyle name="Normal 4 5 2 4 2 4 3" xfId="19788"/>
    <cellStyle name="Normal 4 5 2 4 2 4 4" xfId="34831"/>
    <cellStyle name="Normal 4 5 2 4 2 5" xfId="8516"/>
    <cellStyle name="Normal 4 5 2 4 2 5 2" xfId="23560"/>
    <cellStyle name="Normal 4 5 2 4 2 5 3" xfId="38603"/>
    <cellStyle name="Normal 4 5 2 4 2 6" xfId="16039"/>
    <cellStyle name="Normal 4 5 2 4 2 7" xfId="31082"/>
    <cellStyle name="Normal 4 5 2 4 3" xfId="1421"/>
    <cellStyle name="Normal 4 5 2 4 3 2" xfId="3292"/>
    <cellStyle name="Normal 4 5 2 4 3 2 2" xfId="7087"/>
    <cellStyle name="Normal 4 5 2 4 3 2 2 2" xfId="14610"/>
    <cellStyle name="Normal 4 5 2 4 3 2 2 2 2" xfId="29654"/>
    <cellStyle name="Normal 4 5 2 4 3 2 2 2 3" xfId="44697"/>
    <cellStyle name="Normal 4 5 2 4 3 2 2 3" xfId="22133"/>
    <cellStyle name="Normal 4 5 2 4 3 2 2 4" xfId="37176"/>
    <cellStyle name="Normal 4 5 2 4 3 2 3" xfId="10861"/>
    <cellStyle name="Normal 4 5 2 4 3 2 3 2" xfId="25905"/>
    <cellStyle name="Normal 4 5 2 4 3 2 3 3" xfId="40948"/>
    <cellStyle name="Normal 4 5 2 4 3 2 4" xfId="18384"/>
    <cellStyle name="Normal 4 5 2 4 3 2 5" xfId="33427"/>
    <cellStyle name="Normal 4 5 2 4 3 3" xfId="5222"/>
    <cellStyle name="Normal 4 5 2 4 3 3 2" xfId="12745"/>
    <cellStyle name="Normal 4 5 2 4 3 3 2 2" xfId="27789"/>
    <cellStyle name="Normal 4 5 2 4 3 3 2 3" xfId="42832"/>
    <cellStyle name="Normal 4 5 2 4 3 3 3" xfId="20268"/>
    <cellStyle name="Normal 4 5 2 4 3 3 4" xfId="35311"/>
    <cellStyle name="Normal 4 5 2 4 3 4" xfId="8996"/>
    <cellStyle name="Normal 4 5 2 4 3 4 2" xfId="24040"/>
    <cellStyle name="Normal 4 5 2 4 3 4 3" xfId="39083"/>
    <cellStyle name="Normal 4 5 2 4 3 5" xfId="16519"/>
    <cellStyle name="Normal 4 5 2 4 3 6" xfId="31562"/>
    <cellStyle name="Normal 4 5 2 4 4" xfId="2359"/>
    <cellStyle name="Normal 4 5 2 4 4 2" xfId="6155"/>
    <cellStyle name="Normal 4 5 2 4 4 2 2" xfId="13678"/>
    <cellStyle name="Normal 4 5 2 4 4 2 2 2" xfId="28722"/>
    <cellStyle name="Normal 4 5 2 4 4 2 2 3" xfId="43765"/>
    <cellStyle name="Normal 4 5 2 4 4 2 3" xfId="21201"/>
    <cellStyle name="Normal 4 5 2 4 4 2 4" xfId="36244"/>
    <cellStyle name="Normal 4 5 2 4 4 3" xfId="9929"/>
    <cellStyle name="Normal 4 5 2 4 4 3 2" xfId="24973"/>
    <cellStyle name="Normal 4 5 2 4 4 3 3" xfId="40016"/>
    <cellStyle name="Normal 4 5 2 4 4 4" xfId="17452"/>
    <cellStyle name="Normal 4 5 2 4 4 5" xfId="32495"/>
    <cellStyle name="Normal 4 5 2 4 5" xfId="4287"/>
    <cellStyle name="Normal 4 5 2 4 5 2" xfId="11811"/>
    <cellStyle name="Normal 4 5 2 4 5 2 2" xfId="26855"/>
    <cellStyle name="Normal 4 5 2 4 5 2 3" xfId="41898"/>
    <cellStyle name="Normal 4 5 2 4 5 3" xfId="19334"/>
    <cellStyle name="Normal 4 5 2 4 5 4" xfId="34377"/>
    <cellStyle name="Normal 4 5 2 4 6" xfId="8050"/>
    <cellStyle name="Normal 4 5 2 4 6 2" xfId="23094"/>
    <cellStyle name="Normal 4 5 2 4 6 3" xfId="38137"/>
    <cellStyle name="Normal 4 5 2 4 7" xfId="15573"/>
    <cellStyle name="Normal 4 5 2 4 8" xfId="30616"/>
    <cellStyle name="Normal 4 5 2 5" xfId="909"/>
    <cellStyle name="Normal 4 5 2 5 2" xfId="1868"/>
    <cellStyle name="Normal 4 5 2 5 2 2" xfId="3739"/>
    <cellStyle name="Normal 4 5 2 5 2 2 2" xfId="7534"/>
    <cellStyle name="Normal 4 5 2 5 2 2 2 2" xfId="15057"/>
    <cellStyle name="Normal 4 5 2 5 2 2 2 2 2" xfId="30101"/>
    <cellStyle name="Normal 4 5 2 5 2 2 2 2 3" xfId="45144"/>
    <cellStyle name="Normal 4 5 2 5 2 2 2 3" xfId="22580"/>
    <cellStyle name="Normal 4 5 2 5 2 2 2 4" xfId="37623"/>
    <cellStyle name="Normal 4 5 2 5 2 2 3" xfId="11308"/>
    <cellStyle name="Normal 4 5 2 5 2 2 3 2" xfId="26352"/>
    <cellStyle name="Normal 4 5 2 5 2 2 3 3" xfId="41395"/>
    <cellStyle name="Normal 4 5 2 5 2 2 4" xfId="18831"/>
    <cellStyle name="Normal 4 5 2 5 2 2 5" xfId="33874"/>
    <cellStyle name="Normal 4 5 2 5 2 3" xfId="5669"/>
    <cellStyle name="Normal 4 5 2 5 2 3 2" xfId="13192"/>
    <cellStyle name="Normal 4 5 2 5 2 3 2 2" xfId="28236"/>
    <cellStyle name="Normal 4 5 2 5 2 3 2 3" xfId="43279"/>
    <cellStyle name="Normal 4 5 2 5 2 3 3" xfId="20715"/>
    <cellStyle name="Normal 4 5 2 5 2 3 4" xfId="35758"/>
    <cellStyle name="Normal 4 5 2 5 2 4" xfId="9443"/>
    <cellStyle name="Normal 4 5 2 5 2 4 2" xfId="24487"/>
    <cellStyle name="Normal 4 5 2 5 2 4 3" xfId="39530"/>
    <cellStyle name="Normal 4 5 2 5 2 5" xfId="16966"/>
    <cellStyle name="Normal 4 5 2 5 2 6" xfId="32009"/>
    <cellStyle name="Normal 4 5 2 5 3" xfId="2807"/>
    <cellStyle name="Normal 4 5 2 5 3 2" xfId="6602"/>
    <cellStyle name="Normal 4 5 2 5 3 2 2" xfId="14125"/>
    <cellStyle name="Normal 4 5 2 5 3 2 2 2" xfId="29169"/>
    <cellStyle name="Normal 4 5 2 5 3 2 2 3" xfId="44212"/>
    <cellStyle name="Normal 4 5 2 5 3 2 3" xfId="21648"/>
    <cellStyle name="Normal 4 5 2 5 3 2 4" xfId="36691"/>
    <cellStyle name="Normal 4 5 2 5 3 3" xfId="10376"/>
    <cellStyle name="Normal 4 5 2 5 3 3 2" xfId="25420"/>
    <cellStyle name="Normal 4 5 2 5 3 3 3" xfId="40463"/>
    <cellStyle name="Normal 4 5 2 5 3 4" xfId="17899"/>
    <cellStyle name="Normal 4 5 2 5 3 5" xfId="32942"/>
    <cellStyle name="Normal 4 5 2 5 4" xfId="4737"/>
    <cellStyle name="Normal 4 5 2 5 4 2" xfId="12260"/>
    <cellStyle name="Normal 4 5 2 5 4 2 2" xfId="27304"/>
    <cellStyle name="Normal 4 5 2 5 4 2 3" xfId="42347"/>
    <cellStyle name="Normal 4 5 2 5 4 3" xfId="19783"/>
    <cellStyle name="Normal 4 5 2 5 4 4" xfId="34826"/>
    <cellStyle name="Normal 4 5 2 5 5" xfId="8511"/>
    <cellStyle name="Normal 4 5 2 5 5 2" xfId="23555"/>
    <cellStyle name="Normal 4 5 2 5 5 3" xfId="38598"/>
    <cellStyle name="Normal 4 5 2 5 6" xfId="16034"/>
    <cellStyle name="Normal 4 5 2 5 7" xfId="31077"/>
    <cellStyle name="Normal 4 5 2 6" xfId="1416"/>
    <cellStyle name="Normal 4 5 2 6 2" xfId="3287"/>
    <cellStyle name="Normal 4 5 2 6 2 2" xfId="7082"/>
    <cellStyle name="Normal 4 5 2 6 2 2 2" xfId="14605"/>
    <cellStyle name="Normal 4 5 2 6 2 2 2 2" xfId="29649"/>
    <cellStyle name="Normal 4 5 2 6 2 2 2 3" xfId="44692"/>
    <cellStyle name="Normal 4 5 2 6 2 2 3" xfId="22128"/>
    <cellStyle name="Normal 4 5 2 6 2 2 4" xfId="37171"/>
    <cellStyle name="Normal 4 5 2 6 2 3" xfId="10856"/>
    <cellStyle name="Normal 4 5 2 6 2 3 2" xfId="25900"/>
    <cellStyle name="Normal 4 5 2 6 2 3 3" xfId="40943"/>
    <cellStyle name="Normal 4 5 2 6 2 4" xfId="18379"/>
    <cellStyle name="Normal 4 5 2 6 2 5" xfId="33422"/>
    <cellStyle name="Normal 4 5 2 6 3" xfId="5217"/>
    <cellStyle name="Normal 4 5 2 6 3 2" xfId="12740"/>
    <cellStyle name="Normal 4 5 2 6 3 2 2" xfId="27784"/>
    <cellStyle name="Normal 4 5 2 6 3 2 3" xfId="42827"/>
    <cellStyle name="Normal 4 5 2 6 3 3" xfId="20263"/>
    <cellStyle name="Normal 4 5 2 6 3 4" xfId="35306"/>
    <cellStyle name="Normal 4 5 2 6 4" xfId="8991"/>
    <cellStyle name="Normal 4 5 2 6 4 2" xfId="24035"/>
    <cellStyle name="Normal 4 5 2 6 4 3" xfId="39078"/>
    <cellStyle name="Normal 4 5 2 6 5" xfId="16514"/>
    <cellStyle name="Normal 4 5 2 6 6" xfId="31557"/>
    <cellStyle name="Normal 4 5 2 7" xfId="2354"/>
    <cellStyle name="Normal 4 5 2 7 2" xfId="6150"/>
    <cellStyle name="Normal 4 5 2 7 2 2" xfId="13673"/>
    <cellStyle name="Normal 4 5 2 7 2 2 2" xfId="28717"/>
    <cellStyle name="Normal 4 5 2 7 2 2 3" xfId="43760"/>
    <cellStyle name="Normal 4 5 2 7 2 3" xfId="21196"/>
    <cellStyle name="Normal 4 5 2 7 2 4" xfId="36239"/>
    <cellStyle name="Normal 4 5 2 7 3" xfId="9924"/>
    <cellStyle name="Normal 4 5 2 7 3 2" xfId="24968"/>
    <cellStyle name="Normal 4 5 2 7 3 3" xfId="40011"/>
    <cellStyle name="Normal 4 5 2 7 4" xfId="17447"/>
    <cellStyle name="Normal 4 5 2 7 5" xfId="32490"/>
    <cellStyle name="Normal 4 5 2 8" xfId="4282"/>
    <cellStyle name="Normal 4 5 2 8 2" xfId="11806"/>
    <cellStyle name="Normal 4 5 2 8 2 2" xfId="26850"/>
    <cellStyle name="Normal 4 5 2 8 2 3" xfId="41893"/>
    <cellStyle name="Normal 4 5 2 8 3" xfId="19329"/>
    <cellStyle name="Normal 4 5 2 8 4" xfId="34372"/>
    <cellStyle name="Normal 4 5 2 9" xfId="8045"/>
    <cellStyle name="Normal 4 5 2 9 2" xfId="23089"/>
    <cellStyle name="Normal 4 5 2 9 3" xfId="38132"/>
    <cellStyle name="Normal 4 5 3" xfId="391"/>
    <cellStyle name="Normal 4 5 3 2" xfId="392"/>
    <cellStyle name="Normal 4 5 3 2 2" xfId="916"/>
    <cellStyle name="Normal 4 5 3 2 2 2" xfId="1875"/>
    <cellStyle name="Normal 4 5 3 2 2 2 2" xfId="3746"/>
    <cellStyle name="Normal 4 5 3 2 2 2 2 2" xfId="7541"/>
    <cellStyle name="Normal 4 5 3 2 2 2 2 2 2" xfId="15064"/>
    <cellStyle name="Normal 4 5 3 2 2 2 2 2 2 2" xfId="30108"/>
    <cellStyle name="Normal 4 5 3 2 2 2 2 2 2 3" xfId="45151"/>
    <cellStyle name="Normal 4 5 3 2 2 2 2 2 3" xfId="22587"/>
    <cellStyle name="Normal 4 5 3 2 2 2 2 2 4" xfId="37630"/>
    <cellStyle name="Normal 4 5 3 2 2 2 2 3" xfId="11315"/>
    <cellStyle name="Normal 4 5 3 2 2 2 2 3 2" xfId="26359"/>
    <cellStyle name="Normal 4 5 3 2 2 2 2 3 3" xfId="41402"/>
    <cellStyle name="Normal 4 5 3 2 2 2 2 4" xfId="18838"/>
    <cellStyle name="Normal 4 5 3 2 2 2 2 5" xfId="33881"/>
    <cellStyle name="Normal 4 5 3 2 2 2 3" xfId="5676"/>
    <cellStyle name="Normal 4 5 3 2 2 2 3 2" xfId="13199"/>
    <cellStyle name="Normal 4 5 3 2 2 2 3 2 2" xfId="28243"/>
    <cellStyle name="Normal 4 5 3 2 2 2 3 2 3" xfId="43286"/>
    <cellStyle name="Normal 4 5 3 2 2 2 3 3" xfId="20722"/>
    <cellStyle name="Normal 4 5 3 2 2 2 3 4" xfId="35765"/>
    <cellStyle name="Normal 4 5 3 2 2 2 4" xfId="9450"/>
    <cellStyle name="Normal 4 5 3 2 2 2 4 2" xfId="24494"/>
    <cellStyle name="Normal 4 5 3 2 2 2 4 3" xfId="39537"/>
    <cellStyle name="Normal 4 5 3 2 2 2 5" xfId="16973"/>
    <cellStyle name="Normal 4 5 3 2 2 2 6" xfId="32016"/>
    <cellStyle name="Normal 4 5 3 2 2 3" xfId="2814"/>
    <cellStyle name="Normal 4 5 3 2 2 3 2" xfId="6609"/>
    <cellStyle name="Normal 4 5 3 2 2 3 2 2" xfId="14132"/>
    <cellStyle name="Normal 4 5 3 2 2 3 2 2 2" xfId="29176"/>
    <cellStyle name="Normal 4 5 3 2 2 3 2 2 3" xfId="44219"/>
    <cellStyle name="Normal 4 5 3 2 2 3 2 3" xfId="21655"/>
    <cellStyle name="Normal 4 5 3 2 2 3 2 4" xfId="36698"/>
    <cellStyle name="Normal 4 5 3 2 2 3 3" xfId="10383"/>
    <cellStyle name="Normal 4 5 3 2 2 3 3 2" xfId="25427"/>
    <cellStyle name="Normal 4 5 3 2 2 3 3 3" xfId="40470"/>
    <cellStyle name="Normal 4 5 3 2 2 3 4" xfId="17906"/>
    <cellStyle name="Normal 4 5 3 2 2 3 5" xfId="32949"/>
    <cellStyle name="Normal 4 5 3 2 2 4" xfId="4744"/>
    <cellStyle name="Normal 4 5 3 2 2 4 2" xfId="12267"/>
    <cellStyle name="Normal 4 5 3 2 2 4 2 2" xfId="27311"/>
    <cellStyle name="Normal 4 5 3 2 2 4 2 3" xfId="42354"/>
    <cellStyle name="Normal 4 5 3 2 2 4 3" xfId="19790"/>
    <cellStyle name="Normal 4 5 3 2 2 4 4" xfId="34833"/>
    <cellStyle name="Normal 4 5 3 2 2 5" xfId="8518"/>
    <cellStyle name="Normal 4 5 3 2 2 5 2" xfId="23562"/>
    <cellStyle name="Normal 4 5 3 2 2 5 3" xfId="38605"/>
    <cellStyle name="Normal 4 5 3 2 2 6" xfId="16041"/>
    <cellStyle name="Normal 4 5 3 2 2 7" xfId="31084"/>
    <cellStyle name="Normal 4 5 3 2 3" xfId="1423"/>
    <cellStyle name="Normal 4 5 3 2 3 2" xfId="3294"/>
    <cellStyle name="Normal 4 5 3 2 3 2 2" xfId="7089"/>
    <cellStyle name="Normal 4 5 3 2 3 2 2 2" xfId="14612"/>
    <cellStyle name="Normal 4 5 3 2 3 2 2 2 2" xfId="29656"/>
    <cellStyle name="Normal 4 5 3 2 3 2 2 2 3" xfId="44699"/>
    <cellStyle name="Normal 4 5 3 2 3 2 2 3" xfId="22135"/>
    <cellStyle name="Normal 4 5 3 2 3 2 2 4" xfId="37178"/>
    <cellStyle name="Normal 4 5 3 2 3 2 3" xfId="10863"/>
    <cellStyle name="Normal 4 5 3 2 3 2 3 2" xfId="25907"/>
    <cellStyle name="Normal 4 5 3 2 3 2 3 3" xfId="40950"/>
    <cellStyle name="Normal 4 5 3 2 3 2 4" xfId="18386"/>
    <cellStyle name="Normal 4 5 3 2 3 2 5" xfId="33429"/>
    <cellStyle name="Normal 4 5 3 2 3 3" xfId="5224"/>
    <cellStyle name="Normal 4 5 3 2 3 3 2" xfId="12747"/>
    <cellStyle name="Normal 4 5 3 2 3 3 2 2" xfId="27791"/>
    <cellStyle name="Normal 4 5 3 2 3 3 2 3" xfId="42834"/>
    <cellStyle name="Normal 4 5 3 2 3 3 3" xfId="20270"/>
    <cellStyle name="Normal 4 5 3 2 3 3 4" xfId="35313"/>
    <cellStyle name="Normal 4 5 3 2 3 4" xfId="8998"/>
    <cellStyle name="Normal 4 5 3 2 3 4 2" xfId="24042"/>
    <cellStyle name="Normal 4 5 3 2 3 4 3" xfId="39085"/>
    <cellStyle name="Normal 4 5 3 2 3 5" xfId="16521"/>
    <cellStyle name="Normal 4 5 3 2 3 6" xfId="31564"/>
    <cellStyle name="Normal 4 5 3 2 4" xfId="2361"/>
    <cellStyle name="Normal 4 5 3 2 4 2" xfId="6157"/>
    <cellStyle name="Normal 4 5 3 2 4 2 2" xfId="13680"/>
    <cellStyle name="Normal 4 5 3 2 4 2 2 2" xfId="28724"/>
    <cellStyle name="Normal 4 5 3 2 4 2 2 3" xfId="43767"/>
    <cellStyle name="Normal 4 5 3 2 4 2 3" xfId="21203"/>
    <cellStyle name="Normal 4 5 3 2 4 2 4" xfId="36246"/>
    <cellStyle name="Normal 4 5 3 2 4 3" xfId="9931"/>
    <cellStyle name="Normal 4 5 3 2 4 3 2" xfId="24975"/>
    <cellStyle name="Normal 4 5 3 2 4 3 3" xfId="40018"/>
    <cellStyle name="Normal 4 5 3 2 4 4" xfId="17454"/>
    <cellStyle name="Normal 4 5 3 2 4 5" xfId="32497"/>
    <cellStyle name="Normal 4 5 3 2 5" xfId="4289"/>
    <cellStyle name="Normal 4 5 3 2 5 2" xfId="11813"/>
    <cellStyle name="Normal 4 5 3 2 5 2 2" xfId="26857"/>
    <cellStyle name="Normal 4 5 3 2 5 2 3" xfId="41900"/>
    <cellStyle name="Normal 4 5 3 2 5 3" xfId="19336"/>
    <cellStyle name="Normal 4 5 3 2 5 4" xfId="34379"/>
    <cellStyle name="Normal 4 5 3 2 6" xfId="8052"/>
    <cellStyle name="Normal 4 5 3 2 6 2" xfId="23096"/>
    <cellStyle name="Normal 4 5 3 2 6 3" xfId="38139"/>
    <cellStyle name="Normal 4 5 3 2 7" xfId="15575"/>
    <cellStyle name="Normal 4 5 3 2 8" xfId="30618"/>
    <cellStyle name="Normal 4 5 3 3" xfId="915"/>
    <cellStyle name="Normal 4 5 3 3 2" xfId="1874"/>
    <cellStyle name="Normal 4 5 3 3 2 2" xfId="3745"/>
    <cellStyle name="Normal 4 5 3 3 2 2 2" xfId="7540"/>
    <cellStyle name="Normal 4 5 3 3 2 2 2 2" xfId="15063"/>
    <cellStyle name="Normal 4 5 3 3 2 2 2 2 2" xfId="30107"/>
    <cellStyle name="Normal 4 5 3 3 2 2 2 2 3" xfId="45150"/>
    <cellStyle name="Normal 4 5 3 3 2 2 2 3" xfId="22586"/>
    <cellStyle name="Normal 4 5 3 3 2 2 2 4" xfId="37629"/>
    <cellStyle name="Normal 4 5 3 3 2 2 3" xfId="11314"/>
    <cellStyle name="Normal 4 5 3 3 2 2 3 2" xfId="26358"/>
    <cellStyle name="Normal 4 5 3 3 2 2 3 3" xfId="41401"/>
    <cellStyle name="Normal 4 5 3 3 2 2 4" xfId="18837"/>
    <cellStyle name="Normal 4 5 3 3 2 2 5" xfId="33880"/>
    <cellStyle name="Normal 4 5 3 3 2 3" xfId="5675"/>
    <cellStyle name="Normal 4 5 3 3 2 3 2" xfId="13198"/>
    <cellStyle name="Normal 4 5 3 3 2 3 2 2" xfId="28242"/>
    <cellStyle name="Normal 4 5 3 3 2 3 2 3" xfId="43285"/>
    <cellStyle name="Normal 4 5 3 3 2 3 3" xfId="20721"/>
    <cellStyle name="Normal 4 5 3 3 2 3 4" xfId="35764"/>
    <cellStyle name="Normal 4 5 3 3 2 4" xfId="9449"/>
    <cellStyle name="Normal 4 5 3 3 2 4 2" xfId="24493"/>
    <cellStyle name="Normal 4 5 3 3 2 4 3" xfId="39536"/>
    <cellStyle name="Normal 4 5 3 3 2 5" xfId="16972"/>
    <cellStyle name="Normal 4 5 3 3 2 6" xfId="32015"/>
    <cellStyle name="Normal 4 5 3 3 3" xfId="2813"/>
    <cellStyle name="Normal 4 5 3 3 3 2" xfId="6608"/>
    <cellStyle name="Normal 4 5 3 3 3 2 2" xfId="14131"/>
    <cellStyle name="Normal 4 5 3 3 3 2 2 2" xfId="29175"/>
    <cellStyle name="Normal 4 5 3 3 3 2 2 3" xfId="44218"/>
    <cellStyle name="Normal 4 5 3 3 3 2 3" xfId="21654"/>
    <cellStyle name="Normal 4 5 3 3 3 2 4" xfId="36697"/>
    <cellStyle name="Normal 4 5 3 3 3 3" xfId="10382"/>
    <cellStyle name="Normal 4 5 3 3 3 3 2" xfId="25426"/>
    <cellStyle name="Normal 4 5 3 3 3 3 3" xfId="40469"/>
    <cellStyle name="Normal 4 5 3 3 3 4" xfId="17905"/>
    <cellStyle name="Normal 4 5 3 3 3 5" xfId="32948"/>
    <cellStyle name="Normal 4 5 3 3 4" xfId="4743"/>
    <cellStyle name="Normal 4 5 3 3 4 2" xfId="12266"/>
    <cellStyle name="Normal 4 5 3 3 4 2 2" xfId="27310"/>
    <cellStyle name="Normal 4 5 3 3 4 2 3" xfId="42353"/>
    <cellStyle name="Normal 4 5 3 3 4 3" xfId="19789"/>
    <cellStyle name="Normal 4 5 3 3 4 4" xfId="34832"/>
    <cellStyle name="Normal 4 5 3 3 5" xfId="8517"/>
    <cellStyle name="Normal 4 5 3 3 5 2" xfId="23561"/>
    <cellStyle name="Normal 4 5 3 3 5 3" xfId="38604"/>
    <cellStyle name="Normal 4 5 3 3 6" xfId="16040"/>
    <cellStyle name="Normal 4 5 3 3 7" xfId="31083"/>
    <cellStyle name="Normal 4 5 3 4" xfId="1422"/>
    <cellStyle name="Normal 4 5 3 4 2" xfId="3293"/>
    <cellStyle name="Normal 4 5 3 4 2 2" xfId="7088"/>
    <cellStyle name="Normal 4 5 3 4 2 2 2" xfId="14611"/>
    <cellStyle name="Normal 4 5 3 4 2 2 2 2" xfId="29655"/>
    <cellStyle name="Normal 4 5 3 4 2 2 2 3" xfId="44698"/>
    <cellStyle name="Normal 4 5 3 4 2 2 3" xfId="22134"/>
    <cellStyle name="Normal 4 5 3 4 2 2 4" xfId="37177"/>
    <cellStyle name="Normal 4 5 3 4 2 3" xfId="10862"/>
    <cellStyle name="Normal 4 5 3 4 2 3 2" xfId="25906"/>
    <cellStyle name="Normal 4 5 3 4 2 3 3" xfId="40949"/>
    <cellStyle name="Normal 4 5 3 4 2 4" xfId="18385"/>
    <cellStyle name="Normal 4 5 3 4 2 5" xfId="33428"/>
    <cellStyle name="Normal 4 5 3 4 3" xfId="5223"/>
    <cellStyle name="Normal 4 5 3 4 3 2" xfId="12746"/>
    <cellStyle name="Normal 4 5 3 4 3 2 2" xfId="27790"/>
    <cellStyle name="Normal 4 5 3 4 3 2 3" xfId="42833"/>
    <cellStyle name="Normal 4 5 3 4 3 3" xfId="20269"/>
    <cellStyle name="Normal 4 5 3 4 3 4" xfId="35312"/>
    <cellStyle name="Normal 4 5 3 4 4" xfId="8997"/>
    <cellStyle name="Normal 4 5 3 4 4 2" xfId="24041"/>
    <cellStyle name="Normal 4 5 3 4 4 3" xfId="39084"/>
    <cellStyle name="Normal 4 5 3 4 5" xfId="16520"/>
    <cellStyle name="Normal 4 5 3 4 6" xfId="31563"/>
    <cellStyle name="Normal 4 5 3 5" xfId="2360"/>
    <cellStyle name="Normal 4 5 3 5 2" xfId="6156"/>
    <cellStyle name="Normal 4 5 3 5 2 2" xfId="13679"/>
    <cellStyle name="Normal 4 5 3 5 2 2 2" xfId="28723"/>
    <cellStyle name="Normal 4 5 3 5 2 2 3" xfId="43766"/>
    <cellStyle name="Normal 4 5 3 5 2 3" xfId="21202"/>
    <cellStyle name="Normal 4 5 3 5 2 4" xfId="36245"/>
    <cellStyle name="Normal 4 5 3 5 3" xfId="9930"/>
    <cellStyle name="Normal 4 5 3 5 3 2" xfId="24974"/>
    <cellStyle name="Normal 4 5 3 5 3 3" xfId="40017"/>
    <cellStyle name="Normal 4 5 3 5 4" xfId="17453"/>
    <cellStyle name="Normal 4 5 3 5 5" xfId="32496"/>
    <cellStyle name="Normal 4 5 3 6" xfId="4288"/>
    <cellStyle name="Normal 4 5 3 6 2" xfId="11812"/>
    <cellStyle name="Normal 4 5 3 6 2 2" xfId="26856"/>
    <cellStyle name="Normal 4 5 3 6 2 3" xfId="41899"/>
    <cellStyle name="Normal 4 5 3 6 3" xfId="19335"/>
    <cellStyle name="Normal 4 5 3 6 4" xfId="34378"/>
    <cellStyle name="Normal 4 5 3 7" xfId="8051"/>
    <cellStyle name="Normal 4 5 3 7 2" xfId="23095"/>
    <cellStyle name="Normal 4 5 3 7 3" xfId="38138"/>
    <cellStyle name="Normal 4 5 3 8" xfId="15574"/>
    <cellStyle name="Normal 4 5 3 9" xfId="30617"/>
    <cellStyle name="Normal 4 5 4" xfId="393"/>
    <cellStyle name="Normal 4 5 4 2" xfId="394"/>
    <cellStyle name="Normal 4 5 4 2 2" xfId="918"/>
    <cellStyle name="Normal 4 5 4 2 2 2" xfId="1877"/>
    <cellStyle name="Normal 4 5 4 2 2 2 2" xfId="3748"/>
    <cellStyle name="Normal 4 5 4 2 2 2 2 2" xfId="7543"/>
    <cellStyle name="Normal 4 5 4 2 2 2 2 2 2" xfId="15066"/>
    <cellStyle name="Normal 4 5 4 2 2 2 2 2 2 2" xfId="30110"/>
    <cellStyle name="Normal 4 5 4 2 2 2 2 2 2 3" xfId="45153"/>
    <cellStyle name="Normal 4 5 4 2 2 2 2 2 3" xfId="22589"/>
    <cellStyle name="Normal 4 5 4 2 2 2 2 2 4" xfId="37632"/>
    <cellStyle name="Normal 4 5 4 2 2 2 2 3" xfId="11317"/>
    <cellStyle name="Normal 4 5 4 2 2 2 2 3 2" xfId="26361"/>
    <cellStyle name="Normal 4 5 4 2 2 2 2 3 3" xfId="41404"/>
    <cellStyle name="Normal 4 5 4 2 2 2 2 4" xfId="18840"/>
    <cellStyle name="Normal 4 5 4 2 2 2 2 5" xfId="33883"/>
    <cellStyle name="Normal 4 5 4 2 2 2 3" xfId="5678"/>
    <cellStyle name="Normal 4 5 4 2 2 2 3 2" xfId="13201"/>
    <cellStyle name="Normal 4 5 4 2 2 2 3 2 2" xfId="28245"/>
    <cellStyle name="Normal 4 5 4 2 2 2 3 2 3" xfId="43288"/>
    <cellStyle name="Normal 4 5 4 2 2 2 3 3" xfId="20724"/>
    <cellStyle name="Normal 4 5 4 2 2 2 3 4" xfId="35767"/>
    <cellStyle name="Normal 4 5 4 2 2 2 4" xfId="9452"/>
    <cellStyle name="Normal 4 5 4 2 2 2 4 2" xfId="24496"/>
    <cellStyle name="Normal 4 5 4 2 2 2 4 3" xfId="39539"/>
    <cellStyle name="Normal 4 5 4 2 2 2 5" xfId="16975"/>
    <cellStyle name="Normal 4 5 4 2 2 2 6" xfId="32018"/>
    <cellStyle name="Normal 4 5 4 2 2 3" xfId="2816"/>
    <cellStyle name="Normal 4 5 4 2 2 3 2" xfId="6611"/>
    <cellStyle name="Normal 4 5 4 2 2 3 2 2" xfId="14134"/>
    <cellStyle name="Normal 4 5 4 2 2 3 2 2 2" xfId="29178"/>
    <cellStyle name="Normal 4 5 4 2 2 3 2 2 3" xfId="44221"/>
    <cellStyle name="Normal 4 5 4 2 2 3 2 3" xfId="21657"/>
    <cellStyle name="Normal 4 5 4 2 2 3 2 4" xfId="36700"/>
    <cellStyle name="Normal 4 5 4 2 2 3 3" xfId="10385"/>
    <cellStyle name="Normal 4 5 4 2 2 3 3 2" xfId="25429"/>
    <cellStyle name="Normal 4 5 4 2 2 3 3 3" xfId="40472"/>
    <cellStyle name="Normal 4 5 4 2 2 3 4" xfId="17908"/>
    <cellStyle name="Normal 4 5 4 2 2 3 5" xfId="32951"/>
    <cellStyle name="Normal 4 5 4 2 2 4" xfId="4746"/>
    <cellStyle name="Normal 4 5 4 2 2 4 2" xfId="12269"/>
    <cellStyle name="Normal 4 5 4 2 2 4 2 2" xfId="27313"/>
    <cellStyle name="Normal 4 5 4 2 2 4 2 3" xfId="42356"/>
    <cellStyle name="Normal 4 5 4 2 2 4 3" xfId="19792"/>
    <cellStyle name="Normal 4 5 4 2 2 4 4" xfId="34835"/>
    <cellStyle name="Normal 4 5 4 2 2 5" xfId="8520"/>
    <cellStyle name="Normal 4 5 4 2 2 5 2" xfId="23564"/>
    <cellStyle name="Normal 4 5 4 2 2 5 3" xfId="38607"/>
    <cellStyle name="Normal 4 5 4 2 2 6" xfId="16043"/>
    <cellStyle name="Normal 4 5 4 2 2 7" xfId="31086"/>
    <cellStyle name="Normal 4 5 4 2 3" xfId="1425"/>
    <cellStyle name="Normal 4 5 4 2 3 2" xfId="3296"/>
    <cellStyle name="Normal 4 5 4 2 3 2 2" xfId="7091"/>
    <cellStyle name="Normal 4 5 4 2 3 2 2 2" xfId="14614"/>
    <cellStyle name="Normal 4 5 4 2 3 2 2 2 2" xfId="29658"/>
    <cellStyle name="Normal 4 5 4 2 3 2 2 2 3" xfId="44701"/>
    <cellStyle name="Normal 4 5 4 2 3 2 2 3" xfId="22137"/>
    <cellStyle name="Normal 4 5 4 2 3 2 2 4" xfId="37180"/>
    <cellStyle name="Normal 4 5 4 2 3 2 3" xfId="10865"/>
    <cellStyle name="Normal 4 5 4 2 3 2 3 2" xfId="25909"/>
    <cellStyle name="Normal 4 5 4 2 3 2 3 3" xfId="40952"/>
    <cellStyle name="Normal 4 5 4 2 3 2 4" xfId="18388"/>
    <cellStyle name="Normal 4 5 4 2 3 2 5" xfId="33431"/>
    <cellStyle name="Normal 4 5 4 2 3 3" xfId="5226"/>
    <cellStyle name="Normal 4 5 4 2 3 3 2" xfId="12749"/>
    <cellStyle name="Normal 4 5 4 2 3 3 2 2" xfId="27793"/>
    <cellStyle name="Normal 4 5 4 2 3 3 2 3" xfId="42836"/>
    <cellStyle name="Normal 4 5 4 2 3 3 3" xfId="20272"/>
    <cellStyle name="Normal 4 5 4 2 3 3 4" xfId="35315"/>
    <cellStyle name="Normal 4 5 4 2 3 4" xfId="9000"/>
    <cellStyle name="Normal 4 5 4 2 3 4 2" xfId="24044"/>
    <cellStyle name="Normal 4 5 4 2 3 4 3" xfId="39087"/>
    <cellStyle name="Normal 4 5 4 2 3 5" xfId="16523"/>
    <cellStyle name="Normal 4 5 4 2 3 6" xfId="31566"/>
    <cellStyle name="Normal 4 5 4 2 4" xfId="2363"/>
    <cellStyle name="Normal 4 5 4 2 4 2" xfId="6159"/>
    <cellStyle name="Normal 4 5 4 2 4 2 2" xfId="13682"/>
    <cellStyle name="Normal 4 5 4 2 4 2 2 2" xfId="28726"/>
    <cellStyle name="Normal 4 5 4 2 4 2 2 3" xfId="43769"/>
    <cellStyle name="Normal 4 5 4 2 4 2 3" xfId="21205"/>
    <cellStyle name="Normal 4 5 4 2 4 2 4" xfId="36248"/>
    <cellStyle name="Normal 4 5 4 2 4 3" xfId="9933"/>
    <cellStyle name="Normal 4 5 4 2 4 3 2" xfId="24977"/>
    <cellStyle name="Normal 4 5 4 2 4 3 3" xfId="40020"/>
    <cellStyle name="Normal 4 5 4 2 4 4" xfId="17456"/>
    <cellStyle name="Normal 4 5 4 2 4 5" xfId="32499"/>
    <cellStyle name="Normal 4 5 4 2 5" xfId="4291"/>
    <cellStyle name="Normal 4 5 4 2 5 2" xfId="11815"/>
    <cellStyle name="Normal 4 5 4 2 5 2 2" xfId="26859"/>
    <cellStyle name="Normal 4 5 4 2 5 2 3" xfId="41902"/>
    <cellStyle name="Normal 4 5 4 2 5 3" xfId="19338"/>
    <cellStyle name="Normal 4 5 4 2 5 4" xfId="34381"/>
    <cellStyle name="Normal 4 5 4 2 6" xfId="8054"/>
    <cellStyle name="Normal 4 5 4 2 6 2" xfId="23098"/>
    <cellStyle name="Normal 4 5 4 2 6 3" xfId="38141"/>
    <cellStyle name="Normal 4 5 4 2 7" xfId="15577"/>
    <cellStyle name="Normal 4 5 4 2 8" xfId="30620"/>
    <cellStyle name="Normal 4 5 4 3" xfId="917"/>
    <cellStyle name="Normal 4 5 4 3 2" xfId="1876"/>
    <cellStyle name="Normal 4 5 4 3 2 2" xfId="3747"/>
    <cellStyle name="Normal 4 5 4 3 2 2 2" xfId="7542"/>
    <cellStyle name="Normal 4 5 4 3 2 2 2 2" xfId="15065"/>
    <cellStyle name="Normal 4 5 4 3 2 2 2 2 2" xfId="30109"/>
    <cellStyle name="Normal 4 5 4 3 2 2 2 2 3" xfId="45152"/>
    <cellStyle name="Normal 4 5 4 3 2 2 2 3" xfId="22588"/>
    <cellStyle name="Normal 4 5 4 3 2 2 2 4" xfId="37631"/>
    <cellStyle name="Normal 4 5 4 3 2 2 3" xfId="11316"/>
    <cellStyle name="Normal 4 5 4 3 2 2 3 2" xfId="26360"/>
    <cellStyle name="Normal 4 5 4 3 2 2 3 3" xfId="41403"/>
    <cellStyle name="Normal 4 5 4 3 2 2 4" xfId="18839"/>
    <cellStyle name="Normal 4 5 4 3 2 2 5" xfId="33882"/>
    <cellStyle name="Normal 4 5 4 3 2 3" xfId="5677"/>
    <cellStyle name="Normal 4 5 4 3 2 3 2" xfId="13200"/>
    <cellStyle name="Normal 4 5 4 3 2 3 2 2" xfId="28244"/>
    <cellStyle name="Normal 4 5 4 3 2 3 2 3" xfId="43287"/>
    <cellStyle name="Normal 4 5 4 3 2 3 3" xfId="20723"/>
    <cellStyle name="Normal 4 5 4 3 2 3 4" xfId="35766"/>
    <cellStyle name="Normal 4 5 4 3 2 4" xfId="9451"/>
    <cellStyle name="Normal 4 5 4 3 2 4 2" xfId="24495"/>
    <cellStyle name="Normal 4 5 4 3 2 4 3" xfId="39538"/>
    <cellStyle name="Normal 4 5 4 3 2 5" xfId="16974"/>
    <cellStyle name="Normal 4 5 4 3 2 6" xfId="32017"/>
    <cellStyle name="Normal 4 5 4 3 3" xfId="2815"/>
    <cellStyle name="Normal 4 5 4 3 3 2" xfId="6610"/>
    <cellStyle name="Normal 4 5 4 3 3 2 2" xfId="14133"/>
    <cellStyle name="Normal 4 5 4 3 3 2 2 2" xfId="29177"/>
    <cellStyle name="Normal 4 5 4 3 3 2 2 3" xfId="44220"/>
    <cellStyle name="Normal 4 5 4 3 3 2 3" xfId="21656"/>
    <cellStyle name="Normal 4 5 4 3 3 2 4" xfId="36699"/>
    <cellStyle name="Normal 4 5 4 3 3 3" xfId="10384"/>
    <cellStyle name="Normal 4 5 4 3 3 3 2" xfId="25428"/>
    <cellStyle name="Normal 4 5 4 3 3 3 3" xfId="40471"/>
    <cellStyle name="Normal 4 5 4 3 3 4" xfId="17907"/>
    <cellStyle name="Normal 4 5 4 3 3 5" xfId="32950"/>
    <cellStyle name="Normal 4 5 4 3 4" xfId="4745"/>
    <cellStyle name="Normal 4 5 4 3 4 2" xfId="12268"/>
    <cellStyle name="Normal 4 5 4 3 4 2 2" xfId="27312"/>
    <cellStyle name="Normal 4 5 4 3 4 2 3" xfId="42355"/>
    <cellStyle name="Normal 4 5 4 3 4 3" xfId="19791"/>
    <cellStyle name="Normal 4 5 4 3 4 4" xfId="34834"/>
    <cellStyle name="Normal 4 5 4 3 5" xfId="8519"/>
    <cellStyle name="Normal 4 5 4 3 5 2" xfId="23563"/>
    <cellStyle name="Normal 4 5 4 3 5 3" xfId="38606"/>
    <cellStyle name="Normal 4 5 4 3 6" xfId="16042"/>
    <cellStyle name="Normal 4 5 4 3 7" xfId="31085"/>
    <cellStyle name="Normal 4 5 4 4" xfId="1424"/>
    <cellStyle name="Normal 4 5 4 4 2" xfId="3295"/>
    <cellStyle name="Normal 4 5 4 4 2 2" xfId="7090"/>
    <cellStyle name="Normal 4 5 4 4 2 2 2" xfId="14613"/>
    <cellStyle name="Normal 4 5 4 4 2 2 2 2" xfId="29657"/>
    <cellStyle name="Normal 4 5 4 4 2 2 2 3" xfId="44700"/>
    <cellStyle name="Normal 4 5 4 4 2 2 3" xfId="22136"/>
    <cellStyle name="Normal 4 5 4 4 2 2 4" xfId="37179"/>
    <cellStyle name="Normal 4 5 4 4 2 3" xfId="10864"/>
    <cellStyle name="Normal 4 5 4 4 2 3 2" xfId="25908"/>
    <cellStyle name="Normal 4 5 4 4 2 3 3" xfId="40951"/>
    <cellStyle name="Normal 4 5 4 4 2 4" xfId="18387"/>
    <cellStyle name="Normal 4 5 4 4 2 5" xfId="33430"/>
    <cellStyle name="Normal 4 5 4 4 3" xfId="5225"/>
    <cellStyle name="Normal 4 5 4 4 3 2" xfId="12748"/>
    <cellStyle name="Normal 4 5 4 4 3 2 2" xfId="27792"/>
    <cellStyle name="Normal 4 5 4 4 3 2 3" xfId="42835"/>
    <cellStyle name="Normal 4 5 4 4 3 3" xfId="20271"/>
    <cellStyle name="Normal 4 5 4 4 3 4" xfId="35314"/>
    <cellStyle name="Normal 4 5 4 4 4" xfId="8999"/>
    <cellStyle name="Normal 4 5 4 4 4 2" xfId="24043"/>
    <cellStyle name="Normal 4 5 4 4 4 3" xfId="39086"/>
    <cellStyle name="Normal 4 5 4 4 5" xfId="16522"/>
    <cellStyle name="Normal 4 5 4 4 6" xfId="31565"/>
    <cellStyle name="Normal 4 5 4 5" xfId="2362"/>
    <cellStyle name="Normal 4 5 4 5 2" xfId="6158"/>
    <cellStyle name="Normal 4 5 4 5 2 2" xfId="13681"/>
    <cellStyle name="Normal 4 5 4 5 2 2 2" xfId="28725"/>
    <cellStyle name="Normal 4 5 4 5 2 2 3" xfId="43768"/>
    <cellStyle name="Normal 4 5 4 5 2 3" xfId="21204"/>
    <cellStyle name="Normal 4 5 4 5 2 4" xfId="36247"/>
    <cellStyle name="Normal 4 5 4 5 3" xfId="9932"/>
    <cellStyle name="Normal 4 5 4 5 3 2" xfId="24976"/>
    <cellStyle name="Normal 4 5 4 5 3 3" xfId="40019"/>
    <cellStyle name="Normal 4 5 4 5 4" xfId="17455"/>
    <cellStyle name="Normal 4 5 4 5 5" xfId="32498"/>
    <cellStyle name="Normal 4 5 4 6" xfId="4290"/>
    <cellStyle name="Normal 4 5 4 6 2" xfId="11814"/>
    <cellStyle name="Normal 4 5 4 6 2 2" xfId="26858"/>
    <cellStyle name="Normal 4 5 4 6 2 3" xfId="41901"/>
    <cellStyle name="Normal 4 5 4 6 3" xfId="19337"/>
    <cellStyle name="Normal 4 5 4 6 4" xfId="34380"/>
    <cellStyle name="Normal 4 5 4 7" xfId="8053"/>
    <cellStyle name="Normal 4 5 4 7 2" xfId="23097"/>
    <cellStyle name="Normal 4 5 4 7 3" xfId="38140"/>
    <cellStyle name="Normal 4 5 4 8" xfId="15576"/>
    <cellStyle name="Normal 4 5 4 9" xfId="30619"/>
    <cellStyle name="Normal 4 5 5" xfId="395"/>
    <cellStyle name="Normal 4 5 5 2" xfId="919"/>
    <cellStyle name="Normal 4 5 5 2 2" xfId="1878"/>
    <cellStyle name="Normal 4 5 5 2 2 2" xfId="3749"/>
    <cellStyle name="Normal 4 5 5 2 2 2 2" xfId="7544"/>
    <cellStyle name="Normal 4 5 5 2 2 2 2 2" xfId="15067"/>
    <cellStyle name="Normal 4 5 5 2 2 2 2 2 2" xfId="30111"/>
    <cellStyle name="Normal 4 5 5 2 2 2 2 2 3" xfId="45154"/>
    <cellStyle name="Normal 4 5 5 2 2 2 2 3" xfId="22590"/>
    <cellStyle name="Normal 4 5 5 2 2 2 2 4" xfId="37633"/>
    <cellStyle name="Normal 4 5 5 2 2 2 3" xfId="11318"/>
    <cellStyle name="Normal 4 5 5 2 2 2 3 2" xfId="26362"/>
    <cellStyle name="Normal 4 5 5 2 2 2 3 3" xfId="41405"/>
    <cellStyle name="Normal 4 5 5 2 2 2 4" xfId="18841"/>
    <cellStyle name="Normal 4 5 5 2 2 2 5" xfId="33884"/>
    <cellStyle name="Normal 4 5 5 2 2 3" xfId="5679"/>
    <cellStyle name="Normal 4 5 5 2 2 3 2" xfId="13202"/>
    <cellStyle name="Normal 4 5 5 2 2 3 2 2" xfId="28246"/>
    <cellStyle name="Normal 4 5 5 2 2 3 2 3" xfId="43289"/>
    <cellStyle name="Normal 4 5 5 2 2 3 3" xfId="20725"/>
    <cellStyle name="Normal 4 5 5 2 2 3 4" xfId="35768"/>
    <cellStyle name="Normal 4 5 5 2 2 4" xfId="9453"/>
    <cellStyle name="Normal 4 5 5 2 2 4 2" xfId="24497"/>
    <cellStyle name="Normal 4 5 5 2 2 4 3" xfId="39540"/>
    <cellStyle name="Normal 4 5 5 2 2 5" xfId="16976"/>
    <cellStyle name="Normal 4 5 5 2 2 6" xfId="32019"/>
    <cellStyle name="Normal 4 5 5 2 3" xfId="2817"/>
    <cellStyle name="Normal 4 5 5 2 3 2" xfId="6612"/>
    <cellStyle name="Normal 4 5 5 2 3 2 2" xfId="14135"/>
    <cellStyle name="Normal 4 5 5 2 3 2 2 2" xfId="29179"/>
    <cellStyle name="Normal 4 5 5 2 3 2 2 3" xfId="44222"/>
    <cellStyle name="Normal 4 5 5 2 3 2 3" xfId="21658"/>
    <cellStyle name="Normal 4 5 5 2 3 2 4" xfId="36701"/>
    <cellStyle name="Normal 4 5 5 2 3 3" xfId="10386"/>
    <cellStyle name="Normal 4 5 5 2 3 3 2" xfId="25430"/>
    <cellStyle name="Normal 4 5 5 2 3 3 3" xfId="40473"/>
    <cellStyle name="Normal 4 5 5 2 3 4" xfId="17909"/>
    <cellStyle name="Normal 4 5 5 2 3 5" xfId="32952"/>
    <cellStyle name="Normal 4 5 5 2 4" xfId="4747"/>
    <cellStyle name="Normal 4 5 5 2 4 2" xfId="12270"/>
    <cellStyle name="Normal 4 5 5 2 4 2 2" xfId="27314"/>
    <cellStyle name="Normal 4 5 5 2 4 2 3" xfId="42357"/>
    <cellStyle name="Normal 4 5 5 2 4 3" xfId="19793"/>
    <cellStyle name="Normal 4 5 5 2 4 4" xfId="34836"/>
    <cellStyle name="Normal 4 5 5 2 5" xfId="8521"/>
    <cellStyle name="Normal 4 5 5 2 5 2" xfId="23565"/>
    <cellStyle name="Normal 4 5 5 2 5 3" xfId="38608"/>
    <cellStyle name="Normal 4 5 5 2 6" xfId="16044"/>
    <cellStyle name="Normal 4 5 5 2 7" xfId="31087"/>
    <cellStyle name="Normal 4 5 5 3" xfId="1426"/>
    <cellStyle name="Normal 4 5 5 3 2" xfId="3297"/>
    <cellStyle name="Normal 4 5 5 3 2 2" xfId="7092"/>
    <cellStyle name="Normal 4 5 5 3 2 2 2" xfId="14615"/>
    <cellStyle name="Normal 4 5 5 3 2 2 2 2" xfId="29659"/>
    <cellStyle name="Normal 4 5 5 3 2 2 2 3" xfId="44702"/>
    <cellStyle name="Normal 4 5 5 3 2 2 3" xfId="22138"/>
    <cellStyle name="Normal 4 5 5 3 2 2 4" xfId="37181"/>
    <cellStyle name="Normal 4 5 5 3 2 3" xfId="10866"/>
    <cellStyle name="Normal 4 5 5 3 2 3 2" xfId="25910"/>
    <cellStyle name="Normal 4 5 5 3 2 3 3" xfId="40953"/>
    <cellStyle name="Normal 4 5 5 3 2 4" xfId="18389"/>
    <cellStyle name="Normal 4 5 5 3 2 5" xfId="33432"/>
    <cellStyle name="Normal 4 5 5 3 3" xfId="5227"/>
    <cellStyle name="Normal 4 5 5 3 3 2" xfId="12750"/>
    <cellStyle name="Normal 4 5 5 3 3 2 2" xfId="27794"/>
    <cellStyle name="Normal 4 5 5 3 3 2 3" xfId="42837"/>
    <cellStyle name="Normal 4 5 5 3 3 3" xfId="20273"/>
    <cellStyle name="Normal 4 5 5 3 3 4" xfId="35316"/>
    <cellStyle name="Normal 4 5 5 3 4" xfId="9001"/>
    <cellStyle name="Normal 4 5 5 3 4 2" xfId="24045"/>
    <cellStyle name="Normal 4 5 5 3 4 3" xfId="39088"/>
    <cellStyle name="Normal 4 5 5 3 5" xfId="16524"/>
    <cellStyle name="Normal 4 5 5 3 6" xfId="31567"/>
    <cellStyle name="Normal 4 5 5 4" xfId="2364"/>
    <cellStyle name="Normal 4 5 5 4 2" xfId="6160"/>
    <cellStyle name="Normal 4 5 5 4 2 2" xfId="13683"/>
    <cellStyle name="Normal 4 5 5 4 2 2 2" xfId="28727"/>
    <cellStyle name="Normal 4 5 5 4 2 2 3" xfId="43770"/>
    <cellStyle name="Normal 4 5 5 4 2 3" xfId="21206"/>
    <cellStyle name="Normal 4 5 5 4 2 4" xfId="36249"/>
    <cellStyle name="Normal 4 5 5 4 3" xfId="9934"/>
    <cellStyle name="Normal 4 5 5 4 3 2" xfId="24978"/>
    <cellStyle name="Normal 4 5 5 4 3 3" xfId="40021"/>
    <cellStyle name="Normal 4 5 5 4 4" xfId="17457"/>
    <cellStyle name="Normal 4 5 5 4 5" xfId="32500"/>
    <cellStyle name="Normal 4 5 5 5" xfId="4292"/>
    <cellStyle name="Normal 4 5 5 5 2" xfId="11816"/>
    <cellStyle name="Normal 4 5 5 5 2 2" xfId="26860"/>
    <cellStyle name="Normal 4 5 5 5 2 3" xfId="41903"/>
    <cellStyle name="Normal 4 5 5 5 3" xfId="19339"/>
    <cellStyle name="Normal 4 5 5 5 4" xfId="34382"/>
    <cellStyle name="Normal 4 5 5 6" xfId="8055"/>
    <cellStyle name="Normal 4 5 5 6 2" xfId="23099"/>
    <cellStyle name="Normal 4 5 5 6 3" xfId="38142"/>
    <cellStyle name="Normal 4 5 5 7" xfId="15578"/>
    <cellStyle name="Normal 4 5 5 8" xfId="30621"/>
    <cellStyle name="Normal 4 5 6" xfId="908"/>
    <cellStyle name="Normal 4 5 6 2" xfId="1867"/>
    <cellStyle name="Normal 4 5 6 2 2" xfId="3738"/>
    <cellStyle name="Normal 4 5 6 2 2 2" xfId="7533"/>
    <cellStyle name="Normal 4 5 6 2 2 2 2" xfId="15056"/>
    <cellStyle name="Normal 4 5 6 2 2 2 2 2" xfId="30100"/>
    <cellStyle name="Normal 4 5 6 2 2 2 2 3" xfId="45143"/>
    <cellStyle name="Normal 4 5 6 2 2 2 3" xfId="22579"/>
    <cellStyle name="Normal 4 5 6 2 2 2 4" xfId="37622"/>
    <cellStyle name="Normal 4 5 6 2 2 3" xfId="11307"/>
    <cellStyle name="Normal 4 5 6 2 2 3 2" xfId="26351"/>
    <cellStyle name="Normal 4 5 6 2 2 3 3" xfId="41394"/>
    <cellStyle name="Normal 4 5 6 2 2 4" xfId="18830"/>
    <cellStyle name="Normal 4 5 6 2 2 5" xfId="33873"/>
    <cellStyle name="Normal 4 5 6 2 3" xfId="5668"/>
    <cellStyle name="Normal 4 5 6 2 3 2" xfId="13191"/>
    <cellStyle name="Normal 4 5 6 2 3 2 2" xfId="28235"/>
    <cellStyle name="Normal 4 5 6 2 3 2 3" xfId="43278"/>
    <cellStyle name="Normal 4 5 6 2 3 3" xfId="20714"/>
    <cellStyle name="Normal 4 5 6 2 3 4" xfId="35757"/>
    <cellStyle name="Normal 4 5 6 2 4" xfId="9442"/>
    <cellStyle name="Normal 4 5 6 2 4 2" xfId="24486"/>
    <cellStyle name="Normal 4 5 6 2 4 3" xfId="39529"/>
    <cellStyle name="Normal 4 5 6 2 5" xfId="16965"/>
    <cellStyle name="Normal 4 5 6 2 6" xfId="32008"/>
    <cellStyle name="Normal 4 5 6 3" xfId="2806"/>
    <cellStyle name="Normal 4 5 6 3 2" xfId="6601"/>
    <cellStyle name="Normal 4 5 6 3 2 2" xfId="14124"/>
    <cellStyle name="Normal 4 5 6 3 2 2 2" xfId="29168"/>
    <cellStyle name="Normal 4 5 6 3 2 2 3" xfId="44211"/>
    <cellStyle name="Normal 4 5 6 3 2 3" xfId="21647"/>
    <cellStyle name="Normal 4 5 6 3 2 4" xfId="36690"/>
    <cellStyle name="Normal 4 5 6 3 3" xfId="10375"/>
    <cellStyle name="Normal 4 5 6 3 3 2" xfId="25419"/>
    <cellStyle name="Normal 4 5 6 3 3 3" xfId="40462"/>
    <cellStyle name="Normal 4 5 6 3 4" xfId="17898"/>
    <cellStyle name="Normal 4 5 6 3 5" xfId="32941"/>
    <cellStyle name="Normal 4 5 6 4" xfId="4736"/>
    <cellStyle name="Normal 4 5 6 4 2" xfId="12259"/>
    <cellStyle name="Normal 4 5 6 4 2 2" xfId="27303"/>
    <cellStyle name="Normal 4 5 6 4 2 3" xfId="42346"/>
    <cellStyle name="Normal 4 5 6 4 3" xfId="19782"/>
    <cellStyle name="Normal 4 5 6 4 4" xfId="34825"/>
    <cellStyle name="Normal 4 5 6 5" xfId="8510"/>
    <cellStyle name="Normal 4 5 6 5 2" xfId="23554"/>
    <cellStyle name="Normal 4 5 6 5 3" xfId="38597"/>
    <cellStyle name="Normal 4 5 6 6" xfId="16033"/>
    <cellStyle name="Normal 4 5 6 7" xfId="31076"/>
    <cellStyle name="Normal 4 5 7" xfId="1415"/>
    <cellStyle name="Normal 4 5 7 2" xfId="3286"/>
    <cellStyle name="Normal 4 5 7 2 2" xfId="7081"/>
    <cellStyle name="Normal 4 5 7 2 2 2" xfId="14604"/>
    <cellStyle name="Normal 4 5 7 2 2 2 2" xfId="29648"/>
    <cellStyle name="Normal 4 5 7 2 2 2 3" xfId="44691"/>
    <cellStyle name="Normal 4 5 7 2 2 3" xfId="22127"/>
    <cellStyle name="Normal 4 5 7 2 2 4" xfId="37170"/>
    <cellStyle name="Normal 4 5 7 2 3" xfId="10855"/>
    <cellStyle name="Normal 4 5 7 2 3 2" xfId="25899"/>
    <cellStyle name="Normal 4 5 7 2 3 3" xfId="40942"/>
    <cellStyle name="Normal 4 5 7 2 4" xfId="18378"/>
    <cellStyle name="Normal 4 5 7 2 5" xfId="33421"/>
    <cellStyle name="Normal 4 5 7 3" xfId="5216"/>
    <cellStyle name="Normal 4 5 7 3 2" xfId="12739"/>
    <cellStyle name="Normal 4 5 7 3 2 2" xfId="27783"/>
    <cellStyle name="Normal 4 5 7 3 2 3" xfId="42826"/>
    <cellStyle name="Normal 4 5 7 3 3" xfId="20262"/>
    <cellStyle name="Normal 4 5 7 3 4" xfId="35305"/>
    <cellStyle name="Normal 4 5 7 4" xfId="8990"/>
    <cellStyle name="Normal 4 5 7 4 2" xfId="24034"/>
    <cellStyle name="Normal 4 5 7 4 3" xfId="39077"/>
    <cellStyle name="Normal 4 5 7 5" xfId="16513"/>
    <cellStyle name="Normal 4 5 7 6" xfId="31556"/>
    <cellStyle name="Normal 4 5 8" xfId="2353"/>
    <cellStyle name="Normal 4 5 8 2" xfId="6149"/>
    <cellStyle name="Normal 4 5 8 2 2" xfId="13672"/>
    <cellStyle name="Normal 4 5 8 2 2 2" xfId="28716"/>
    <cellStyle name="Normal 4 5 8 2 2 3" xfId="43759"/>
    <cellStyle name="Normal 4 5 8 2 3" xfId="21195"/>
    <cellStyle name="Normal 4 5 8 2 4" xfId="36238"/>
    <cellStyle name="Normal 4 5 8 3" xfId="9923"/>
    <cellStyle name="Normal 4 5 8 3 2" xfId="24967"/>
    <cellStyle name="Normal 4 5 8 3 3" xfId="40010"/>
    <cellStyle name="Normal 4 5 8 4" xfId="17446"/>
    <cellStyle name="Normal 4 5 8 5" xfId="32489"/>
    <cellStyle name="Normal 4 5 9" xfId="4281"/>
    <cellStyle name="Normal 4 5 9 2" xfId="11805"/>
    <cellStyle name="Normal 4 5 9 2 2" xfId="26849"/>
    <cellStyle name="Normal 4 5 9 2 3" xfId="41892"/>
    <cellStyle name="Normal 4 5 9 3" xfId="19328"/>
    <cellStyle name="Normal 4 5 9 4" xfId="34371"/>
    <cellStyle name="Normal 4 6" xfId="396"/>
    <cellStyle name="Normal 4 6 10" xfId="15579"/>
    <cellStyle name="Normal 4 6 11" xfId="30622"/>
    <cellStyle name="Normal 4 6 2" xfId="397"/>
    <cellStyle name="Normal 4 6 2 2" xfId="398"/>
    <cellStyle name="Normal 4 6 2 2 2" xfId="922"/>
    <cellStyle name="Normal 4 6 2 2 2 2" xfId="1881"/>
    <cellStyle name="Normal 4 6 2 2 2 2 2" xfId="3752"/>
    <cellStyle name="Normal 4 6 2 2 2 2 2 2" xfId="7547"/>
    <cellStyle name="Normal 4 6 2 2 2 2 2 2 2" xfId="15070"/>
    <cellStyle name="Normal 4 6 2 2 2 2 2 2 2 2" xfId="30114"/>
    <cellStyle name="Normal 4 6 2 2 2 2 2 2 2 3" xfId="45157"/>
    <cellStyle name="Normal 4 6 2 2 2 2 2 2 3" xfId="22593"/>
    <cellStyle name="Normal 4 6 2 2 2 2 2 2 4" xfId="37636"/>
    <cellStyle name="Normal 4 6 2 2 2 2 2 3" xfId="11321"/>
    <cellStyle name="Normal 4 6 2 2 2 2 2 3 2" xfId="26365"/>
    <cellStyle name="Normal 4 6 2 2 2 2 2 3 3" xfId="41408"/>
    <cellStyle name="Normal 4 6 2 2 2 2 2 4" xfId="18844"/>
    <cellStyle name="Normal 4 6 2 2 2 2 2 5" xfId="33887"/>
    <cellStyle name="Normal 4 6 2 2 2 2 3" xfId="5682"/>
    <cellStyle name="Normal 4 6 2 2 2 2 3 2" xfId="13205"/>
    <cellStyle name="Normal 4 6 2 2 2 2 3 2 2" xfId="28249"/>
    <cellStyle name="Normal 4 6 2 2 2 2 3 2 3" xfId="43292"/>
    <cellStyle name="Normal 4 6 2 2 2 2 3 3" xfId="20728"/>
    <cellStyle name="Normal 4 6 2 2 2 2 3 4" xfId="35771"/>
    <cellStyle name="Normal 4 6 2 2 2 2 4" xfId="9456"/>
    <cellStyle name="Normal 4 6 2 2 2 2 4 2" xfId="24500"/>
    <cellStyle name="Normal 4 6 2 2 2 2 4 3" xfId="39543"/>
    <cellStyle name="Normal 4 6 2 2 2 2 5" xfId="16979"/>
    <cellStyle name="Normal 4 6 2 2 2 2 6" xfId="32022"/>
    <cellStyle name="Normal 4 6 2 2 2 3" xfId="2820"/>
    <cellStyle name="Normal 4 6 2 2 2 3 2" xfId="6615"/>
    <cellStyle name="Normal 4 6 2 2 2 3 2 2" xfId="14138"/>
    <cellStyle name="Normal 4 6 2 2 2 3 2 2 2" xfId="29182"/>
    <cellStyle name="Normal 4 6 2 2 2 3 2 2 3" xfId="44225"/>
    <cellStyle name="Normal 4 6 2 2 2 3 2 3" xfId="21661"/>
    <cellStyle name="Normal 4 6 2 2 2 3 2 4" xfId="36704"/>
    <cellStyle name="Normal 4 6 2 2 2 3 3" xfId="10389"/>
    <cellStyle name="Normal 4 6 2 2 2 3 3 2" xfId="25433"/>
    <cellStyle name="Normal 4 6 2 2 2 3 3 3" xfId="40476"/>
    <cellStyle name="Normal 4 6 2 2 2 3 4" xfId="17912"/>
    <cellStyle name="Normal 4 6 2 2 2 3 5" xfId="32955"/>
    <cellStyle name="Normal 4 6 2 2 2 4" xfId="4750"/>
    <cellStyle name="Normal 4 6 2 2 2 4 2" xfId="12273"/>
    <cellStyle name="Normal 4 6 2 2 2 4 2 2" xfId="27317"/>
    <cellStyle name="Normal 4 6 2 2 2 4 2 3" xfId="42360"/>
    <cellStyle name="Normal 4 6 2 2 2 4 3" xfId="19796"/>
    <cellStyle name="Normal 4 6 2 2 2 4 4" xfId="34839"/>
    <cellStyle name="Normal 4 6 2 2 2 5" xfId="8524"/>
    <cellStyle name="Normal 4 6 2 2 2 5 2" xfId="23568"/>
    <cellStyle name="Normal 4 6 2 2 2 5 3" xfId="38611"/>
    <cellStyle name="Normal 4 6 2 2 2 6" xfId="16047"/>
    <cellStyle name="Normal 4 6 2 2 2 7" xfId="31090"/>
    <cellStyle name="Normal 4 6 2 2 3" xfId="1429"/>
    <cellStyle name="Normal 4 6 2 2 3 2" xfId="3300"/>
    <cellStyle name="Normal 4 6 2 2 3 2 2" xfId="7095"/>
    <cellStyle name="Normal 4 6 2 2 3 2 2 2" xfId="14618"/>
    <cellStyle name="Normal 4 6 2 2 3 2 2 2 2" xfId="29662"/>
    <cellStyle name="Normal 4 6 2 2 3 2 2 2 3" xfId="44705"/>
    <cellStyle name="Normal 4 6 2 2 3 2 2 3" xfId="22141"/>
    <cellStyle name="Normal 4 6 2 2 3 2 2 4" xfId="37184"/>
    <cellStyle name="Normal 4 6 2 2 3 2 3" xfId="10869"/>
    <cellStyle name="Normal 4 6 2 2 3 2 3 2" xfId="25913"/>
    <cellStyle name="Normal 4 6 2 2 3 2 3 3" xfId="40956"/>
    <cellStyle name="Normal 4 6 2 2 3 2 4" xfId="18392"/>
    <cellStyle name="Normal 4 6 2 2 3 2 5" xfId="33435"/>
    <cellStyle name="Normal 4 6 2 2 3 3" xfId="5230"/>
    <cellStyle name="Normal 4 6 2 2 3 3 2" xfId="12753"/>
    <cellStyle name="Normal 4 6 2 2 3 3 2 2" xfId="27797"/>
    <cellStyle name="Normal 4 6 2 2 3 3 2 3" xfId="42840"/>
    <cellStyle name="Normal 4 6 2 2 3 3 3" xfId="20276"/>
    <cellStyle name="Normal 4 6 2 2 3 3 4" xfId="35319"/>
    <cellStyle name="Normal 4 6 2 2 3 4" xfId="9004"/>
    <cellStyle name="Normal 4 6 2 2 3 4 2" xfId="24048"/>
    <cellStyle name="Normal 4 6 2 2 3 4 3" xfId="39091"/>
    <cellStyle name="Normal 4 6 2 2 3 5" xfId="16527"/>
    <cellStyle name="Normal 4 6 2 2 3 6" xfId="31570"/>
    <cellStyle name="Normal 4 6 2 2 4" xfId="2367"/>
    <cellStyle name="Normal 4 6 2 2 4 2" xfId="6163"/>
    <cellStyle name="Normal 4 6 2 2 4 2 2" xfId="13686"/>
    <cellStyle name="Normal 4 6 2 2 4 2 2 2" xfId="28730"/>
    <cellStyle name="Normal 4 6 2 2 4 2 2 3" xfId="43773"/>
    <cellStyle name="Normal 4 6 2 2 4 2 3" xfId="21209"/>
    <cellStyle name="Normal 4 6 2 2 4 2 4" xfId="36252"/>
    <cellStyle name="Normal 4 6 2 2 4 3" xfId="9937"/>
    <cellStyle name="Normal 4 6 2 2 4 3 2" xfId="24981"/>
    <cellStyle name="Normal 4 6 2 2 4 3 3" xfId="40024"/>
    <cellStyle name="Normal 4 6 2 2 4 4" xfId="17460"/>
    <cellStyle name="Normal 4 6 2 2 4 5" xfId="32503"/>
    <cellStyle name="Normal 4 6 2 2 5" xfId="4295"/>
    <cellStyle name="Normal 4 6 2 2 5 2" xfId="11819"/>
    <cellStyle name="Normal 4 6 2 2 5 2 2" xfId="26863"/>
    <cellStyle name="Normal 4 6 2 2 5 2 3" xfId="41906"/>
    <cellStyle name="Normal 4 6 2 2 5 3" xfId="19342"/>
    <cellStyle name="Normal 4 6 2 2 5 4" xfId="34385"/>
    <cellStyle name="Normal 4 6 2 2 6" xfId="8058"/>
    <cellStyle name="Normal 4 6 2 2 6 2" xfId="23102"/>
    <cellStyle name="Normal 4 6 2 2 6 3" xfId="38145"/>
    <cellStyle name="Normal 4 6 2 2 7" xfId="15581"/>
    <cellStyle name="Normal 4 6 2 2 8" xfId="30624"/>
    <cellStyle name="Normal 4 6 2 3" xfId="921"/>
    <cellStyle name="Normal 4 6 2 3 2" xfId="1880"/>
    <cellStyle name="Normal 4 6 2 3 2 2" xfId="3751"/>
    <cellStyle name="Normal 4 6 2 3 2 2 2" xfId="7546"/>
    <cellStyle name="Normal 4 6 2 3 2 2 2 2" xfId="15069"/>
    <cellStyle name="Normal 4 6 2 3 2 2 2 2 2" xfId="30113"/>
    <cellStyle name="Normal 4 6 2 3 2 2 2 2 3" xfId="45156"/>
    <cellStyle name="Normal 4 6 2 3 2 2 2 3" xfId="22592"/>
    <cellStyle name="Normal 4 6 2 3 2 2 2 4" xfId="37635"/>
    <cellStyle name="Normal 4 6 2 3 2 2 3" xfId="11320"/>
    <cellStyle name="Normal 4 6 2 3 2 2 3 2" xfId="26364"/>
    <cellStyle name="Normal 4 6 2 3 2 2 3 3" xfId="41407"/>
    <cellStyle name="Normal 4 6 2 3 2 2 4" xfId="18843"/>
    <cellStyle name="Normal 4 6 2 3 2 2 5" xfId="33886"/>
    <cellStyle name="Normal 4 6 2 3 2 3" xfId="5681"/>
    <cellStyle name="Normal 4 6 2 3 2 3 2" xfId="13204"/>
    <cellStyle name="Normal 4 6 2 3 2 3 2 2" xfId="28248"/>
    <cellStyle name="Normal 4 6 2 3 2 3 2 3" xfId="43291"/>
    <cellStyle name="Normal 4 6 2 3 2 3 3" xfId="20727"/>
    <cellStyle name="Normal 4 6 2 3 2 3 4" xfId="35770"/>
    <cellStyle name="Normal 4 6 2 3 2 4" xfId="9455"/>
    <cellStyle name="Normal 4 6 2 3 2 4 2" xfId="24499"/>
    <cellStyle name="Normal 4 6 2 3 2 4 3" xfId="39542"/>
    <cellStyle name="Normal 4 6 2 3 2 5" xfId="16978"/>
    <cellStyle name="Normal 4 6 2 3 2 6" xfId="32021"/>
    <cellStyle name="Normal 4 6 2 3 3" xfId="2819"/>
    <cellStyle name="Normal 4 6 2 3 3 2" xfId="6614"/>
    <cellStyle name="Normal 4 6 2 3 3 2 2" xfId="14137"/>
    <cellStyle name="Normal 4 6 2 3 3 2 2 2" xfId="29181"/>
    <cellStyle name="Normal 4 6 2 3 3 2 2 3" xfId="44224"/>
    <cellStyle name="Normal 4 6 2 3 3 2 3" xfId="21660"/>
    <cellStyle name="Normal 4 6 2 3 3 2 4" xfId="36703"/>
    <cellStyle name="Normal 4 6 2 3 3 3" xfId="10388"/>
    <cellStyle name="Normal 4 6 2 3 3 3 2" xfId="25432"/>
    <cellStyle name="Normal 4 6 2 3 3 3 3" xfId="40475"/>
    <cellStyle name="Normal 4 6 2 3 3 4" xfId="17911"/>
    <cellStyle name="Normal 4 6 2 3 3 5" xfId="32954"/>
    <cellStyle name="Normal 4 6 2 3 4" xfId="4749"/>
    <cellStyle name="Normal 4 6 2 3 4 2" xfId="12272"/>
    <cellStyle name="Normal 4 6 2 3 4 2 2" xfId="27316"/>
    <cellStyle name="Normal 4 6 2 3 4 2 3" xfId="42359"/>
    <cellStyle name="Normal 4 6 2 3 4 3" xfId="19795"/>
    <cellStyle name="Normal 4 6 2 3 4 4" xfId="34838"/>
    <cellStyle name="Normal 4 6 2 3 5" xfId="8523"/>
    <cellStyle name="Normal 4 6 2 3 5 2" xfId="23567"/>
    <cellStyle name="Normal 4 6 2 3 5 3" xfId="38610"/>
    <cellStyle name="Normal 4 6 2 3 6" xfId="16046"/>
    <cellStyle name="Normal 4 6 2 3 7" xfId="31089"/>
    <cellStyle name="Normal 4 6 2 4" xfId="1428"/>
    <cellStyle name="Normal 4 6 2 4 2" xfId="3299"/>
    <cellStyle name="Normal 4 6 2 4 2 2" xfId="7094"/>
    <cellStyle name="Normal 4 6 2 4 2 2 2" xfId="14617"/>
    <cellStyle name="Normal 4 6 2 4 2 2 2 2" xfId="29661"/>
    <cellStyle name="Normal 4 6 2 4 2 2 2 3" xfId="44704"/>
    <cellStyle name="Normal 4 6 2 4 2 2 3" xfId="22140"/>
    <cellStyle name="Normal 4 6 2 4 2 2 4" xfId="37183"/>
    <cellStyle name="Normal 4 6 2 4 2 3" xfId="10868"/>
    <cellStyle name="Normal 4 6 2 4 2 3 2" xfId="25912"/>
    <cellStyle name="Normal 4 6 2 4 2 3 3" xfId="40955"/>
    <cellStyle name="Normal 4 6 2 4 2 4" xfId="18391"/>
    <cellStyle name="Normal 4 6 2 4 2 5" xfId="33434"/>
    <cellStyle name="Normal 4 6 2 4 3" xfId="5229"/>
    <cellStyle name="Normal 4 6 2 4 3 2" xfId="12752"/>
    <cellStyle name="Normal 4 6 2 4 3 2 2" xfId="27796"/>
    <cellStyle name="Normal 4 6 2 4 3 2 3" xfId="42839"/>
    <cellStyle name="Normal 4 6 2 4 3 3" xfId="20275"/>
    <cellStyle name="Normal 4 6 2 4 3 4" xfId="35318"/>
    <cellStyle name="Normal 4 6 2 4 4" xfId="9003"/>
    <cellStyle name="Normal 4 6 2 4 4 2" xfId="24047"/>
    <cellStyle name="Normal 4 6 2 4 4 3" xfId="39090"/>
    <cellStyle name="Normal 4 6 2 4 5" xfId="16526"/>
    <cellStyle name="Normal 4 6 2 4 6" xfId="31569"/>
    <cellStyle name="Normal 4 6 2 5" xfId="2366"/>
    <cellStyle name="Normal 4 6 2 5 2" xfId="6162"/>
    <cellStyle name="Normal 4 6 2 5 2 2" xfId="13685"/>
    <cellStyle name="Normal 4 6 2 5 2 2 2" xfId="28729"/>
    <cellStyle name="Normal 4 6 2 5 2 2 3" xfId="43772"/>
    <cellStyle name="Normal 4 6 2 5 2 3" xfId="21208"/>
    <cellStyle name="Normal 4 6 2 5 2 4" xfId="36251"/>
    <cellStyle name="Normal 4 6 2 5 3" xfId="9936"/>
    <cellStyle name="Normal 4 6 2 5 3 2" xfId="24980"/>
    <cellStyle name="Normal 4 6 2 5 3 3" xfId="40023"/>
    <cellStyle name="Normal 4 6 2 5 4" xfId="17459"/>
    <cellStyle name="Normal 4 6 2 5 5" xfId="32502"/>
    <cellStyle name="Normal 4 6 2 6" xfId="4294"/>
    <cellStyle name="Normal 4 6 2 6 2" xfId="11818"/>
    <cellStyle name="Normal 4 6 2 6 2 2" xfId="26862"/>
    <cellStyle name="Normal 4 6 2 6 2 3" xfId="41905"/>
    <cellStyle name="Normal 4 6 2 6 3" xfId="19341"/>
    <cellStyle name="Normal 4 6 2 6 4" xfId="34384"/>
    <cellStyle name="Normal 4 6 2 7" xfId="8057"/>
    <cellStyle name="Normal 4 6 2 7 2" xfId="23101"/>
    <cellStyle name="Normal 4 6 2 7 3" xfId="38144"/>
    <cellStyle name="Normal 4 6 2 8" xfId="15580"/>
    <cellStyle name="Normal 4 6 2 9" xfId="30623"/>
    <cellStyle name="Normal 4 6 3" xfId="399"/>
    <cellStyle name="Normal 4 6 3 2" xfId="400"/>
    <cellStyle name="Normal 4 6 3 2 2" xfId="924"/>
    <cellStyle name="Normal 4 6 3 2 2 2" xfId="1883"/>
    <cellStyle name="Normal 4 6 3 2 2 2 2" xfId="3754"/>
    <cellStyle name="Normal 4 6 3 2 2 2 2 2" xfId="7549"/>
    <cellStyle name="Normal 4 6 3 2 2 2 2 2 2" xfId="15072"/>
    <cellStyle name="Normal 4 6 3 2 2 2 2 2 2 2" xfId="30116"/>
    <cellStyle name="Normal 4 6 3 2 2 2 2 2 2 3" xfId="45159"/>
    <cellStyle name="Normal 4 6 3 2 2 2 2 2 3" xfId="22595"/>
    <cellStyle name="Normal 4 6 3 2 2 2 2 2 4" xfId="37638"/>
    <cellStyle name="Normal 4 6 3 2 2 2 2 3" xfId="11323"/>
    <cellStyle name="Normal 4 6 3 2 2 2 2 3 2" xfId="26367"/>
    <cellStyle name="Normal 4 6 3 2 2 2 2 3 3" xfId="41410"/>
    <cellStyle name="Normal 4 6 3 2 2 2 2 4" xfId="18846"/>
    <cellStyle name="Normal 4 6 3 2 2 2 2 5" xfId="33889"/>
    <cellStyle name="Normal 4 6 3 2 2 2 3" xfId="5684"/>
    <cellStyle name="Normal 4 6 3 2 2 2 3 2" xfId="13207"/>
    <cellStyle name="Normal 4 6 3 2 2 2 3 2 2" xfId="28251"/>
    <cellStyle name="Normal 4 6 3 2 2 2 3 2 3" xfId="43294"/>
    <cellStyle name="Normal 4 6 3 2 2 2 3 3" xfId="20730"/>
    <cellStyle name="Normal 4 6 3 2 2 2 3 4" xfId="35773"/>
    <cellStyle name="Normal 4 6 3 2 2 2 4" xfId="9458"/>
    <cellStyle name="Normal 4 6 3 2 2 2 4 2" xfId="24502"/>
    <cellStyle name="Normal 4 6 3 2 2 2 4 3" xfId="39545"/>
    <cellStyle name="Normal 4 6 3 2 2 2 5" xfId="16981"/>
    <cellStyle name="Normal 4 6 3 2 2 2 6" xfId="32024"/>
    <cellStyle name="Normal 4 6 3 2 2 3" xfId="2822"/>
    <cellStyle name="Normal 4 6 3 2 2 3 2" xfId="6617"/>
    <cellStyle name="Normal 4 6 3 2 2 3 2 2" xfId="14140"/>
    <cellStyle name="Normal 4 6 3 2 2 3 2 2 2" xfId="29184"/>
    <cellStyle name="Normal 4 6 3 2 2 3 2 2 3" xfId="44227"/>
    <cellStyle name="Normal 4 6 3 2 2 3 2 3" xfId="21663"/>
    <cellStyle name="Normal 4 6 3 2 2 3 2 4" xfId="36706"/>
    <cellStyle name="Normal 4 6 3 2 2 3 3" xfId="10391"/>
    <cellStyle name="Normal 4 6 3 2 2 3 3 2" xfId="25435"/>
    <cellStyle name="Normal 4 6 3 2 2 3 3 3" xfId="40478"/>
    <cellStyle name="Normal 4 6 3 2 2 3 4" xfId="17914"/>
    <cellStyle name="Normal 4 6 3 2 2 3 5" xfId="32957"/>
    <cellStyle name="Normal 4 6 3 2 2 4" xfId="4752"/>
    <cellStyle name="Normal 4 6 3 2 2 4 2" xfId="12275"/>
    <cellStyle name="Normal 4 6 3 2 2 4 2 2" xfId="27319"/>
    <cellStyle name="Normal 4 6 3 2 2 4 2 3" xfId="42362"/>
    <cellStyle name="Normal 4 6 3 2 2 4 3" xfId="19798"/>
    <cellStyle name="Normal 4 6 3 2 2 4 4" xfId="34841"/>
    <cellStyle name="Normal 4 6 3 2 2 5" xfId="8526"/>
    <cellStyle name="Normal 4 6 3 2 2 5 2" xfId="23570"/>
    <cellStyle name="Normal 4 6 3 2 2 5 3" xfId="38613"/>
    <cellStyle name="Normal 4 6 3 2 2 6" xfId="16049"/>
    <cellStyle name="Normal 4 6 3 2 2 7" xfId="31092"/>
    <cellStyle name="Normal 4 6 3 2 3" xfId="1431"/>
    <cellStyle name="Normal 4 6 3 2 3 2" xfId="3302"/>
    <cellStyle name="Normal 4 6 3 2 3 2 2" xfId="7097"/>
    <cellStyle name="Normal 4 6 3 2 3 2 2 2" xfId="14620"/>
    <cellStyle name="Normal 4 6 3 2 3 2 2 2 2" xfId="29664"/>
    <cellStyle name="Normal 4 6 3 2 3 2 2 2 3" xfId="44707"/>
    <cellStyle name="Normal 4 6 3 2 3 2 2 3" xfId="22143"/>
    <cellStyle name="Normal 4 6 3 2 3 2 2 4" xfId="37186"/>
    <cellStyle name="Normal 4 6 3 2 3 2 3" xfId="10871"/>
    <cellStyle name="Normal 4 6 3 2 3 2 3 2" xfId="25915"/>
    <cellStyle name="Normal 4 6 3 2 3 2 3 3" xfId="40958"/>
    <cellStyle name="Normal 4 6 3 2 3 2 4" xfId="18394"/>
    <cellStyle name="Normal 4 6 3 2 3 2 5" xfId="33437"/>
    <cellStyle name="Normal 4 6 3 2 3 3" xfId="5232"/>
    <cellStyle name="Normal 4 6 3 2 3 3 2" xfId="12755"/>
    <cellStyle name="Normal 4 6 3 2 3 3 2 2" xfId="27799"/>
    <cellStyle name="Normal 4 6 3 2 3 3 2 3" xfId="42842"/>
    <cellStyle name="Normal 4 6 3 2 3 3 3" xfId="20278"/>
    <cellStyle name="Normal 4 6 3 2 3 3 4" xfId="35321"/>
    <cellStyle name="Normal 4 6 3 2 3 4" xfId="9006"/>
    <cellStyle name="Normal 4 6 3 2 3 4 2" xfId="24050"/>
    <cellStyle name="Normal 4 6 3 2 3 4 3" xfId="39093"/>
    <cellStyle name="Normal 4 6 3 2 3 5" xfId="16529"/>
    <cellStyle name="Normal 4 6 3 2 3 6" xfId="31572"/>
    <cellStyle name="Normal 4 6 3 2 4" xfId="2369"/>
    <cellStyle name="Normal 4 6 3 2 4 2" xfId="6165"/>
    <cellStyle name="Normal 4 6 3 2 4 2 2" xfId="13688"/>
    <cellStyle name="Normal 4 6 3 2 4 2 2 2" xfId="28732"/>
    <cellStyle name="Normal 4 6 3 2 4 2 2 3" xfId="43775"/>
    <cellStyle name="Normal 4 6 3 2 4 2 3" xfId="21211"/>
    <cellStyle name="Normal 4 6 3 2 4 2 4" xfId="36254"/>
    <cellStyle name="Normal 4 6 3 2 4 3" xfId="9939"/>
    <cellStyle name="Normal 4 6 3 2 4 3 2" xfId="24983"/>
    <cellStyle name="Normal 4 6 3 2 4 3 3" xfId="40026"/>
    <cellStyle name="Normal 4 6 3 2 4 4" xfId="17462"/>
    <cellStyle name="Normal 4 6 3 2 4 5" xfId="32505"/>
    <cellStyle name="Normal 4 6 3 2 5" xfId="4297"/>
    <cellStyle name="Normal 4 6 3 2 5 2" xfId="11821"/>
    <cellStyle name="Normal 4 6 3 2 5 2 2" xfId="26865"/>
    <cellStyle name="Normal 4 6 3 2 5 2 3" xfId="41908"/>
    <cellStyle name="Normal 4 6 3 2 5 3" xfId="19344"/>
    <cellStyle name="Normal 4 6 3 2 5 4" xfId="34387"/>
    <cellStyle name="Normal 4 6 3 2 6" xfId="8060"/>
    <cellStyle name="Normal 4 6 3 2 6 2" xfId="23104"/>
    <cellStyle name="Normal 4 6 3 2 6 3" xfId="38147"/>
    <cellStyle name="Normal 4 6 3 2 7" xfId="15583"/>
    <cellStyle name="Normal 4 6 3 2 8" xfId="30626"/>
    <cellStyle name="Normal 4 6 3 3" xfId="923"/>
    <cellStyle name="Normal 4 6 3 3 2" xfId="1882"/>
    <cellStyle name="Normal 4 6 3 3 2 2" xfId="3753"/>
    <cellStyle name="Normal 4 6 3 3 2 2 2" xfId="7548"/>
    <cellStyle name="Normal 4 6 3 3 2 2 2 2" xfId="15071"/>
    <cellStyle name="Normal 4 6 3 3 2 2 2 2 2" xfId="30115"/>
    <cellStyle name="Normal 4 6 3 3 2 2 2 2 3" xfId="45158"/>
    <cellStyle name="Normal 4 6 3 3 2 2 2 3" xfId="22594"/>
    <cellStyle name="Normal 4 6 3 3 2 2 2 4" xfId="37637"/>
    <cellStyle name="Normal 4 6 3 3 2 2 3" xfId="11322"/>
    <cellStyle name="Normal 4 6 3 3 2 2 3 2" xfId="26366"/>
    <cellStyle name="Normal 4 6 3 3 2 2 3 3" xfId="41409"/>
    <cellStyle name="Normal 4 6 3 3 2 2 4" xfId="18845"/>
    <cellStyle name="Normal 4 6 3 3 2 2 5" xfId="33888"/>
    <cellStyle name="Normal 4 6 3 3 2 3" xfId="5683"/>
    <cellStyle name="Normal 4 6 3 3 2 3 2" xfId="13206"/>
    <cellStyle name="Normal 4 6 3 3 2 3 2 2" xfId="28250"/>
    <cellStyle name="Normal 4 6 3 3 2 3 2 3" xfId="43293"/>
    <cellStyle name="Normal 4 6 3 3 2 3 3" xfId="20729"/>
    <cellStyle name="Normal 4 6 3 3 2 3 4" xfId="35772"/>
    <cellStyle name="Normal 4 6 3 3 2 4" xfId="9457"/>
    <cellStyle name="Normal 4 6 3 3 2 4 2" xfId="24501"/>
    <cellStyle name="Normal 4 6 3 3 2 4 3" xfId="39544"/>
    <cellStyle name="Normal 4 6 3 3 2 5" xfId="16980"/>
    <cellStyle name="Normal 4 6 3 3 2 6" xfId="32023"/>
    <cellStyle name="Normal 4 6 3 3 3" xfId="2821"/>
    <cellStyle name="Normal 4 6 3 3 3 2" xfId="6616"/>
    <cellStyle name="Normal 4 6 3 3 3 2 2" xfId="14139"/>
    <cellStyle name="Normal 4 6 3 3 3 2 2 2" xfId="29183"/>
    <cellStyle name="Normal 4 6 3 3 3 2 2 3" xfId="44226"/>
    <cellStyle name="Normal 4 6 3 3 3 2 3" xfId="21662"/>
    <cellStyle name="Normal 4 6 3 3 3 2 4" xfId="36705"/>
    <cellStyle name="Normal 4 6 3 3 3 3" xfId="10390"/>
    <cellStyle name="Normal 4 6 3 3 3 3 2" xfId="25434"/>
    <cellStyle name="Normal 4 6 3 3 3 3 3" xfId="40477"/>
    <cellStyle name="Normal 4 6 3 3 3 4" xfId="17913"/>
    <cellStyle name="Normal 4 6 3 3 3 5" xfId="32956"/>
    <cellStyle name="Normal 4 6 3 3 4" xfId="4751"/>
    <cellStyle name="Normal 4 6 3 3 4 2" xfId="12274"/>
    <cellStyle name="Normal 4 6 3 3 4 2 2" xfId="27318"/>
    <cellStyle name="Normal 4 6 3 3 4 2 3" xfId="42361"/>
    <cellStyle name="Normal 4 6 3 3 4 3" xfId="19797"/>
    <cellStyle name="Normal 4 6 3 3 4 4" xfId="34840"/>
    <cellStyle name="Normal 4 6 3 3 5" xfId="8525"/>
    <cellStyle name="Normal 4 6 3 3 5 2" xfId="23569"/>
    <cellStyle name="Normal 4 6 3 3 5 3" xfId="38612"/>
    <cellStyle name="Normal 4 6 3 3 6" xfId="16048"/>
    <cellStyle name="Normal 4 6 3 3 7" xfId="31091"/>
    <cellStyle name="Normal 4 6 3 4" xfId="1430"/>
    <cellStyle name="Normal 4 6 3 4 2" xfId="3301"/>
    <cellStyle name="Normal 4 6 3 4 2 2" xfId="7096"/>
    <cellStyle name="Normal 4 6 3 4 2 2 2" xfId="14619"/>
    <cellStyle name="Normal 4 6 3 4 2 2 2 2" xfId="29663"/>
    <cellStyle name="Normal 4 6 3 4 2 2 2 3" xfId="44706"/>
    <cellStyle name="Normal 4 6 3 4 2 2 3" xfId="22142"/>
    <cellStyle name="Normal 4 6 3 4 2 2 4" xfId="37185"/>
    <cellStyle name="Normal 4 6 3 4 2 3" xfId="10870"/>
    <cellStyle name="Normal 4 6 3 4 2 3 2" xfId="25914"/>
    <cellStyle name="Normal 4 6 3 4 2 3 3" xfId="40957"/>
    <cellStyle name="Normal 4 6 3 4 2 4" xfId="18393"/>
    <cellStyle name="Normal 4 6 3 4 2 5" xfId="33436"/>
    <cellStyle name="Normal 4 6 3 4 3" xfId="5231"/>
    <cellStyle name="Normal 4 6 3 4 3 2" xfId="12754"/>
    <cellStyle name="Normal 4 6 3 4 3 2 2" xfId="27798"/>
    <cellStyle name="Normal 4 6 3 4 3 2 3" xfId="42841"/>
    <cellStyle name="Normal 4 6 3 4 3 3" xfId="20277"/>
    <cellStyle name="Normal 4 6 3 4 3 4" xfId="35320"/>
    <cellStyle name="Normal 4 6 3 4 4" xfId="9005"/>
    <cellStyle name="Normal 4 6 3 4 4 2" xfId="24049"/>
    <cellStyle name="Normal 4 6 3 4 4 3" xfId="39092"/>
    <cellStyle name="Normal 4 6 3 4 5" xfId="16528"/>
    <cellStyle name="Normal 4 6 3 4 6" xfId="31571"/>
    <cellStyle name="Normal 4 6 3 5" xfId="2368"/>
    <cellStyle name="Normal 4 6 3 5 2" xfId="6164"/>
    <cellStyle name="Normal 4 6 3 5 2 2" xfId="13687"/>
    <cellStyle name="Normal 4 6 3 5 2 2 2" xfId="28731"/>
    <cellStyle name="Normal 4 6 3 5 2 2 3" xfId="43774"/>
    <cellStyle name="Normal 4 6 3 5 2 3" xfId="21210"/>
    <cellStyle name="Normal 4 6 3 5 2 4" xfId="36253"/>
    <cellStyle name="Normal 4 6 3 5 3" xfId="9938"/>
    <cellStyle name="Normal 4 6 3 5 3 2" xfId="24982"/>
    <cellStyle name="Normal 4 6 3 5 3 3" xfId="40025"/>
    <cellStyle name="Normal 4 6 3 5 4" xfId="17461"/>
    <cellStyle name="Normal 4 6 3 5 5" xfId="32504"/>
    <cellStyle name="Normal 4 6 3 6" xfId="4296"/>
    <cellStyle name="Normal 4 6 3 6 2" xfId="11820"/>
    <cellStyle name="Normal 4 6 3 6 2 2" xfId="26864"/>
    <cellStyle name="Normal 4 6 3 6 2 3" xfId="41907"/>
    <cellStyle name="Normal 4 6 3 6 3" xfId="19343"/>
    <cellStyle name="Normal 4 6 3 6 4" xfId="34386"/>
    <cellStyle name="Normal 4 6 3 7" xfId="8059"/>
    <cellStyle name="Normal 4 6 3 7 2" xfId="23103"/>
    <cellStyle name="Normal 4 6 3 7 3" xfId="38146"/>
    <cellStyle name="Normal 4 6 3 8" xfId="15582"/>
    <cellStyle name="Normal 4 6 3 9" xfId="30625"/>
    <cellStyle name="Normal 4 6 4" xfId="401"/>
    <cellStyle name="Normal 4 6 4 2" xfId="925"/>
    <cellStyle name="Normal 4 6 4 2 2" xfId="1884"/>
    <cellStyle name="Normal 4 6 4 2 2 2" xfId="3755"/>
    <cellStyle name="Normal 4 6 4 2 2 2 2" xfId="7550"/>
    <cellStyle name="Normal 4 6 4 2 2 2 2 2" xfId="15073"/>
    <cellStyle name="Normal 4 6 4 2 2 2 2 2 2" xfId="30117"/>
    <cellStyle name="Normal 4 6 4 2 2 2 2 2 3" xfId="45160"/>
    <cellStyle name="Normal 4 6 4 2 2 2 2 3" xfId="22596"/>
    <cellStyle name="Normal 4 6 4 2 2 2 2 4" xfId="37639"/>
    <cellStyle name="Normal 4 6 4 2 2 2 3" xfId="11324"/>
    <cellStyle name="Normal 4 6 4 2 2 2 3 2" xfId="26368"/>
    <cellStyle name="Normal 4 6 4 2 2 2 3 3" xfId="41411"/>
    <cellStyle name="Normal 4 6 4 2 2 2 4" xfId="18847"/>
    <cellStyle name="Normal 4 6 4 2 2 2 5" xfId="33890"/>
    <cellStyle name="Normal 4 6 4 2 2 3" xfId="5685"/>
    <cellStyle name="Normal 4 6 4 2 2 3 2" xfId="13208"/>
    <cellStyle name="Normal 4 6 4 2 2 3 2 2" xfId="28252"/>
    <cellStyle name="Normal 4 6 4 2 2 3 2 3" xfId="43295"/>
    <cellStyle name="Normal 4 6 4 2 2 3 3" xfId="20731"/>
    <cellStyle name="Normal 4 6 4 2 2 3 4" xfId="35774"/>
    <cellStyle name="Normal 4 6 4 2 2 4" xfId="9459"/>
    <cellStyle name="Normal 4 6 4 2 2 4 2" xfId="24503"/>
    <cellStyle name="Normal 4 6 4 2 2 4 3" xfId="39546"/>
    <cellStyle name="Normal 4 6 4 2 2 5" xfId="16982"/>
    <cellStyle name="Normal 4 6 4 2 2 6" xfId="32025"/>
    <cellStyle name="Normal 4 6 4 2 3" xfId="2823"/>
    <cellStyle name="Normal 4 6 4 2 3 2" xfId="6618"/>
    <cellStyle name="Normal 4 6 4 2 3 2 2" xfId="14141"/>
    <cellStyle name="Normal 4 6 4 2 3 2 2 2" xfId="29185"/>
    <cellStyle name="Normal 4 6 4 2 3 2 2 3" xfId="44228"/>
    <cellStyle name="Normal 4 6 4 2 3 2 3" xfId="21664"/>
    <cellStyle name="Normal 4 6 4 2 3 2 4" xfId="36707"/>
    <cellStyle name="Normal 4 6 4 2 3 3" xfId="10392"/>
    <cellStyle name="Normal 4 6 4 2 3 3 2" xfId="25436"/>
    <cellStyle name="Normal 4 6 4 2 3 3 3" xfId="40479"/>
    <cellStyle name="Normal 4 6 4 2 3 4" xfId="17915"/>
    <cellStyle name="Normal 4 6 4 2 3 5" xfId="32958"/>
    <cellStyle name="Normal 4 6 4 2 4" xfId="4753"/>
    <cellStyle name="Normal 4 6 4 2 4 2" xfId="12276"/>
    <cellStyle name="Normal 4 6 4 2 4 2 2" xfId="27320"/>
    <cellStyle name="Normal 4 6 4 2 4 2 3" xfId="42363"/>
    <cellStyle name="Normal 4 6 4 2 4 3" xfId="19799"/>
    <cellStyle name="Normal 4 6 4 2 4 4" xfId="34842"/>
    <cellStyle name="Normal 4 6 4 2 5" xfId="8527"/>
    <cellStyle name="Normal 4 6 4 2 5 2" xfId="23571"/>
    <cellStyle name="Normal 4 6 4 2 5 3" xfId="38614"/>
    <cellStyle name="Normal 4 6 4 2 6" xfId="16050"/>
    <cellStyle name="Normal 4 6 4 2 7" xfId="31093"/>
    <cellStyle name="Normal 4 6 4 3" xfId="1432"/>
    <cellStyle name="Normal 4 6 4 3 2" xfId="3303"/>
    <cellStyle name="Normal 4 6 4 3 2 2" xfId="7098"/>
    <cellStyle name="Normal 4 6 4 3 2 2 2" xfId="14621"/>
    <cellStyle name="Normal 4 6 4 3 2 2 2 2" xfId="29665"/>
    <cellStyle name="Normal 4 6 4 3 2 2 2 3" xfId="44708"/>
    <cellStyle name="Normal 4 6 4 3 2 2 3" xfId="22144"/>
    <cellStyle name="Normal 4 6 4 3 2 2 4" xfId="37187"/>
    <cellStyle name="Normal 4 6 4 3 2 3" xfId="10872"/>
    <cellStyle name="Normal 4 6 4 3 2 3 2" xfId="25916"/>
    <cellStyle name="Normal 4 6 4 3 2 3 3" xfId="40959"/>
    <cellStyle name="Normal 4 6 4 3 2 4" xfId="18395"/>
    <cellStyle name="Normal 4 6 4 3 2 5" xfId="33438"/>
    <cellStyle name="Normal 4 6 4 3 3" xfId="5233"/>
    <cellStyle name="Normal 4 6 4 3 3 2" xfId="12756"/>
    <cellStyle name="Normal 4 6 4 3 3 2 2" xfId="27800"/>
    <cellStyle name="Normal 4 6 4 3 3 2 3" xfId="42843"/>
    <cellStyle name="Normal 4 6 4 3 3 3" xfId="20279"/>
    <cellStyle name="Normal 4 6 4 3 3 4" xfId="35322"/>
    <cellStyle name="Normal 4 6 4 3 4" xfId="9007"/>
    <cellStyle name="Normal 4 6 4 3 4 2" xfId="24051"/>
    <cellStyle name="Normal 4 6 4 3 4 3" xfId="39094"/>
    <cellStyle name="Normal 4 6 4 3 5" xfId="16530"/>
    <cellStyle name="Normal 4 6 4 3 6" xfId="31573"/>
    <cellStyle name="Normal 4 6 4 4" xfId="2370"/>
    <cellStyle name="Normal 4 6 4 4 2" xfId="6166"/>
    <cellStyle name="Normal 4 6 4 4 2 2" xfId="13689"/>
    <cellStyle name="Normal 4 6 4 4 2 2 2" xfId="28733"/>
    <cellStyle name="Normal 4 6 4 4 2 2 3" xfId="43776"/>
    <cellStyle name="Normal 4 6 4 4 2 3" xfId="21212"/>
    <cellStyle name="Normal 4 6 4 4 2 4" xfId="36255"/>
    <cellStyle name="Normal 4 6 4 4 3" xfId="9940"/>
    <cellStyle name="Normal 4 6 4 4 3 2" xfId="24984"/>
    <cellStyle name="Normal 4 6 4 4 3 3" xfId="40027"/>
    <cellStyle name="Normal 4 6 4 4 4" xfId="17463"/>
    <cellStyle name="Normal 4 6 4 4 5" xfId="32506"/>
    <cellStyle name="Normal 4 6 4 5" xfId="4298"/>
    <cellStyle name="Normal 4 6 4 5 2" xfId="11822"/>
    <cellStyle name="Normal 4 6 4 5 2 2" xfId="26866"/>
    <cellStyle name="Normal 4 6 4 5 2 3" xfId="41909"/>
    <cellStyle name="Normal 4 6 4 5 3" xfId="19345"/>
    <cellStyle name="Normal 4 6 4 5 4" xfId="34388"/>
    <cellStyle name="Normal 4 6 4 6" xfId="8061"/>
    <cellStyle name="Normal 4 6 4 6 2" xfId="23105"/>
    <cellStyle name="Normal 4 6 4 6 3" xfId="38148"/>
    <cellStyle name="Normal 4 6 4 7" xfId="15584"/>
    <cellStyle name="Normal 4 6 4 8" xfId="30627"/>
    <cellStyle name="Normal 4 6 5" xfId="920"/>
    <cellStyle name="Normal 4 6 5 2" xfId="1879"/>
    <cellStyle name="Normal 4 6 5 2 2" xfId="3750"/>
    <cellStyle name="Normal 4 6 5 2 2 2" xfId="7545"/>
    <cellStyle name="Normal 4 6 5 2 2 2 2" xfId="15068"/>
    <cellStyle name="Normal 4 6 5 2 2 2 2 2" xfId="30112"/>
    <cellStyle name="Normal 4 6 5 2 2 2 2 3" xfId="45155"/>
    <cellStyle name="Normal 4 6 5 2 2 2 3" xfId="22591"/>
    <cellStyle name="Normal 4 6 5 2 2 2 4" xfId="37634"/>
    <cellStyle name="Normal 4 6 5 2 2 3" xfId="11319"/>
    <cellStyle name="Normal 4 6 5 2 2 3 2" xfId="26363"/>
    <cellStyle name="Normal 4 6 5 2 2 3 3" xfId="41406"/>
    <cellStyle name="Normal 4 6 5 2 2 4" xfId="18842"/>
    <cellStyle name="Normal 4 6 5 2 2 5" xfId="33885"/>
    <cellStyle name="Normal 4 6 5 2 3" xfId="5680"/>
    <cellStyle name="Normal 4 6 5 2 3 2" xfId="13203"/>
    <cellStyle name="Normal 4 6 5 2 3 2 2" xfId="28247"/>
    <cellStyle name="Normal 4 6 5 2 3 2 3" xfId="43290"/>
    <cellStyle name="Normal 4 6 5 2 3 3" xfId="20726"/>
    <cellStyle name="Normal 4 6 5 2 3 4" xfId="35769"/>
    <cellStyle name="Normal 4 6 5 2 4" xfId="9454"/>
    <cellStyle name="Normal 4 6 5 2 4 2" xfId="24498"/>
    <cellStyle name="Normal 4 6 5 2 4 3" xfId="39541"/>
    <cellStyle name="Normal 4 6 5 2 5" xfId="16977"/>
    <cellStyle name="Normal 4 6 5 2 6" xfId="32020"/>
    <cellStyle name="Normal 4 6 5 3" xfId="2818"/>
    <cellStyle name="Normal 4 6 5 3 2" xfId="6613"/>
    <cellStyle name="Normal 4 6 5 3 2 2" xfId="14136"/>
    <cellStyle name="Normal 4 6 5 3 2 2 2" xfId="29180"/>
    <cellStyle name="Normal 4 6 5 3 2 2 3" xfId="44223"/>
    <cellStyle name="Normal 4 6 5 3 2 3" xfId="21659"/>
    <cellStyle name="Normal 4 6 5 3 2 4" xfId="36702"/>
    <cellStyle name="Normal 4 6 5 3 3" xfId="10387"/>
    <cellStyle name="Normal 4 6 5 3 3 2" xfId="25431"/>
    <cellStyle name="Normal 4 6 5 3 3 3" xfId="40474"/>
    <cellStyle name="Normal 4 6 5 3 4" xfId="17910"/>
    <cellStyle name="Normal 4 6 5 3 5" xfId="32953"/>
    <cellStyle name="Normal 4 6 5 4" xfId="4748"/>
    <cellStyle name="Normal 4 6 5 4 2" xfId="12271"/>
    <cellStyle name="Normal 4 6 5 4 2 2" xfId="27315"/>
    <cellStyle name="Normal 4 6 5 4 2 3" xfId="42358"/>
    <cellStyle name="Normal 4 6 5 4 3" xfId="19794"/>
    <cellStyle name="Normal 4 6 5 4 4" xfId="34837"/>
    <cellStyle name="Normal 4 6 5 5" xfId="8522"/>
    <cellStyle name="Normal 4 6 5 5 2" xfId="23566"/>
    <cellStyle name="Normal 4 6 5 5 3" xfId="38609"/>
    <cellStyle name="Normal 4 6 5 6" xfId="16045"/>
    <cellStyle name="Normal 4 6 5 7" xfId="31088"/>
    <cellStyle name="Normal 4 6 6" xfId="1427"/>
    <cellStyle name="Normal 4 6 6 2" xfId="3298"/>
    <cellStyle name="Normal 4 6 6 2 2" xfId="7093"/>
    <cellStyle name="Normal 4 6 6 2 2 2" xfId="14616"/>
    <cellStyle name="Normal 4 6 6 2 2 2 2" xfId="29660"/>
    <cellStyle name="Normal 4 6 6 2 2 2 3" xfId="44703"/>
    <cellStyle name="Normal 4 6 6 2 2 3" xfId="22139"/>
    <cellStyle name="Normal 4 6 6 2 2 4" xfId="37182"/>
    <cellStyle name="Normal 4 6 6 2 3" xfId="10867"/>
    <cellStyle name="Normal 4 6 6 2 3 2" xfId="25911"/>
    <cellStyle name="Normal 4 6 6 2 3 3" xfId="40954"/>
    <cellStyle name="Normal 4 6 6 2 4" xfId="18390"/>
    <cellStyle name="Normal 4 6 6 2 5" xfId="33433"/>
    <cellStyle name="Normal 4 6 6 3" xfId="5228"/>
    <cellStyle name="Normal 4 6 6 3 2" xfId="12751"/>
    <cellStyle name="Normal 4 6 6 3 2 2" xfId="27795"/>
    <cellStyle name="Normal 4 6 6 3 2 3" xfId="42838"/>
    <cellStyle name="Normal 4 6 6 3 3" xfId="20274"/>
    <cellStyle name="Normal 4 6 6 3 4" xfId="35317"/>
    <cellStyle name="Normal 4 6 6 4" xfId="9002"/>
    <cellStyle name="Normal 4 6 6 4 2" xfId="24046"/>
    <cellStyle name="Normal 4 6 6 4 3" xfId="39089"/>
    <cellStyle name="Normal 4 6 6 5" xfId="16525"/>
    <cellStyle name="Normal 4 6 6 6" xfId="31568"/>
    <cellStyle name="Normal 4 6 7" xfId="2365"/>
    <cellStyle name="Normal 4 6 7 2" xfId="6161"/>
    <cellStyle name="Normal 4 6 7 2 2" xfId="13684"/>
    <cellStyle name="Normal 4 6 7 2 2 2" xfId="28728"/>
    <cellStyle name="Normal 4 6 7 2 2 3" xfId="43771"/>
    <cellStyle name="Normal 4 6 7 2 3" xfId="21207"/>
    <cellStyle name="Normal 4 6 7 2 4" xfId="36250"/>
    <cellStyle name="Normal 4 6 7 3" xfId="9935"/>
    <cellStyle name="Normal 4 6 7 3 2" xfId="24979"/>
    <cellStyle name="Normal 4 6 7 3 3" xfId="40022"/>
    <cellStyle name="Normal 4 6 7 4" xfId="17458"/>
    <cellStyle name="Normal 4 6 7 5" xfId="32501"/>
    <cellStyle name="Normal 4 6 8" xfId="4293"/>
    <cellStyle name="Normal 4 6 8 2" xfId="11817"/>
    <cellStyle name="Normal 4 6 8 2 2" xfId="26861"/>
    <cellStyle name="Normal 4 6 8 2 3" xfId="41904"/>
    <cellStyle name="Normal 4 6 8 3" xfId="19340"/>
    <cellStyle name="Normal 4 6 8 4" xfId="34383"/>
    <cellStyle name="Normal 4 6 9" xfId="8056"/>
    <cellStyle name="Normal 4 6 9 2" xfId="23100"/>
    <cellStyle name="Normal 4 6 9 3" xfId="38143"/>
    <cellStyle name="Normal 4 7" xfId="402"/>
    <cellStyle name="Normal 4 7 2" xfId="403"/>
    <cellStyle name="Normal 4 7 2 2" xfId="927"/>
    <cellStyle name="Normal 4 7 2 2 2" xfId="1886"/>
    <cellStyle name="Normal 4 7 2 2 2 2" xfId="3757"/>
    <cellStyle name="Normal 4 7 2 2 2 2 2" xfId="7552"/>
    <cellStyle name="Normal 4 7 2 2 2 2 2 2" xfId="15075"/>
    <cellStyle name="Normal 4 7 2 2 2 2 2 2 2" xfId="30119"/>
    <cellStyle name="Normal 4 7 2 2 2 2 2 2 3" xfId="45162"/>
    <cellStyle name="Normal 4 7 2 2 2 2 2 3" xfId="22598"/>
    <cellStyle name="Normal 4 7 2 2 2 2 2 4" xfId="37641"/>
    <cellStyle name="Normal 4 7 2 2 2 2 3" xfId="11326"/>
    <cellStyle name="Normal 4 7 2 2 2 2 3 2" xfId="26370"/>
    <cellStyle name="Normal 4 7 2 2 2 2 3 3" xfId="41413"/>
    <cellStyle name="Normal 4 7 2 2 2 2 4" xfId="18849"/>
    <cellStyle name="Normal 4 7 2 2 2 2 5" xfId="33892"/>
    <cellStyle name="Normal 4 7 2 2 2 3" xfId="5687"/>
    <cellStyle name="Normal 4 7 2 2 2 3 2" xfId="13210"/>
    <cellStyle name="Normal 4 7 2 2 2 3 2 2" xfId="28254"/>
    <cellStyle name="Normal 4 7 2 2 2 3 2 3" xfId="43297"/>
    <cellStyle name="Normal 4 7 2 2 2 3 3" xfId="20733"/>
    <cellStyle name="Normal 4 7 2 2 2 3 4" xfId="35776"/>
    <cellStyle name="Normal 4 7 2 2 2 4" xfId="9461"/>
    <cellStyle name="Normal 4 7 2 2 2 4 2" xfId="24505"/>
    <cellStyle name="Normal 4 7 2 2 2 4 3" xfId="39548"/>
    <cellStyle name="Normal 4 7 2 2 2 5" xfId="16984"/>
    <cellStyle name="Normal 4 7 2 2 2 6" xfId="32027"/>
    <cellStyle name="Normal 4 7 2 2 3" xfId="2825"/>
    <cellStyle name="Normal 4 7 2 2 3 2" xfId="6620"/>
    <cellStyle name="Normal 4 7 2 2 3 2 2" xfId="14143"/>
    <cellStyle name="Normal 4 7 2 2 3 2 2 2" xfId="29187"/>
    <cellStyle name="Normal 4 7 2 2 3 2 2 3" xfId="44230"/>
    <cellStyle name="Normal 4 7 2 2 3 2 3" xfId="21666"/>
    <cellStyle name="Normal 4 7 2 2 3 2 4" xfId="36709"/>
    <cellStyle name="Normal 4 7 2 2 3 3" xfId="10394"/>
    <cellStyle name="Normal 4 7 2 2 3 3 2" xfId="25438"/>
    <cellStyle name="Normal 4 7 2 2 3 3 3" xfId="40481"/>
    <cellStyle name="Normal 4 7 2 2 3 4" xfId="17917"/>
    <cellStyle name="Normal 4 7 2 2 3 5" xfId="32960"/>
    <cellStyle name="Normal 4 7 2 2 4" xfId="4755"/>
    <cellStyle name="Normal 4 7 2 2 4 2" xfId="12278"/>
    <cellStyle name="Normal 4 7 2 2 4 2 2" xfId="27322"/>
    <cellStyle name="Normal 4 7 2 2 4 2 3" xfId="42365"/>
    <cellStyle name="Normal 4 7 2 2 4 3" xfId="19801"/>
    <cellStyle name="Normal 4 7 2 2 4 4" xfId="34844"/>
    <cellStyle name="Normal 4 7 2 2 5" xfId="8529"/>
    <cellStyle name="Normal 4 7 2 2 5 2" xfId="23573"/>
    <cellStyle name="Normal 4 7 2 2 5 3" xfId="38616"/>
    <cellStyle name="Normal 4 7 2 2 6" xfId="16052"/>
    <cellStyle name="Normal 4 7 2 2 7" xfId="31095"/>
    <cellStyle name="Normal 4 7 2 3" xfId="1434"/>
    <cellStyle name="Normal 4 7 2 3 2" xfId="3305"/>
    <cellStyle name="Normal 4 7 2 3 2 2" xfId="7100"/>
    <cellStyle name="Normal 4 7 2 3 2 2 2" xfId="14623"/>
    <cellStyle name="Normal 4 7 2 3 2 2 2 2" xfId="29667"/>
    <cellStyle name="Normal 4 7 2 3 2 2 2 3" xfId="44710"/>
    <cellStyle name="Normal 4 7 2 3 2 2 3" xfId="22146"/>
    <cellStyle name="Normal 4 7 2 3 2 2 4" xfId="37189"/>
    <cellStyle name="Normal 4 7 2 3 2 3" xfId="10874"/>
    <cellStyle name="Normal 4 7 2 3 2 3 2" xfId="25918"/>
    <cellStyle name="Normal 4 7 2 3 2 3 3" xfId="40961"/>
    <cellStyle name="Normal 4 7 2 3 2 4" xfId="18397"/>
    <cellStyle name="Normal 4 7 2 3 2 5" xfId="33440"/>
    <cellStyle name="Normal 4 7 2 3 3" xfId="5235"/>
    <cellStyle name="Normal 4 7 2 3 3 2" xfId="12758"/>
    <cellStyle name="Normal 4 7 2 3 3 2 2" xfId="27802"/>
    <cellStyle name="Normal 4 7 2 3 3 2 3" xfId="42845"/>
    <cellStyle name="Normal 4 7 2 3 3 3" xfId="20281"/>
    <cellStyle name="Normal 4 7 2 3 3 4" xfId="35324"/>
    <cellStyle name="Normal 4 7 2 3 4" xfId="9009"/>
    <cellStyle name="Normal 4 7 2 3 4 2" xfId="24053"/>
    <cellStyle name="Normal 4 7 2 3 4 3" xfId="39096"/>
    <cellStyle name="Normal 4 7 2 3 5" xfId="16532"/>
    <cellStyle name="Normal 4 7 2 3 6" xfId="31575"/>
    <cellStyle name="Normal 4 7 2 4" xfId="2372"/>
    <cellStyle name="Normal 4 7 2 4 2" xfId="6168"/>
    <cellStyle name="Normal 4 7 2 4 2 2" xfId="13691"/>
    <cellStyle name="Normal 4 7 2 4 2 2 2" xfId="28735"/>
    <cellStyle name="Normal 4 7 2 4 2 2 3" xfId="43778"/>
    <cellStyle name="Normal 4 7 2 4 2 3" xfId="21214"/>
    <cellStyle name="Normal 4 7 2 4 2 4" xfId="36257"/>
    <cellStyle name="Normal 4 7 2 4 3" xfId="9942"/>
    <cellStyle name="Normal 4 7 2 4 3 2" xfId="24986"/>
    <cellStyle name="Normal 4 7 2 4 3 3" xfId="40029"/>
    <cellStyle name="Normal 4 7 2 4 4" xfId="17465"/>
    <cellStyle name="Normal 4 7 2 4 5" xfId="32508"/>
    <cellStyle name="Normal 4 7 2 5" xfId="4300"/>
    <cellStyle name="Normal 4 7 2 5 2" xfId="11824"/>
    <cellStyle name="Normal 4 7 2 5 2 2" xfId="26868"/>
    <cellStyle name="Normal 4 7 2 5 2 3" xfId="41911"/>
    <cellStyle name="Normal 4 7 2 5 3" xfId="19347"/>
    <cellStyle name="Normal 4 7 2 5 4" xfId="34390"/>
    <cellStyle name="Normal 4 7 2 6" xfId="8063"/>
    <cellStyle name="Normal 4 7 2 6 2" xfId="23107"/>
    <cellStyle name="Normal 4 7 2 6 3" xfId="38150"/>
    <cellStyle name="Normal 4 7 2 7" xfId="15586"/>
    <cellStyle name="Normal 4 7 2 8" xfId="30629"/>
    <cellStyle name="Normal 4 7 3" xfId="926"/>
    <cellStyle name="Normal 4 7 3 2" xfId="1885"/>
    <cellStyle name="Normal 4 7 3 2 2" xfId="3756"/>
    <cellStyle name="Normal 4 7 3 2 2 2" xfId="7551"/>
    <cellStyle name="Normal 4 7 3 2 2 2 2" xfId="15074"/>
    <cellStyle name="Normal 4 7 3 2 2 2 2 2" xfId="30118"/>
    <cellStyle name="Normal 4 7 3 2 2 2 2 3" xfId="45161"/>
    <cellStyle name="Normal 4 7 3 2 2 2 3" xfId="22597"/>
    <cellStyle name="Normal 4 7 3 2 2 2 4" xfId="37640"/>
    <cellStyle name="Normal 4 7 3 2 2 3" xfId="11325"/>
    <cellStyle name="Normal 4 7 3 2 2 3 2" xfId="26369"/>
    <cellStyle name="Normal 4 7 3 2 2 3 3" xfId="41412"/>
    <cellStyle name="Normal 4 7 3 2 2 4" xfId="18848"/>
    <cellStyle name="Normal 4 7 3 2 2 5" xfId="33891"/>
    <cellStyle name="Normal 4 7 3 2 3" xfId="5686"/>
    <cellStyle name="Normal 4 7 3 2 3 2" xfId="13209"/>
    <cellStyle name="Normal 4 7 3 2 3 2 2" xfId="28253"/>
    <cellStyle name="Normal 4 7 3 2 3 2 3" xfId="43296"/>
    <cellStyle name="Normal 4 7 3 2 3 3" xfId="20732"/>
    <cellStyle name="Normal 4 7 3 2 3 4" xfId="35775"/>
    <cellStyle name="Normal 4 7 3 2 4" xfId="9460"/>
    <cellStyle name="Normal 4 7 3 2 4 2" xfId="24504"/>
    <cellStyle name="Normal 4 7 3 2 4 3" xfId="39547"/>
    <cellStyle name="Normal 4 7 3 2 5" xfId="16983"/>
    <cellStyle name="Normal 4 7 3 2 6" xfId="32026"/>
    <cellStyle name="Normal 4 7 3 3" xfId="2824"/>
    <cellStyle name="Normal 4 7 3 3 2" xfId="6619"/>
    <cellStyle name="Normal 4 7 3 3 2 2" xfId="14142"/>
    <cellStyle name="Normal 4 7 3 3 2 2 2" xfId="29186"/>
    <cellStyle name="Normal 4 7 3 3 2 2 3" xfId="44229"/>
    <cellStyle name="Normal 4 7 3 3 2 3" xfId="21665"/>
    <cellStyle name="Normal 4 7 3 3 2 4" xfId="36708"/>
    <cellStyle name="Normal 4 7 3 3 3" xfId="10393"/>
    <cellStyle name="Normal 4 7 3 3 3 2" xfId="25437"/>
    <cellStyle name="Normal 4 7 3 3 3 3" xfId="40480"/>
    <cellStyle name="Normal 4 7 3 3 4" xfId="17916"/>
    <cellStyle name="Normal 4 7 3 3 5" xfId="32959"/>
    <cellStyle name="Normal 4 7 3 4" xfId="4754"/>
    <cellStyle name="Normal 4 7 3 4 2" xfId="12277"/>
    <cellStyle name="Normal 4 7 3 4 2 2" xfId="27321"/>
    <cellStyle name="Normal 4 7 3 4 2 3" xfId="42364"/>
    <cellStyle name="Normal 4 7 3 4 3" xfId="19800"/>
    <cellStyle name="Normal 4 7 3 4 4" xfId="34843"/>
    <cellStyle name="Normal 4 7 3 5" xfId="8528"/>
    <cellStyle name="Normal 4 7 3 5 2" xfId="23572"/>
    <cellStyle name="Normal 4 7 3 5 3" xfId="38615"/>
    <cellStyle name="Normal 4 7 3 6" xfId="16051"/>
    <cellStyle name="Normal 4 7 3 7" xfId="31094"/>
    <cellStyle name="Normal 4 7 4" xfId="1433"/>
    <cellStyle name="Normal 4 7 4 2" xfId="3304"/>
    <cellStyle name="Normal 4 7 4 2 2" xfId="7099"/>
    <cellStyle name="Normal 4 7 4 2 2 2" xfId="14622"/>
    <cellStyle name="Normal 4 7 4 2 2 2 2" xfId="29666"/>
    <cellStyle name="Normal 4 7 4 2 2 2 3" xfId="44709"/>
    <cellStyle name="Normal 4 7 4 2 2 3" xfId="22145"/>
    <cellStyle name="Normal 4 7 4 2 2 4" xfId="37188"/>
    <cellStyle name="Normal 4 7 4 2 3" xfId="10873"/>
    <cellStyle name="Normal 4 7 4 2 3 2" xfId="25917"/>
    <cellStyle name="Normal 4 7 4 2 3 3" xfId="40960"/>
    <cellStyle name="Normal 4 7 4 2 4" xfId="18396"/>
    <cellStyle name="Normal 4 7 4 2 5" xfId="33439"/>
    <cellStyle name="Normal 4 7 4 3" xfId="5234"/>
    <cellStyle name="Normal 4 7 4 3 2" xfId="12757"/>
    <cellStyle name="Normal 4 7 4 3 2 2" xfId="27801"/>
    <cellStyle name="Normal 4 7 4 3 2 3" xfId="42844"/>
    <cellStyle name="Normal 4 7 4 3 3" xfId="20280"/>
    <cellStyle name="Normal 4 7 4 3 4" xfId="35323"/>
    <cellStyle name="Normal 4 7 4 4" xfId="9008"/>
    <cellStyle name="Normal 4 7 4 4 2" xfId="24052"/>
    <cellStyle name="Normal 4 7 4 4 3" xfId="39095"/>
    <cellStyle name="Normal 4 7 4 5" xfId="16531"/>
    <cellStyle name="Normal 4 7 4 6" xfId="31574"/>
    <cellStyle name="Normal 4 7 5" xfId="2371"/>
    <cellStyle name="Normal 4 7 5 2" xfId="6167"/>
    <cellStyle name="Normal 4 7 5 2 2" xfId="13690"/>
    <cellStyle name="Normal 4 7 5 2 2 2" xfId="28734"/>
    <cellStyle name="Normal 4 7 5 2 2 3" xfId="43777"/>
    <cellStyle name="Normal 4 7 5 2 3" xfId="21213"/>
    <cellStyle name="Normal 4 7 5 2 4" xfId="36256"/>
    <cellStyle name="Normal 4 7 5 3" xfId="9941"/>
    <cellStyle name="Normal 4 7 5 3 2" xfId="24985"/>
    <cellStyle name="Normal 4 7 5 3 3" xfId="40028"/>
    <cellStyle name="Normal 4 7 5 4" xfId="17464"/>
    <cellStyle name="Normal 4 7 5 5" xfId="32507"/>
    <cellStyle name="Normal 4 7 6" xfId="4299"/>
    <cellStyle name="Normal 4 7 6 2" xfId="11823"/>
    <cellStyle name="Normal 4 7 6 2 2" xfId="26867"/>
    <cellStyle name="Normal 4 7 6 2 3" xfId="41910"/>
    <cellStyle name="Normal 4 7 6 3" xfId="19346"/>
    <cellStyle name="Normal 4 7 6 4" xfId="34389"/>
    <cellStyle name="Normal 4 7 7" xfId="8062"/>
    <cellStyle name="Normal 4 7 7 2" xfId="23106"/>
    <cellStyle name="Normal 4 7 7 3" xfId="38149"/>
    <cellStyle name="Normal 4 7 8" xfId="15585"/>
    <cellStyle name="Normal 4 7 9" xfId="30628"/>
    <cellStyle name="Normal 4 8" xfId="404"/>
    <cellStyle name="Normal 4 8 2" xfId="405"/>
    <cellStyle name="Normal 4 8 2 2" xfId="929"/>
    <cellStyle name="Normal 4 8 2 2 2" xfId="1888"/>
    <cellStyle name="Normal 4 8 2 2 2 2" xfId="3759"/>
    <cellStyle name="Normal 4 8 2 2 2 2 2" xfId="7554"/>
    <cellStyle name="Normal 4 8 2 2 2 2 2 2" xfId="15077"/>
    <cellStyle name="Normal 4 8 2 2 2 2 2 2 2" xfId="30121"/>
    <cellStyle name="Normal 4 8 2 2 2 2 2 2 3" xfId="45164"/>
    <cellStyle name="Normal 4 8 2 2 2 2 2 3" xfId="22600"/>
    <cellStyle name="Normal 4 8 2 2 2 2 2 4" xfId="37643"/>
    <cellStyle name="Normal 4 8 2 2 2 2 3" xfId="11328"/>
    <cellStyle name="Normal 4 8 2 2 2 2 3 2" xfId="26372"/>
    <cellStyle name="Normal 4 8 2 2 2 2 3 3" xfId="41415"/>
    <cellStyle name="Normal 4 8 2 2 2 2 4" xfId="18851"/>
    <cellStyle name="Normal 4 8 2 2 2 2 5" xfId="33894"/>
    <cellStyle name="Normal 4 8 2 2 2 3" xfId="5689"/>
    <cellStyle name="Normal 4 8 2 2 2 3 2" xfId="13212"/>
    <cellStyle name="Normal 4 8 2 2 2 3 2 2" xfId="28256"/>
    <cellStyle name="Normal 4 8 2 2 2 3 2 3" xfId="43299"/>
    <cellStyle name="Normal 4 8 2 2 2 3 3" xfId="20735"/>
    <cellStyle name="Normal 4 8 2 2 2 3 4" xfId="35778"/>
    <cellStyle name="Normal 4 8 2 2 2 4" xfId="9463"/>
    <cellStyle name="Normal 4 8 2 2 2 4 2" xfId="24507"/>
    <cellStyle name="Normal 4 8 2 2 2 4 3" xfId="39550"/>
    <cellStyle name="Normal 4 8 2 2 2 5" xfId="16986"/>
    <cellStyle name="Normal 4 8 2 2 2 6" xfId="32029"/>
    <cellStyle name="Normal 4 8 2 2 3" xfId="2827"/>
    <cellStyle name="Normal 4 8 2 2 3 2" xfId="6622"/>
    <cellStyle name="Normal 4 8 2 2 3 2 2" xfId="14145"/>
    <cellStyle name="Normal 4 8 2 2 3 2 2 2" xfId="29189"/>
    <cellStyle name="Normal 4 8 2 2 3 2 2 3" xfId="44232"/>
    <cellStyle name="Normal 4 8 2 2 3 2 3" xfId="21668"/>
    <cellStyle name="Normal 4 8 2 2 3 2 4" xfId="36711"/>
    <cellStyle name="Normal 4 8 2 2 3 3" xfId="10396"/>
    <cellStyle name="Normal 4 8 2 2 3 3 2" xfId="25440"/>
    <cellStyle name="Normal 4 8 2 2 3 3 3" xfId="40483"/>
    <cellStyle name="Normal 4 8 2 2 3 4" xfId="17919"/>
    <cellStyle name="Normal 4 8 2 2 3 5" xfId="32962"/>
    <cellStyle name="Normal 4 8 2 2 4" xfId="4757"/>
    <cellStyle name="Normal 4 8 2 2 4 2" xfId="12280"/>
    <cellStyle name="Normal 4 8 2 2 4 2 2" xfId="27324"/>
    <cellStyle name="Normal 4 8 2 2 4 2 3" xfId="42367"/>
    <cellStyle name="Normal 4 8 2 2 4 3" xfId="19803"/>
    <cellStyle name="Normal 4 8 2 2 4 4" xfId="34846"/>
    <cellStyle name="Normal 4 8 2 2 5" xfId="8531"/>
    <cellStyle name="Normal 4 8 2 2 5 2" xfId="23575"/>
    <cellStyle name="Normal 4 8 2 2 5 3" xfId="38618"/>
    <cellStyle name="Normal 4 8 2 2 6" xfId="16054"/>
    <cellStyle name="Normal 4 8 2 2 7" xfId="31097"/>
    <cellStyle name="Normal 4 8 2 3" xfId="1436"/>
    <cellStyle name="Normal 4 8 2 3 2" xfId="3307"/>
    <cellStyle name="Normal 4 8 2 3 2 2" xfId="7102"/>
    <cellStyle name="Normal 4 8 2 3 2 2 2" xfId="14625"/>
    <cellStyle name="Normal 4 8 2 3 2 2 2 2" xfId="29669"/>
    <cellStyle name="Normal 4 8 2 3 2 2 2 3" xfId="44712"/>
    <cellStyle name="Normal 4 8 2 3 2 2 3" xfId="22148"/>
    <cellStyle name="Normal 4 8 2 3 2 2 4" xfId="37191"/>
    <cellStyle name="Normal 4 8 2 3 2 3" xfId="10876"/>
    <cellStyle name="Normal 4 8 2 3 2 3 2" xfId="25920"/>
    <cellStyle name="Normal 4 8 2 3 2 3 3" xfId="40963"/>
    <cellStyle name="Normal 4 8 2 3 2 4" xfId="18399"/>
    <cellStyle name="Normal 4 8 2 3 2 5" xfId="33442"/>
    <cellStyle name="Normal 4 8 2 3 3" xfId="5237"/>
    <cellStyle name="Normal 4 8 2 3 3 2" xfId="12760"/>
    <cellStyle name="Normal 4 8 2 3 3 2 2" xfId="27804"/>
    <cellStyle name="Normal 4 8 2 3 3 2 3" xfId="42847"/>
    <cellStyle name="Normal 4 8 2 3 3 3" xfId="20283"/>
    <cellStyle name="Normal 4 8 2 3 3 4" xfId="35326"/>
    <cellStyle name="Normal 4 8 2 3 4" xfId="9011"/>
    <cellStyle name="Normal 4 8 2 3 4 2" xfId="24055"/>
    <cellStyle name="Normal 4 8 2 3 4 3" xfId="39098"/>
    <cellStyle name="Normal 4 8 2 3 5" xfId="16534"/>
    <cellStyle name="Normal 4 8 2 3 6" xfId="31577"/>
    <cellStyle name="Normal 4 8 2 4" xfId="2374"/>
    <cellStyle name="Normal 4 8 2 4 2" xfId="6170"/>
    <cellStyle name="Normal 4 8 2 4 2 2" xfId="13693"/>
    <cellStyle name="Normal 4 8 2 4 2 2 2" xfId="28737"/>
    <cellStyle name="Normal 4 8 2 4 2 2 3" xfId="43780"/>
    <cellStyle name="Normal 4 8 2 4 2 3" xfId="21216"/>
    <cellStyle name="Normal 4 8 2 4 2 4" xfId="36259"/>
    <cellStyle name="Normal 4 8 2 4 3" xfId="9944"/>
    <cellStyle name="Normal 4 8 2 4 3 2" xfId="24988"/>
    <cellStyle name="Normal 4 8 2 4 3 3" xfId="40031"/>
    <cellStyle name="Normal 4 8 2 4 4" xfId="17467"/>
    <cellStyle name="Normal 4 8 2 4 5" xfId="32510"/>
    <cellStyle name="Normal 4 8 2 5" xfId="4302"/>
    <cellStyle name="Normal 4 8 2 5 2" xfId="11826"/>
    <cellStyle name="Normal 4 8 2 5 2 2" xfId="26870"/>
    <cellStyle name="Normal 4 8 2 5 2 3" xfId="41913"/>
    <cellStyle name="Normal 4 8 2 5 3" xfId="19349"/>
    <cellStyle name="Normal 4 8 2 5 4" xfId="34392"/>
    <cellStyle name="Normal 4 8 2 6" xfId="8065"/>
    <cellStyle name="Normal 4 8 2 6 2" xfId="23109"/>
    <cellStyle name="Normal 4 8 2 6 3" xfId="38152"/>
    <cellStyle name="Normal 4 8 2 7" xfId="15588"/>
    <cellStyle name="Normal 4 8 2 8" xfId="30631"/>
    <cellStyle name="Normal 4 8 3" xfId="928"/>
    <cellStyle name="Normal 4 8 3 2" xfId="1887"/>
    <cellStyle name="Normal 4 8 3 2 2" xfId="3758"/>
    <cellStyle name="Normal 4 8 3 2 2 2" xfId="7553"/>
    <cellStyle name="Normal 4 8 3 2 2 2 2" xfId="15076"/>
    <cellStyle name="Normal 4 8 3 2 2 2 2 2" xfId="30120"/>
    <cellStyle name="Normal 4 8 3 2 2 2 2 3" xfId="45163"/>
    <cellStyle name="Normal 4 8 3 2 2 2 3" xfId="22599"/>
    <cellStyle name="Normal 4 8 3 2 2 2 4" xfId="37642"/>
    <cellStyle name="Normal 4 8 3 2 2 3" xfId="11327"/>
    <cellStyle name="Normal 4 8 3 2 2 3 2" xfId="26371"/>
    <cellStyle name="Normal 4 8 3 2 2 3 3" xfId="41414"/>
    <cellStyle name="Normal 4 8 3 2 2 4" xfId="18850"/>
    <cellStyle name="Normal 4 8 3 2 2 5" xfId="33893"/>
    <cellStyle name="Normal 4 8 3 2 3" xfId="5688"/>
    <cellStyle name="Normal 4 8 3 2 3 2" xfId="13211"/>
    <cellStyle name="Normal 4 8 3 2 3 2 2" xfId="28255"/>
    <cellStyle name="Normal 4 8 3 2 3 2 3" xfId="43298"/>
    <cellStyle name="Normal 4 8 3 2 3 3" xfId="20734"/>
    <cellStyle name="Normal 4 8 3 2 3 4" xfId="35777"/>
    <cellStyle name="Normal 4 8 3 2 4" xfId="9462"/>
    <cellStyle name="Normal 4 8 3 2 4 2" xfId="24506"/>
    <cellStyle name="Normal 4 8 3 2 4 3" xfId="39549"/>
    <cellStyle name="Normal 4 8 3 2 5" xfId="16985"/>
    <cellStyle name="Normal 4 8 3 2 6" xfId="32028"/>
    <cellStyle name="Normal 4 8 3 3" xfId="2826"/>
    <cellStyle name="Normal 4 8 3 3 2" xfId="6621"/>
    <cellStyle name="Normal 4 8 3 3 2 2" xfId="14144"/>
    <cellStyle name="Normal 4 8 3 3 2 2 2" xfId="29188"/>
    <cellStyle name="Normal 4 8 3 3 2 2 3" xfId="44231"/>
    <cellStyle name="Normal 4 8 3 3 2 3" xfId="21667"/>
    <cellStyle name="Normal 4 8 3 3 2 4" xfId="36710"/>
    <cellStyle name="Normal 4 8 3 3 3" xfId="10395"/>
    <cellStyle name="Normal 4 8 3 3 3 2" xfId="25439"/>
    <cellStyle name="Normal 4 8 3 3 3 3" xfId="40482"/>
    <cellStyle name="Normal 4 8 3 3 4" xfId="17918"/>
    <cellStyle name="Normal 4 8 3 3 5" xfId="32961"/>
    <cellStyle name="Normal 4 8 3 4" xfId="4756"/>
    <cellStyle name="Normal 4 8 3 4 2" xfId="12279"/>
    <cellStyle name="Normal 4 8 3 4 2 2" xfId="27323"/>
    <cellStyle name="Normal 4 8 3 4 2 3" xfId="42366"/>
    <cellStyle name="Normal 4 8 3 4 3" xfId="19802"/>
    <cellStyle name="Normal 4 8 3 4 4" xfId="34845"/>
    <cellStyle name="Normal 4 8 3 5" xfId="8530"/>
    <cellStyle name="Normal 4 8 3 5 2" xfId="23574"/>
    <cellStyle name="Normal 4 8 3 5 3" xfId="38617"/>
    <cellStyle name="Normal 4 8 3 6" xfId="16053"/>
    <cellStyle name="Normal 4 8 3 7" xfId="31096"/>
    <cellStyle name="Normal 4 8 4" xfId="1435"/>
    <cellStyle name="Normal 4 8 4 2" xfId="3306"/>
    <cellStyle name="Normal 4 8 4 2 2" xfId="7101"/>
    <cellStyle name="Normal 4 8 4 2 2 2" xfId="14624"/>
    <cellStyle name="Normal 4 8 4 2 2 2 2" xfId="29668"/>
    <cellStyle name="Normal 4 8 4 2 2 2 3" xfId="44711"/>
    <cellStyle name="Normal 4 8 4 2 2 3" xfId="22147"/>
    <cellStyle name="Normal 4 8 4 2 2 4" xfId="37190"/>
    <cellStyle name="Normal 4 8 4 2 3" xfId="10875"/>
    <cellStyle name="Normal 4 8 4 2 3 2" xfId="25919"/>
    <cellStyle name="Normal 4 8 4 2 3 3" xfId="40962"/>
    <cellStyle name="Normal 4 8 4 2 4" xfId="18398"/>
    <cellStyle name="Normal 4 8 4 2 5" xfId="33441"/>
    <cellStyle name="Normal 4 8 4 3" xfId="5236"/>
    <cellStyle name="Normal 4 8 4 3 2" xfId="12759"/>
    <cellStyle name="Normal 4 8 4 3 2 2" xfId="27803"/>
    <cellStyle name="Normal 4 8 4 3 2 3" xfId="42846"/>
    <cellStyle name="Normal 4 8 4 3 3" xfId="20282"/>
    <cellStyle name="Normal 4 8 4 3 4" xfId="35325"/>
    <cellStyle name="Normal 4 8 4 4" xfId="9010"/>
    <cellStyle name="Normal 4 8 4 4 2" xfId="24054"/>
    <cellStyle name="Normal 4 8 4 4 3" xfId="39097"/>
    <cellStyle name="Normal 4 8 4 5" xfId="16533"/>
    <cellStyle name="Normal 4 8 4 6" xfId="31576"/>
    <cellStyle name="Normal 4 8 5" xfId="2373"/>
    <cellStyle name="Normal 4 8 5 2" xfId="6169"/>
    <cellStyle name="Normal 4 8 5 2 2" xfId="13692"/>
    <cellStyle name="Normal 4 8 5 2 2 2" xfId="28736"/>
    <cellStyle name="Normal 4 8 5 2 2 3" xfId="43779"/>
    <cellStyle name="Normal 4 8 5 2 3" xfId="21215"/>
    <cellStyle name="Normal 4 8 5 2 4" xfId="36258"/>
    <cellStyle name="Normal 4 8 5 3" xfId="9943"/>
    <cellStyle name="Normal 4 8 5 3 2" xfId="24987"/>
    <cellStyle name="Normal 4 8 5 3 3" xfId="40030"/>
    <cellStyle name="Normal 4 8 5 4" xfId="17466"/>
    <cellStyle name="Normal 4 8 5 5" xfId="32509"/>
    <cellStyle name="Normal 4 8 6" xfId="4301"/>
    <cellStyle name="Normal 4 8 6 2" xfId="11825"/>
    <cellStyle name="Normal 4 8 6 2 2" xfId="26869"/>
    <cellStyle name="Normal 4 8 6 2 3" xfId="41912"/>
    <cellStyle name="Normal 4 8 6 3" xfId="19348"/>
    <cellStyle name="Normal 4 8 6 4" xfId="34391"/>
    <cellStyle name="Normal 4 8 7" xfId="8064"/>
    <cellStyle name="Normal 4 8 7 2" xfId="23108"/>
    <cellStyle name="Normal 4 8 7 3" xfId="38151"/>
    <cellStyle name="Normal 4 8 8" xfId="15587"/>
    <cellStyle name="Normal 4 8 9" xfId="30630"/>
    <cellStyle name="Normal 4 9" xfId="406"/>
    <cellStyle name="Normal 40" xfId="3990"/>
    <cellStyle name="Normal 40 2" xfId="7744"/>
    <cellStyle name="Normal 40 2 2" xfId="15267"/>
    <cellStyle name="Normal 40 2 2 2" xfId="30311"/>
    <cellStyle name="Normal 40 2 2 3" xfId="45354"/>
    <cellStyle name="Normal 40 2 3" xfId="22790"/>
    <cellStyle name="Normal 40 2 4" xfId="37833"/>
    <cellStyle name="Normal 40 3" xfId="11518"/>
    <cellStyle name="Normal 40 3 2" xfId="26562"/>
    <cellStyle name="Normal 40 3 3" xfId="41605"/>
    <cellStyle name="Normal 40 4" xfId="19041"/>
    <cellStyle name="Normal 40 5" xfId="34084"/>
    <cellStyle name="Normal 41" xfId="4005"/>
    <cellStyle name="Normal 42" xfId="7758"/>
    <cellStyle name="Normal 42 2" xfId="15281"/>
    <cellStyle name="Normal 42 2 2" xfId="30325"/>
    <cellStyle name="Normal 42 2 3" xfId="45368"/>
    <cellStyle name="Normal 42 3" xfId="22804"/>
    <cellStyle name="Normal 42 4" xfId="37847"/>
    <cellStyle name="Normal 43" xfId="7772"/>
    <cellStyle name="Normal 43 2" xfId="7775"/>
    <cellStyle name="Normal 43 2 2" xfId="15297"/>
    <cellStyle name="Normal 43 2 2 2" xfId="30341"/>
    <cellStyle name="Normal 43 2 2 3" xfId="45384"/>
    <cellStyle name="Normal 43 2 3" xfId="22820"/>
    <cellStyle name="Normal 43 2 4" xfId="37863"/>
    <cellStyle name="Normal 43 3" xfId="15295"/>
    <cellStyle name="Normal 43 3 2" xfId="30339"/>
    <cellStyle name="Normal 43 3 3" xfId="45382"/>
    <cellStyle name="Normal 43 4" xfId="22818"/>
    <cellStyle name="Normal 43 5" xfId="37861"/>
    <cellStyle name="Normal 44" xfId="7773"/>
    <cellStyle name="Normal 44 2" xfId="15296"/>
    <cellStyle name="Normal 44 2 2" xfId="30340"/>
    <cellStyle name="Normal 44 2 3" xfId="45383"/>
    <cellStyle name="Normal 44 3" xfId="22819"/>
    <cellStyle name="Normal 44 4" xfId="37862"/>
    <cellStyle name="Normal 45" xfId="7776"/>
    <cellStyle name="Normal 45 2" xfId="15298"/>
    <cellStyle name="Normal 45 2 2" xfId="30342"/>
    <cellStyle name="Normal 45 2 3" xfId="45385"/>
    <cellStyle name="Normal 45 3" xfId="22821"/>
    <cellStyle name="Normal 45 4" xfId="37864"/>
    <cellStyle name="Normal 46" xfId="7777"/>
    <cellStyle name="Normal 46 2" xfId="15299"/>
    <cellStyle name="Normal 46 2 2" xfId="30343"/>
    <cellStyle name="Normal 46 2 3" xfId="45386"/>
    <cellStyle name="Normal 46 3" xfId="22822"/>
    <cellStyle name="Normal 46 4" xfId="37865"/>
    <cellStyle name="Normal 47" xfId="7778"/>
    <cellStyle name="Normal 48" xfId="7779"/>
    <cellStyle name="Normal 48 2" xfId="15300"/>
    <cellStyle name="Normal 48 2 2" xfId="30344"/>
    <cellStyle name="Normal 48 2 3" xfId="45387"/>
    <cellStyle name="Normal 48 3" xfId="22823"/>
    <cellStyle name="Normal 48 4" xfId="37866"/>
    <cellStyle name="Normal 49" xfId="7780"/>
    <cellStyle name="Normal 49 2" xfId="15301"/>
    <cellStyle name="Normal 49 2 2" xfId="30345"/>
    <cellStyle name="Normal 49 2 3" xfId="45388"/>
    <cellStyle name="Normal 49 3" xfId="22824"/>
    <cellStyle name="Normal 49 4" xfId="37867"/>
    <cellStyle name="Normal 5" xfId="15"/>
    <cellStyle name="Normal 5 10" xfId="7791"/>
    <cellStyle name="Normal 5 10 2" xfId="22835"/>
    <cellStyle name="Normal 5 10 3" xfId="37878"/>
    <cellStyle name="Normal 5 11" xfId="15314"/>
    <cellStyle name="Normal 5 12" xfId="30357"/>
    <cellStyle name="Normal 5 2" xfId="407"/>
    <cellStyle name="Normal 5 2 2" xfId="408"/>
    <cellStyle name="Normal 5 2 3" xfId="409"/>
    <cellStyle name="Normal 5 3" xfId="410"/>
    <cellStyle name="Normal 5 4" xfId="411"/>
    <cellStyle name="Normal 5 4 2" xfId="930"/>
    <cellStyle name="Normal 5 4 2 2" xfId="1889"/>
    <cellStyle name="Normal 5 4 2 2 2" xfId="3760"/>
    <cellStyle name="Normal 5 4 2 2 2 2" xfId="7555"/>
    <cellStyle name="Normal 5 4 2 2 2 2 2" xfId="15078"/>
    <cellStyle name="Normal 5 4 2 2 2 2 2 2" xfId="30122"/>
    <cellStyle name="Normal 5 4 2 2 2 2 2 3" xfId="45165"/>
    <cellStyle name="Normal 5 4 2 2 2 2 3" xfId="22601"/>
    <cellStyle name="Normal 5 4 2 2 2 2 4" xfId="37644"/>
    <cellStyle name="Normal 5 4 2 2 2 3" xfId="11329"/>
    <cellStyle name="Normal 5 4 2 2 2 3 2" xfId="26373"/>
    <cellStyle name="Normal 5 4 2 2 2 3 3" xfId="41416"/>
    <cellStyle name="Normal 5 4 2 2 2 4" xfId="18852"/>
    <cellStyle name="Normal 5 4 2 2 2 5" xfId="33895"/>
    <cellStyle name="Normal 5 4 2 2 3" xfId="5690"/>
    <cellStyle name="Normal 5 4 2 2 3 2" xfId="13213"/>
    <cellStyle name="Normal 5 4 2 2 3 2 2" xfId="28257"/>
    <cellStyle name="Normal 5 4 2 2 3 2 3" xfId="43300"/>
    <cellStyle name="Normal 5 4 2 2 3 3" xfId="20736"/>
    <cellStyle name="Normal 5 4 2 2 3 4" xfId="35779"/>
    <cellStyle name="Normal 5 4 2 2 4" xfId="9464"/>
    <cellStyle name="Normal 5 4 2 2 4 2" xfId="24508"/>
    <cellStyle name="Normal 5 4 2 2 4 3" xfId="39551"/>
    <cellStyle name="Normal 5 4 2 2 5" xfId="16987"/>
    <cellStyle name="Normal 5 4 2 2 6" xfId="32030"/>
    <cellStyle name="Normal 5 4 2 3" xfId="2828"/>
    <cellStyle name="Normal 5 4 2 3 2" xfId="6623"/>
    <cellStyle name="Normal 5 4 2 3 2 2" xfId="14146"/>
    <cellStyle name="Normal 5 4 2 3 2 2 2" xfId="29190"/>
    <cellStyle name="Normal 5 4 2 3 2 2 3" xfId="44233"/>
    <cellStyle name="Normal 5 4 2 3 2 3" xfId="21669"/>
    <cellStyle name="Normal 5 4 2 3 2 4" xfId="36712"/>
    <cellStyle name="Normal 5 4 2 3 3" xfId="10397"/>
    <cellStyle name="Normal 5 4 2 3 3 2" xfId="25441"/>
    <cellStyle name="Normal 5 4 2 3 3 3" xfId="40484"/>
    <cellStyle name="Normal 5 4 2 3 4" xfId="17920"/>
    <cellStyle name="Normal 5 4 2 3 5" xfId="32963"/>
    <cellStyle name="Normal 5 4 2 4" xfId="4758"/>
    <cellStyle name="Normal 5 4 2 4 2" xfId="12281"/>
    <cellStyle name="Normal 5 4 2 4 2 2" xfId="27325"/>
    <cellStyle name="Normal 5 4 2 4 2 3" xfId="42368"/>
    <cellStyle name="Normal 5 4 2 4 3" xfId="19804"/>
    <cellStyle name="Normal 5 4 2 4 4" xfId="34847"/>
    <cellStyle name="Normal 5 4 2 5" xfId="8532"/>
    <cellStyle name="Normal 5 4 2 5 2" xfId="23576"/>
    <cellStyle name="Normal 5 4 2 5 3" xfId="38619"/>
    <cellStyle name="Normal 5 4 2 6" xfId="16055"/>
    <cellStyle name="Normal 5 4 2 7" xfId="31098"/>
    <cellStyle name="Normal 5 4 3" xfId="1437"/>
    <cellStyle name="Normal 5 4 3 2" xfId="3308"/>
    <cellStyle name="Normal 5 4 3 2 2" xfId="7103"/>
    <cellStyle name="Normal 5 4 3 2 2 2" xfId="14626"/>
    <cellStyle name="Normal 5 4 3 2 2 2 2" xfId="29670"/>
    <cellStyle name="Normal 5 4 3 2 2 2 3" xfId="44713"/>
    <cellStyle name="Normal 5 4 3 2 2 3" xfId="22149"/>
    <cellStyle name="Normal 5 4 3 2 2 4" xfId="37192"/>
    <cellStyle name="Normal 5 4 3 2 3" xfId="10877"/>
    <cellStyle name="Normal 5 4 3 2 3 2" xfId="25921"/>
    <cellStyle name="Normal 5 4 3 2 3 3" xfId="40964"/>
    <cellStyle name="Normal 5 4 3 2 4" xfId="18400"/>
    <cellStyle name="Normal 5 4 3 2 5" xfId="33443"/>
    <cellStyle name="Normal 5 4 3 3" xfId="5238"/>
    <cellStyle name="Normal 5 4 3 3 2" xfId="12761"/>
    <cellStyle name="Normal 5 4 3 3 2 2" xfId="27805"/>
    <cellStyle name="Normal 5 4 3 3 2 3" xfId="42848"/>
    <cellStyle name="Normal 5 4 3 3 3" xfId="20284"/>
    <cellStyle name="Normal 5 4 3 3 4" xfId="35327"/>
    <cellStyle name="Normal 5 4 3 4" xfId="9012"/>
    <cellStyle name="Normal 5 4 3 4 2" xfId="24056"/>
    <cellStyle name="Normal 5 4 3 4 3" xfId="39099"/>
    <cellStyle name="Normal 5 4 3 5" xfId="16535"/>
    <cellStyle name="Normal 5 4 3 6" xfId="31578"/>
    <cellStyle name="Normal 5 4 4" xfId="2375"/>
    <cellStyle name="Normal 5 4 4 2" xfId="6171"/>
    <cellStyle name="Normal 5 4 4 2 2" xfId="13694"/>
    <cellStyle name="Normal 5 4 4 2 2 2" xfId="28738"/>
    <cellStyle name="Normal 5 4 4 2 2 3" xfId="43781"/>
    <cellStyle name="Normal 5 4 4 2 3" xfId="21217"/>
    <cellStyle name="Normal 5 4 4 2 4" xfId="36260"/>
    <cellStyle name="Normal 5 4 4 3" xfId="9945"/>
    <cellStyle name="Normal 5 4 4 3 2" xfId="24989"/>
    <cellStyle name="Normal 5 4 4 3 3" xfId="40032"/>
    <cellStyle name="Normal 5 4 4 4" xfId="17468"/>
    <cellStyle name="Normal 5 4 4 5" xfId="32511"/>
    <cellStyle name="Normal 5 4 5" xfId="4303"/>
    <cellStyle name="Normal 5 4 5 2" xfId="11827"/>
    <cellStyle name="Normal 5 4 5 2 2" xfId="26871"/>
    <cellStyle name="Normal 5 4 5 2 3" xfId="41914"/>
    <cellStyle name="Normal 5 4 5 3" xfId="19350"/>
    <cellStyle name="Normal 5 4 5 4" xfId="34393"/>
    <cellStyle name="Normal 5 4 6" xfId="8066"/>
    <cellStyle name="Normal 5 4 6 2" xfId="23110"/>
    <cellStyle name="Normal 5 4 6 3" xfId="38153"/>
    <cellStyle name="Normal 5 4 7" xfId="15589"/>
    <cellStyle name="Normal 5 4 8" xfId="30632"/>
    <cellStyle name="Normal 5 5" xfId="37"/>
    <cellStyle name="Normal 5 5 2" xfId="674"/>
    <cellStyle name="Normal 5 5 2 2" xfId="1633"/>
    <cellStyle name="Normal 5 5 2 2 2" xfId="3504"/>
    <cellStyle name="Normal 5 5 2 2 2 2" xfId="7299"/>
    <cellStyle name="Normal 5 5 2 2 2 2 2" xfId="14822"/>
    <cellStyle name="Normal 5 5 2 2 2 2 2 2" xfId="29866"/>
    <cellStyle name="Normal 5 5 2 2 2 2 2 3" xfId="44909"/>
    <cellStyle name="Normal 5 5 2 2 2 2 3" xfId="22345"/>
    <cellStyle name="Normal 5 5 2 2 2 2 4" xfId="37388"/>
    <cellStyle name="Normal 5 5 2 2 2 3" xfId="11073"/>
    <cellStyle name="Normal 5 5 2 2 2 3 2" xfId="26117"/>
    <cellStyle name="Normal 5 5 2 2 2 3 3" xfId="41160"/>
    <cellStyle name="Normal 5 5 2 2 2 4" xfId="18596"/>
    <cellStyle name="Normal 5 5 2 2 2 5" xfId="33639"/>
    <cellStyle name="Normal 5 5 2 2 3" xfId="5434"/>
    <cellStyle name="Normal 5 5 2 2 3 2" xfId="12957"/>
    <cellStyle name="Normal 5 5 2 2 3 2 2" xfId="28001"/>
    <cellStyle name="Normal 5 5 2 2 3 2 3" xfId="43044"/>
    <cellStyle name="Normal 5 5 2 2 3 3" xfId="20480"/>
    <cellStyle name="Normal 5 5 2 2 3 4" xfId="35523"/>
    <cellStyle name="Normal 5 5 2 2 4" xfId="9208"/>
    <cellStyle name="Normal 5 5 2 2 4 2" xfId="24252"/>
    <cellStyle name="Normal 5 5 2 2 4 3" xfId="39295"/>
    <cellStyle name="Normal 5 5 2 2 5" xfId="16731"/>
    <cellStyle name="Normal 5 5 2 2 6" xfId="31774"/>
    <cellStyle name="Normal 5 5 2 3" xfId="2572"/>
    <cellStyle name="Normal 5 5 2 3 2" xfId="6367"/>
    <cellStyle name="Normal 5 5 2 3 2 2" xfId="13890"/>
    <cellStyle name="Normal 5 5 2 3 2 2 2" xfId="28934"/>
    <cellStyle name="Normal 5 5 2 3 2 2 3" xfId="43977"/>
    <cellStyle name="Normal 5 5 2 3 2 3" xfId="21413"/>
    <cellStyle name="Normal 5 5 2 3 2 4" xfId="36456"/>
    <cellStyle name="Normal 5 5 2 3 3" xfId="10141"/>
    <cellStyle name="Normal 5 5 2 3 3 2" xfId="25185"/>
    <cellStyle name="Normal 5 5 2 3 3 3" xfId="40228"/>
    <cellStyle name="Normal 5 5 2 3 4" xfId="17664"/>
    <cellStyle name="Normal 5 5 2 3 5" xfId="32707"/>
    <cellStyle name="Normal 5 5 2 4" xfId="4502"/>
    <cellStyle name="Normal 5 5 2 4 2" xfId="12025"/>
    <cellStyle name="Normal 5 5 2 4 2 2" xfId="27069"/>
    <cellStyle name="Normal 5 5 2 4 2 3" xfId="42112"/>
    <cellStyle name="Normal 5 5 2 4 3" xfId="19548"/>
    <cellStyle name="Normal 5 5 2 4 4" xfId="34591"/>
    <cellStyle name="Normal 5 5 2 5" xfId="8276"/>
    <cellStyle name="Normal 5 5 2 5 2" xfId="23320"/>
    <cellStyle name="Normal 5 5 2 5 3" xfId="38363"/>
    <cellStyle name="Normal 5 5 2 6" xfId="15799"/>
    <cellStyle name="Normal 5 5 2 7" xfId="30842"/>
    <cellStyle name="Normal 5 5 3" xfId="1181"/>
    <cellStyle name="Normal 5 5 3 2" xfId="3052"/>
    <cellStyle name="Normal 5 5 3 2 2" xfId="6847"/>
    <cellStyle name="Normal 5 5 3 2 2 2" xfId="14370"/>
    <cellStyle name="Normal 5 5 3 2 2 2 2" xfId="29414"/>
    <cellStyle name="Normal 5 5 3 2 2 2 3" xfId="44457"/>
    <cellStyle name="Normal 5 5 3 2 2 3" xfId="21893"/>
    <cellStyle name="Normal 5 5 3 2 2 4" xfId="36936"/>
    <cellStyle name="Normal 5 5 3 2 3" xfId="10621"/>
    <cellStyle name="Normal 5 5 3 2 3 2" xfId="25665"/>
    <cellStyle name="Normal 5 5 3 2 3 3" xfId="40708"/>
    <cellStyle name="Normal 5 5 3 2 4" xfId="18144"/>
    <cellStyle name="Normal 5 5 3 2 5" xfId="33187"/>
    <cellStyle name="Normal 5 5 3 3" xfId="4982"/>
    <cellStyle name="Normal 5 5 3 3 2" xfId="12505"/>
    <cellStyle name="Normal 5 5 3 3 2 2" xfId="27549"/>
    <cellStyle name="Normal 5 5 3 3 2 3" xfId="42592"/>
    <cellStyle name="Normal 5 5 3 3 3" xfId="20028"/>
    <cellStyle name="Normal 5 5 3 3 4" xfId="35071"/>
    <cellStyle name="Normal 5 5 3 4" xfId="8756"/>
    <cellStyle name="Normal 5 5 3 4 2" xfId="23800"/>
    <cellStyle name="Normal 5 5 3 4 3" xfId="38843"/>
    <cellStyle name="Normal 5 5 3 5" xfId="16279"/>
    <cellStyle name="Normal 5 5 3 6" xfId="31322"/>
    <cellStyle name="Normal 5 5 4" xfId="2119"/>
    <cellStyle name="Normal 5 5 4 2" xfId="5915"/>
    <cellStyle name="Normal 5 5 4 2 2" xfId="13438"/>
    <cellStyle name="Normal 5 5 4 2 2 2" xfId="28482"/>
    <cellStyle name="Normal 5 5 4 2 2 3" xfId="43525"/>
    <cellStyle name="Normal 5 5 4 2 3" xfId="20961"/>
    <cellStyle name="Normal 5 5 4 2 4" xfId="36004"/>
    <cellStyle name="Normal 5 5 4 3" xfId="9689"/>
    <cellStyle name="Normal 5 5 4 3 2" xfId="24733"/>
    <cellStyle name="Normal 5 5 4 3 3" xfId="39776"/>
    <cellStyle name="Normal 5 5 4 4" xfId="17212"/>
    <cellStyle name="Normal 5 5 4 5" xfId="32255"/>
    <cellStyle name="Normal 5 5 5" xfId="4045"/>
    <cellStyle name="Normal 5 5 5 2" xfId="11569"/>
    <cellStyle name="Normal 5 5 5 2 2" xfId="26613"/>
    <cellStyle name="Normal 5 5 5 2 3" xfId="41656"/>
    <cellStyle name="Normal 5 5 5 3" xfId="19092"/>
    <cellStyle name="Normal 5 5 5 4" xfId="34135"/>
    <cellStyle name="Normal 5 5 6" xfId="7808"/>
    <cellStyle name="Normal 5 5 6 2" xfId="22852"/>
    <cellStyle name="Normal 5 5 6 3" xfId="37895"/>
    <cellStyle name="Normal 5 5 7" xfId="15331"/>
    <cellStyle name="Normal 5 5 8" xfId="30374"/>
    <cellStyle name="Normal 5 6" xfId="657"/>
    <cellStyle name="Normal 5 6 2" xfId="1616"/>
    <cellStyle name="Normal 5 6 2 2" xfId="3487"/>
    <cellStyle name="Normal 5 6 2 2 2" xfId="7282"/>
    <cellStyle name="Normal 5 6 2 2 2 2" xfId="14805"/>
    <cellStyle name="Normal 5 6 2 2 2 2 2" xfId="29849"/>
    <cellStyle name="Normal 5 6 2 2 2 2 3" xfId="44892"/>
    <cellStyle name="Normal 5 6 2 2 2 3" xfId="22328"/>
    <cellStyle name="Normal 5 6 2 2 2 4" xfId="37371"/>
    <cellStyle name="Normal 5 6 2 2 3" xfId="11056"/>
    <cellStyle name="Normal 5 6 2 2 3 2" xfId="26100"/>
    <cellStyle name="Normal 5 6 2 2 3 3" xfId="41143"/>
    <cellStyle name="Normal 5 6 2 2 4" xfId="18579"/>
    <cellStyle name="Normal 5 6 2 2 5" xfId="33622"/>
    <cellStyle name="Normal 5 6 2 3" xfId="5417"/>
    <cellStyle name="Normal 5 6 2 3 2" xfId="12940"/>
    <cellStyle name="Normal 5 6 2 3 2 2" xfId="27984"/>
    <cellStyle name="Normal 5 6 2 3 2 3" xfId="43027"/>
    <cellStyle name="Normal 5 6 2 3 3" xfId="20463"/>
    <cellStyle name="Normal 5 6 2 3 4" xfId="35506"/>
    <cellStyle name="Normal 5 6 2 4" xfId="9191"/>
    <cellStyle name="Normal 5 6 2 4 2" xfId="24235"/>
    <cellStyle name="Normal 5 6 2 4 3" xfId="39278"/>
    <cellStyle name="Normal 5 6 2 5" xfId="16714"/>
    <cellStyle name="Normal 5 6 2 6" xfId="31757"/>
    <cellStyle name="Normal 5 6 3" xfId="2555"/>
    <cellStyle name="Normal 5 6 3 2" xfId="6350"/>
    <cellStyle name="Normal 5 6 3 2 2" xfId="13873"/>
    <cellStyle name="Normal 5 6 3 2 2 2" xfId="28917"/>
    <cellStyle name="Normal 5 6 3 2 2 3" xfId="43960"/>
    <cellStyle name="Normal 5 6 3 2 3" xfId="21396"/>
    <cellStyle name="Normal 5 6 3 2 4" xfId="36439"/>
    <cellStyle name="Normal 5 6 3 3" xfId="10124"/>
    <cellStyle name="Normal 5 6 3 3 2" xfId="25168"/>
    <cellStyle name="Normal 5 6 3 3 3" xfId="40211"/>
    <cellStyle name="Normal 5 6 3 4" xfId="17647"/>
    <cellStyle name="Normal 5 6 3 5" xfId="32690"/>
    <cellStyle name="Normal 5 6 4" xfId="4485"/>
    <cellStyle name="Normal 5 6 4 2" xfId="12008"/>
    <cellStyle name="Normal 5 6 4 2 2" xfId="27052"/>
    <cellStyle name="Normal 5 6 4 2 3" xfId="42095"/>
    <cellStyle name="Normal 5 6 4 3" xfId="19531"/>
    <cellStyle name="Normal 5 6 4 4" xfId="34574"/>
    <cellStyle name="Normal 5 6 5" xfId="8259"/>
    <cellStyle name="Normal 5 6 5 2" xfId="23303"/>
    <cellStyle name="Normal 5 6 5 3" xfId="38346"/>
    <cellStyle name="Normal 5 6 6" xfId="15782"/>
    <cellStyle name="Normal 5 6 7" xfId="30825"/>
    <cellStyle name="Normal 5 7" xfId="1164"/>
    <cellStyle name="Normal 5 7 2" xfId="3035"/>
    <cellStyle name="Normal 5 7 2 2" xfId="6830"/>
    <cellStyle name="Normal 5 7 2 2 2" xfId="14353"/>
    <cellStyle name="Normal 5 7 2 2 2 2" xfId="29397"/>
    <cellStyle name="Normal 5 7 2 2 2 3" xfId="44440"/>
    <cellStyle name="Normal 5 7 2 2 3" xfId="21876"/>
    <cellStyle name="Normal 5 7 2 2 4" xfId="36919"/>
    <cellStyle name="Normal 5 7 2 3" xfId="10604"/>
    <cellStyle name="Normal 5 7 2 3 2" xfId="25648"/>
    <cellStyle name="Normal 5 7 2 3 3" xfId="40691"/>
    <cellStyle name="Normal 5 7 2 4" xfId="18127"/>
    <cellStyle name="Normal 5 7 2 5" xfId="33170"/>
    <cellStyle name="Normal 5 7 3" xfId="4965"/>
    <cellStyle name="Normal 5 7 3 2" xfId="12488"/>
    <cellStyle name="Normal 5 7 3 2 2" xfId="27532"/>
    <cellStyle name="Normal 5 7 3 2 3" xfId="42575"/>
    <cellStyle name="Normal 5 7 3 3" xfId="20011"/>
    <cellStyle name="Normal 5 7 3 4" xfId="35054"/>
    <cellStyle name="Normal 5 7 4" xfId="8739"/>
    <cellStyle name="Normal 5 7 4 2" xfId="23783"/>
    <cellStyle name="Normal 5 7 4 3" xfId="38826"/>
    <cellStyle name="Normal 5 7 5" xfId="16262"/>
    <cellStyle name="Normal 5 7 6" xfId="31305"/>
    <cellStyle name="Normal 5 8" xfId="2102"/>
    <cellStyle name="Normal 5 8 2" xfId="5898"/>
    <cellStyle name="Normal 5 8 2 2" xfId="13421"/>
    <cellStyle name="Normal 5 8 2 2 2" xfId="28465"/>
    <cellStyle name="Normal 5 8 2 2 3" xfId="43508"/>
    <cellStyle name="Normal 5 8 2 3" xfId="20944"/>
    <cellStyle name="Normal 5 8 2 4" xfId="35987"/>
    <cellStyle name="Normal 5 8 3" xfId="9672"/>
    <cellStyle name="Normal 5 8 3 2" xfId="24716"/>
    <cellStyle name="Normal 5 8 3 3" xfId="39759"/>
    <cellStyle name="Normal 5 8 4" xfId="17195"/>
    <cellStyle name="Normal 5 8 5" xfId="32238"/>
    <cellStyle name="Normal 5 9" xfId="4028"/>
    <cellStyle name="Normal 5 9 2" xfId="11552"/>
    <cellStyle name="Normal 5 9 2 2" xfId="26596"/>
    <cellStyle name="Normal 5 9 2 3" xfId="41639"/>
    <cellStyle name="Normal 5 9 3" xfId="19075"/>
    <cellStyle name="Normal 5 9 4" xfId="34118"/>
    <cellStyle name="Normal 50" xfId="7781"/>
    <cellStyle name="Normal 50 2" xfId="15302"/>
    <cellStyle name="Normal 50 2 2" xfId="30346"/>
    <cellStyle name="Normal 50 2 3" xfId="45389"/>
    <cellStyle name="Normal 50 3" xfId="22825"/>
    <cellStyle name="Normal 50 4" xfId="37868"/>
    <cellStyle name="Normal 51" xfId="7782"/>
    <cellStyle name="Normal 51 2" xfId="15303"/>
    <cellStyle name="Normal 51 2 2" xfId="30347"/>
    <cellStyle name="Normal 51 2 3" xfId="45390"/>
    <cellStyle name="Normal 51 3" xfId="22826"/>
    <cellStyle name="Normal 51 4" xfId="37869"/>
    <cellStyle name="Normal 51 4 2" xfId="45400"/>
    <cellStyle name="Normal 51 4 3" xfId="45411"/>
    <cellStyle name="Normal 51 4 4" xfId="45422"/>
    <cellStyle name="Normal 51 4 5" xfId="45432"/>
    <cellStyle name="Normal 51 4 6" xfId="45442"/>
    <cellStyle name="Normal 51 4 7" xfId="45452"/>
    <cellStyle name="Normal 51 4 8" xfId="45464"/>
    <cellStyle name="Normal 51 4 9" xfId="45478"/>
    <cellStyle name="Normal 52" xfId="15305"/>
    <cellStyle name="Normal 52 2" xfId="30348"/>
    <cellStyle name="Normal 52 3" xfId="45391"/>
    <cellStyle name="Normal 53" xfId="45392"/>
    <cellStyle name="Normal 54" xfId="45393"/>
    <cellStyle name="Normal 54 2" xfId="45415"/>
    <cellStyle name="Normal 54 3" xfId="45426"/>
    <cellStyle name="Normal 54 4" xfId="45436"/>
    <cellStyle name="Normal 54 5" xfId="45446"/>
    <cellStyle name="Normal 54 6" xfId="45456"/>
    <cellStyle name="Normal 54 7" xfId="45468"/>
    <cellStyle name="Normal 54 8" xfId="45482"/>
    <cellStyle name="Normal 55" xfId="45406"/>
    <cellStyle name="Normal 56" xfId="45417"/>
    <cellStyle name="Normal 57" xfId="45427"/>
    <cellStyle name="Normal 58" xfId="45437"/>
    <cellStyle name="Normal 59" xfId="45447"/>
    <cellStyle name="Normal 59 2" xfId="45471"/>
    <cellStyle name="Normal 59 3" xfId="45485"/>
    <cellStyle name="Normal 6" xfId="16"/>
    <cellStyle name="Normal 6 2" xfId="412"/>
    <cellStyle name="Normal 6 2 10" xfId="2376"/>
    <cellStyle name="Normal 6 2 10 2" xfId="6172"/>
    <cellStyle name="Normal 6 2 10 2 2" xfId="13695"/>
    <cellStyle name="Normal 6 2 10 2 2 2" xfId="28739"/>
    <cellStyle name="Normal 6 2 10 2 2 3" xfId="43782"/>
    <cellStyle name="Normal 6 2 10 2 3" xfId="21218"/>
    <cellStyle name="Normal 6 2 10 2 4" xfId="36261"/>
    <cellStyle name="Normal 6 2 10 3" xfId="9946"/>
    <cellStyle name="Normal 6 2 10 3 2" xfId="24990"/>
    <cellStyle name="Normal 6 2 10 3 3" xfId="40033"/>
    <cellStyle name="Normal 6 2 10 4" xfId="17469"/>
    <cellStyle name="Normal 6 2 10 5" xfId="32512"/>
    <cellStyle name="Normal 6 2 11" xfId="4304"/>
    <cellStyle name="Normal 6 2 11 2" xfId="11828"/>
    <cellStyle name="Normal 6 2 11 2 2" xfId="26872"/>
    <cellStyle name="Normal 6 2 11 2 3" xfId="41915"/>
    <cellStyle name="Normal 6 2 11 3" xfId="19351"/>
    <cellStyle name="Normal 6 2 11 4" xfId="34394"/>
    <cellStyle name="Normal 6 2 12" xfId="8067"/>
    <cellStyle name="Normal 6 2 12 2" xfId="23111"/>
    <cellStyle name="Normal 6 2 12 3" xfId="38154"/>
    <cellStyle name="Normal 6 2 13" xfId="15590"/>
    <cellStyle name="Normal 6 2 14" xfId="30633"/>
    <cellStyle name="Normal 6 2 2" xfId="413"/>
    <cellStyle name="Normal 6 2 2 10" xfId="4305"/>
    <cellStyle name="Normal 6 2 2 10 2" xfId="11829"/>
    <cellStyle name="Normal 6 2 2 10 2 2" xfId="26873"/>
    <cellStyle name="Normal 6 2 2 10 2 3" xfId="41916"/>
    <cellStyle name="Normal 6 2 2 10 3" xfId="19352"/>
    <cellStyle name="Normal 6 2 2 10 4" xfId="34395"/>
    <cellStyle name="Normal 6 2 2 11" xfId="8068"/>
    <cellStyle name="Normal 6 2 2 11 2" xfId="23112"/>
    <cellStyle name="Normal 6 2 2 11 3" xfId="38155"/>
    <cellStyle name="Normal 6 2 2 12" xfId="15591"/>
    <cellStyle name="Normal 6 2 2 13" xfId="30634"/>
    <cellStyle name="Normal 6 2 2 2" xfId="414"/>
    <cellStyle name="Normal 6 2 2 2 10" xfId="8069"/>
    <cellStyle name="Normal 6 2 2 2 10 2" xfId="23113"/>
    <cellStyle name="Normal 6 2 2 2 10 3" xfId="38156"/>
    <cellStyle name="Normal 6 2 2 2 11" xfId="15592"/>
    <cellStyle name="Normal 6 2 2 2 12" xfId="30635"/>
    <cellStyle name="Normal 6 2 2 2 2" xfId="415"/>
    <cellStyle name="Normal 6 2 2 2 2 10" xfId="30636"/>
    <cellStyle name="Normal 6 2 2 2 2 2" xfId="416"/>
    <cellStyle name="Normal 6 2 2 2 2 2 2" xfId="417"/>
    <cellStyle name="Normal 6 2 2 2 2 2 2 2" xfId="936"/>
    <cellStyle name="Normal 6 2 2 2 2 2 2 2 2" xfId="1895"/>
    <cellStyle name="Normal 6 2 2 2 2 2 2 2 2 2" xfId="3766"/>
    <cellStyle name="Normal 6 2 2 2 2 2 2 2 2 2 2" xfId="7561"/>
    <cellStyle name="Normal 6 2 2 2 2 2 2 2 2 2 2 2" xfId="15084"/>
    <cellStyle name="Normal 6 2 2 2 2 2 2 2 2 2 2 2 2" xfId="30128"/>
    <cellStyle name="Normal 6 2 2 2 2 2 2 2 2 2 2 2 3" xfId="45171"/>
    <cellStyle name="Normal 6 2 2 2 2 2 2 2 2 2 2 3" xfId="22607"/>
    <cellStyle name="Normal 6 2 2 2 2 2 2 2 2 2 2 4" xfId="37650"/>
    <cellStyle name="Normal 6 2 2 2 2 2 2 2 2 2 3" xfId="11335"/>
    <cellStyle name="Normal 6 2 2 2 2 2 2 2 2 2 3 2" xfId="26379"/>
    <cellStyle name="Normal 6 2 2 2 2 2 2 2 2 2 3 3" xfId="41422"/>
    <cellStyle name="Normal 6 2 2 2 2 2 2 2 2 2 4" xfId="18858"/>
    <cellStyle name="Normal 6 2 2 2 2 2 2 2 2 2 5" xfId="33901"/>
    <cellStyle name="Normal 6 2 2 2 2 2 2 2 2 3" xfId="5696"/>
    <cellStyle name="Normal 6 2 2 2 2 2 2 2 2 3 2" xfId="13219"/>
    <cellStyle name="Normal 6 2 2 2 2 2 2 2 2 3 2 2" xfId="28263"/>
    <cellStyle name="Normal 6 2 2 2 2 2 2 2 2 3 2 3" xfId="43306"/>
    <cellStyle name="Normal 6 2 2 2 2 2 2 2 2 3 3" xfId="20742"/>
    <cellStyle name="Normal 6 2 2 2 2 2 2 2 2 3 4" xfId="35785"/>
    <cellStyle name="Normal 6 2 2 2 2 2 2 2 2 4" xfId="9470"/>
    <cellStyle name="Normal 6 2 2 2 2 2 2 2 2 4 2" xfId="24514"/>
    <cellStyle name="Normal 6 2 2 2 2 2 2 2 2 4 3" xfId="39557"/>
    <cellStyle name="Normal 6 2 2 2 2 2 2 2 2 5" xfId="16993"/>
    <cellStyle name="Normal 6 2 2 2 2 2 2 2 2 6" xfId="32036"/>
    <cellStyle name="Normal 6 2 2 2 2 2 2 2 3" xfId="2834"/>
    <cellStyle name="Normal 6 2 2 2 2 2 2 2 3 2" xfId="6629"/>
    <cellStyle name="Normal 6 2 2 2 2 2 2 2 3 2 2" xfId="14152"/>
    <cellStyle name="Normal 6 2 2 2 2 2 2 2 3 2 2 2" xfId="29196"/>
    <cellStyle name="Normal 6 2 2 2 2 2 2 2 3 2 2 3" xfId="44239"/>
    <cellStyle name="Normal 6 2 2 2 2 2 2 2 3 2 3" xfId="21675"/>
    <cellStyle name="Normal 6 2 2 2 2 2 2 2 3 2 4" xfId="36718"/>
    <cellStyle name="Normal 6 2 2 2 2 2 2 2 3 3" xfId="10403"/>
    <cellStyle name="Normal 6 2 2 2 2 2 2 2 3 3 2" xfId="25447"/>
    <cellStyle name="Normal 6 2 2 2 2 2 2 2 3 3 3" xfId="40490"/>
    <cellStyle name="Normal 6 2 2 2 2 2 2 2 3 4" xfId="17926"/>
    <cellStyle name="Normal 6 2 2 2 2 2 2 2 3 5" xfId="32969"/>
    <cellStyle name="Normal 6 2 2 2 2 2 2 2 4" xfId="4764"/>
    <cellStyle name="Normal 6 2 2 2 2 2 2 2 4 2" xfId="12287"/>
    <cellStyle name="Normal 6 2 2 2 2 2 2 2 4 2 2" xfId="27331"/>
    <cellStyle name="Normal 6 2 2 2 2 2 2 2 4 2 3" xfId="42374"/>
    <cellStyle name="Normal 6 2 2 2 2 2 2 2 4 3" xfId="19810"/>
    <cellStyle name="Normal 6 2 2 2 2 2 2 2 4 4" xfId="34853"/>
    <cellStyle name="Normal 6 2 2 2 2 2 2 2 5" xfId="8538"/>
    <cellStyle name="Normal 6 2 2 2 2 2 2 2 5 2" xfId="23582"/>
    <cellStyle name="Normal 6 2 2 2 2 2 2 2 5 3" xfId="38625"/>
    <cellStyle name="Normal 6 2 2 2 2 2 2 2 6" xfId="16061"/>
    <cellStyle name="Normal 6 2 2 2 2 2 2 2 7" xfId="31104"/>
    <cellStyle name="Normal 6 2 2 2 2 2 2 3" xfId="1443"/>
    <cellStyle name="Normal 6 2 2 2 2 2 2 3 2" xfId="3314"/>
    <cellStyle name="Normal 6 2 2 2 2 2 2 3 2 2" xfId="7109"/>
    <cellStyle name="Normal 6 2 2 2 2 2 2 3 2 2 2" xfId="14632"/>
    <cellStyle name="Normal 6 2 2 2 2 2 2 3 2 2 2 2" xfId="29676"/>
    <cellStyle name="Normal 6 2 2 2 2 2 2 3 2 2 2 3" xfId="44719"/>
    <cellStyle name="Normal 6 2 2 2 2 2 2 3 2 2 3" xfId="22155"/>
    <cellStyle name="Normal 6 2 2 2 2 2 2 3 2 2 4" xfId="37198"/>
    <cellStyle name="Normal 6 2 2 2 2 2 2 3 2 3" xfId="10883"/>
    <cellStyle name="Normal 6 2 2 2 2 2 2 3 2 3 2" xfId="25927"/>
    <cellStyle name="Normal 6 2 2 2 2 2 2 3 2 3 3" xfId="40970"/>
    <cellStyle name="Normal 6 2 2 2 2 2 2 3 2 4" xfId="18406"/>
    <cellStyle name="Normal 6 2 2 2 2 2 2 3 2 5" xfId="33449"/>
    <cellStyle name="Normal 6 2 2 2 2 2 2 3 3" xfId="5244"/>
    <cellStyle name="Normal 6 2 2 2 2 2 2 3 3 2" xfId="12767"/>
    <cellStyle name="Normal 6 2 2 2 2 2 2 3 3 2 2" xfId="27811"/>
    <cellStyle name="Normal 6 2 2 2 2 2 2 3 3 2 3" xfId="42854"/>
    <cellStyle name="Normal 6 2 2 2 2 2 2 3 3 3" xfId="20290"/>
    <cellStyle name="Normal 6 2 2 2 2 2 2 3 3 4" xfId="35333"/>
    <cellStyle name="Normal 6 2 2 2 2 2 2 3 4" xfId="9018"/>
    <cellStyle name="Normal 6 2 2 2 2 2 2 3 4 2" xfId="24062"/>
    <cellStyle name="Normal 6 2 2 2 2 2 2 3 4 3" xfId="39105"/>
    <cellStyle name="Normal 6 2 2 2 2 2 2 3 5" xfId="16541"/>
    <cellStyle name="Normal 6 2 2 2 2 2 2 3 6" xfId="31584"/>
    <cellStyle name="Normal 6 2 2 2 2 2 2 4" xfId="2381"/>
    <cellStyle name="Normal 6 2 2 2 2 2 2 4 2" xfId="6177"/>
    <cellStyle name="Normal 6 2 2 2 2 2 2 4 2 2" xfId="13700"/>
    <cellStyle name="Normal 6 2 2 2 2 2 2 4 2 2 2" xfId="28744"/>
    <cellStyle name="Normal 6 2 2 2 2 2 2 4 2 2 3" xfId="43787"/>
    <cellStyle name="Normal 6 2 2 2 2 2 2 4 2 3" xfId="21223"/>
    <cellStyle name="Normal 6 2 2 2 2 2 2 4 2 4" xfId="36266"/>
    <cellStyle name="Normal 6 2 2 2 2 2 2 4 3" xfId="9951"/>
    <cellStyle name="Normal 6 2 2 2 2 2 2 4 3 2" xfId="24995"/>
    <cellStyle name="Normal 6 2 2 2 2 2 2 4 3 3" xfId="40038"/>
    <cellStyle name="Normal 6 2 2 2 2 2 2 4 4" xfId="17474"/>
    <cellStyle name="Normal 6 2 2 2 2 2 2 4 5" xfId="32517"/>
    <cellStyle name="Normal 6 2 2 2 2 2 2 5" xfId="4309"/>
    <cellStyle name="Normal 6 2 2 2 2 2 2 5 2" xfId="11833"/>
    <cellStyle name="Normal 6 2 2 2 2 2 2 5 2 2" xfId="26877"/>
    <cellStyle name="Normal 6 2 2 2 2 2 2 5 2 3" xfId="41920"/>
    <cellStyle name="Normal 6 2 2 2 2 2 2 5 3" xfId="19356"/>
    <cellStyle name="Normal 6 2 2 2 2 2 2 5 4" xfId="34399"/>
    <cellStyle name="Normal 6 2 2 2 2 2 2 6" xfId="8072"/>
    <cellStyle name="Normal 6 2 2 2 2 2 2 6 2" xfId="23116"/>
    <cellStyle name="Normal 6 2 2 2 2 2 2 6 3" xfId="38159"/>
    <cellStyle name="Normal 6 2 2 2 2 2 2 7" xfId="15595"/>
    <cellStyle name="Normal 6 2 2 2 2 2 2 8" xfId="30638"/>
    <cellStyle name="Normal 6 2 2 2 2 2 3" xfId="935"/>
    <cellStyle name="Normal 6 2 2 2 2 2 3 2" xfId="1894"/>
    <cellStyle name="Normal 6 2 2 2 2 2 3 2 2" xfId="3765"/>
    <cellStyle name="Normal 6 2 2 2 2 2 3 2 2 2" xfId="7560"/>
    <cellStyle name="Normal 6 2 2 2 2 2 3 2 2 2 2" xfId="15083"/>
    <cellStyle name="Normal 6 2 2 2 2 2 3 2 2 2 2 2" xfId="30127"/>
    <cellStyle name="Normal 6 2 2 2 2 2 3 2 2 2 2 3" xfId="45170"/>
    <cellStyle name="Normal 6 2 2 2 2 2 3 2 2 2 3" xfId="22606"/>
    <cellStyle name="Normal 6 2 2 2 2 2 3 2 2 2 4" xfId="37649"/>
    <cellStyle name="Normal 6 2 2 2 2 2 3 2 2 3" xfId="11334"/>
    <cellStyle name="Normal 6 2 2 2 2 2 3 2 2 3 2" xfId="26378"/>
    <cellStyle name="Normal 6 2 2 2 2 2 3 2 2 3 3" xfId="41421"/>
    <cellStyle name="Normal 6 2 2 2 2 2 3 2 2 4" xfId="18857"/>
    <cellStyle name="Normal 6 2 2 2 2 2 3 2 2 5" xfId="33900"/>
    <cellStyle name="Normal 6 2 2 2 2 2 3 2 3" xfId="5695"/>
    <cellStyle name="Normal 6 2 2 2 2 2 3 2 3 2" xfId="13218"/>
    <cellStyle name="Normal 6 2 2 2 2 2 3 2 3 2 2" xfId="28262"/>
    <cellStyle name="Normal 6 2 2 2 2 2 3 2 3 2 3" xfId="43305"/>
    <cellStyle name="Normal 6 2 2 2 2 2 3 2 3 3" xfId="20741"/>
    <cellStyle name="Normal 6 2 2 2 2 2 3 2 3 4" xfId="35784"/>
    <cellStyle name="Normal 6 2 2 2 2 2 3 2 4" xfId="9469"/>
    <cellStyle name="Normal 6 2 2 2 2 2 3 2 4 2" xfId="24513"/>
    <cellStyle name="Normal 6 2 2 2 2 2 3 2 4 3" xfId="39556"/>
    <cellStyle name="Normal 6 2 2 2 2 2 3 2 5" xfId="16992"/>
    <cellStyle name="Normal 6 2 2 2 2 2 3 2 6" xfId="32035"/>
    <cellStyle name="Normal 6 2 2 2 2 2 3 3" xfId="2833"/>
    <cellStyle name="Normal 6 2 2 2 2 2 3 3 2" xfId="6628"/>
    <cellStyle name="Normal 6 2 2 2 2 2 3 3 2 2" xfId="14151"/>
    <cellStyle name="Normal 6 2 2 2 2 2 3 3 2 2 2" xfId="29195"/>
    <cellStyle name="Normal 6 2 2 2 2 2 3 3 2 2 3" xfId="44238"/>
    <cellStyle name="Normal 6 2 2 2 2 2 3 3 2 3" xfId="21674"/>
    <cellStyle name="Normal 6 2 2 2 2 2 3 3 2 4" xfId="36717"/>
    <cellStyle name="Normal 6 2 2 2 2 2 3 3 3" xfId="10402"/>
    <cellStyle name="Normal 6 2 2 2 2 2 3 3 3 2" xfId="25446"/>
    <cellStyle name="Normal 6 2 2 2 2 2 3 3 3 3" xfId="40489"/>
    <cellStyle name="Normal 6 2 2 2 2 2 3 3 4" xfId="17925"/>
    <cellStyle name="Normal 6 2 2 2 2 2 3 3 5" xfId="32968"/>
    <cellStyle name="Normal 6 2 2 2 2 2 3 4" xfId="4763"/>
    <cellStyle name="Normal 6 2 2 2 2 2 3 4 2" xfId="12286"/>
    <cellStyle name="Normal 6 2 2 2 2 2 3 4 2 2" xfId="27330"/>
    <cellStyle name="Normal 6 2 2 2 2 2 3 4 2 3" xfId="42373"/>
    <cellStyle name="Normal 6 2 2 2 2 2 3 4 3" xfId="19809"/>
    <cellStyle name="Normal 6 2 2 2 2 2 3 4 4" xfId="34852"/>
    <cellStyle name="Normal 6 2 2 2 2 2 3 5" xfId="8537"/>
    <cellStyle name="Normal 6 2 2 2 2 2 3 5 2" xfId="23581"/>
    <cellStyle name="Normal 6 2 2 2 2 2 3 5 3" xfId="38624"/>
    <cellStyle name="Normal 6 2 2 2 2 2 3 6" xfId="16060"/>
    <cellStyle name="Normal 6 2 2 2 2 2 3 7" xfId="31103"/>
    <cellStyle name="Normal 6 2 2 2 2 2 4" xfId="1442"/>
    <cellStyle name="Normal 6 2 2 2 2 2 4 2" xfId="3313"/>
    <cellStyle name="Normal 6 2 2 2 2 2 4 2 2" xfId="7108"/>
    <cellStyle name="Normal 6 2 2 2 2 2 4 2 2 2" xfId="14631"/>
    <cellStyle name="Normal 6 2 2 2 2 2 4 2 2 2 2" xfId="29675"/>
    <cellStyle name="Normal 6 2 2 2 2 2 4 2 2 2 3" xfId="44718"/>
    <cellStyle name="Normal 6 2 2 2 2 2 4 2 2 3" xfId="22154"/>
    <cellStyle name="Normal 6 2 2 2 2 2 4 2 2 4" xfId="37197"/>
    <cellStyle name="Normal 6 2 2 2 2 2 4 2 3" xfId="10882"/>
    <cellStyle name="Normal 6 2 2 2 2 2 4 2 3 2" xfId="25926"/>
    <cellStyle name="Normal 6 2 2 2 2 2 4 2 3 3" xfId="40969"/>
    <cellStyle name="Normal 6 2 2 2 2 2 4 2 4" xfId="18405"/>
    <cellStyle name="Normal 6 2 2 2 2 2 4 2 5" xfId="33448"/>
    <cellStyle name="Normal 6 2 2 2 2 2 4 3" xfId="5243"/>
    <cellStyle name="Normal 6 2 2 2 2 2 4 3 2" xfId="12766"/>
    <cellStyle name="Normal 6 2 2 2 2 2 4 3 2 2" xfId="27810"/>
    <cellStyle name="Normal 6 2 2 2 2 2 4 3 2 3" xfId="42853"/>
    <cellStyle name="Normal 6 2 2 2 2 2 4 3 3" xfId="20289"/>
    <cellStyle name="Normal 6 2 2 2 2 2 4 3 4" xfId="35332"/>
    <cellStyle name="Normal 6 2 2 2 2 2 4 4" xfId="9017"/>
    <cellStyle name="Normal 6 2 2 2 2 2 4 4 2" xfId="24061"/>
    <cellStyle name="Normal 6 2 2 2 2 2 4 4 3" xfId="39104"/>
    <cellStyle name="Normal 6 2 2 2 2 2 4 5" xfId="16540"/>
    <cellStyle name="Normal 6 2 2 2 2 2 4 6" xfId="31583"/>
    <cellStyle name="Normal 6 2 2 2 2 2 5" xfId="2380"/>
    <cellStyle name="Normal 6 2 2 2 2 2 5 2" xfId="6176"/>
    <cellStyle name="Normal 6 2 2 2 2 2 5 2 2" xfId="13699"/>
    <cellStyle name="Normal 6 2 2 2 2 2 5 2 2 2" xfId="28743"/>
    <cellStyle name="Normal 6 2 2 2 2 2 5 2 2 3" xfId="43786"/>
    <cellStyle name="Normal 6 2 2 2 2 2 5 2 3" xfId="21222"/>
    <cellStyle name="Normal 6 2 2 2 2 2 5 2 4" xfId="36265"/>
    <cellStyle name="Normal 6 2 2 2 2 2 5 3" xfId="9950"/>
    <cellStyle name="Normal 6 2 2 2 2 2 5 3 2" xfId="24994"/>
    <cellStyle name="Normal 6 2 2 2 2 2 5 3 3" xfId="40037"/>
    <cellStyle name="Normal 6 2 2 2 2 2 5 4" xfId="17473"/>
    <cellStyle name="Normal 6 2 2 2 2 2 5 5" xfId="32516"/>
    <cellStyle name="Normal 6 2 2 2 2 2 6" xfId="4308"/>
    <cellStyle name="Normal 6 2 2 2 2 2 6 2" xfId="11832"/>
    <cellStyle name="Normal 6 2 2 2 2 2 6 2 2" xfId="26876"/>
    <cellStyle name="Normal 6 2 2 2 2 2 6 2 3" xfId="41919"/>
    <cellStyle name="Normal 6 2 2 2 2 2 6 3" xfId="19355"/>
    <cellStyle name="Normal 6 2 2 2 2 2 6 4" xfId="34398"/>
    <cellStyle name="Normal 6 2 2 2 2 2 7" xfId="8071"/>
    <cellStyle name="Normal 6 2 2 2 2 2 7 2" xfId="23115"/>
    <cellStyle name="Normal 6 2 2 2 2 2 7 3" xfId="38158"/>
    <cellStyle name="Normal 6 2 2 2 2 2 8" xfId="15594"/>
    <cellStyle name="Normal 6 2 2 2 2 2 9" xfId="30637"/>
    <cellStyle name="Normal 6 2 2 2 2 3" xfId="418"/>
    <cellStyle name="Normal 6 2 2 2 2 3 2" xfId="937"/>
    <cellStyle name="Normal 6 2 2 2 2 3 2 2" xfId="1896"/>
    <cellStyle name="Normal 6 2 2 2 2 3 2 2 2" xfId="3767"/>
    <cellStyle name="Normal 6 2 2 2 2 3 2 2 2 2" xfId="7562"/>
    <cellStyle name="Normal 6 2 2 2 2 3 2 2 2 2 2" xfId="15085"/>
    <cellStyle name="Normal 6 2 2 2 2 3 2 2 2 2 2 2" xfId="30129"/>
    <cellStyle name="Normal 6 2 2 2 2 3 2 2 2 2 2 3" xfId="45172"/>
    <cellStyle name="Normal 6 2 2 2 2 3 2 2 2 2 3" xfId="22608"/>
    <cellStyle name="Normal 6 2 2 2 2 3 2 2 2 2 4" xfId="37651"/>
    <cellStyle name="Normal 6 2 2 2 2 3 2 2 2 3" xfId="11336"/>
    <cellStyle name="Normal 6 2 2 2 2 3 2 2 2 3 2" xfId="26380"/>
    <cellStyle name="Normal 6 2 2 2 2 3 2 2 2 3 3" xfId="41423"/>
    <cellStyle name="Normal 6 2 2 2 2 3 2 2 2 4" xfId="18859"/>
    <cellStyle name="Normal 6 2 2 2 2 3 2 2 2 5" xfId="33902"/>
    <cellStyle name="Normal 6 2 2 2 2 3 2 2 3" xfId="5697"/>
    <cellStyle name="Normal 6 2 2 2 2 3 2 2 3 2" xfId="13220"/>
    <cellStyle name="Normal 6 2 2 2 2 3 2 2 3 2 2" xfId="28264"/>
    <cellStyle name="Normal 6 2 2 2 2 3 2 2 3 2 3" xfId="43307"/>
    <cellStyle name="Normal 6 2 2 2 2 3 2 2 3 3" xfId="20743"/>
    <cellStyle name="Normal 6 2 2 2 2 3 2 2 3 4" xfId="35786"/>
    <cellStyle name="Normal 6 2 2 2 2 3 2 2 4" xfId="9471"/>
    <cellStyle name="Normal 6 2 2 2 2 3 2 2 4 2" xfId="24515"/>
    <cellStyle name="Normal 6 2 2 2 2 3 2 2 4 3" xfId="39558"/>
    <cellStyle name="Normal 6 2 2 2 2 3 2 2 5" xfId="16994"/>
    <cellStyle name="Normal 6 2 2 2 2 3 2 2 6" xfId="32037"/>
    <cellStyle name="Normal 6 2 2 2 2 3 2 3" xfId="2835"/>
    <cellStyle name="Normal 6 2 2 2 2 3 2 3 2" xfId="6630"/>
    <cellStyle name="Normal 6 2 2 2 2 3 2 3 2 2" xfId="14153"/>
    <cellStyle name="Normal 6 2 2 2 2 3 2 3 2 2 2" xfId="29197"/>
    <cellStyle name="Normal 6 2 2 2 2 3 2 3 2 2 3" xfId="44240"/>
    <cellStyle name="Normal 6 2 2 2 2 3 2 3 2 3" xfId="21676"/>
    <cellStyle name="Normal 6 2 2 2 2 3 2 3 2 4" xfId="36719"/>
    <cellStyle name="Normal 6 2 2 2 2 3 2 3 3" xfId="10404"/>
    <cellStyle name="Normal 6 2 2 2 2 3 2 3 3 2" xfId="25448"/>
    <cellStyle name="Normal 6 2 2 2 2 3 2 3 3 3" xfId="40491"/>
    <cellStyle name="Normal 6 2 2 2 2 3 2 3 4" xfId="17927"/>
    <cellStyle name="Normal 6 2 2 2 2 3 2 3 5" xfId="32970"/>
    <cellStyle name="Normal 6 2 2 2 2 3 2 4" xfId="4765"/>
    <cellStyle name="Normal 6 2 2 2 2 3 2 4 2" xfId="12288"/>
    <cellStyle name="Normal 6 2 2 2 2 3 2 4 2 2" xfId="27332"/>
    <cellStyle name="Normal 6 2 2 2 2 3 2 4 2 3" xfId="42375"/>
    <cellStyle name="Normal 6 2 2 2 2 3 2 4 3" xfId="19811"/>
    <cellStyle name="Normal 6 2 2 2 2 3 2 4 4" xfId="34854"/>
    <cellStyle name="Normal 6 2 2 2 2 3 2 5" xfId="8539"/>
    <cellStyle name="Normal 6 2 2 2 2 3 2 5 2" xfId="23583"/>
    <cellStyle name="Normal 6 2 2 2 2 3 2 5 3" xfId="38626"/>
    <cellStyle name="Normal 6 2 2 2 2 3 2 6" xfId="16062"/>
    <cellStyle name="Normal 6 2 2 2 2 3 2 7" xfId="31105"/>
    <cellStyle name="Normal 6 2 2 2 2 3 3" xfId="1444"/>
    <cellStyle name="Normal 6 2 2 2 2 3 3 2" xfId="3315"/>
    <cellStyle name="Normal 6 2 2 2 2 3 3 2 2" xfId="7110"/>
    <cellStyle name="Normal 6 2 2 2 2 3 3 2 2 2" xfId="14633"/>
    <cellStyle name="Normal 6 2 2 2 2 3 3 2 2 2 2" xfId="29677"/>
    <cellStyle name="Normal 6 2 2 2 2 3 3 2 2 2 3" xfId="44720"/>
    <cellStyle name="Normal 6 2 2 2 2 3 3 2 2 3" xfId="22156"/>
    <cellStyle name="Normal 6 2 2 2 2 3 3 2 2 4" xfId="37199"/>
    <cellStyle name="Normal 6 2 2 2 2 3 3 2 3" xfId="10884"/>
    <cellStyle name="Normal 6 2 2 2 2 3 3 2 3 2" xfId="25928"/>
    <cellStyle name="Normal 6 2 2 2 2 3 3 2 3 3" xfId="40971"/>
    <cellStyle name="Normal 6 2 2 2 2 3 3 2 4" xfId="18407"/>
    <cellStyle name="Normal 6 2 2 2 2 3 3 2 5" xfId="33450"/>
    <cellStyle name="Normal 6 2 2 2 2 3 3 3" xfId="5245"/>
    <cellStyle name="Normal 6 2 2 2 2 3 3 3 2" xfId="12768"/>
    <cellStyle name="Normal 6 2 2 2 2 3 3 3 2 2" xfId="27812"/>
    <cellStyle name="Normal 6 2 2 2 2 3 3 3 2 3" xfId="42855"/>
    <cellStyle name="Normal 6 2 2 2 2 3 3 3 3" xfId="20291"/>
    <cellStyle name="Normal 6 2 2 2 2 3 3 3 4" xfId="35334"/>
    <cellStyle name="Normal 6 2 2 2 2 3 3 4" xfId="9019"/>
    <cellStyle name="Normal 6 2 2 2 2 3 3 4 2" xfId="24063"/>
    <cellStyle name="Normal 6 2 2 2 2 3 3 4 3" xfId="39106"/>
    <cellStyle name="Normal 6 2 2 2 2 3 3 5" xfId="16542"/>
    <cellStyle name="Normal 6 2 2 2 2 3 3 6" xfId="31585"/>
    <cellStyle name="Normal 6 2 2 2 2 3 4" xfId="2382"/>
    <cellStyle name="Normal 6 2 2 2 2 3 4 2" xfId="6178"/>
    <cellStyle name="Normal 6 2 2 2 2 3 4 2 2" xfId="13701"/>
    <cellStyle name="Normal 6 2 2 2 2 3 4 2 2 2" xfId="28745"/>
    <cellStyle name="Normal 6 2 2 2 2 3 4 2 2 3" xfId="43788"/>
    <cellStyle name="Normal 6 2 2 2 2 3 4 2 3" xfId="21224"/>
    <cellStyle name="Normal 6 2 2 2 2 3 4 2 4" xfId="36267"/>
    <cellStyle name="Normal 6 2 2 2 2 3 4 3" xfId="9952"/>
    <cellStyle name="Normal 6 2 2 2 2 3 4 3 2" xfId="24996"/>
    <cellStyle name="Normal 6 2 2 2 2 3 4 3 3" xfId="40039"/>
    <cellStyle name="Normal 6 2 2 2 2 3 4 4" xfId="17475"/>
    <cellStyle name="Normal 6 2 2 2 2 3 4 5" xfId="32518"/>
    <cellStyle name="Normal 6 2 2 2 2 3 5" xfId="4310"/>
    <cellStyle name="Normal 6 2 2 2 2 3 5 2" xfId="11834"/>
    <cellStyle name="Normal 6 2 2 2 2 3 5 2 2" xfId="26878"/>
    <cellStyle name="Normal 6 2 2 2 2 3 5 2 3" xfId="41921"/>
    <cellStyle name="Normal 6 2 2 2 2 3 5 3" xfId="19357"/>
    <cellStyle name="Normal 6 2 2 2 2 3 5 4" xfId="34400"/>
    <cellStyle name="Normal 6 2 2 2 2 3 6" xfId="8073"/>
    <cellStyle name="Normal 6 2 2 2 2 3 6 2" xfId="23117"/>
    <cellStyle name="Normal 6 2 2 2 2 3 6 3" xfId="38160"/>
    <cellStyle name="Normal 6 2 2 2 2 3 7" xfId="15596"/>
    <cellStyle name="Normal 6 2 2 2 2 3 8" xfId="30639"/>
    <cellStyle name="Normal 6 2 2 2 2 4" xfId="934"/>
    <cellStyle name="Normal 6 2 2 2 2 4 2" xfId="1893"/>
    <cellStyle name="Normal 6 2 2 2 2 4 2 2" xfId="3764"/>
    <cellStyle name="Normal 6 2 2 2 2 4 2 2 2" xfId="7559"/>
    <cellStyle name="Normal 6 2 2 2 2 4 2 2 2 2" xfId="15082"/>
    <cellStyle name="Normal 6 2 2 2 2 4 2 2 2 2 2" xfId="30126"/>
    <cellStyle name="Normal 6 2 2 2 2 4 2 2 2 2 3" xfId="45169"/>
    <cellStyle name="Normal 6 2 2 2 2 4 2 2 2 3" xfId="22605"/>
    <cellStyle name="Normal 6 2 2 2 2 4 2 2 2 4" xfId="37648"/>
    <cellStyle name="Normal 6 2 2 2 2 4 2 2 3" xfId="11333"/>
    <cellStyle name="Normal 6 2 2 2 2 4 2 2 3 2" xfId="26377"/>
    <cellStyle name="Normal 6 2 2 2 2 4 2 2 3 3" xfId="41420"/>
    <cellStyle name="Normal 6 2 2 2 2 4 2 2 4" xfId="18856"/>
    <cellStyle name="Normal 6 2 2 2 2 4 2 2 5" xfId="33899"/>
    <cellStyle name="Normal 6 2 2 2 2 4 2 3" xfId="5694"/>
    <cellStyle name="Normal 6 2 2 2 2 4 2 3 2" xfId="13217"/>
    <cellStyle name="Normal 6 2 2 2 2 4 2 3 2 2" xfId="28261"/>
    <cellStyle name="Normal 6 2 2 2 2 4 2 3 2 3" xfId="43304"/>
    <cellStyle name="Normal 6 2 2 2 2 4 2 3 3" xfId="20740"/>
    <cellStyle name="Normal 6 2 2 2 2 4 2 3 4" xfId="35783"/>
    <cellStyle name="Normal 6 2 2 2 2 4 2 4" xfId="9468"/>
    <cellStyle name="Normal 6 2 2 2 2 4 2 4 2" xfId="24512"/>
    <cellStyle name="Normal 6 2 2 2 2 4 2 4 3" xfId="39555"/>
    <cellStyle name="Normal 6 2 2 2 2 4 2 5" xfId="16991"/>
    <cellStyle name="Normal 6 2 2 2 2 4 2 6" xfId="32034"/>
    <cellStyle name="Normal 6 2 2 2 2 4 3" xfId="2832"/>
    <cellStyle name="Normal 6 2 2 2 2 4 3 2" xfId="6627"/>
    <cellStyle name="Normal 6 2 2 2 2 4 3 2 2" xfId="14150"/>
    <cellStyle name="Normal 6 2 2 2 2 4 3 2 2 2" xfId="29194"/>
    <cellStyle name="Normal 6 2 2 2 2 4 3 2 2 3" xfId="44237"/>
    <cellStyle name="Normal 6 2 2 2 2 4 3 2 3" xfId="21673"/>
    <cellStyle name="Normal 6 2 2 2 2 4 3 2 4" xfId="36716"/>
    <cellStyle name="Normal 6 2 2 2 2 4 3 3" xfId="10401"/>
    <cellStyle name="Normal 6 2 2 2 2 4 3 3 2" xfId="25445"/>
    <cellStyle name="Normal 6 2 2 2 2 4 3 3 3" xfId="40488"/>
    <cellStyle name="Normal 6 2 2 2 2 4 3 4" xfId="17924"/>
    <cellStyle name="Normal 6 2 2 2 2 4 3 5" xfId="32967"/>
    <cellStyle name="Normal 6 2 2 2 2 4 4" xfId="4762"/>
    <cellStyle name="Normal 6 2 2 2 2 4 4 2" xfId="12285"/>
    <cellStyle name="Normal 6 2 2 2 2 4 4 2 2" xfId="27329"/>
    <cellStyle name="Normal 6 2 2 2 2 4 4 2 3" xfId="42372"/>
    <cellStyle name="Normal 6 2 2 2 2 4 4 3" xfId="19808"/>
    <cellStyle name="Normal 6 2 2 2 2 4 4 4" xfId="34851"/>
    <cellStyle name="Normal 6 2 2 2 2 4 5" xfId="8536"/>
    <cellStyle name="Normal 6 2 2 2 2 4 5 2" xfId="23580"/>
    <cellStyle name="Normal 6 2 2 2 2 4 5 3" xfId="38623"/>
    <cellStyle name="Normal 6 2 2 2 2 4 6" xfId="16059"/>
    <cellStyle name="Normal 6 2 2 2 2 4 7" xfId="31102"/>
    <cellStyle name="Normal 6 2 2 2 2 5" xfId="1441"/>
    <cellStyle name="Normal 6 2 2 2 2 5 2" xfId="3312"/>
    <cellStyle name="Normal 6 2 2 2 2 5 2 2" xfId="7107"/>
    <cellStyle name="Normal 6 2 2 2 2 5 2 2 2" xfId="14630"/>
    <cellStyle name="Normal 6 2 2 2 2 5 2 2 2 2" xfId="29674"/>
    <cellStyle name="Normal 6 2 2 2 2 5 2 2 2 3" xfId="44717"/>
    <cellStyle name="Normal 6 2 2 2 2 5 2 2 3" xfId="22153"/>
    <cellStyle name="Normal 6 2 2 2 2 5 2 2 4" xfId="37196"/>
    <cellStyle name="Normal 6 2 2 2 2 5 2 3" xfId="10881"/>
    <cellStyle name="Normal 6 2 2 2 2 5 2 3 2" xfId="25925"/>
    <cellStyle name="Normal 6 2 2 2 2 5 2 3 3" xfId="40968"/>
    <cellStyle name="Normal 6 2 2 2 2 5 2 4" xfId="18404"/>
    <cellStyle name="Normal 6 2 2 2 2 5 2 5" xfId="33447"/>
    <cellStyle name="Normal 6 2 2 2 2 5 3" xfId="5242"/>
    <cellStyle name="Normal 6 2 2 2 2 5 3 2" xfId="12765"/>
    <cellStyle name="Normal 6 2 2 2 2 5 3 2 2" xfId="27809"/>
    <cellStyle name="Normal 6 2 2 2 2 5 3 2 3" xfId="42852"/>
    <cellStyle name="Normal 6 2 2 2 2 5 3 3" xfId="20288"/>
    <cellStyle name="Normal 6 2 2 2 2 5 3 4" xfId="35331"/>
    <cellStyle name="Normal 6 2 2 2 2 5 4" xfId="9016"/>
    <cellStyle name="Normal 6 2 2 2 2 5 4 2" xfId="24060"/>
    <cellStyle name="Normal 6 2 2 2 2 5 4 3" xfId="39103"/>
    <cellStyle name="Normal 6 2 2 2 2 5 5" xfId="16539"/>
    <cellStyle name="Normal 6 2 2 2 2 5 6" xfId="31582"/>
    <cellStyle name="Normal 6 2 2 2 2 6" xfId="2379"/>
    <cellStyle name="Normal 6 2 2 2 2 6 2" xfId="6175"/>
    <cellStyle name="Normal 6 2 2 2 2 6 2 2" xfId="13698"/>
    <cellStyle name="Normal 6 2 2 2 2 6 2 2 2" xfId="28742"/>
    <cellStyle name="Normal 6 2 2 2 2 6 2 2 3" xfId="43785"/>
    <cellStyle name="Normal 6 2 2 2 2 6 2 3" xfId="21221"/>
    <cellStyle name="Normal 6 2 2 2 2 6 2 4" xfId="36264"/>
    <cellStyle name="Normal 6 2 2 2 2 6 3" xfId="9949"/>
    <cellStyle name="Normal 6 2 2 2 2 6 3 2" xfId="24993"/>
    <cellStyle name="Normal 6 2 2 2 2 6 3 3" xfId="40036"/>
    <cellStyle name="Normal 6 2 2 2 2 6 4" xfId="17472"/>
    <cellStyle name="Normal 6 2 2 2 2 6 5" xfId="32515"/>
    <cellStyle name="Normal 6 2 2 2 2 7" xfId="4307"/>
    <cellStyle name="Normal 6 2 2 2 2 7 2" xfId="11831"/>
    <cellStyle name="Normal 6 2 2 2 2 7 2 2" xfId="26875"/>
    <cellStyle name="Normal 6 2 2 2 2 7 2 3" xfId="41918"/>
    <cellStyle name="Normal 6 2 2 2 2 7 3" xfId="19354"/>
    <cellStyle name="Normal 6 2 2 2 2 7 4" xfId="34397"/>
    <cellStyle name="Normal 6 2 2 2 2 8" xfId="8070"/>
    <cellStyle name="Normal 6 2 2 2 2 8 2" xfId="23114"/>
    <cellStyle name="Normal 6 2 2 2 2 8 3" xfId="38157"/>
    <cellStyle name="Normal 6 2 2 2 2 9" xfId="15593"/>
    <cellStyle name="Normal 6 2 2 2 3" xfId="419"/>
    <cellStyle name="Normal 6 2 2 2 3 2" xfId="420"/>
    <cellStyle name="Normal 6 2 2 2 3 2 2" xfId="939"/>
    <cellStyle name="Normal 6 2 2 2 3 2 2 2" xfId="1898"/>
    <cellStyle name="Normal 6 2 2 2 3 2 2 2 2" xfId="3769"/>
    <cellStyle name="Normal 6 2 2 2 3 2 2 2 2 2" xfId="7564"/>
    <cellStyle name="Normal 6 2 2 2 3 2 2 2 2 2 2" xfId="15087"/>
    <cellStyle name="Normal 6 2 2 2 3 2 2 2 2 2 2 2" xfId="30131"/>
    <cellStyle name="Normal 6 2 2 2 3 2 2 2 2 2 2 3" xfId="45174"/>
    <cellStyle name="Normal 6 2 2 2 3 2 2 2 2 2 3" xfId="22610"/>
    <cellStyle name="Normal 6 2 2 2 3 2 2 2 2 2 4" xfId="37653"/>
    <cellStyle name="Normal 6 2 2 2 3 2 2 2 2 3" xfId="11338"/>
    <cellStyle name="Normal 6 2 2 2 3 2 2 2 2 3 2" xfId="26382"/>
    <cellStyle name="Normal 6 2 2 2 3 2 2 2 2 3 3" xfId="41425"/>
    <cellStyle name="Normal 6 2 2 2 3 2 2 2 2 4" xfId="18861"/>
    <cellStyle name="Normal 6 2 2 2 3 2 2 2 2 5" xfId="33904"/>
    <cellStyle name="Normal 6 2 2 2 3 2 2 2 3" xfId="5699"/>
    <cellStyle name="Normal 6 2 2 2 3 2 2 2 3 2" xfId="13222"/>
    <cellStyle name="Normal 6 2 2 2 3 2 2 2 3 2 2" xfId="28266"/>
    <cellStyle name="Normal 6 2 2 2 3 2 2 2 3 2 3" xfId="43309"/>
    <cellStyle name="Normal 6 2 2 2 3 2 2 2 3 3" xfId="20745"/>
    <cellStyle name="Normal 6 2 2 2 3 2 2 2 3 4" xfId="35788"/>
    <cellStyle name="Normal 6 2 2 2 3 2 2 2 4" xfId="9473"/>
    <cellStyle name="Normal 6 2 2 2 3 2 2 2 4 2" xfId="24517"/>
    <cellStyle name="Normal 6 2 2 2 3 2 2 2 4 3" xfId="39560"/>
    <cellStyle name="Normal 6 2 2 2 3 2 2 2 5" xfId="16996"/>
    <cellStyle name="Normal 6 2 2 2 3 2 2 2 6" xfId="32039"/>
    <cellStyle name="Normal 6 2 2 2 3 2 2 3" xfId="2837"/>
    <cellStyle name="Normal 6 2 2 2 3 2 2 3 2" xfId="6632"/>
    <cellStyle name="Normal 6 2 2 2 3 2 2 3 2 2" xfId="14155"/>
    <cellStyle name="Normal 6 2 2 2 3 2 2 3 2 2 2" xfId="29199"/>
    <cellStyle name="Normal 6 2 2 2 3 2 2 3 2 2 3" xfId="44242"/>
    <cellStyle name="Normal 6 2 2 2 3 2 2 3 2 3" xfId="21678"/>
    <cellStyle name="Normal 6 2 2 2 3 2 2 3 2 4" xfId="36721"/>
    <cellStyle name="Normal 6 2 2 2 3 2 2 3 3" xfId="10406"/>
    <cellStyle name="Normal 6 2 2 2 3 2 2 3 3 2" xfId="25450"/>
    <cellStyle name="Normal 6 2 2 2 3 2 2 3 3 3" xfId="40493"/>
    <cellStyle name="Normal 6 2 2 2 3 2 2 3 4" xfId="17929"/>
    <cellStyle name="Normal 6 2 2 2 3 2 2 3 5" xfId="32972"/>
    <cellStyle name="Normal 6 2 2 2 3 2 2 4" xfId="4767"/>
    <cellStyle name="Normal 6 2 2 2 3 2 2 4 2" xfId="12290"/>
    <cellStyle name="Normal 6 2 2 2 3 2 2 4 2 2" xfId="27334"/>
    <cellStyle name="Normal 6 2 2 2 3 2 2 4 2 3" xfId="42377"/>
    <cellStyle name="Normal 6 2 2 2 3 2 2 4 3" xfId="19813"/>
    <cellStyle name="Normal 6 2 2 2 3 2 2 4 4" xfId="34856"/>
    <cellStyle name="Normal 6 2 2 2 3 2 2 5" xfId="8541"/>
    <cellStyle name="Normal 6 2 2 2 3 2 2 5 2" xfId="23585"/>
    <cellStyle name="Normal 6 2 2 2 3 2 2 5 3" xfId="38628"/>
    <cellStyle name="Normal 6 2 2 2 3 2 2 6" xfId="16064"/>
    <cellStyle name="Normal 6 2 2 2 3 2 2 7" xfId="31107"/>
    <cellStyle name="Normal 6 2 2 2 3 2 3" xfId="1446"/>
    <cellStyle name="Normal 6 2 2 2 3 2 3 2" xfId="3317"/>
    <cellStyle name="Normal 6 2 2 2 3 2 3 2 2" xfId="7112"/>
    <cellStyle name="Normal 6 2 2 2 3 2 3 2 2 2" xfId="14635"/>
    <cellStyle name="Normal 6 2 2 2 3 2 3 2 2 2 2" xfId="29679"/>
    <cellStyle name="Normal 6 2 2 2 3 2 3 2 2 2 3" xfId="44722"/>
    <cellStyle name="Normal 6 2 2 2 3 2 3 2 2 3" xfId="22158"/>
    <cellStyle name="Normal 6 2 2 2 3 2 3 2 2 4" xfId="37201"/>
    <cellStyle name="Normal 6 2 2 2 3 2 3 2 3" xfId="10886"/>
    <cellStyle name="Normal 6 2 2 2 3 2 3 2 3 2" xfId="25930"/>
    <cellStyle name="Normal 6 2 2 2 3 2 3 2 3 3" xfId="40973"/>
    <cellStyle name="Normal 6 2 2 2 3 2 3 2 4" xfId="18409"/>
    <cellStyle name="Normal 6 2 2 2 3 2 3 2 5" xfId="33452"/>
    <cellStyle name="Normal 6 2 2 2 3 2 3 3" xfId="5247"/>
    <cellStyle name="Normal 6 2 2 2 3 2 3 3 2" xfId="12770"/>
    <cellStyle name="Normal 6 2 2 2 3 2 3 3 2 2" xfId="27814"/>
    <cellStyle name="Normal 6 2 2 2 3 2 3 3 2 3" xfId="42857"/>
    <cellStyle name="Normal 6 2 2 2 3 2 3 3 3" xfId="20293"/>
    <cellStyle name="Normal 6 2 2 2 3 2 3 3 4" xfId="35336"/>
    <cellStyle name="Normal 6 2 2 2 3 2 3 4" xfId="9021"/>
    <cellStyle name="Normal 6 2 2 2 3 2 3 4 2" xfId="24065"/>
    <cellStyle name="Normal 6 2 2 2 3 2 3 4 3" xfId="39108"/>
    <cellStyle name="Normal 6 2 2 2 3 2 3 5" xfId="16544"/>
    <cellStyle name="Normal 6 2 2 2 3 2 3 6" xfId="31587"/>
    <cellStyle name="Normal 6 2 2 2 3 2 4" xfId="2384"/>
    <cellStyle name="Normal 6 2 2 2 3 2 4 2" xfId="6180"/>
    <cellStyle name="Normal 6 2 2 2 3 2 4 2 2" xfId="13703"/>
    <cellStyle name="Normal 6 2 2 2 3 2 4 2 2 2" xfId="28747"/>
    <cellStyle name="Normal 6 2 2 2 3 2 4 2 2 3" xfId="43790"/>
    <cellStyle name="Normal 6 2 2 2 3 2 4 2 3" xfId="21226"/>
    <cellStyle name="Normal 6 2 2 2 3 2 4 2 4" xfId="36269"/>
    <cellStyle name="Normal 6 2 2 2 3 2 4 3" xfId="9954"/>
    <cellStyle name="Normal 6 2 2 2 3 2 4 3 2" xfId="24998"/>
    <cellStyle name="Normal 6 2 2 2 3 2 4 3 3" xfId="40041"/>
    <cellStyle name="Normal 6 2 2 2 3 2 4 4" xfId="17477"/>
    <cellStyle name="Normal 6 2 2 2 3 2 4 5" xfId="32520"/>
    <cellStyle name="Normal 6 2 2 2 3 2 5" xfId="4312"/>
    <cellStyle name="Normal 6 2 2 2 3 2 5 2" xfId="11836"/>
    <cellStyle name="Normal 6 2 2 2 3 2 5 2 2" xfId="26880"/>
    <cellStyle name="Normal 6 2 2 2 3 2 5 2 3" xfId="41923"/>
    <cellStyle name="Normal 6 2 2 2 3 2 5 3" xfId="19359"/>
    <cellStyle name="Normal 6 2 2 2 3 2 5 4" xfId="34402"/>
    <cellStyle name="Normal 6 2 2 2 3 2 6" xfId="8075"/>
    <cellStyle name="Normal 6 2 2 2 3 2 6 2" xfId="23119"/>
    <cellStyle name="Normal 6 2 2 2 3 2 6 3" xfId="38162"/>
    <cellStyle name="Normal 6 2 2 2 3 2 7" xfId="15598"/>
    <cellStyle name="Normal 6 2 2 2 3 2 8" xfId="30641"/>
    <cellStyle name="Normal 6 2 2 2 3 3" xfId="938"/>
    <cellStyle name="Normal 6 2 2 2 3 3 2" xfId="1897"/>
    <cellStyle name="Normal 6 2 2 2 3 3 2 2" xfId="3768"/>
    <cellStyle name="Normal 6 2 2 2 3 3 2 2 2" xfId="7563"/>
    <cellStyle name="Normal 6 2 2 2 3 3 2 2 2 2" xfId="15086"/>
    <cellStyle name="Normal 6 2 2 2 3 3 2 2 2 2 2" xfId="30130"/>
    <cellStyle name="Normal 6 2 2 2 3 3 2 2 2 2 3" xfId="45173"/>
    <cellStyle name="Normal 6 2 2 2 3 3 2 2 2 3" xfId="22609"/>
    <cellStyle name="Normal 6 2 2 2 3 3 2 2 2 4" xfId="37652"/>
    <cellStyle name="Normal 6 2 2 2 3 3 2 2 3" xfId="11337"/>
    <cellStyle name="Normal 6 2 2 2 3 3 2 2 3 2" xfId="26381"/>
    <cellStyle name="Normal 6 2 2 2 3 3 2 2 3 3" xfId="41424"/>
    <cellStyle name="Normal 6 2 2 2 3 3 2 2 4" xfId="18860"/>
    <cellStyle name="Normal 6 2 2 2 3 3 2 2 5" xfId="33903"/>
    <cellStyle name="Normal 6 2 2 2 3 3 2 3" xfId="5698"/>
    <cellStyle name="Normal 6 2 2 2 3 3 2 3 2" xfId="13221"/>
    <cellStyle name="Normal 6 2 2 2 3 3 2 3 2 2" xfId="28265"/>
    <cellStyle name="Normal 6 2 2 2 3 3 2 3 2 3" xfId="43308"/>
    <cellStyle name="Normal 6 2 2 2 3 3 2 3 3" xfId="20744"/>
    <cellStyle name="Normal 6 2 2 2 3 3 2 3 4" xfId="35787"/>
    <cellStyle name="Normal 6 2 2 2 3 3 2 4" xfId="9472"/>
    <cellStyle name="Normal 6 2 2 2 3 3 2 4 2" xfId="24516"/>
    <cellStyle name="Normal 6 2 2 2 3 3 2 4 3" xfId="39559"/>
    <cellStyle name="Normal 6 2 2 2 3 3 2 5" xfId="16995"/>
    <cellStyle name="Normal 6 2 2 2 3 3 2 6" xfId="32038"/>
    <cellStyle name="Normal 6 2 2 2 3 3 3" xfId="2836"/>
    <cellStyle name="Normal 6 2 2 2 3 3 3 2" xfId="6631"/>
    <cellStyle name="Normal 6 2 2 2 3 3 3 2 2" xfId="14154"/>
    <cellStyle name="Normal 6 2 2 2 3 3 3 2 2 2" xfId="29198"/>
    <cellStyle name="Normal 6 2 2 2 3 3 3 2 2 3" xfId="44241"/>
    <cellStyle name="Normal 6 2 2 2 3 3 3 2 3" xfId="21677"/>
    <cellStyle name="Normal 6 2 2 2 3 3 3 2 4" xfId="36720"/>
    <cellStyle name="Normal 6 2 2 2 3 3 3 3" xfId="10405"/>
    <cellStyle name="Normal 6 2 2 2 3 3 3 3 2" xfId="25449"/>
    <cellStyle name="Normal 6 2 2 2 3 3 3 3 3" xfId="40492"/>
    <cellStyle name="Normal 6 2 2 2 3 3 3 4" xfId="17928"/>
    <cellStyle name="Normal 6 2 2 2 3 3 3 5" xfId="32971"/>
    <cellStyle name="Normal 6 2 2 2 3 3 4" xfId="4766"/>
    <cellStyle name="Normal 6 2 2 2 3 3 4 2" xfId="12289"/>
    <cellStyle name="Normal 6 2 2 2 3 3 4 2 2" xfId="27333"/>
    <cellStyle name="Normal 6 2 2 2 3 3 4 2 3" xfId="42376"/>
    <cellStyle name="Normal 6 2 2 2 3 3 4 3" xfId="19812"/>
    <cellStyle name="Normal 6 2 2 2 3 3 4 4" xfId="34855"/>
    <cellStyle name="Normal 6 2 2 2 3 3 5" xfId="8540"/>
    <cellStyle name="Normal 6 2 2 2 3 3 5 2" xfId="23584"/>
    <cellStyle name="Normal 6 2 2 2 3 3 5 3" xfId="38627"/>
    <cellStyle name="Normal 6 2 2 2 3 3 6" xfId="16063"/>
    <cellStyle name="Normal 6 2 2 2 3 3 7" xfId="31106"/>
    <cellStyle name="Normal 6 2 2 2 3 4" xfId="1445"/>
    <cellStyle name="Normal 6 2 2 2 3 4 2" xfId="3316"/>
    <cellStyle name="Normal 6 2 2 2 3 4 2 2" xfId="7111"/>
    <cellStyle name="Normal 6 2 2 2 3 4 2 2 2" xfId="14634"/>
    <cellStyle name="Normal 6 2 2 2 3 4 2 2 2 2" xfId="29678"/>
    <cellStyle name="Normal 6 2 2 2 3 4 2 2 2 3" xfId="44721"/>
    <cellStyle name="Normal 6 2 2 2 3 4 2 2 3" xfId="22157"/>
    <cellStyle name="Normal 6 2 2 2 3 4 2 2 4" xfId="37200"/>
    <cellStyle name="Normal 6 2 2 2 3 4 2 3" xfId="10885"/>
    <cellStyle name="Normal 6 2 2 2 3 4 2 3 2" xfId="25929"/>
    <cellStyle name="Normal 6 2 2 2 3 4 2 3 3" xfId="40972"/>
    <cellStyle name="Normal 6 2 2 2 3 4 2 4" xfId="18408"/>
    <cellStyle name="Normal 6 2 2 2 3 4 2 5" xfId="33451"/>
    <cellStyle name="Normal 6 2 2 2 3 4 3" xfId="5246"/>
    <cellStyle name="Normal 6 2 2 2 3 4 3 2" xfId="12769"/>
    <cellStyle name="Normal 6 2 2 2 3 4 3 2 2" xfId="27813"/>
    <cellStyle name="Normal 6 2 2 2 3 4 3 2 3" xfId="42856"/>
    <cellStyle name="Normal 6 2 2 2 3 4 3 3" xfId="20292"/>
    <cellStyle name="Normal 6 2 2 2 3 4 3 4" xfId="35335"/>
    <cellStyle name="Normal 6 2 2 2 3 4 4" xfId="9020"/>
    <cellStyle name="Normal 6 2 2 2 3 4 4 2" xfId="24064"/>
    <cellStyle name="Normal 6 2 2 2 3 4 4 3" xfId="39107"/>
    <cellStyle name="Normal 6 2 2 2 3 4 5" xfId="16543"/>
    <cellStyle name="Normal 6 2 2 2 3 4 6" xfId="31586"/>
    <cellStyle name="Normal 6 2 2 2 3 5" xfId="2383"/>
    <cellStyle name="Normal 6 2 2 2 3 5 2" xfId="6179"/>
    <cellStyle name="Normal 6 2 2 2 3 5 2 2" xfId="13702"/>
    <cellStyle name="Normal 6 2 2 2 3 5 2 2 2" xfId="28746"/>
    <cellStyle name="Normal 6 2 2 2 3 5 2 2 3" xfId="43789"/>
    <cellStyle name="Normal 6 2 2 2 3 5 2 3" xfId="21225"/>
    <cellStyle name="Normal 6 2 2 2 3 5 2 4" xfId="36268"/>
    <cellStyle name="Normal 6 2 2 2 3 5 3" xfId="9953"/>
    <cellStyle name="Normal 6 2 2 2 3 5 3 2" xfId="24997"/>
    <cellStyle name="Normal 6 2 2 2 3 5 3 3" xfId="40040"/>
    <cellStyle name="Normal 6 2 2 2 3 5 4" xfId="17476"/>
    <cellStyle name="Normal 6 2 2 2 3 5 5" xfId="32519"/>
    <cellStyle name="Normal 6 2 2 2 3 6" xfId="4311"/>
    <cellStyle name="Normal 6 2 2 2 3 6 2" xfId="11835"/>
    <cellStyle name="Normal 6 2 2 2 3 6 2 2" xfId="26879"/>
    <cellStyle name="Normal 6 2 2 2 3 6 2 3" xfId="41922"/>
    <cellStyle name="Normal 6 2 2 2 3 6 3" xfId="19358"/>
    <cellStyle name="Normal 6 2 2 2 3 6 4" xfId="34401"/>
    <cellStyle name="Normal 6 2 2 2 3 7" xfId="8074"/>
    <cellStyle name="Normal 6 2 2 2 3 7 2" xfId="23118"/>
    <cellStyle name="Normal 6 2 2 2 3 7 3" xfId="38161"/>
    <cellStyle name="Normal 6 2 2 2 3 8" xfId="15597"/>
    <cellStyle name="Normal 6 2 2 2 3 9" xfId="30640"/>
    <cellStyle name="Normal 6 2 2 2 4" xfId="421"/>
    <cellStyle name="Normal 6 2 2 2 4 2" xfId="422"/>
    <cellStyle name="Normal 6 2 2 2 4 2 2" xfId="941"/>
    <cellStyle name="Normal 6 2 2 2 4 2 2 2" xfId="1900"/>
    <cellStyle name="Normal 6 2 2 2 4 2 2 2 2" xfId="3771"/>
    <cellStyle name="Normal 6 2 2 2 4 2 2 2 2 2" xfId="7566"/>
    <cellStyle name="Normal 6 2 2 2 4 2 2 2 2 2 2" xfId="15089"/>
    <cellStyle name="Normal 6 2 2 2 4 2 2 2 2 2 2 2" xfId="30133"/>
    <cellStyle name="Normal 6 2 2 2 4 2 2 2 2 2 2 3" xfId="45176"/>
    <cellStyle name="Normal 6 2 2 2 4 2 2 2 2 2 3" xfId="22612"/>
    <cellStyle name="Normal 6 2 2 2 4 2 2 2 2 2 4" xfId="37655"/>
    <cellStyle name="Normal 6 2 2 2 4 2 2 2 2 3" xfId="11340"/>
    <cellStyle name="Normal 6 2 2 2 4 2 2 2 2 3 2" xfId="26384"/>
    <cellStyle name="Normal 6 2 2 2 4 2 2 2 2 3 3" xfId="41427"/>
    <cellStyle name="Normal 6 2 2 2 4 2 2 2 2 4" xfId="18863"/>
    <cellStyle name="Normal 6 2 2 2 4 2 2 2 2 5" xfId="33906"/>
    <cellStyle name="Normal 6 2 2 2 4 2 2 2 3" xfId="5701"/>
    <cellStyle name="Normal 6 2 2 2 4 2 2 2 3 2" xfId="13224"/>
    <cellStyle name="Normal 6 2 2 2 4 2 2 2 3 2 2" xfId="28268"/>
    <cellStyle name="Normal 6 2 2 2 4 2 2 2 3 2 3" xfId="43311"/>
    <cellStyle name="Normal 6 2 2 2 4 2 2 2 3 3" xfId="20747"/>
    <cellStyle name="Normal 6 2 2 2 4 2 2 2 3 4" xfId="35790"/>
    <cellStyle name="Normal 6 2 2 2 4 2 2 2 4" xfId="9475"/>
    <cellStyle name="Normal 6 2 2 2 4 2 2 2 4 2" xfId="24519"/>
    <cellStyle name="Normal 6 2 2 2 4 2 2 2 4 3" xfId="39562"/>
    <cellStyle name="Normal 6 2 2 2 4 2 2 2 5" xfId="16998"/>
    <cellStyle name="Normal 6 2 2 2 4 2 2 2 6" xfId="32041"/>
    <cellStyle name="Normal 6 2 2 2 4 2 2 3" xfId="2839"/>
    <cellStyle name="Normal 6 2 2 2 4 2 2 3 2" xfId="6634"/>
    <cellStyle name="Normal 6 2 2 2 4 2 2 3 2 2" xfId="14157"/>
    <cellStyle name="Normal 6 2 2 2 4 2 2 3 2 2 2" xfId="29201"/>
    <cellStyle name="Normal 6 2 2 2 4 2 2 3 2 2 3" xfId="44244"/>
    <cellStyle name="Normal 6 2 2 2 4 2 2 3 2 3" xfId="21680"/>
    <cellStyle name="Normal 6 2 2 2 4 2 2 3 2 4" xfId="36723"/>
    <cellStyle name="Normal 6 2 2 2 4 2 2 3 3" xfId="10408"/>
    <cellStyle name="Normal 6 2 2 2 4 2 2 3 3 2" xfId="25452"/>
    <cellStyle name="Normal 6 2 2 2 4 2 2 3 3 3" xfId="40495"/>
    <cellStyle name="Normal 6 2 2 2 4 2 2 3 4" xfId="17931"/>
    <cellStyle name="Normal 6 2 2 2 4 2 2 3 5" xfId="32974"/>
    <cellStyle name="Normal 6 2 2 2 4 2 2 4" xfId="4769"/>
    <cellStyle name="Normal 6 2 2 2 4 2 2 4 2" xfId="12292"/>
    <cellStyle name="Normal 6 2 2 2 4 2 2 4 2 2" xfId="27336"/>
    <cellStyle name="Normal 6 2 2 2 4 2 2 4 2 3" xfId="42379"/>
    <cellStyle name="Normal 6 2 2 2 4 2 2 4 3" xfId="19815"/>
    <cellStyle name="Normal 6 2 2 2 4 2 2 4 4" xfId="34858"/>
    <cellStyle name="Normal 6 2 2 2 4 2 2 5" xfId="8543"/>
    <cellStyle name="Normal 6 2 2 2 4 2 2 5 2" xfId="23587"/>
    <cellStyle name="Normal 6 2 2 2 4 2 2 5 3" xfId="38630"/>
    <cellStyle name="Normal 6 2 2 2 4 2 2 6" xfId="16066"/>
    <cellStyle name="Normal 6 2 2 2 4 2 2 7" xfId="31109"/>
    <cellStyle name="Normal 6 2 2 2 4 2 3" xfId="1448"/>
    <cellStyle name="Normal 6 2 2 2 4 2 3 2" xfId="3319"/>
    <cellStyle name="Normal 6 2 2 2 4 2 3 2 2" xfId="7114"/>
    <cellStyle name="Normal 6 2 2 2 4 2 3 2 2 2" xfId="14637"/>
    <cellStyle name="Normal 6 2 2 2 4 2 3 2 2 2 2" xfId="29681"/>
    <cellStyle name="Normal 6 2 2 2 4 2 3 2 2 2 3" xfId="44724"/>
    <cellStyle name="Normal 6 2 2 2 4 2 3 2 2 3" xfId="22160"/>
    <cellStyle name="Normal 6 2 2 2 4 2 3 2 2 4" xfId="37203"/>
    <cellStyle name="Normal 6 2 2 2 4 2 3 2 3" xfId="10888"/>
    <cellStyle name="Normal 6 2 2 2 4 2 3 2 3 2" xfId="25932"/>
    <cellStyle name="Normal 6 2 2 2 4 2 3 2 3 3" xfId="40975"/>
    <cellStyle name="Normal 6 2 2 2 4 2 3 2 4" xfId="18411"/>
    <cellStyle name="Normal 6 2 2 2 4 2 3 2 5" xfId="33454"/>
    <cellStyle name="Normal 6 2 2 2 4 2 3 3" xfId="5249"/>
    <cellStyle name="Normal 6 2 2 2 4 2 3 3 2" xfId="12772"/>
    <cellStyle name="Normal 6 2 2 2 4 2 3 3 2 2" xfId="27816"/>
    <cellStyle name="Normal 6 2 2 2 4 2 3 3 2 3" xfId="42859"/>
    <cellStyle name="Normal 6 2 2 2 4 2 3 3 3" xfId="20295"/>
    <cellStyle name="Normal 6 2 2 2 4 2 3 3 4" xfId="35338"/>
    <cellStyle name="Normal 6 2 2 2 4 2 3 4" xfId="9023"/>
    <cellStyle name="Normal 6 2 2 2 4 2 3 4 2" xfId="24067"/>
    <cellStyle name="Normal 6 2 2 2 4 2 3 4 3" xfId="39110"/>
    <cellStyle name="Normal 6 2 2 2 4 2 3 5" xfId="16546"/>
    <cellStyle name="Normal 6 2 2 2 4 2 3 6" xfId="31589"/>
    <cellStyle name="Normal 6 2 2 2 4 2 4" xfId="2386"/>
    <cellStyle name="Normal 6 2 2 2 4 2 4 2" xfId="6182"/>
    <cellStyle name="Normal 6 2 2 2 4 2 4 2 2" xfId="13705"/>
    <cellStyle name="Normal 6 2 2 2 4 2 4 2 2 2" xfId="28749"/>
    <cellStyle name="Normal 6 2 2 2 4 2 4 2 2 3" xfId="43792"/>
    <cellStyle name="Normal 6 2 2 2 4 2 4 2 3" xfId="21228"/>
    <cellStyle name="Normal 6 2 2 2 4 2 4 2 4" xfId="36271"/>
    <cellStyle name="Normal 6 2 2 2 4 2 4 3" xfId="9956"/>
    <cellStyle name="Normal 6 2 2 2 4 2 4 3 2" xfId="25000"/>
    <cellStyle name="Normal 6 2 2 2 4 2 4 3 3" xfId="40043"/>
    <cellStyle name="Normal 6 2 2 2 4 2 4 4" xfId="17479"/>
    <cellStyle name="Normal 6 2 2 2 4 2 4 5" xfId="32522"/>
    <cellStyle name="Normal 6 2 2 2 4 2 5" xfId="4314"/>
    <cellStyle name="Normal 6 2 2 2 4 2 5 2" xfId="11838"/>
    <cellStyle name="Normal 6 2 2 2 4 2 5 2 2" xfId="26882"/>
    <cellStyle name="Normal 6 2 2 2 4 2 5 2 3" xfId="41925"/>
    <cellStyle name="Normal 6 2 2 2 4 2 5 3" xfId="19361"/>
    <cellStyle name="Normal 6 2 2 2 4 2 5 4" xfId="34404"/>
    <cellStyle name="Normal 6 2 2 2 4 2 6" xfId="8077"/>
    <cellStyle name="Normal 6 2 2 2 4 2 6 2" xfId="23121"/>
    <cellStyle name="Normal 6 2 2 2 4 2 6 3" xfId="38164"/>
    <cellStyle name="Normal 6 2 2 2 4 2 7" xfId="15600"/>
    <cellStyle name="Normal 6 2 2 2 4 2 8" xfId="30643"/>
    <cellStyle name="Normal 6 2 2 2 4 3" xfId="940"/>
    <cellStyle name="Normal 6 2 2 2 4 3 2" xfId="1899"/>
    <cellStyle name="Normal 6 2 2 2 4 3 2 2" xfId="3770"/>
    <cellStyle name="Normal 6 2 2 2 4 3 2 2 2" xfId="7565"/>
    <cellStyle name="Normal 6 2 2 2 4 3 2 2 2 2" xfId="15088"/>
    <cellStyle name="Normal 6 2 2 2 4 3 2 2 2 2 2" xfId="30132"/>
    <cellStyle name="Normal 6 2 2 2 4 3 2 2 2 2 3" xfId="45175"/>
    <cellStyle name="Normal 6 2 2 2 4 3 2 2 2 3" xfId="22611"/>
    <cellStyle name="Normal 6 2 2 2 4 3 2 2 2 4" xfId="37654"/>
    <cellStyle name="Normal 6 2 2 2 4 3 2 2 3" xfId="11339"/>
    <cellStyle name="Normal 6 2 2 2 4 3 2 2 3 2" xfId="26383"/>
    <cellStyle name="Normal 6 2 2 2 4 3 2 2 3 3" xfId="41426"/>
    <cellStyle name="Normal 6 2 2 2 4 3 2 2 4" xfId="18862"/>
    <cellStyle name="Normal 6 2 2 2 4 3 2 2 5" xfId="33905"/>
    <cellStyle name="Normal 6 2 2 2 4 3 2 3" xfId="5700"/>
    <cellStyle name="Normal 6 2 2 2 4 3 2 3 2" xfId="13223"/>
    <cellStyle name="Normal 6 2 2 2 4 3 2 3 2 2" xfId="28267"/>
    <cellStyle name="Normal 6 2 2 2 4 3 2 3 2 3" xfId="43310"/>
    <cellStyle name="Normal 6 2 2 2 4 3 2 3 3" xfId="20746"/>
    <cellStyle name="Normal 6 2 2 2 4 3 2 3 4" xfId="35789"/>
    <cellStyle name="Normal 6 2 2 2 4 3 2 4" xfId="9474"/>
    <cellStyle name="Normal 6 2 2 2 4 3 2 4 2" xfId="24518"/>
    <cellStyle name="Normal 6 2 2 2 4 3 2 4 3" xfId="39561"/>
    <cellStyle name="Normal 6 2 2 2 4 3 2 5" xfId="16997"/>
    <cellStyle name="Normal 6 2 2 2 4 3 2 6" xfId="32040"/>
    <cellStyle name="Normal 6 2 2 2 4 3 3" xfId="2838"/>
    <cellStyle name="Normal 6 2 2 2 4 3 3 2" xfId="6633"/>
    <cellStyle name="Normal 6 2 2 2 4 3 3 2 2" xfId="14156"/>
    <cellStyle name="Normal 6 2 2 2 4 3 3 2 2 2" xfId="29200"/>
    <cellStyle name="Normal 6 2 2 2 4 3 3 2 2 3" xfId="44243"/>
    <cellStyle name="Normal 6 2 2 2 4 3 3 2 3" xfId="21679"/>
    <cellStyle name="Normal 6 2 2 2 4 3 3 2 4" xfId="36722"/>
    <cellStyle name="Normal 6 2 2 2 4 3 3 3" xfId="10407"/>
    <cellStyle name="Normal 6 2 2 2 4 3 3 3 2" xfId="25451"/>
    <cellStyle name="Normal 6 2 2 2 4 3 3 3 3" xfId="40494"/>
    <cellStyle name="Normal 6 2 2 2 4 3 3 4" xfId="17930"/>
    <cellStyle name="Normal 6 2 2 2 4 3 3 5" xfId="32973"/>
    <cellStyle name="Normal 6 2 2 2 4 3 4" xfId="4768"/>
    <cellStyle name="Normal 6 2 2 2 4 3 4 2" xfId="12291"/>
    <cellStyle name="Normal 6 2 2 2 4 3 4 2 2" xfId="27335"/>
    <cellStyle name="Normal 6 2 2 2 4 3 4 2 3" xfId="42378"/>
    <cellStyle name="Normal 6 2 2 2 4 3 4 3" xfId="19814"/>
    <cellStyle name="Normal 6 2 2 2 4 3 4 4" xfId="34857"/>
    <cellStyle name="Normal 6 2 2 2 4 3 5" xfId="8542"/>
    <cellStyle name="Normal 6 2 2 2 4 3 5 2" xfId="23586"/>
    <cellStyle name="Normal 6 2 2 2 4 3 5 3" xfId="38629"/>
    <cellStyle name="Normal 6 2 2 2 4 3 6" xfId="16065"/>
    <cellStyle name="Normal 6 2 2 2 4 3 7" xfId="31108"/>
    <cellStyle name="Normal 6 2 2 2 4 4" xfId="1447"/>
    <cellStyle name="Normal 6 2 2 2 4 4 2" xfId="3318"/>
    <cellStyle name="Normal 6 2 2 2 4 4 2 2" xfId="7113"/>
    <cellStyle name="Normal 6 2 2 2 4 4 2 2 2" xfId="14636"/>
    <cellStyle name="Normal 6 2 2 2 4 4 2 2 2 2" xfId="29680"/>
    <cellStyle name="Normal 6 2 2 2 4 4 2 2 2 3" xfId="44723"/>
    <cellStyle name="Normal 6 2 2 2 4 4 2 2 3" xfId="22159"/>
    <cellStyle name="Normal 6 2 2 2 4 4 2 2 4" xfId="37202"/>
    <cellStyle name="Normal 6 2 2 2 4 4 2 3" xfId="10887"/>
    <cellStyle name="Normal 6 2 2 2 4 4 2 3 2" xfId="25931"/>
    <cellStyle name="Normal 6 2 2 2 4 4 2 3 3" xfId="40974"/>
    <cellStyle name="Normal 6 2 2 2 4 4 2 4" xfId="18410"/>
    <cellStyle name="Normal 6 2 2 2 4 4 2 5" xfId="33453"/>
    <cellStyle name="Normal 6 2 2 2 4 4 3" xfId="5248"/>
    <cellStyle name="Normal 6 2 2 2 4 4 3 2" xfId="12771"/>
    <cellStyle name="Normal 6 2 2 2 4 4 3 2 2" xfId="27815"/>
    <cellStyle name="Normal 6 2 2 2 4 4 3 2 3" xfId="42858"/>
    <cellStyle name="Normal 6 2 2 2 4 4 3 3" xfId="20294"/>
    <cellStyle name="Normal 6 2 2 2 4 4 3 4" xfId="35337"/>
    <cellStyle name="Normal 6 2 2 2 4 4 4" xfId="9022"/>
    <cellStyle name="Normal 6 2 2 2 4 4 4 2" xfId="24066"/>
    <cellStyle name="Normal 6 2 2 2 4 4 4 3" xfId="39109"/>
    <cellStyle name="Normal 6 2 2 2 4 4 5" xfId="16545"/>
    <cellStyle name="Normal 6 2 2 2 4 4 6" xfId="31588"/>
    <cellStyle name="Normal 6 2 2 2 4 5" xfId="2385"/>
    <cellStyle name="Normal 6 2 2 2 4 5 2" xfId="6181"/>
    <cellStyle name="Normal 6 2 2 2 4 5 2 2" xfId="13704"/>
    <cellStyle name="Normal 6 2 2 2 4 5 2 2 2" xfId="28748"/>
    <cellStyle name="Normal 6 2 2 2 4 5 2 2 3" xfId="43791"/>
    <cellStyle name="Normal 6 2 2 2 4 5 2 3" xfId="21227"/>
    <cellStyle name="Normal 6 2 2 2 4 5 2 4" xfId="36270"/>
    <cellStyle name="Normal 6 2 2 2 4 5 3" xfId="9955"/>
    <cellStyle name="Normal 6 2 2 2 4 5 3 2" xfId="24999"/>
    <cellStyle name="Normal 6 2 2 2 4 5 3 3" xfId="40042"/>
    <cellStyle name="Normal 6 2 2 2 4 5 4" xfId="17478"/>
    <cellStyle name="Normal 6 2 2 2 4 5 5" xfId="32521"/>
    <cellStyle name="Normal 6 2 2 2 4 6" xfId="4313"/>
    <cellStyle name="Normal 6 2 2 2 4 6 2" xfId="11837"/>
    <cellStyle name="Normal 6 2 2 2 4 6 2 2" xfId="26881"/>
    <cellStyle name="Normal 6 2 2 2 4 6 2 3" xfId="41924"/>
    <cellStyle name="Normal 6 2 2 2 4 6 3" xfId="19360"/>
    <cellStyle name="Normal 6 2 2 2 4 6 4" xfId="34403"/>
    <cellStyle name="Normal 6 2 2 2 4 7" xfId="8076"/>
    <cellStyle name="Normal 6 2 2 2 4 7 2" xfId="23120"/>
    <cellStyle name="Normal 6 2 2 2 4 7 3" xfId="38163"/>
    <cellStyle name="Normal 6 2 2 2 4 8" xfId="15599"/>
    <cellStyle name="Normal 6 2 2 2 4 9" xfId="30642"/>
    <cellStyle name="Normal 6 2 2 2 5" xfId="423"/>
    <cellStyle name="Normal 6 2 2 2 5 2" xfId="942"/>
    <cellStyle name="Normal 6 2 2 2 5 2 2" xfId="1901"/>
    <cellStyle name="Normal 6 2 2 2 5 2 2 2" xfId="3772"/>
    <cellStyle name="Normal 6 2 2 2 5 2 2 2 2" xfId="7567"/>
    <cellStyle name="Normal 6 2 2 2 5 2 2 2 2 2" xfId="15090"/>
    <cellStyle name="Normal 6 2 2 2 5 2 2 2 2 2 2" xfId="30134"/>
    <cellStyle name="Normal 6 2 2 2 5 2 2 2 2 2 3" xfId="45177"/>
    <cellStyle name="Normal 6 2 2 2 5 2 2 2 2 3" xfId="22613"/>
    <cellStyle name="Normal 6 2 2 2 5 2 2 2 2 4" xfId="37656"/>
    <cellStyle name="Normal 6 2 2 2 5 2 2 2 3" xfId="11341"/>
    <cellStyle name="Normal 6 2 2 2 5 2 2 2 3 2" xfId="26385"/>
    <cellStyle name="Normal 6 2 2 2 5 2 2 2 3 3" xfId="41428"/>
    <cellStyle name="Normal 6 2 2 2 5 2 2 2 4" xfId="18864"/>
    <cellStyle name="Normal 6 2 2 2 5 2 2 2 5" xfId="33907"/>
    <cellStyle name="Normal 6 2 2 2 5 2 2 3" xfId="5702"/>
    <cellStyle name="Normal 6 2 2 2 5 2 2 3 2" xfId="13225"/>
    <cellStyle name="Normal 6 2 2 2 5 2 2 3 2 2" xfId="28269"/>
    <cellStyle name="Normal 6 2 2 2 5 2 2 3 2 3" xfId="43312"/>
    <cellStyle name="Normal 6 2 2 2 5 2 2 3 3" xfId="20748"/>
    <cellStyle name="Normal 6 2 2 2 5 2 2 3 4" xfId="35791"/>
    <cellStyle name="Normal 6 2 2 2 5 2 2 4" xfId="9476"/>
    <cellStyle name="Normal 6 2 2 2 5 2 2 4 2" xfId="24520"/>
    <cellStyle name="Normal 6 2 2 2 5 2 2 4 3" xfId="39563"/>
    <cellStyle name="Normal 6 2 2 2 5 2 2 5" xfId="16999"/>
    <cellStyle name="Normal 6 2 2 2 5 2 2 6" xfId="32042"/>
    <cellStyle name="Normal 6 2 2 2 5 2 3" xfId="2840"/>
    <cellStyle name="Normal 6 2 2 2 5 2 3 2" xfId="6635"/>
    <cellStyle name="Normal 6 2 2 2 5 2 3 2 2" xfId="14158"/>
    <cellStyle name="Normal 6 2 2 2 5 2 3 2 2 2" xfId="29202"/>
    <cellStyle name="Normal 6 2 2 2 5 2 3 2 2 3" xfId="44245"/>
    <cellStyle name="Normal 6 2 2 2 5 2 3 2 3" xfId="21681"/>
    <cellStyle name="Normal 6 2 2 2 5 2 3 2 4" xfId="36724"/>
    <cellStyle name="Normal 6 2 2 2 5 2 3 3" xfId="10409"/>
    <cellStyle name="Normal 6 2 2 2 5 2 3 3 2" xfId="25453"/>
    <cellStyle name="Normal 6 2 2 2 5 2 3 3 3" xfId="40496"/>
    <cellStyle name="Normal 6 2 2 2 5 2 3 4" xfId="17932"/>
    <cellStyle name="Normal 6 2 2 2 5 2 3 5" xfId="32975"/>
    <cellStyle name="Normal 6 2 2 2 5 2 4" xfId="4770"/>
    <cellStyle name="Normal 6 2 2 2 5 2 4 2" xfId="12293"/>
    <cellStyle name="Normal 6 2 2 2 5 2 4 2 2" xfId="27337"/>
    <cellStyle name="Normal 6 2 2 2 5 2 4 2 3" xfId="42380"/>
    <cellStyle name="Normal 6 2 2 2 5 2 4 3" xfId="19816"/>
    <cellStyle name="Normal 6 2 2 2 5 2 4 4" xfId="34859"/>
    <cellStyle name="Normal 6 2 2 2 5 2 5" xfId="8544"/>
    <cellStyle name="Normal 6 2 2 2 5 2 5 2" xfId="23588"/>
    <cellStyle name="Normal 6 2 2 2 5 2 5 3" xfId="38631"/>
    <cellStyle name="Normal 6 2 2 2 5 2 6" xfId="16067"/>
    <cellStyle name="Normal 6 2 2 2 5 2 7" xfId="31110"/>
    <cellStyle name="Normal 6 2 2 2 5 3" xfId="1449"/>
    <cellStyle name="Normal 6 2 2 2 5 3 2" xfId="3320"/>
    <cellStyle name="Normal 6 2 2 2 5 3 2 2" xfId="7115"/>
    <cellStyle name="Normal 6 2 2 2 5 3 2 2 2" xfId="14638"/>
    <cellStyle name="Normal 6 2 2 2 5 3 2 2 2 2" xfId="29682"/>
    <cellStyle name="Normal 6 2 2 2 5 3 2 2 2 3" xfId="44725"/>
    <cellStyle name="Normal 6 2 2 2 5 3 2 2 3" xfId="22161"/>
    <cellStyle name="Normal 6 2 2 2 5 3 2 2 4" xfId="37204"/>
    <cellStyle name="Normal 6 2 2 2 5 3 2 3" xfId="10889"/>
    <cellStyle name="Normal 6 2 2 2 5 3 2 3 2" xfId="25933"/>
    <cellStyle name="Normal 6 2 2 2 5 3 2 3 3" xfId="40976"/>
    <cellStyle name="Normal 6 2 2 2 5 3 2 4" xfId="18412"/>
    <cellStyle name="Normal 6 2 2 2 5 3 2 5" xfId="33455"/>
    <cellStyle name="Normal 6 2 2 2 5 3 3" xfId="5250"/>
    <cellStyle name="Normal 6 2 2 2 5 3 3 2" xfId="12773"/>
    <cellStyle name="Normal 6 2 2 2 5 3 3 2 2" xfId="27817"/>
    <cellStyle name="Normal 6 2 2 2 5 3 3 2 3" xfId="42860"/>
    <cellStyle name="Normal 6 2 2 2 5 3 3 3" xfId="20296"/>
    <cellStyle name="Normal 6 2 2 2 5 3 3 4" xfId="35339"/>
    <cellStyle name="Normal 6 2 2 2 5 3 4" xfId="9024"/>
    <cellStyle name="Normal 6 2 2 2 5 3 4 2" xfId="24068"/>
    <cellStyle name="Normal 6 2 2 2 5 3 4 3" xfId="39111"/>
    <cellStyle name="Normal 6 2 2 2 5 3 5" xfId="16547"/>
    <cellStyle name="Normal 6 2 2 2 5 3 6" xfId="31590"/>
    <cellStyle name="Normal 6 2 2 2 5 4" xfId="2387"/>
    <cellStyle name="Normal 6 2 2 2 5 4 2" xfId="6183"/>
    <cellStyle name="Normal 6 2 2 2 5 4 2 2" xfId="13706"/>
    <cellStyle name="Normal 6 2 2 2 5 4 2 2 2" xfId="28750"/>
    <cellStyle name="Normal 6 2 2 2 5 4 2 2 3" xfId="43793"/>
    <cellStyle name="Normal 6 2 2 2 5 4 2 3" xfId="21229"/>
    <cellStyle name="Normal 6 2 2 2 5 4 2 4" xfId="36272"/>
    <cellStyle name="Normal 6 2 2 2 5 4 3" xfId="9957"/>
    <cellStyle name="Normal 6 2 2 2 5 4 3 2" xfId="25001"/>
    <cellStyle name="Normal 6 2 2 2 5 4 3 3" xfId="40044"/>
    <cellStyle name="Normal 6 2 2 2 5 4 4" xfId="17480"/>
    <cellStyle name="Normal 6 2 2 2 5 4 5" xfId="32523"/>
    <cellStyle name="Normal 6 2 2 2 5 5" xfId="4315"/>
    <cellStyle name="Normal 6 2 2 2 5 5 2" xfId="11839"/>
    <cellStyle name="Normal 6 2 2 2 5 5 2 2" xfId="26883"/>
    <cellStyle name="Normal 6 2 2 2 5 5 2 3" xfId="41926"/>
    <cellStyle name="Normal 6 2 2 2 5 5 3" xfId="19362"/>
    <cellStyle name="Normal 6 2 2 2 5 5 4" xfId="34405"/>
    <cellStyle name="Normal 6 2 2 2 5 6" xfId="8078"/>
    <cellStyle name="Normal 6 2 2 2 5 6 2" xfId="23122"/>
    <cellStyle name="Normal 6 2 2 2 5 6 3" xfId="38165"/>
    <cellStyle name="Normal 6 2 2 2 5 7" xfId="15601"/>
    <cellStyle name="Normal 6 2 2 2 5 8" xfId="30644"/>
    <cellStyle name="Normal 6 2 2 2 6" xfId="933"/>
    <cellStyle name="Normal 6 2 2 2 6 2" xfId="1892"/>
    <cellStyle name="Normal 6 2 2 2 6 2 2" xfId="3763"/>
    <cellStyle name="Normal 6 2 2 2 6 2 2 2" xfId="7558"/>
    <cellStyle name="Normal 6 2 2 2 6 2 2 2 2" xfId="15081"/>
    <cellStyle name="Normal 6 2 2 2 6 2 2 2 2 2" xfId="30125"/>
    <cellStyle name="Normal 6 2 2 2 6 2 2 2 2 3" xfId="45168"/>
    <cellStyle name="Normal 6 2 2 2 6 2 2 2 3" xfId="22604"/>
    <cellStyle name="Normal 6 2 2 2 6 2 2 2 4" xfId="37647"/>
    <cellStyle name="Normal 6 2 2 2 6 2 2 3" xfId="11332"/>
    <cellStyle name="Normal 6 2 2 2 6 2 2 3 2" xfId="26376"/>
    <cellStyle name="Normal 6 2 2 2 6 2 2 3 3" xfId="41419"/>
    <cellStyle name="Normal 6 2 2 2 6 2 2 4" xfId="18855"/>
    <cellStyle name="Normal 6 2 2 2 6 2 2 5" xfId="33898"/>
    <cellStyle name="Normal 6 2 2 2 6 2 3" xfId="5693"/>
    <cellStyle name="Normal 6 2 2 2 6 2 3 2" xfId="13216"/>
    <cellStyle name="Normal 6 2 2 2 6 2 3 2 2" xfId="28260"/>
    <cellStyle name="Normal 6 2 2 2 6 2 3 2 3" xfId="43303"/>
    <cellStyle name="Normal 6 2 2 2 6 2 3 3" xfId="20739"/>
    <cellStyle name="Normal 6 2 2 2 6 2 3 4" xfId="35782"/>
    <cellStyle name="Normal 6 2 2 2 6 2 4" xfId="9467"/>
    <cellStyle name="Normal 6 2 2 2 6 2 4 2" xfId="24511"/>
    <cellStyle name="Normal 6 2 2 2 6 2 4 3" xfId="39554"/>
    <cellStyle name="Normal 6 2 2 2 6 2 5" xfId="16990"/>
    <cellStyle name="Normal 6 2 2 2 6 2 6" xfId="32033"/>
    <cellStyle name="Normal 6 2 2 2 6 3" xfId="2831"/>
    <cellStyle name="Normal 6 2 2 2 6 3 2" xfId="6626"/>
    <cellStyle name="Normal 6 2 2 2 6 3 2 2" xfId="14149"/>
    <cellStyle name="Normal 6 2 2 2 6 3 2 2 2" xfId="29193"/>
    <cellStyle name="Normal 6 2 2 2 6 3 2 2 3" xfId="44236"/>
    <cellStyle name="Normal 6 2 2 2 6 3 2 3" xfId="21672"/>
    <cellStyle name="Normal 6 2 2 2 6 3 2 4" xfId="36715"/>
    <cellStyle name="Normal 6 2 2 2 6 3 3" xfId="10400"/>
    <cellStyle name="Normal 6 2 2 2 6 3 3 2" xfId="25444"/>
    <cellStyle name="Normal 6 2 2 2 6 3 3 3" xfId="40487"/>
    <cellStyle name="Normal 6 2 2 2 6 3 4" xfId="17923"/>
    <cellStyle name="Normal 6 2 2 2 6 3 5" xfId="32966"/>
    <cellStyle name="Normal 6 2 2 2 6 4" xfId="4761"/>
    <cellStyle name="Normal 6 2 2 2 6 4 2" xfId="12284"/>
    <cellStyle name="Normal 6 2 2 2 6 4 2 2" xfId="27328"/>
    <cellStyle name="Normal 6 2 2 2 6 4 2 3" xfId="42371"/>
    <cellStyle name="Normal 6 2 2 2 6 4 3" xfId="19807"/>
    <cellStyle name="Normal 6 2 2 2 6 4 4" xfId="34850"/>
    <cellStyle name="Normal 6 2 2 2 6 5" xfId="8535"/>
    <cellStyle name="Normal 6 2 2 2 6 5 2" xfId="23579"/>
    <cellStyle name="Normal 6 2 2 2 6 5 3" xfId="38622"/>
    <cellStyle name="Normal 6 2 2 2 6 6" xfId="16058"/>
    <cellStyle name="Normal 6 2 2 2 6 7" xfId="31101"/>
    <cellStyle name="Normal 6 2 2 2 7" xfId="1440"/>
    <cellStyle name="Normal 6 2 2 2 7 2" xfId="3311"/>
    <cellStyle name="Normal 6 2 2 2 7 2 2" xfId="7106"/>
    <cellStyle name="Normal 6 2 2 2 7 2 2 2" xfId="14629"/>
    <cellStyle name="Normal 6 2 2 2 7 2 2 2 2" xfId="29673"/>
    <cellStyle name="Normal 6 2 2 2 7 2 2 2 3" xfId="44716"/>
    <cellStyle name="Normal 6 2 2 2 7 2 2 3" xfId="22152"/>
    <cellStyle name="Normal 6 2 2 2 7 2 2 4" xfId="37195"/>
    <cellStyle name="Normal 6 2 2 2 7 2 3" xfId="10880"/>
    <cellStyle name="Normal 6 2 2 2 7 2 3 2" xfId="25924"/>
    <cellStyle name="Normal 6 2 2 2 7 2 3 3" xfId="40967"/>
    <cellStyle name="Normal 6 2 2 2 7 2 4" xfId="18403"/>
    <cellStyle name="Normal 6 2 2 2 7 2 5" xfId="33446"/>
    <cellStyle name="Normal 6 2 2 2 7 3" xfId="5241"/>
    <cellStyle name="Normal 6 2 2 2 7 3 2" xfId="12764"/>
    <cellStyle name="Normal 6 2 2 2 7 3 2 2" xfId="27808"/>
    <cellStyle name="Normal 6 2 2 2 7 3 2 3" xfId="42851"/>
    <cellStyle name="Normal 6 2 2 2 7 3 3" xfId="20287"/>
    <cellStyle name="Normal 6 2 2 2 7 3 4" xfId="35330"/>
    <cellStyle name="Normal 6 2 2 2 7 4" xfId="9015"/>
    <cellStyle name="Normal 6 2 2 2 7 4 2" xfId="24059"/>
    <cellStyle name="Normal 6 2 2 2 7 4 3" xfId="39102"/>
    <cellStyle name="Normal 6 2 2 2 7 5" xfId="16538"/>
    <cellStyle name="Normal 6 2 2 2 7 6" xfId="31581"/>
    <cellStyle name="Normal 6 2 2 2 8" xfId="2378"/>
    <cellStyle name="Normal 6 2 2 2 8 2" xfId="6174"/>
    <cellStyle name="Normal 6 2 2 2 8 2 2" xfId="13697"/>
    <cellStyle name="Normal 6 2 2 2 8 2 2 2" xfId="28741"/>
    <cellStyle name="Normal 6 2 2 2 8 2 2 3" xfId="43784"/>
    <cellStyle name="Normal 6 2 2 2 8 2 3" xfId="21220"/>
    <cellStyle name="Normal 6 2 2 2 8 2 4" xfId="36263"/>
    <cellStyle name="Normal 6 2 2 2 8 3" xfId="9948"/>
    <cellStyle name="Normal 6 2 2 2 8 3 2" xfId="24992"/>
    <cellStyle name="Normal 6 2 2 2 8 3 3" xfId="40035"/>
    <cellStyle name="Normal 6 2 2 2 8 4" xfId="17471"/>
    <cellStyle name="Normal 6 2 2 2 8 5" xfId="32514"/>
    <cellStyle name="Normal 6 2 2 2 9" xfId="4306"/>
    <cellStyle name="Normal 6 2 2 2 9 2" xfId="11830"/>
    <cellStyle name="Normal 6 2 2 2 9 2 2" xfId="26874"/>
    <cellStyle name="Normal 6 2 2 2 9 2 3" xfId="41917"/>
    <cellStyle name="Normal 6 2 2 2 9 3" xfId="19353"/>
    <cellStyle name="Normal 6 2 2 2 9 4" xfId="34396"/>
    <cellStyle name="Normal 6 2 2 3" xfId="424"/>
    <cellStyle name="Normal 6 2 2 3 10" xfId="15602"/>
    <cellStyle name="Normal 6 2 2 3 11" xfId="30645"/>
    <cellStyle name="Normal 6 2 2 3 2" xfId="425"/>
    <cellStyle name="Normal 6 2 2 3 2 2" xfId="426"/>
    <cellStyle name="Normal 6 2 2 3 2 2 2" xfId="945"/>
    <cellStyle name="Normal 6 2 2 3 2 2 2 2" xfId="1904"/>
    <cellStyle name="Normal 6 2 2 3 2 2 2 2 2" xfId="3775"/>
    <cellStyle name="Normal 6 2 2 3 2 2 2 2 2 2" xfId="7570"/>
    <cellStyle name="Normal 6 2 2 3 2 2 2 2 2 2 2" xfId="15093"/>
    <cellStyle name="Normal 6 2 2 3 2 2 2 2 2 2 2 2" xfId="30137"/>
    <cellStyle name="Normal 6 2 2 3 2 2 2 2 2 2 2 3" xfId="45180"/>
    <cellStyle name="Normal 6 2 2 3 2 2 2 2 2 2 3" xfId="22616"/>
    <cellStyle name="Normal 6 2 2 3 2 2 2 2 2 2 4" xfId="37659"/>
    <cellStyle name="Normal 6 2 2 3 2 2 2 2 2 3" xfId="11344"/>
    <cellStyle name="Normal 6 2 2 3 2 2 2 2 2 3 2" xfId="26388"/>
    <cellStyle name="Normal 6 2 2 3 2 2 2 2 2 3 3" xfId="41431"/>
    <cellStyle name="Normal 6 2 2 3 2 2 2 2 2 4" xfId="18867"/>
    <cellStyle name="Normal 6 2 2 3 2 2 2 2 2 5" xfId="33910"/>
    <cellStyle name="Normal 6 2 2 3 2 2 2 2 3" xfId="5705"/>
    <cellStyle name="Normal 6 2 2 3 2 2 2 2 3 2" xfId="13228"/>
    <cellStyle name="Normal 6 2 2 3 2 2 2 2 3 2 2" xfId="28272"/>
    <cellStyle name="Normal 6 2 2 3 2 2 2 2 3 2 3" xfId="43315"/>
    <cellStyle name="Normal 6 2 2 3 2 2 2 2 3 3" xfId="20751"/>
    <cellStyle name="Normal 6 2 2 3 2 2 2 2 3 4" xfId="35794"/>
    <cellStyle name="Normal 6 2 2 3 2 2 2 2 4" xfId="9479"/>
    <cellStyle name="Normal 6 2 2 3 2 2 2 2 4 2" xfId="24523"/>
    <cellStyle name="Normal 6 2 2 3 2 2 2 2 4 3" xfId="39566"/>
    <cellStyle name="Normal 6 2 2 3 2 2 2 2 5" xfId="17002"/>
    <cellStyle name="Normal 6 2 2 3 2 2 2 2 6" xfId="32045"/>
    <cellStyle name="Normal 6 2 2 3 2 2 2 3" xfId="2843"/>
    <cellStyle name="Normal 6 2 2 3 2 2 2 3 2" xfId="6638"/>
    <cellStyle name="Normal 6 2 2 3 2 2 2 3 2 2" xfId="14161"/>
    <cellStyle name="Normal 6 2 2 3 2 2 2 3 2 2 2" xfId="29205"/>
    <cellStyle name="Normal 6 2 2 3 2 2 2 3 2 2 3" xfId="44248"/>
    <cellStyle name="Normal 6 2 2 3 2 2 2 3 2 3" xfId="21684"/>
    <cellStyle name="Normal 6 2 2 3 2 2 2 3 2 4" xfId="36727"/>
    <cellStyle name="Normal 6 2 2 3 2 2 2 3 3" xfId="10412"/>
    <cellStyle name="Normal 6 2 2 3 2 2 2 3 3 2" xfId="25456"/>
    <cellStyle name="Normal 6 2 2 3 2 2 2 3 3 3" xfId="40499"/>
    <cellStyle name="Normal 6 2 2 3 2 2 2 3 4" xfId="17935"/>
    <cellStyle name="Normal 6 2 2 3 2 2 2 3 5" xfId="32978"/>
    <cellStyle name="Normal 6 2 2 3 2 2 2 4" xfId="4773"/>
    <cellStyle name="Normal 6 2 2 3 2 2 2 4 2" xfId="12296"/>
    <cellStyle name="Normal 6 2 2 3 2 2 2 4 2 2" xfId="27340"/>
    <cellStyle name="Normal 6 2 2 3 2 2 2 4 2 3" xfId="42383"/>
    <cellStyle name="Normal 6 2 2 3 2 2 2 4 3" xfId="19819"/>
    <cellStyle name="Normal 6 2 2 3 2 2 2 4 4" xfId="34862"/>
    <cellStyle name="Normal 6 2 2 3 2 2 2 5" xfId="8547"/>
    <cellStyle name="Normal 6 2 2 3 2 2 2 5 2" xfId="23591"/>
    <cellStyle name="Normal 6 2 2 3 2 2 2 5 3" xfId="38634"/>
    <cellStyle name="Normal 6 2 2 3 2 2 2 6" xfId="16070"/>
    <cellStyle name="Normal 6 2 2 3 2 2 2 7" xfId="31113"/>
    <cellStyle name="Normal 6 2 2 3 2 2 3" xfId="1452"/>
    <cellStyle name="Normal 6 2 2 3 2 2 3 2" xfId="3323"/>
    <cellStyle name="Normal 6 2 2 3 2 2 3 2 2" xfId="7118"/>
    <cellStyle name="Normal 6 2 2 3 2 2 3 2 2 2" xfId="14641"/>
    <cellStyle name="Normal 6 2 2 3 2 2 3 2 2 2 2" xfId="29685"/>
    <cellStyle name="Normal 6 2 2 3 2 2 3 2 2 2 3" xfId="44728"/>
    <cellStyle name="Normal 6 2 2 3 2 2 3 2 2 3" xfId="22164"/>
    <cellStyle name="Normal 6 2 2 3 2 2 3 2 2 4" xfId="37207"/>
    <cellStyle name="Normal 6 2 2 3 2 2 3 2 3" xfId="10892"/>
    <cellStyle name="Normal 6 2 2 3 2 2 3 2 3 2" xfId="25936"/>
    <cellStyle name="Normal 6 2 2 3 2 2 3 2 3 3" xfId="40979"/>
    <cellStyle name="Normal 6 2 2 3 2 2 3 2 4" xfId="18415"/>
    <cellStyle name="Normal 6 2 2 3 2 2 3 2 5" xfId="33458"/>
    <cellStyle name="Normal 6 2 2 3 2 2 3 3" xfId="5253"/>
    <cellStyle name="Normal 6 2 2 3 2 2 3 3 2" xfId="12776"/>
    <cellStyle name="Normal 6 2 2 3 2 2 3 3 2 2" xfId="27820"/>
    <cellStyle name="Normal 6 2 2 3 2 2 3 3 2 3" xfId="42863"/>
    <cellStyle name="Normal 6 2 2 3 2 2 3 3 3" xfId="20299"/>
    <cellStyle name="Normal 6 2 2 3 2 2 3 3 4" xfId="35342"/>
    <cellStyle name="Normal 6 2 2 3 2 2 3 4" xfId="9027"/>
    <cellStyle name="Normal 6 2 2 3 2 2 3 4 2" xfId="24071"/>
    <cellStyle name="Normal 6 2 2 3 2 2 3 4 3" xfId="39114"/>
    <cellStyle name="Normal 6 2 2 3 2 2 3 5" xfId="16550"/>
    <cellStyle name="Normal 6 2 2 3 2 2 3 6" xfId="31593"/>
    <cellStyle name="Normal 6 2 2 3 2 2 4" xfId="2390"/>
    <cellStyle name="Normal 6 2 2 3 2 2 4 2" xfId="6186"/>
    <cellStyle name="Normal 6 2 2 3 2 2 4 2 2" xfId="13709"/>
    <cellStyle name="Normal 6 2 2 3 2 2 4 2 2 2" xfId="28753"/>
    <cellStyle name="Normal 6 2 2 3 2 2 4 2 2 3" xfId="43796"/>
    <cellStyle name="Normal 6 2 2 3 2 2 4 2 3" xfId="21232"/>
    <cellStyle name="Normal 6 2 2 3 2 2 4 2 4" xfId="36275"/>
    <cellStyle name="Normal 6 2 2 3 2 2 4 3" xfId="9960"/>
    <cellStyle name="Normal 6 2 2 3 2 2 4 3 2" xfId="25004"/>
    <cellStyle name="Normal 6 2 2 3 2 2 4 3 3" xfId="40047"/>
    <cellStyle name="Normal 6 2 2 3 2 2 4 4" xfId="17483"/>
    <cellStyle name="Normal 6 2 2 3 2 2 4 5" xfId="32526"/>
    <cellStyle name="Normal 6 2 2 3 2 2 5" xfId="4318"/>
    <cellStyle name="Normal 6 2 2 3 2 2 5 2" xfId="11842"/>
    <cellStyle name="Normal 6 2 2 3 2 2 5 2 2" xfId="26886"/>
    <cellStyle name="Normal 6 2 2 3 2 2 5 2 3" xfId="41929"/>
    <cellStyle name="Normal 6 2 2 3 2 2 5 3" xfId="19365"/>
    <cellStyle name="Normal 6 2 2 3 2 2 5 4" xfId="34408"/>
    <cellStyle name="Normal 6 2 2 3 2 2 6" xfId="8081"/>
    <cellStyle name="Normal 6 2 2 3 2 2 6 2" xfId="23125"/>
    <cellStyle name="Normal 6 2 2 3 2 2 6 3" xfId="38168"/>
    <cellStyle name="Normal 6 2 2 3 2 2 7" xfId="15604"/>
    <cellStyle name="Normal 6 2 2 3 2 2 8" xfId="30647"/>
    <cellStyle name="Normal 6 2 2 3 2 3" xfId="944"/>
    <cellStyle name="Normal 6 2 2 3 2 3 2" xfId="1903"/>
    <cellStyle name="Normal 6 2 2 3 2 3 2 2" xfId="3774"/>
    <cellStyle name="Normal 6 2 2 3 2 3 2 2 2" xfId="7569"/>
    <cellStyle name="Normal 6 2 2 3 2 3 2 2 2 2" xfId="15092"/>
    <cellStyle name="Normal 6 2 2 3 2 3 2 2 2 2 2" xfId="30136"/>
    <cellStyle name="Normal 6 2 2 3 2 3 2 2 2 2 3" xfId="45179"/>
    <cellStyle name="Normal 6 2 2 3 2 3 2 2 2 3" xfId="22615"/>
    <cellStyle name="Normal 6 2 2 3 2 3 2 2 2 4" xfId="37658"/>
    <cellStyle name="Normal 6 2 2 3 2 3 2 2 3" xfId="11343"/>
    <cellStyle name="Normal 6 2 2 3 2 3 2 2 3 2" xfId="26387"/>
    <cellStyle name="Normal 6 2 2 3 2 3 2 2 3 3" xfId="41430"/>
    <cellStyle name="Normal 6 2 2 3 2 3 2 2 4" xfId="18866"/>
    <cellStyle name="Normal 6 2 2 3 2 3 2 2 5" xfId="33909"/>
    <cellStyle name="Normal 6 2 2 3 2 3 2 3" xfId="5704"/>
    <cellStyle name="Normal 6 2 2 3 2 3 2 3 2" xfId="13227"/>
    <cellStyle name="Normal 6 2 2 3 2 3 2 3 2 2" xfId="28271"/>
    <cellStyle name="Normal 6 2 2 3 2 3 2 3 2 3" xfId="43314"/>
    <cellStyle name="Normal 6 2 2 3 2 3 2 3 3" xfId="20750"/>
    <cellStyle name="Normal 6 2 2 3 2 3 2 3 4" xfId="35793"/>
    <cellStyle name="Normal 6 2 2 3 2 3 2 4" xfId="9478"/>
    <cellStyle name="Normal 6 2 2 3 2 3 2 4 2" xfId="24522"/>
    <cellStyle name="Normal 6 2 2 3 2 3 2 4 3" xfId="39565"/>
    <cellStyle name="Normal 6 2 2 3 2 3 2 5" xfId="17001"/>
    <cellStyle name="Normal 6 2 2 3 2 3 2 6" xfId="32044"/>
    <cellStyle name="Normal 6 2 2 3 2 3 3" xfId="2842"/>
    <cellStyle name="Normal 6 2 2 3 2 3 3 2" xfId="6637"/>
    <cellStyle name="Normal 6 2 2 3 2 3 3 2 2" xfId="14160"/>
    <cellStyle name="Normal 6 2 2 3 2 3 3 2 2 2" xfId="29204"/>
    <cellStyle name="Normal 6 2 2 3 2 3 3 2 2 3" xfId="44247"/>
    <cellStyle name="Normal 6 2 2 3 2 3 3 2 3" xfId="21683"/>
    <cellStyle name="Normal 6 2 2 3 2 3 3 2 4" xfId="36726"/>
    <cellStyle name="Normal 6 2 2 3 2 3 3 3" xfId="10411"/>
    <cellStyle name="Normal 6 2 2 3 2 3 3 3 2" xfId="25455"/>
    <cellStyle name="Normal 6 2 2 3 2 3 3 3 3" xfId="40498"/>
    <cellStyle name="Normal 6 2 2 3 2 3 3 4" xfId="17934"/>
    <cellStyle name="Normal 6 2 2 3 2 3 3 5" xfId="32977"/>
    <cellStyle name="Normal 6 2 2 3 2 3 4" xfId="4772"/>
    <cellStyle name="Normal 6 2 2 3 2 3 4 2" xfId="12295"/>
    <cellStyle name="Normal 6 2 2 3 2 3 4 2 2" xfId="27339"/>
    <cellStyle name="Normal 6 2 2 3 2 3 4 2 3" xfId="42382"/>
    <cellStyle name="Normal 6 2 2 3 2 3 4 3" xfId="19818"/>
    <cellStyle name="Normal 6 2 2 3 2 3 4 4" xfId="34861"/>
    <cellStyle name="Normal 6 2 2 3 2 3 5" xfId="8546"/>
    <cellStyle name="Normal 6 2 2 3 2 3 5 2" xfId="23590"/>
    <cellStyle name="Normal 6 2 2 3 2 3 5 3" xfId="38633"/>
    <cellStyle name="Normal 6 2 2 3 2 3 6" xfId="16069"/>
    <cellStyle name="Normal 6 2 2 3 2 3 7" xfId="31112"/>
    <cellStyle name="Normal 6 2 2 3 2 4" xfId="1451"/>
    <cellStyle name="Normal 6 2 2 3 2 4 2" xfId="3322"/>
    <cellStyle name="Normal 6 2 2 3 2 4 2 2" xfId="7117"/>
    <cellStyle name="Normal 6 2 2 3 2 4 2 2 2" xfId="14640"/>
    <cellStyle name="Normal 6 2 2 3 2 4 2 2 2 2" xfId="29684"/>
    <cellStyle name="Normal 6 2 2 3 2 4 2 2 2 3" xfId="44727"/>
    <cellStyle name="Normal 6 2 2 3 2 4 2 2 3" xfId="22163"/>
    <cellStyle name="Normal 6 2 2 3 2 4 2 2 4" xfId="37206"/>
    <cellStyle name="Normal 6 2 2 3 2 4 2 3" xfId="10891"/>
    <cellStyle name="Normal 6 2 2 3 2 4 2 3 2" xfId="25935"/>
    <cellStyle name="Normal 6 2 2 3 2 4 2 3 3" xfId="40978"/>
    <cellStyle name="Normal 6 2 2 3 2 4 2 4" xfId="18414"/>
    <cellStyle name="Normal 6 2 2 3 2 4 2 5" xfId="33457"/>
    <cellStyle name="Normal 6 2 2 3 2 4 3" xfId="5252"/>
    <cellStyle name="Normal 6 2 2 3 2 4 3 2" xfId="12775"/>
    <cellStyle name="Normal 6 2 2 3 2 4 3 2 2" xfId="27819"/>
    <cellStyle name="Normal 6 2 2 3 2 4 3 2 3" xfId="42862"/>
    <cellStyle name="Normal 6 2 2 3 2 4 3 3" xfId="20298"/>
    <cellStyle name="Normal 6 2 2 3 2 4 3 4" xfId="35341"/>
    <cellStyle name="Normal 6 2 2 3 2 4 4" xfId="9026"/>
    <cellStyle name="Normal 6 2 2 3 2 4 4 2" xfId="24070"/>
    <cellStyle name="Normal 6 2 2 3 2 4 4 3" xfId="39113"/>
    <cellStyle name="Normal 6 2 2 3 2 4 5" xfId="16549"/>
    <cellStyle name="Normal 6 2 2 3 2 4 6" xfId="31592"/>
    <cellStyle name="Normal 6 2 2 3 2 5" xfId="2389"/>
    <cellStyle name="Normal 6 2 2 3 2 5 2" xfId="6185"/>
    <cellStyle name="Normal 6 2 2 3 2 5 2 2" xfId="13708"/>
    <cellStyle name="Normal 6 2 2 3 2 5 2 2 2" xfId="28752"/>
    <cellStyle name="Normal 6 2 2 3 2 5 2 2 3" xfId="43795"/>
    <cellStyle name="Normal 6 2 2 3 2 5 2 3" xfId="21231"/>
    <cellStyle name="Normal 6 2 2 3 2 5 2 4" xfId="36274"/>
    <cellStyle name="Normal 6 2 2 3 2 5 3" xfId="9959"/>
    <cellStyle name="Normal 6 2 2 3 2 5 3 2" xfId="25003"/>
    <cellStyle name="Normal 6 2 2 3 2 5 3 3" xfId="40046"/>
    <cellStyle name="Normal 6 2 2 3 2 5 4" xfId="17482"/>
    <cellStyle name="Normal 6 2 2 3 2 5 5" xfId="32525"/>
    <cellStyle name="Normal 6 2 2 3 2 6" xfId="4317"/>
    <cellStyle name="Normal 6 2 2 3 2 6 2" xfId="11841"/>
    <cellStyle name="Normal 6 2 2 3 2 6 2 2" xfId="26885"/>
    <cellStyle name="Normal 6 2 2 3 2 6 2 3" xfId="41928"/>
    <cellStyle name="Normal 6 2 2 3 2 6 3" xfId="19364"/>
    <cellStyle name="Normal 6 2 2 3 2 6 4" xfId="34407"/>
    <cellStyle name="Normal 6 2 2 3 2 7" xfId="8080"/>
    <cellStyle name="Normal 6 2 2 3 2 7 2" xfId="23124"/>
    <cellStyle name="Normal 6 2 2 3 2 7 3" xfId="38167"/>
    <cellStyle name="Normal 6 2 2 3 2 8" xfId="15603"/>
    <cellStyle name="Normal 6 2 2 3 2 9" xfId="30646"/>
    <cellStyle name="Normal 6 2 2 3 3" xfId="427"/>
    <cellStyle name="Normal 6 2 2 3 3 2" xfId="428"/>
    <cellStyle name="Normal 6 2 2 3 3 2 2" xfId="947"/>
    <cellStyle name="Normal 6 2 2 3 3 2 2 2" xfId="1906"/>
    <cellStyle name="Normal 6 2 2 3 3 2 2 2 2" xfId="3777"/>
    <cellStyle name="Normal 6 2 2 3 3 2 2 2 2 2" xfId="7572"/>
    <cellStyle name="Normal 6 2 2 3 3 2 2 2 2 2 2" xfId="15095"/>
    <cellStyle name="Normal 6 2 2 3 3 2 2 2 2 2 2 2" xfId="30139"/>
    <cellStyle name="Normal 6 2 2 3 3 2 2 2 2 2 2 3" xfId="45182"/>
    <cellStyle name="Normal 6 2 2 3 3 2 2 2 2 2 3" xfId="22618"/>
    <cellStyle name="Normal 6 2 2 3 3 2 2 2 2 2 4" xfId="37661"/>
    <cellStyle name="Normal 6 2 2 3 3 2 2 2 2 3" xfId="11346"/>
    <cellStyle name="Normal 6 2 2 3 3 2 2 2 2 3 2" xfId="26390"/>
    <cellStyle name="Normal 6 2 2 3 3 2 2 2 2 3 3" xfId="41433"/>
    <cellStyle name="Normal 6 2 2 3 3 2 2 2 2 4" xfId="18869"/>
    <cellStyle name="Normal 6 2 2 3 3 2 2 2 2 5" xfId="33912"/>
    <cellStyle name="Normal 6 2 2 3 3 2 2 2 3" xfId="5707"/>
    <cellStyle name="Normal 6 2 2 3 3 2 2 2 3 2" xfId="13230"/>
    <cellStyle name="Normal 6 2 2 3 3 2 2 2 3 2 2" xfId="28274"/>
    <cellStyle name="Normal 6 2 2 3 3 2 2 2 3 2 3" xfId="43317"/>
    <cellStyle name="Normal 6 2 2 3 3 2 2 2 3 3" xfId="20753"/>
    <cellStyle name="Normal 6 2 2 3 3 2 2 2 3 4" xfId="35796"/>
    <cellStyle name="Normal 6 2 2 3 3 2 2 2 4" xfId="9481"/>
    <cellStyle name="Normal 6 2 2 3 3 2 2 2 4 2" xfId="24525"/>
    <cellStyle name="Normal 6 2 2 3 3 2 2 2 4 3" xfId="39568"/>
    <cellStyle name="Normal 6 2 2 3 3 2 2 2 5" xfId="17004"/>
    <cellStyle name="Normal 6 2 2 3 3 2 2 2 6" xfId="32047"/>
    <cellStyle name="Normal 6 2 2 3 3 2 2 3" xfId="2845"/>
    <cellStyle name="Normal 6 2 2 3 3 2 2 3 2" xfId="6640"/>
    <cellStyle name="Normal 6 2 2 3 3 2 2 3 2 2" xfId="14163"/>
    <cellStyle name="Normal 6 2 2 3 3 2 2 3 2 2 2" xfId="29207"/>
    <cellStyle name="Normal 6 2 2 3 3 2 2 3 2 2 3" xfId="44250"/>
    <cellStyle name="Normal 6 2 2 3 3 2 2 3 2 3" xfId="21686"/>
    <cellStyle name="Normal 6 2 2 3 3 2 2 3 2 4" xfId="36729"/>
    <cellStyle name="Normal 6 2 2 3 3 2 2 3 3" xfId="10414"/>
    <cellStyle name="Normal 6 2 2 3 3 2 2 3 3 2" xfId="25458"/>
    <cellStyle name="Normal 6 2 2 3 3 2 2 3 3 3" xfId="40501"/>
    <cellStyle name="Normal 6 2 2 3 3 2 2 3 4" xfId="17937"/>
    <cellStyle name="Normal 6 2 2 3 3 2 2 3 5" xfId="32980"/>
    <cellStyle name="Normal 6 2 2 3 3 2 2 4" xfId="4775"/>
    <cellStyle name="Normal 6 2 2 3 3 2 2 4 2" xfId="12298"/>
    <cellStyle name="Normal 6 2 2 3 3 2 2 4 2 2" xfId="27342"/>
    <cellStyle name="Normal 6 2 2 3 3 2 2 4 2 3" xfId="42385"/>
    <cellStyle name="Normal 6 2 2 3 3 2 2 4 3" xfId="19821"/>
    <cellStyle name="Normal 6 2 2 3 3 2 2 4 4" xfId="34864"/>
    <cellStyle name="Normal 6 2 2 3 3 2 2 5" xfId="8549"/>
    <cellStyle name="Normal 6 2 2 3 3 2 2 5 2" xfId="23593"/>
    <cellStyle name="Normal 6 2 2 3 3 2 2 5 3" xfId="38636"/>
    <cellStyle name="Normal 6 2 2 3 3 2 2 6" xfId="16072"/>
    <cellStyle name="Normal 6 2 2 3 3 2 2 7" xfId="31115"/>
    <cellStyle name="Normal 6 2 2 3 3 2 3" xfId="1454"/>
    <cellStyle name="Normal 6 2 2 3 3 2 3 2" xfId="3325"/>
    <cellStyle name="Normal 6 2 2 3 3 2 3 2 2" xfId="7120"/>
    <cellStyle name="Normal 6 2 2 3 3 2 3 2 2 2" xfId="14643"/>
    <cellStyle name="Normal 6 2 2 3 3 2 3 2 2 2 2" xfId="29687"/>
    <cellStyle name="Normal 6 2 2 3 3 2 3 2 2 2 3" xfId="44730"/>
    <cellStyle name="Normal 6 2 2 3 3 2 3 2 2 3" xfId="22166"/>
    <cellStyle name="Normal 6 2 2 3 3 2 3 2 2 4" xfId="37209"/>
    <cellStyle name="Normal 6 2 2 3 3 2 3 2 3" xfId="10894"/>
    <cellStyle name="Normal 6 2 2 3 3 2 3 2 3 2" xfId="25938"/>
    <cellStyle name="Normal 6 2 2 3 3 2 3 2 3 3" xfId="40981"/>
    <cellStyle name="Normal 6 2 2 3 3 2 3 2 4" xfId="18417"/>
    <cellStyle name="Normal 6 2 2 3 3 2 3 2 5" xfId="33460"/>
    <cellStyle name="Normal 6 2 2 3 3 2 3 3" xfId="5255"/>
    <cellStyle name="Normal 6 2 2 3 3 2 3 3 2" xfId="12778"/>
    <cellStyle name="Normal 6 2 2 3 3 2 3 3 2 2" xfId="27822"/>
    <cellStyle name="Normal 6 2 2 3 3 2 3 3 2 3" xfId="42865"/>
    <cellStyle name="Normal 6 2 2 3 3 2 3 3 3" xfId="20301"/>
    <cellStyle name="Normal 6 2 2 3 3 2 3 3 4" xfId="35344"/>
    <cellStyle name="Normal 6 2 2 3 3 2 3 4" xfId="9029"/>
    <cellStyle name="Normal 6 2 2 3 3 2 3 4 2" xfId="24073"/>
    <cellStyle name="Normal 6 2 2 3 3 2 3 4 3" xfId="39116"/>
    <cellStyle name="Normal 6 2 2 3 3 2 3 5" xfId="16552"/>
    <cellStyle name="Normal 6 2 2 3 3 2 3 6" xfId="31595"/>
    <cellStyle name="Normal 6 2 2 3 3 2 4" xfId="2392"/>
    <cellStyle name="Normal 6 2 2 3 3 2 4 2" xfId="6188"/>
    <cellStyle name="Normal 6 2 2 3 3 2 4 2 2" xfId="13711"/>
    <cellStyle name="Normal 6 2 2 3 3 2 4 2 2 2" xfId="28755"/>
    <cellStyle name="Normal 6 2 2 3 3 2 4 2 2 3" xfId="43798"/>
    <cellStyle name="Normal 6 2 2 3 3 2 4 2 3" xfId="21234"/>
    <cellStyle name="Normal 6 2 2 3 3 2 4 2 4" xfId="36277"/>
    <cellStyle name="Normal 6 2 2 3 3 2 4 3" xfId="9962"/>
    <cellStyle name="Normal 6 2 2 3 3 2 4 3 2" xfId="25006"/>
    <cellStyle name="Normal 6 2 2 3 3 2 4 3 3" xfId="40049"/>
    <cellStyle name="Normal 6 2 2 3 3 2 4 4" xfId="17485"/>
    <cellStyle name="Normal 6 2 2 3 3 2 4 5" xfId="32528"/>
    <cellStyle name="Normal 6 2 2 3 3 2 5" xfId="4320"/>
    <cellStyle name="Normal 6 2 2 3 3 2 5 2" xfId="11844"/>
    <cellStyle name="Normal 6 2 2 3 3 2 5 2 2" xfId="26888"/>
    <cellStyle name="Normal 6 2 2 3 3 2 5 2 3" xfId="41931"/>
    <cellStyle name="Normal 6 2 2 3 3 2 5 3" xfId="19367"/>
    <cellStyle name="Normal 6 2 2 3 3 2 5 4" xfId="34410"/>
    <cellStyle name="Normal 6 2 2 3 3 2 6" xfId="8083"/>
    <cellStyle name="Normal 6 2 2 3 3 2 6 2" xfId="23127"/>
    <cellStyle name="Normal 6 2 2 3 3 2 6 3" xfId="38170"/>
    <cellStyle name="Normal 6 2 2 3 3 2 7" xfId="15606"/>
    <cellStyle name="Normal 6 2 2 3 3 2 8" xfId="30649"/>
    <cellStyle name="Normal 6 2 2 3 3 3" xfId="946"/>
    <cellStyle name="Normal 6 2 2 3 3 3 2" xfId="1905"/>
    <cellStyle name="Normal 6 2 2 3 3 3 2 2" xfId="3776"/>
    <cellStyle name="Normal 6 2 2 3 3 3 2 2 2" xfId="7571"/>
    <cellStyle name="Normal 6 2 2 3 3 3 2 2 2 2" xfId="15094"/>
    <cellStyle name="Normal 6 2 2 3 3 3 2 2 2 2 2" xfId="30138"/>
    <cellStyle name="Normal 6 2 2 3 3 3 2 2 2 2 3" xfId="45181"/>
    <cellStyle name="Normal 6 2 2 3 3 3 2 2 2 3" xfId="22617"/>
    <cellStyle name="Normal 6 2 2 3 3 3 2 2 2 4" xfId="37660"/>
    <cellStyle name="Normal 6 2 2 3 3 3 2 2 3" xfId="11345"/>
    <cellStyle name="Normal 6 2 2 3 3 3 2 2 3 2" xfId="26389"/>
    <cellStyle name="Normal 6 2 2 3 3 3 2 2 3 3" xfId="41432"/>
    <cellStyle name="Normal 6 2 2 3 3 3 2 2 4" xfId="18868"/>
    <cellStyle name="Normal 6 2 2 3 3 3 2 2 5" xfId="33911"/>
    <cellStyle name="Normal 6 2 2 3 3 3 2 3" xfId="5706"/>
    <cellStyle name="Normal 6 2 2 3 3 3 2 3 2" xfId="13229"/>
    <cellStyle name="Normal 6 2 2 3 3 3 2 3 2 2" xfId="28273"/>
    <cellStyle name="Normal 6 2 2 3 3 3 2 3 2 3" xfId="43316"/>
    <cellStyle name="Normal 6 2 2 3 3 3 2 3 3" xfId="20752"/>
    <cellStyle name="Normal 6 2 2 3 3 3 2 3 4" xfId="35795"/>
    <cellStyle name="Normal 6 2 2 3 3 3 2 4" xfId="9480"/>
    <cellStyle name="Normal 6 2 2 3 3 3 2 4 2" xfId="24524"/>
    <cellStyle name="Normal 6 2 2 3 3 3 2 4 3" xfId="39567"/>
    <cellStyle name="Normal 6 2 2 3 3 3 2 5" xfId="17003"/>
    <cellStyle name="Normal 6 2 2 3 3 3 2 6" xfId="32046"/>
    <cellStyle name="Normal 6 2 2 3 3 3 3" xfId="2844"/>
    <cellStyle name="Normal 6 2 2 3 3 3 3 2" xfId="6639"/>
    <cellStyle name="Normal 6 2 2 3 3 3 3 2 2" xfId="14162"/>
    <cellStyle name="Normal 6 2 2 3 3 3 3 2 2 2" xfId="29206"/>
    <cellStyle name="Normal 6 2 2 3 3 3 3 2 2 3" xfId="44249"/>
    <cellStyle name="Normal 6 2 2 3 3 3 3 2 3" xfId="21685"/>
    <cellStyle name="Normal 6 2 2 3 3 3 3 2 4" xfId="36728"/>
    <cellStyle name="Normal 6 2 2 3 3 3 3 3" xfId="10413"/>
    <cellStyle name="Normal 6 2 2 3 3 3 3 3 2" xfId="25457"/>
    <cellStyle name="Normal 6 2 2 3 3 3 3 3 3" xfId="40500"/>
    <cellStyle name="Normal 6 2 2 3 3 3 3 4" xfId="17936"/>
    <cellStyle name="Normal 6 2 2 3 3 3 3 5" xfId="32979"/>
    <cellStyle name="Normal 6 2 2 3 3 3 4" xfId="4774"/>
    <cellStyle name="Normal 6 2 2 3 3 3 4 2" xfId="12297"/>
    <cellStyle name="Normal 6 2 2 3 3 3 4 2 2" xfId="27341"/>
    <cellStyle name="Normal 6 2 2 3 3 3 4 2 3" xfId="42384"/>
    <cellStyle name="Normal 6 2 2 3 3 3 4 3" xfId="19820"/>
    <cellStyle name="Normal 6 2 2 3 3 3 4 4" xfId="34863"/>
    <cellStyle name="Normal 6 2 2 3 3 3 5" xfId="8548"/>
    <cellStyle name="Normal 6 2 2 3 3 3 5 2" xfId="23592"/>
    <cellStyle name="Normal 6 2 2 3 3 3 5 3" xfId="38635"/>
    <cellStyle name="Normal 6 2 2 3 3 3 6" xfId="16071"/>
    <cellStyle name="Normal 6 2 2 3 3 3 7" xfId="31114"/>
    <cellStyle name="Normal 6 2 2 3 3 4" xfId="1453"/>
    <cellStyle name="Normal 6 2 2 3 3 4 2" xfId="3324"/>
    <cellStyle name="Normal 6 2 2 3 3 4 2 2" xfId="7119"/>
    <cellStyle name="Normal 6 2 2 3 3 4 2 2 2" xfId="14642"/>
    <cellStyle name="Normal 6 2 2 3 3 4 2 2 2 2" xfId="29686"/>
    <cellStyle name="Normal 6 2 2 3 3 4 2 2 2 3" xfId="44729"/>
    <cellStyle name="Normal 6 2 2 3 3 4 2 2 3" xfId="22165"/>
    <cellStyle name="Normal 6 2 2 3 3 4 2 2 4" xfId="37208"/>
    <cellStyle name="Normal 6 2 2 3 3 4 2 3" xfId="10893"/>
    <cellStyle name="Normal 6 2 2 3 3 4 2 3 2" xfId="25937"/>
    <cellStyle name="Normal 6 2 2 3 3 4 2 3 3" xfId="40980"/>
    <cellStyle name="Normal 6 2 2 3 3 4 2 4" xfId="18416"/>
    <cellStyle name="Normal 6 2 2 3 3 4 2 5" xfId="33459"/>
    <cellStyle name="Normal 6 2 2 3 3 4 3" xfId="5254"/>
    <cellStyle name="Normal 6 2 2 3 3 4 3 2" xfId="12777"/>
    <cellStyle name="Normal 6 2 2 3 3 4 3 2 2" xfId="27821"/>
    <cellStyle name="Normal 6 2 2 3 3 4 3 2 3" xfId="42864"/>
    <cellStyle name="Normal 6 2 2 3 3 4 3 3" xfId="20300"/>
    <cellStyle name="Normal 6 2 2 3 3 4 3 4" xfId="35343"/>
    <cellStyle name="Normal 6 2 2 3 3 4 4" xfId="9028"/>
    <cellStyle name="Normal 6 2 2 3 3 4 4 2" xfId="24072"/>
    <cellStyle name="Normal 6 2 2 3 3 4 4 3" xfId="39115"/>
    <cellStyle name="Normal 6 2 2 3 3 4 5" xfId="16551"/>
    <cellStyle name="Normal 6 2 2 3 3 4 6" xfId="31594"/>
    <cellStyle name="Normal 6 2 2 3 3 5" xfId="2391"/>
    <cellStyle name="Normal 6 2 2 3 3 5 2" xfId="6187"/>
    <cellStyle name="Normal 6 2 2 3 3 5 2 2" xfId="13710"/>
    <cellStyle name="Normal 6 2 2 3 3 5 2 2 2" xfId="28754"/>
    <cellStyle name="Normal 6 2 2 3 3 5 2 2 3" xfId="43797"/>
    <cellStyle name="Normal 6 2 2 3 3 5 2 3" xfId="21233"/>
    <cellStyle name="Normal 6 2 2 3 3 5 2 4" xfId="36276"/>
    <cellStyle name="Normal 6 2 2 3 3 5 3" xfId="9961"/>
    <cellStyle name="Normal 6 2 2 3 3 5 3 2" xfId="25005"/>
    <cellStyle name="Normal 6 2 2 3 3 5 3 3" xfId="40048"/>
    <cellStyle name="Normal 6 2 2 3 3 5 4" xfId="17484"/>
    <cellStyle name="Normal 6 2 2 3 3 5 5" xfId="32527"/>
    <cellStyle name="Normal 6 2 2 3 3 6" xfId="4319"/>
    <cellStyle name="Normal 6 2 2 3 3 6 2" xfId="11843"/>
    <cellStyle name="Normal 6 2 2 3 3 6 2 2" xfId="26887"/>
    <cellStyle name="Normal 6 2 2 3 3 6 2 3" xfId="41930"/>
    <cellStyle name="Normal 6 2 2 3 3 6 3" xfId="19366"/>
    <cellStyle name="Normal 6 2 2 3 3 6 4" xfId="34409"/>
    <cellStyle name="Normal 6 2 2 3 3 7" xfId="8082"/>
    <cellStyle name="Normal 6 2 2 3 3 7 2" xfId="23126"/>
    <cellStyle name="Normal 6 2 2 3 3 7 3" xfId="38169"/>
    <cellStyle name="Normal 6 2 2 3 3 8" xfId="15605"/>
    <cellStyle name="Normal 6 2 2 3 3 9" xfId="30648"/>
    <cellStyle name="Normal 6 2 2 3 4" xfId="429"/>
    <cellStyle name="Normal 6 2 2 3 4 2" xfId="948"/>
    <cellStyle name="Normal 6 2 2 3 4 2 2" xfId="1907"/>
    <cellStyle name="Normal 6 2 2 3 4 2 2 2" xfId="3778"/>
    <cellStyle name="Normal 6 2 2 3 4 2 2 2 2" xfId="7573"/>
    <cellStyle name="Normal 6 2 2 3 4 2 2 2 2 2" xfId="15096"/>
    <cellStyle name="Normal 6 2 2 3 4 2 2 2 2 2 2" xfId="30140"/>
    <cellStyle name="Normal 6 2 2 3 4 2 2 2 2 2 3" xfId="45183"/>
    <cellStyle name="Normal 6 2 2 3 4 2 2 2 2 3" xfId="22619"/>
    <cellStyle name="Normal 6 2 2 3 4 2 2 2 2 4" xfId="37662"/>
    <cellStyle name="Normal 6 2 2 3 4 2 2 2 3" xfId="11347"/>
    <cellStyle name="Normal 6 2 2 3 4 2 2 2 3 2" xfId="26391"/>
    <cellStyle name="Normal 6 2 2 3 4 2 2 2 3 3" xfId="41434"/>
    <cellStyle name="Normal 6 2 2 3 4 2 2 2 4" xfId="18870"/>
    <cellStyle name="Normal 6 2 2 3 4 2 2 2 5" xfId="33913"/>
    <cellStyle name="Normal 6 2 2 3 4 2 2 3" xfId="5708"/>
    <cellStyle name="Normal 6 2 2 3 4 2 2 3 2" xfId="13231"/>
    <cellStyle name="Normal 6 2 2 3 4 2 2 3 2 2" xfId="28275"/>
    <cellStyle name="Normal 6 2 2 3 4 2 2 3 2 3" xfId="43318"/>
    <cellStyle name="Normal 6 2 2 3 4 2 2 3 3" xfId="20754"/>
    <cellStyle name="Normal 6 2 2 3 4 2 2 3 4" xfId="35797"/>
    <cellStyle name="Normal 6 2 2 3 4 2 2 4" xfId="9482"/>
    <cellStyle name="Normal 6 2 2 3 4 2 2 4 2" xfId="24526"/>
    <cellStyle name="Normal 6 2 2 3 4 2 2 4 3" xfId="39569"/>
    <cellStyle name="Normal 6 2 2 3 4 2 2 5" xfId="17005"/>
    <cellStyle name="Normal 6 2 2 3 4 2 2 6" xfId="32048"/>
    <cellStyle name="Normal 6 2 2 3 4 2 3" xfId="2846"/>
    <cellStyle name="Normal 6 2 2 3 4 2 3 2" xfId="6641"/>
    <cellStyle name="Normal 6 2 2 3 4 2 3 2 2" xfId="14164"/>
    <cellStyle name="Normal 6 2 2 3 4 2 3 2 2 2" xfId="29208"/>
    <cellStyle name="Normal 6 2 2 3 4 2 3 2 2 3" xfId="44251"/>
    <cellStyle name="Normal 6 2 2 3 4 2 3 2 3" xfId="21687"/>
    <cellStyle name="Normal 6 2 2 3 4 2 3 2 4" xfId="36730"/>
    <cellStyle name="Normal 6 2 2 3 4 2 3 3" xfId="10415"/>
    <cellStyle name="Normal 6 2 2 3 4 2 3 3 2" xfId="25459"/>
    <cellStyle name="Normal 6 2 2 3 4 2 3 3 3" xfId="40502"/>
    <cellStyle name="Normal 6 2 2 3 4 2 3 4" xfId="17938"/>
    <cellStyle name="Normal 6 2 2 3 4 2 3 5" xfId="32981"/>
    <cellStyle name="Normal 6 2 2 3 4 2 4" xfId="4776"/>
    <cellStyle name="Normal 6 2 2 3 4 2 4 2" xfId="12299"/>
    <cellStyle name="Normal 6 2 2 3 4 2 4 2 2" xfId="27343"/>
    <cellStyle name="Normal 6 2 2 3 4 2 4 2 3" xfId="42386"/>
    <cellStyle name="Normal 6 2 2 3 4 2 4 3" xfId="19822"/>
    <cellStyle name="Normal 6 2 2 3 4 2 4 4" xfId="34865"/>
    <cellStyle name="Normal 6 2 2 3 4 2 5" xfId="8550"/>
    <cellStyle name="Normal 6 2 2 3 4 2 5 2" xfId="23594"/>
    <cellStyle name="Normal 6 2 2 3 4 2 5 3" xfId="38637"/>
    <cellStyle name="Normal 6 2 2 3 4 2 6" xfId="16073"/>
    <cellStyle name="Normal 6 2 2 3 4 2 7" xfId="31116"/>
    <cellStyle name="Normal 6 2 2 3 4 3" xfId="1455"/>
    <cellStyle name="Normal 6 2 2 3 4 3 2" xfId="3326"/>
    <cellStyle name="Normal 6 2 2 3 4 3 2 2" xfId="7121"/>
    <cellStyle name="Normal 6 2 2 3 4 3 2 2 2" xfId="14644"/>
    <cellStyle name="Normal 6 2 2 3 4 3 2 2 2 2" xfId="29688"/>
    <cellStyle name="Normal 6 2 2 3 4 3 2 2 2 3" xfId="44731"/>
    <cellStyle name="Normal 6 2 2 3 4 3 2 2 3" xfId="22167"/>
    <cellStyle name="Normal 6 2 2 3 4 3 2 2 4" xfId="37210"/>
    <cellStyle name="Normal 6 2 2 3 4 3 2 3" xfId="10895"/>
    <cellStyle name="Normal 6 2 2 3 4 3 2 3 2" xfId="25939"/>
    <cellStyle name="Normal 6 2 2 3 4 3 2 3 3" xfId="40982"/>
    <cellStyle name="Normal 6 2 2 3 4 3 2 4" xfId="18418"/>
    <cellStyle name="Normal 6 2 2 3 4 3 2 5" xfId="33461"/>
    <cellStyle name="Normal 6 2 2 3 4 3 3" xfId="5256"/>
    <cellStyle name="Normal 6 2 2 3 4 3 3 2" xfId="12779"/>
    <cellStyle name="Normal 6 2 2 3 4 3 3 2 2" xfId="27823"/>
    <cellStyle name="Normal 6 2 2 3 4 3 3 2 3" xfId="42866"/>
    <cellStyle name="Normal 6 2 2 3 4 3 3 3" xfId="20302"/>
    <cellStyle name="Normal 6 2 2 3 4 3 3 4" xfId="35345"/>
    <cellStyle name="Normal 6 2 2 3 4 3 4" xfId="9030"/>
    <cellStyle name="Normal 6 2 2 3 4 3 4 2" xfId="24074"/>
    <cellStyle name="Normal 6 2 2 3 4 3 4 3" xfId="39117"/>
    <cellStyle name="Normal 6 2 2 3 4 3 5" xfId="16553"/>
    <cellStyle name="Normal 6 2 2 3 4 3 6" xfId="31596"/>
    <cellStyle name="Normal 6 2 2 3 4 4" xfId="2393"/>
    <cellStyle name="Normal 6 2 2 3 4 4 2" xfId="6189"/>
    <cellStyle name="Normal 6 2 2 3 4 4 2 2" xfId="13712"/>
    <cellStyle name="Normal 6 2 2 3 4 4 2 2 2" xfId="28756"/>
    <cellStyle name="Normal 6 2 2 3 4 4 2 2 3" xfId="43799"/>
    <cellStyle name="Normal 6 2 2 3 4 4 2 3" xfId="21235"/>
    <cellStyle name="Normal 6 2 2 3 4 4 2 4" xfId="36278"/>
    <cellStyle name="Normal 6 2 2 3 4 4 3" xfId="9963"/>
    <cellStyle name="Normal 6 2 2 3 4 4 3 2" xfId="25007"/>
    <cellStyle name="Normal 6 2 2 3 4 4 3 3" xfId="40050"/>
    <cellStyle name="Normal 6 2 2 3 4 4 4" xfId="17486"/>
    <cellStyle name="Normal 6 2 2 3 4 4 5" xfId="32529"/>
    <cellStyle name="Normal 6 2 2 3 4 5" xfId="4321"/>
    <cellStyle name="Normal 6 2 2 3 4 5 2" xfId="11845"/>
    <cellStyle name="Normal 6 2 2 3 4 5 2 2" xfId="26889"/>
    <cellStyle name="Normal 6 2 2 3 4 5 2 3" xfId="41932"/>
    <cellStyle name="Normal 6 2 2 3 4 5 3" xfId="19368"/>
    <cellStyle name="Normal 6 2 2 3 4 5 4" xfId="34411"/>
    <cellStyle name="Normal 6 2 2 3 4 6" xfId="8084"/>
    <cellStyle name="Normal 6 2 2 3 4 6 2" xfId="23128"/>
    <cellStyle name="Normal 6 2 2 3 4 6 3" xfId="38171"/>
    <cellStyle name="Normal 6 2 2 3 4 7" xfId="15607"/>
    <cellStyle name="Normal 6 2 2 3 4 8" xfId="30650"/>
    <cellStyle name="Normal 6 2 2 3 5" xfId="943"/>
    <cellStyle name="Normal 6 2 2 3 5 2" xfId="1902"/>
    <cellStyle name="Normal 6 2 2 3 5 2 2" xfId="3773"/>
    <cellStyle name="Normal 6 2 2 3 5 2 2 2" xfId="7568"/>
    <cellStyle name="Normal 6 2 2 3 5 2 2 2 2" xfId="15091"/>
    <cellStyle name="Normal 6 2 2 3 5 2 2 2 2 2" xfId="30135"/>
    <cellStyle name="Normal 6 2 2 3 5 2 2 2 2 3" xfId="45178"/>
    <cellStyle name="Normal 6 2 2 3 5 2 2 2 3" xfId="22614"/>
    <cellStyle name="Normal 6 2 2 3 5 2 2 2 4" xfId="37657"/>
    <cellStyle name="Normal 6 2 2 3 5 2 2 3" xfId="11342"/>
    <cellStyle name="Normal 6 2 2 3 5 2 2 3 2" xfId="26386"/>
    <cellStyle name="Normal 6 2 2 3 5 2 2 3 3" xfId="41429"/>
    <cellStyle name="Normal 6 2 2 3 5 2 2 4" xfId="18865"/>
    <cellStyle name="Normal 6 2 2 3 5 2 2 5" xfId="33908"/>
    <cellStyle name="Normal 6 2 2 3 5 2 3" xfId="5703"/>
    <cellStyle name="Normal 6 2 2 3 5 2 3 2" xfId="13226"/>
    <cellStyle name="Normal 6 2 2 3 5 2 3 2 2" xfId="28270"/>
    <cellStyle name="Normal 6 2 2 3 5 2 3 2 3" xfId="43313"/>
    <cellStyle name="Normal 6 2 2 3 5 2 3 3" xfId="20749"/>
    <cellStyle name="Normal 6 2 2 3 5 2 3 4" xfId="35792"/>
    <cellStyle name="Normal 6 2 2 3 5 2 4" xfId="9477"/>
    <cellStyle name="Normal 6 2 2 3 5 2 4 2" xfId="24521"/>
    <cellStyle name="Normal 6 2 2 3 5 2 4 3" xfId="39564"/>
    <cellStyle name="Normal 6 2 2 3 5 2 5" xfId="17000"/>
    <cellStyle name="Normal 6 2 2 3 5 2 6" xfId="32043"/>
    <cellStyle name="Normal 6 2 2 3 5 3" xfId="2841"/>
    <cellStyle name="Normal 6 2 2 3 5 3 2" xfId="6636"/>
    <cellStyle name="Normal 6 2 2 3 5 3 2 2" xfId="14159"/>
    <cellStyle name="Normal 6 2 2 3 5 3 2 2 2" xfId="29203"/>
    <cellStyle name="Normal 6 2 2 3 5 3 2 2 3" xfId="44246"/>
    <cellStyle name="Normal 6 2 2 3 5 3 2 3" xfId="21682"/>
    <cellStyle name="Normal 6 2 2 3 5 3 2 4" xfId="36725"/>
    <cellStyle name="Normal 6 2 2 3 5 3 3" xfId="10410"/>
    <cellStyle name="Normal 6 2 2 3 5 3 3 2" xfId="25454"/>
    <cellStyle name="Normal 6 2 2 3 5 3 3 3" xfId="40497"/>
    <cellStyle name="Normal 6 2 2 3 5 3 4" xfId="17933"/>
    <cellStyle name="Normal 6 2 2 3 5 3 5" xfId="32976"/>
    <cellStyle name="Normal 6 2 2 3 5 4" xfId="4771"/>
    <cellStyle name="Normal 6 2 2 3 5 4 2" xfId="12294"/>
    <cellStyle name="Normal 6 2 2 3 5 4 2 2" xfId="27338"/>
    <cellStyle name="Normal 6 2 2 3 5 4 2 3" xfId="42381"/>
    <cellStyle name="Normal 6 2 2 3 5 4 3" xfId="19817"/>
    <cellStyle name="Normal 6 2 2 3 5 4 4" xfId="34860"/>
    <cellStyle name="Normal 6 2 2 3 5 5" xfId="8545"/>
    <cellStyle name="Normal 6 2 2 3 5 5 2" xfId="23589"/>
    <cellStyle name="Normal 6 2 2 3 5 5 3" xfId="38632"/>
    <cellStyle name="Normal 6 2 2 3 5 6" xfId="16068"/>
    <cellStyle name="Normal 6 2 2 3 5 7" xfId="31111"/>
    <cellStyle name="Normal 6 2 2 3 6" xfId="1450"/>
    <cellStyle name="Normal 6 2 2 3 6 2" xfId="3321"/>
    <cellStyle name="Normal 6 2 2 3 6 2 2" xfId="7116"/>
    <cellStyle name="Normal 6 2 2 3 6 2 2 2" xfId="14639"/>
    <cellStyle name="Normal 6 2 2 3 6 2 2 2 2" xfId="29683"/>
    <cellStyle name="Normal 6 2 2 3 6 2 2 2 3" xfId="44726"/>
    <cellStyle name="Normal 6 2 2 3 6 2 2 3" xfId="22162"/>
    <cellStyle name="Normal 6 2 2 3 6 2 2 4" xfId="37205"/>
    <cellStyle name="Normal 6 2 2 3 6 2 3" xfId="10890"/>
    <cellStyle name="Normal 6 2 2 3 6 2 3 2" xfId="25934"/>
    <cellStyle name="Normal 6 2 2 3 6 2 3 3" xfId="40977"/>
    <cellStyle name="Normal 6 2 2 3 6 2 4" xfId="18413"/>
    <cellStyle name="Normal 6 2 2 3 6 2 5" xfId="33456"/>
    <cellStyle name="Normal 6 2 2 3 6 3" xfId="5251"/>
    <cellStyle name="Normal 6 2 2 3 6 3 2" xfId="12774"/>
    <cellStyle name="Normal 6 2 2 3 6 3 2 2" xfId="27818"/>
    <cellStyle name="Normal 6 2 2 3 6 3 2 3" xfId="42861"/>
    <cellStyle name="Normal 6 2 2 3 6 3 3" xfId="20297"/>
    <cellStyle name="Normal 6 2 2 3 6 3 4" xfId="35340"/>
    <cellStyle name="Normal 6 2 2 3 6 4" xfId="9025"/>
    <cellStyle name="Normal 6 2 2 3 6 4 2" xfId="24069"/>
    <cellStyle name="Normal 6 2 2 3 6 4 3" xfId="39112"/>
    <cellStyle name="Normal 6 2 2 3 6 5" xfId="16548"/>
    <cellStyle name="Normal 6 2 2 3 6 6" xfId="31591"/>
    <cellStyle name="Normal 6 2 2 3 7" xfId="2388"/>
    <cellStyle name="Normal 6 2 2 3 7 2" xfId="6184"/>
    <cellStyle name="Normal 6 2 2 3 7 2 2" xfId="13707"/>
    <cellStyle name="Normal 6 2 2 3 7 2 2 2" xfId="28751"/>
    <cellStyle name="Normal 6 2 2 3 7 2 2 3" xfId="43794"/>
    <cellStyle name="Normal 6 2 2 3 7 2 3" xfId="21230"/>
    <cellStyle name="Normal 6 2 2 3 7 2 4" xfId="36273"/>
    <cellStyle name="Normal 6 2 2 3 7 3" xfId="9958"/>
    <cellStyle name="Normal 6 2 2 3 7 3 2" xfId="25002"/>
    <cellStyle name="Normal 6 2 2 3 7 3 3" xfId="40045"/>
    <cellStyle name="Normal 6 2 2 3 7 4" xfId="17481"/>
    <cellStyle name="Normal 6 2 2 3 7 5" xfId="32524"/>
    <cellStyle name="Normal 6 2 2 3 8" xfId="4316"/>
    <cellStyle name="Normal 6 2 2 3 8 2" xfId="11840"/>
    <cellStyle name="Normal 6 2 2 3 8 2 2" xfId="26884"/>
    <cellStyle name="Normal 6 2 2 3 8 2 3" xfId="41927"/>
    <cellStyle name="Normal 6 2 2 3 8 3" xfId="19363"/>
    <cellStyle name="Normal 6 2 2 3 8 4" xfId="34406"/>
    <cellStyle name="Normal 6 2 2 3 9" xfId="8079"/>
    <cellStyle name="Normal 6 2 2 3 9 2" xfId="23123"/>
    <cellStyle name="Normal 6 2 2 3 9 3" xfId="38166"/>
    <cellStyle name="Normal 6 2 2 4" xfId="430"/>
    <cellStyle name="Normal 6 2 2 4 2" xfId="431"/>
    <cellStyle name="Normal 6 2 2 4 2 2" xfId="950"/>
    <cellStyle name="Normal 6 2 2 4 2 2 2" xfId="1909"/>
    <cellStyle name="Normal 6 2 2 4 2 2 2 2" xfId="3780"/>
    <cellStyle name="Normal 6 2 2 4 2 2 2 2 2" xfId="7575"/>
    <cellStyle name="Normal 6 2 2 4 2 2 2 2 2 2" xfId="15098"/>
    <cellStyle name="Normal 6 2 2 4 2 2 2 2 2 2 2" xfId="30142"/>
    <cellStyle name="Normal 6 2 2 4 2 2 2 2 2 2 3" xfId="45185"/>
    <cellStyle name="Normal 6 2 2 4 2 2 2 2 2 3" xfId="22621"/>
    <cellStyle name="Normal 6 2 2 4 2 2 2 2 2 4" xfId="37664"/>
    <cellStyle name="Normal 6 2 2 4 2 2 2 2 3" xfId="11349"/>
    <cellStyle name="Normal 6 2 2 4 2 2 2 2 3 2" xfId="26393"/>
    <cellStyle name="Normal 6 2 2 4 2 2 2 2 3 3" xfId="41436"/>
    <cellStyle name="Normal 6 2 2 4 2 2 2 2 4" xfId="18872"/>
    <cellStyle name="Normal 6 2 2 4 2 2 2 2 5" xfId="33915"/>
    <cellStyle name="Normal 6 2 2 4 2 2 2 3" xfId="5710"/>
    <cellStyle name="Normal 6 2 2 4 2 2 2 3 2" xfId="13233"/>
    <cellStyle name="Normal 6 2 2 4 2 2 2 3 2 2" xfId="28277"/>
    <cellStyle name="Normal 6 2 2 4 2 2 2 3 2 3" xfId="43320"/>
    <cellStyle name="Normal 6 2 2 4 2 2 2 3 3" xfId="20756"/>
    <cellStyle name="Normal 6 2 2 4 2 2 2 3 4" xfId="35799"/>
    <cellStyle name="Normal 6 2 2 4 2 2 2 4" xfId="9484"/>
    <cellStyle name="Normal 6 2 2 4 2 2 2 4 2" xfId="24528"/>
    <cellStyle name="Normal 6 2 2 4 2 2 2 4 3" xfId="39571"/>
    <cellStyle name="Normal 6 2 2 4 2 2 2 5" xfId="17007"/>
    <cellStyle name="Normal 6 2 2 4 2 2 2 6" xfId="32050"/>
    <cellStyle name="Normal 6 2 2 4 2 2 3" xfId="2848"/>
    <cellStyle name="Normal 6 2 2 4 2 2 3 2" xfId="6643"/>
    <cellStyle name="Normal 6 2 2 4 2 2 3 2 2" xfId="14166"/>
    <cellStyle name="Normal 6 2 2 4 2 2 3 2 2 2" xfId="29210"/>
    <cellStyle name="Normal 6 2 2 4 2 2 3 2 2 3" xfId="44253"/>
    <cellStyle name="Normal 6 2 2 4 2 2 3 2 3" xfId="21689"/>
    <cellStyle name="Normal 6 2 2 4 2 2 3 2 4" xfId="36732"/>
    <cellStyle name="Normal 6 2 2 4 2 2 3 3" xfId="10417"/>
    <cellStyle name="Normal 6 2 2 4 2 2 3 3 2" xfId="25461"/>
    <cellStyle name="Normal 6 2 2 4 2 2 3 3 3" xfId="40504"/>
    <cellStyle name="Normal 6 2 2 4 2 2 3 4" xfId="17940"/>
    <cellStyle name="Normal 6 2 2 4 2 2 3 5" xfId="32983"/>
    <cellStyle name="Normal 6 2 2 4 2 2 4" xfId="4778"/>
    <cellStyle name="Normal 6 2 2 4 2 2 4 2" xfId="12301"/>
    <cellStyle name="Normal 6 2 2 4 2 2 4 2 2" xfId="27345"/>
    <cellStyle name="Normal 6 2 2 4 2 2 4 2 3" xfId="42388"/>
    <cellStyle name="Normal 6 2 2 4 2 2 4 3" xfId="19824"/>
    <cellStyle name="Normal 6 2 2 4 2 2 4 4" xfId="34867"/>
    <cellStyle name="Normal 6 2 2 4 2 2 5" xfId="8552"/>
    <cellStyle name="Normal 6 2 2 4 2 2 5 2" xfId="23596"/>
    <cellStyle name="Normal 6 2 2 4 2 2 5 3" xfId="38639"/>
    <cellStyle name="Normal 6 2 2 4 2 2 6" xfId="16075"/>
    <cellStyle name="Normal 6 2 2 4 2 2 7" xfId="31118"/>
    <cellStyle name="Normal 6 2 2 4 2 3" xfId="1457"/>
    <cellStyle name="Normal 6 2 2 4 2 3 2" xfId="3328"/>
    <cellStyle name="Normal 6 2 2 4 2 3 2 2" xfId="7123"/>
    <cellStyle name="Normal 6 2 2 4 2 3 2 2 2" xfId="14646"/>
    <cellStyle name="Normal 6 2 2 4 2 3 2 2 2 2" xfId="29690"/>
    <cellStyle name="Normal 6 2 2 4 2 3 2 2 2 3" xfId="44733"/>
    <cellStyle name="Normal 6 2 2 4 2 3 2 2 3" xfId="22169"/>
    <cellStyle name="Normal 6 2 2 4 2 3 2 2 4" xfId="37212"/>
    <cellStyle name="Normal 6 2 2 4 2 3 2 3" xfId="10897"/>
    <cellStyle name="Normal 6 2 2 4 2 3 2 3 2" xfId="25941"/>
    <cellStyle name="Normal 6 2 2 4 2 3 2 3 3" xfId="40984"/>
    <cellStyle name="Normal 6 2 2 4 2 3 2 4" xfId="18420"/>
    <cellStyle name="Normal 6 2 2 4 2 3 2 5" xfId="33463"/>
    <cellStyle name="Normal 6 2 2 4 2 3 3" xfId="5258"/>
    <cellStyle name="Normal 6 2 2 4 2 3 3 2" xfId="12781"/>
    <cellStyle name="Normal 6 2 2 4 2 3 3 2 2" xfId="27825"/>
    <cellStyle name="Normal 6 2 2 4 2 3 3 2 3" xfId="42868"/>
    <cellStyle name="Normal 6 2 2 4 2 3 3 3" xfId="20304"/>
    <cellStyle name="Normal 6 2 2 4 2 3 3 4" xfId="35347"/>
    <cellStyle name="Normal 6 2 2 4 2 3 4" xfId="9032"/>
    <cellStyle name="Normal 6 2 2 4 2 3 4 2" xfId="24076"/>
    <cellStyle name="Normal 6 2 2 4 2 3 4 3" xfId="39119"/>
    <cellStyle name="Normal 6 2 2 4 2 3 5" xfId="16555"/>
    <cellStyle name="Normal 6 2 2 4 2 3 6" xfId="31598"/>
    <cellStyle name="Normal 6 2 2 4 2 4" xfId="2395"/>
    <cellStyle name="Normal 6 2 2 4 2 4 2" xfId="6191"/>
    <cellStyle name="Normal 6 2 2 4 2 4 2 2" xfId="13714"/>
    <cellStyle name="Normal 6 2 2 4 2 4 2 2 2" xfId="28758"/>
    <cellStyle name="Normal 6 2 2 4 2 4 2 2 3" xfId="43801"/>
    <cellStyle name="Normal 6 2 2 4 2 4 2 3" xfId="21237"/>
    <cellStyle name="Normal 6 2 2 4 2 4 2 4" xfId="36280"/>
    <cellStyle name="Normal 6 2 2 4 2 4 3" xfId="9965"/>
    <cellStyle name="Normal 6 2 2 4 2 4 3 2" xfId="25009"/>
    <cellStyle name="Normal 6 2 2 4 2 4 3 3" xfId="40052"/>
    <cellStyle name="Normal 6 2 2 4 2 4 4" xfId="17488"/>
    <cellStyle name="Normal 6 2 2 4 2 4 5" xfId="32531"/>
    <cellStyle name="Normal 6 2 2 4 2 5" xfId="4323"/>
    <cellStyle name="Normal 6 2 2 4 2 5 2" xfId="11847"/>
    <cellStyle name="Normal 6 2 2 4 2 5 2 2" xfId="26891"/>
    <cellStyle name="Normal 6 2 2 4 2 5 2 3" xfId="41934"/>
    <cellStyle name="Normal 6 2 2 4 2 5 3" xfId="19370"/>
    <cellStyle name="Normal 6 2 2 4 2 5 4" xfId="34413"/>
    <cellStyle name="Normal 6 2 2 4 2 6" xfId="8086"/>
    <cellStyle name="Normal 6 2 2 4 2 6 2" xfId="23130"/>
    <cellStyle name="Normal 6 2 2 4 2 6 3" xfId="38173"/>
    <cellStyle name="Normal 6 2 2 4 2 7" xfId="15609"/>
    <cellStyle name="Normal 6 2 2 4 2 8" xfId="30652"/>
    <cellStyle name="Normal 6 2 2 4 3" xfId="949"/>
    <cellStyle name="Normal 6 2 2 4 3 2" xfId="1908"/>
    <cellStyle name="Normal 6 2 2 4 3 2 2" xfId="3779"/>
    <cellStyle name="Normal 6 2 2 4 3 2 2 2" xfId="7574"/>
    <cellStyle name="Normal 6 2 2 4 3 2 2 2 2" xfId="15097"/>
    <cellStyle name="Normal 6 2 2 4 3 2 2 2 2 2" xfId="30141"/>
    <cellStyle name="Normal 6 2 2 4 3 2 2 2 2 3" xfId="45184"/>
    <cellStyle name="Normal 6 2 2 4 3 2 2 2 3" xfId="22620"/>
    <cellStyle name="Normal 6 2 2 4 3 2 2 2 4" xfId="37663"/>
    <cellStyle name="Normal 6 2 2 4 3 2 2 3" xfId="11348"/>
    <cellStyle name="Normal 6 2 2 4 3 2 2 3 2" xfId="26392"/>
    <cellStyle name="Normal 6 2 2 4 3 2 2 3 3" xfId="41435"/>
    <cellStyle name="Normal 6 2 2 4 3 2 2 4" xfId="18871"/>
    <cellStyle name="Normal 6 2 2 4 3 2 2 5" xfId="33914"/>
    <cellStyle name="Normal 6 2 2 4 3 2 3" xfId="5709"/>
    <cellStyle name="Normal 6 2 2 4 3 2 3 2" xfId="13232"/>
    <cellStyle name="Normal 6 2 2 4 3 2 3 2 2" xfId="28276"/>
    <cellStyle name="Normal 6 2 2 4 3 2 3 2 3" xfId="43319"/>
    <cellStyle name="Normal 6 2 2 4 3 2 3 3" xfId="20755"/>
    <cellStyle name="Normal 6 2 2 4 3 2 3 4" xfId="35798"/>
    <cellStyle name="Normal 6 2 2 4 3 2 4" xfId="9483"/>
    <cellStyle name="Normal 6 2 2 4 3 2 4 2" xfId="24527"/>
    <cellStyle name="Normal 6 2 2 4 3 2 4 3" xfId="39570"/>
    <cellStyle name="Normal 6 2 2 4 3 2 5" xfId="17006"/>
    <cellStyle name="Normal 6 2 2 4 3 2 6" xfId="32049"/>
    <cellStyle name="Normal 6 2 2 4 3 3" xfId="2847"/>
    <cellStyle name="Normal 6 2 2 4 3 3 2" xfId="6642"/>
    <cellStyle name="Normal 6 2 2 4 3 3 2 2" xfId="14165"/>
    <cellStyle name="Normal 6 2 2 4 3 3 2 2 2" xfId="29209"/>
    <cellStyle name="Normal 6 2 2 4 3 3 2 2 3" xfId="44252"/>
    <cellStyle name="Normal 6 2 2 4 3 3 2 3" xfId="21688"/>
    <cellStyle name="Normal 6 2 2 4 3 3 2 4" xfId="36731"/>
    <cellStyle name="Normal 6 2 2 4 3 3 3" xfId="10416"/>
    <cellStyle name="Normal 6 2 2 4 3 3 3 2" xfId="25460"/>
    <cellStyle name="Normal 6 2 2 4 3 3 3 3" xfId="40503"/>
    <cellStyle name="Normal 6 2 2 4 3 3 4" xfId="17939"/>
    <cellStyle name="Normal 6 2 2 4 3 3 5" xfId="32982"/>
    <cellStyle name="Normal 6 2 2 4 3 4" xfId="4777"/>
    <cellStyle name="Normal 6 2 2 4 3 4 2" xfId="12300"/>
    <cellStyle name="Normal 6 2 2 4 3 4 2 2" xfId="27344"/>
    <cellStyle name="Normal 6 2 2 4 3 4 2 3" xfId="42387"/>
    <cellStyle name="Normal 6 2 2 4 3 4 3" xfId="19823"/>
    <cellStyle name="Normal 6 2 2 4 3 4 4" xfId="34866"/>
    <cellStyle name="Normal 6 2 2 4 3 5" xfId="8551"/>
    <cellStyle name="Normal 6 2 2 4 3 5 2" xfId="23595"/>
    <cellStyle name="Normal 6 2 2 4 3 5 3" xfId="38638"/>
    <cellStyle name="Normal 6 2 2 4 3 6" xfId="16074"/>
    <cellStyle name="Normal 6 2 2 4 3 7" xfId="31117"/>
    <cellStyle name="Normal 6 2 2 4 4" xfId="1456"/>
    <cellStyle name="Normal 6 2 2 4 4 2" xfId="3327"/>
    <cellStyle name="Normal 6 2 2 4 4 2 2" xfId="7122"/>
    <cellStyle name="Normal 6 2 2 4 4 2 2 2" xfId="14645"/>
    <cellStyle name="Normal 6 2 2 4 4 2 2 2 2" xfId="29689"/>
    <cellStyle name="Normal 6 2 2 4 4 2 2 2 3" xfId="44732"/>
    <cellStyle name="Normal 6 2 2 4 4 2 2 3" xfId="22168"/>
    <cellStyle name="Normal 6 2 2 4 4 2 2 4" xfId="37211"/>
    <cellStyle name="Normal 6 2 2 4 4 2 3" xfId="10896"/>
    <cellStyle name="Normal 6 2 2 4 4 2 3 2" xfId="25940"/>
    <cellStyle name="Normal 6 2 2 4 4 2 3 3" xfId="40983"/>
    <cellStyle name="Normal 6 2 2 4 4 2 4" xfId="18419"/>
    <cellStyle name="Normal 6 2 2 4 4 2 5" xfId="33462"/>
    <cellStyle name="Normal 6 2 2 4 4 3" xfId="5257"/>
    <cellStyle name="Normal 6 2 2 4 4 3 2" xfId="12780"/>
    <cellStyle name="Normal 6 2 2 4 4 3 2 2" xfId="27824"/>
    <cellStyle name="Normal 6 2 2 4 4 3 2 3" xfId="42867"/>
    <cellStyle name="Normal 6 2 2 4 4 3 3" xfId="20303"/>
    <cellStyle name="Normal 6 2 2 4 4 3 4" xfId="35346"/>
    <cellStyle name="Normal 6 2 2 4 4 4" xfId="9031"/>
    <cellStyle name="Normal 6 2 2 4 4 4 2" xfId="24075"/>
    <cellStyle name="Normal 6 2 2 4 4 4 3" xfId="39118"/>
    <cellStyle name="Normal 6 2 2 4 4 5" xfId="16554"/>
    <cellStyle name="Normal 6 2 2 4 4 6" xfId="31597"/>
    <cellStyle name="Normal 6 2 2 4 5" xfId="2394"/>
    <cellStyle name="Normal 6 2 2 4 5 2" xfId="6190"/>
    <cellStyle name="Normal 6 2 2 4 5 2 2" xfId="13713"/>
    <cellStyle name="Normal 6 2 2 4 5 2 2 2" xfId="28757"/>
    <cellStyle name="Normal 6 2 2 4 5 2 2 3" xfId="43800"/>
    <cellStyle name="Normal 6 2 2 4 5 2 3" xfId="21236"/>
    <cellStyle name="Normal 6 2 2 4 5 2 4" xfId="36279"/>
    <cellStyle name="Normal 6 2 2 4 5 3" xfId="9964"/>
    <cellStyle name="Normal 6 2 2 4 5 3 2" xfId="25008"/>
    <cellStyle name="Normal 6 2 2 4 5 3 3" xfId="40051"/>
    <cellStyle name="Normal 6 2 2 4 5 4" xfId="17487"/>
    <cellStyle name="Normal 6 2 2 4 5 5" xfId="32530"/>
    <cellStyle name="Normal 6 2 2 4 6" xfId="4322"/>
    <cellStyle name="Normal 6 2 2 4 6 2" xfId="11846"/>
    <cellStyle name="Normal 6 2 2 4 6 2 2" xfId="26890"/>
    <cellStyle name="Normal 6 2 2 4 6 2 3" xfId="41933"/>
    <cellStyle name="Normal 6 2 2 4 6 3" xfId="19369"/>
    <cellStyle name="Normal 6 2 2 4 6 4" xfId="34412"/>
    <cellStyle name="Normal 6 2 2 4 7" xfId="8085"/>
    <cellStyle name="Normal 6 2 2 4 7 2" xfId="23129"/>
    <cellStyle name="Normal 6 2 2 4 7 3" xfId="38172"/>
    <cellStyle name="Normal 6 2 2 4 8" xfId="15608"/>
    <cellStyle name="Normal 6 2 2 4 9" xfId="30651"/>
    <cellStyle name="Normal 6 2 2 5" xfId="432"/>
    <cellStyle name="Normal 6 2 2 5 2" xfId="433"/>
    <cellStyle name="Normal 6 2 2 5 2 2" xfId="952"/>
    <cellStyle name="Normal 6 2 2 5 2 2 2" xfId="1911"/>
    <cellStyle name="Normal 6 2 2 5 2 2 2 2" xfId="3782"/>
    <cellStyle name="Normal 6 2 2 5 2 2 2 2 2" xfId="7577"/>
    <cellStyle name="Normal 6 2 2 5 2 2 2 2 2 2" xfId="15100"/>
    <cellStyle name="Normal 6 2 2 5 2 2 2 2 2 2 2" xfId="30144"/>
    <cellStyle name="Normal 6 2 2 5 2 2 2 2 2 2 3" xfId="45187"/>
    <cellStyle name="Normal 6 2 2 5 2 2 2 2 2 3" xfId="22623"/>
    <cellStyle name="Normal 6 2 2 5 2 2 2 2 2 4" xfId="37666"/>
    <cellStyle name="Normal 6 2 2 5 2 2 2 2 3" xfId="11351"/>
    <cellStyle name="Normal 6 2 2 5 2 2 2 2 3 2" xfId="26395"/>
    <cellStyle name="Normal 6 2 2 5 2 2 2 2 3 3" xfId="41438"/>
    <cellStyle name="Normal 6 2 2 5 2 2 2 2 4" xfId="18874"/>
    <cellStyle name="Normal 6 2 2 5 2 2 2 2 5" xfId="33917"/>
    <cellStyle name="Normal 6 2 2 5 2 2 2 3" xfId="5712"/>
    <cellStyle name="Normal 6 2 2 5 2 2 2 3 2" xfId="13235"/>
    <cellStyle name="Normal 6 2 2 5 2 2 2 3 2 2" xfId="28279"/>
    <cellStyle name="Normal 6 2 2 5 2 2 2 3 2 3" xfId="43322"/>
    <cellStyle name="Normal 6 2 2 5 2 2 2 3 3" xfId="20758"/>
    <cellStyle name="Normal 6 2 2 5 2 2 2 3 4" xfId="35801"/>
    <cellStyle name="Normal 6 2 2 5 2 2 2 4" xfId="9486"/>
    <cellStyle name="Normal 6 2 2 5 2 2 2 4 2" xfId="24530"/>
    <cellStyle name="Normal 6 2 2 5 2 2 2 4 3" xfId="39573"/>
    <cellStyle name="Normal 6 2 2 5 2 2 2 5" xfId="17009"/>
    <cellStyle name="Normal 6 2 2 5 2 2 2 6" xfId="32052"/>
    <cellStyle name="Normal 6 2 2 5 2 2 3" xfId="2850"/>
    <cellStyle name="Normal 6 2 2 5 2 2 3 2" xfId="6645"/>
    <cellStyle name="Normal 6 2 2 5 2 2 3 2 2" xfId="14168"/>
    <cellStyle name="Normal 6 2 2 5 2 2 3 2 2 2" xfId="29212"/>
    <cellStyle name="Normal 6 2 2 5 2 2 3 2 2 3" xfId="44255"/>
    <cellStyle name="Normal 6 2 2 5 2 2 3 2 3" xfId="21691"/>
    <cellStyle name="Normal 6 2 2 5 2 2 3 2 4" xfId="36734"/>
    <cellStyle name="Normal 6 2 2 5 2 2 3 3" xfId="10419"/>
    <cellStyle name="Normal 6 2 2 5 2 2 3 3 2" xfId="25463"/>
    <cellStyle name="Normal 6 2 2 5 2 2 3 3 3" xfId="40506"/>
    <cellStyle name="Normal 6 2 2 5 2 2 3 4" xfId="17942"/>
    <cellStyle name="Normal 6 2 2 5 2 2 3 5" xfId="32985"/>
    <cellStyle name="Normal 6 2 2 5 2 2 4" xfId="4780"/>
    <cellStyle name="Normal 6 2 2 5 2 2 4 2" xfId="12303"/>
    <cellStyle name="Normal 6 2 2 5 2 2 4 2 2" xfId="27347"/>
    <cellStyle name="Normal 6 2 2 5 2 2 4 2 3" xfId="42390"/>
    <cellStyle name="Normal 6 2 2 5 2 2 4 3" xfId="19826"/>
    <cellStyle name="Normal 6 2 2 5 2 2 4 4" xfId="34869"/>
    <cellStyle name="Normal 6 2 2 5 2 2 5" xfId="8554"/>
    <cellStyle name="Normal 6 2 2 5 2 2 5 2" xfId="23598"/>
    <cellStyle name="Normal 6 2 2 5 2 2 5 3" xfId="38641"/>
    <cellStyle name="Normal 6 2 2 5 2 2 6" xfId="16077"/>
    <cellStyle name="Normal 6 2 2 5 2 2 7" xfId="31120"/>
    <cellStyle name="Normal 6 2 2 5 2 3" xfId="1459"/>
    <cellStyle name="Normal 6 2 2 5 2 3 2" xfId="3330"/>
    <cellStyle name="Normal 6 2 2 5 2 3 2 2" xfId="7125"/>
    <cellStyle name="Normal 6 2 2 5 2 3 2 2 2" xfId="14648"/>
    <cellStyle name="Normal 6 2 2 5 2 3 2 2 2 2" xfId="29692"/>
    <cellStyle name="Normal 6 2 2 5 2 3 2 2 2 3" xfId="44735"/>
    <cellStyle name="Normal 6 2 2 5 2 3 2 2 3" xfId="22171"/>
    <cellStyle name="Normal 6 2 2 5 2 3 2 2 4" xfId="37214"/>
    <cellStyle name="Normal 6 2 2 5 2 3 2 3" xfId="10899"/>
    <cellStyle name="Normal 6 2 2 5 2 3 2 3 2" xfId="25943"/>
    <cellStyle name="Normal 6 2 2 5 2 3 2 3 3" xfId="40986"/>
    <cellStyle name="Normal 6 2 2 5 2 3 2 4" xfId="18422"/>
    <cellStyle name="Normal 6 2 2 5 2 3 2 5" xfId="33465"/>
    <cellStyle name="Normal 6 2 2 5 2 3 3" xfId="5260"/>
    <cellStyle name="Normal 6 2 2 5 2 3 3 2" xfId="12783"/>
    <cellStyle name="Normal 6 2 2 5 2 3 3 2 2" xfId="27827"/>
    <cellStyle name="Normal 6 2 2 5 2 3 3 2 3" xfId="42870"/>
    <cellStyle name="Normal 6 2 2 5 2 3 3 3" xfId="20306"/>
    <cellStyle name="Normal 6 2 2 5 2 3 3 4" xfId="35349"/>
    <cellStyle name="Normal 6 2 2 5 2 3 4" xfId="9034"/>
    <cellStyle name="Normal 6 2 2 5 2 3 4 2" xfId="24078"/>
    <cellStyle name="Normal 6 2 2 5 2 3 4 3" xfId="39121"/>
    <cellStyle name="Normal 6 2 2 5 2 3 5" xfId="16557"/>
    <cellStyle name="Normal 6 2 2 5 2 3 6" xfId="31600"/>
    <cellStyle name="Normal 6 2 2 5 2 4" xfId="2397"/>
    <cellStyle name="Normal 6 2 2 5 2 4 2" xfId="6193"/>
    <cellStyle name="Normal 6 2 2 5 2 4 2 2" xfId="13716"/>
    <cellStyle name="Normal 6 2 2 5 2 4 2 2 2" xfId="28760"/>
    <cellStyle name="Normal 6 2 2 5 2 4 2 2 3" xfId="43803"/>
    <cellStyle name="Normal 6 2 2 5 2 4 2 3" xfId="21239"/>
    <cellStyle name="Normal 6 2 2 5 2 4 2 4" xfId="36282"/>
    <cellStyle name="Normal 6 2 2 5 2 4 3" xfId="9967"/>
    <cellStyle name="Normal 6 2 2 5 2 4 3 2" xfId="25011"/>
    <cellStyle name="Normal 6 2 2 5 2 4 3 3" xfId="40054"/>
    <cellStyle name="Normal 6 2 2 5 2 4 4" xfId="17490"/>
    <cellStyle name="Normal 6 2 2 5 2 4 5" xfId="32533"/>
    <cellStyle name="Normal 6 2 2 5 2 5" xfId="4325"/>
    <cellStyle name="Normal 6 2 2 5 2 5 2" xfId="11849"/>
    <cellStyle name="Normal 6 2 2 5 2 5 2 2" xfId="26893"/>
    <cellStyle name="Normal 6 2 2 5 2 5 2 3" xfId="41936"/>
    <cellStyle name="Normal 6 2 2 5 2 5 3" xfId="19372"/>
    <cellStyle name="Normal 6 2 2 5 2 5 4" xfId="34415"/>
    <cellStyle name="Normal 6 2 2 5 2 6" xfId="8088"/>
    <cellStyle name="Normal 6 2 2 5 2 6 2" xfId="23132"/>
    <cellStyle name="Normal 6 2 2 5 2 6 3" xfId="38175"/>
    <cellStyle name="Normal 6 2 2 5 2 7" xfId="15611"/>
    <cellStyle name="Normal 6 2 2 5 2 8" xfId="30654"/>
    <cellStyle name="Normal 6 2 2 5 3" xfId="951"/>
    <cellStyle name="Normal 6 2 2 5 3 2" xfId="1910"/>
    <cellStyle name="Normal 6 2 2 5 3 2 2" xfId="3781"/>
    <cellStyle name="Normal 6 2 2 5 3 2 2 2" xfId="7576"/>
    <cellStyle name="Normal 6 2 2 5 3 2 2 2 2" xfId="15099"/>
    <cellStyle name="Normal 6 2 2 5 3 2 2 2 2 2" xfId="30143"/>
    <cellStyle name="Normal 6 2 2 5 3 2 2 2 2 3" xfId="45186"/>
    <cellStyle name="Normal 6 2 2 5 3 2 2 2 3" xfId="22622"/>
    <cellStyle name="Normal 6 2 2 5 3 2 2 2 4" xfId="37665"/>
    <cellStyle name="Normal 6 2 2 5 3 2 2 3" xfId="11350"/>
    <cellStyle name="Normal 6 2 2 5 3 2 2 3 2" xfId="26394"/>
    <cellStyle name="Normal 6 2 2 5 3 2 2 3 3" xfId="41437"/>
    <cellStyle name="Normal 6 2 2 5 3 2 2 4" xfId="18873"/>
    <cellStyle name="Normal 6 2 2 5 3 2 2 5" xfId="33916"/>
    <cellStyle name="Normal 6 2 2 5 3 2 3" xfId="5711"/>
    <cellStyle name="Normal 6 2 2 5 3 2 3 2" xfId="13234"/>
    <cellStyle name="Normal 6 2 2 5 3 2 3 2 2" xfId="28278"/>
    <cellStyle name="Normal 6 2 2 5 3 2 3 2 3" xfId="43321"/>
    <cellStyle name="Normal 6 2 2 5 3 2 3 3" xfId="20757"/>
    <cellStyle name="Normal 6 2 2 5 3 2 3 4" xfId="35800"/>
    <cellStyle name="Normal 6 2 2 5 3 2 4" xfId="9485"/>
    <cellStyle name="Normal 6 2 2 5 3 2 4 2" xfId="24529"/>
    <cellStyle name="Normal 6 2 2 5 3 2 4 3" xfId="39572"/>
    <cellStyle name="Normal 6 2 2 5 3 2 5" xfId="17008"/>
    <cellStyle name="Normal 6 2 2 5 3 2 6" xfId="32051"/>
    <cellStyle name="Normal 6 2 2 5 3 3" xfId="2849"/>
    <cellStyle name="Normal 6 2 2 5 3 3 2" xfId="6644"/>
    <cellStyle name="Normal 6 2 2 5 3 3 2 2" xfId="14167"/>
    <cellStyle name="Normal 6 2 2 5 3 3 2 2 2" xfId="29211"/>
    <cellStyle name="Normal 6 2 2 5 3 3 2 2 3" xfId="44254"/>
    <cellStyle name="Normal 6 2 2 5 3 3 2 3" xfId="21690"/>
    <cellStyle name="Normal 6 2 2 5 3 3 2 4" xfId="36733"/>
    <cellStyle name="Normal 6 2 2 5 3 3 3" xfId="10418"/>
    <cellStyle name="Normal 6 2 2 5 3 3 3 2" xfId="25462"/>
    <cellStyle name="Normal 6 2 2 5 3 3 3 3" xfId="40505"/>
    <cellStyle name="Normal 6 2 2 5 3 3 4" xfId="17941"/>
    <cellStyle name="Normal 6 2 2 5 3 3 5" xfId="32984"/>
    <cellStyle name="Normal 6 2 2 5 3 4" xfId="4779"/>
    <cellStyle name="Normal 6 2 2 5 3 4 2" xfId="12302"/>
    <cellStyle name="Normal 6 2 2 5 3 4 2 2" xfId="27346"/>
    <cellStyle name="Normal 6 2 2 5 3 4 2 3" xfId="42389"/>
    <cellStyle name="Normal 6 2 2 5 3 4 3" xfId="19825"/>
    <cellStyle name="Normal 6 2 2 5 3 4 4" xfId="34868"/>
    <cellStyle name="Normal 6 2 2 5 3 5" xfId="8553"/>
    <cellStyle name="Normal 6 2 2 5 3 5 2" xfId="23597"/>
    <cellStyle name="Normal 6 2 2 5 3 5 3" xfId="38640"/>
    <cellStyle name="Normal 6 2 2 5 3 6" xfId="16076"/>
    <cellStyle name="Normal 6 2 2 5 3 7" xfId="31119"/>
    <cellStyle name="Normal 6 2 2 5 4" xfId="1458"/>
    <cellStyle name="Normal 6 2 2 5 4 2" xfId="3329"/>
    <cellStyle name="Normal 6 2 2 5 4 2 2" xfId="7124"/>
    <cellStyle name="Normal 6 2 2 5 4 2 2 2" xfId="14647"/>
    <cellStyle name="Normal 6 2 2 5 4 2 2 2 2" xfId="29691"/>
    <cellStyle name="Normal 6 2 2 5 4 2 2 2 3" xfId="44734"/>
    <cellStyle name="Normal 6 2 2 5 4 2 2 3" xfId="22170"/>
    <cellStyle name="Normal 6 2 2 5 4 2 2 4" xfId="37213"/>
    <cellStyle name="Normal 6 2 2 5 4 2 3" xfId="10898"/>
    <cellStyle name="Normal 6 2 2 5 4 2 3 2" xfId="25942"/>
    <cellStyle name="Normal 6 2 2 5 4 2 3 3" xfId="40985"/>
    <cellStyle name="Normal 6 2 2 5 4 2 4" xfId="18421"/>
    <cellStyle name="Normal 6 2 2 5 4 2 5" xfId="33464"/>
    <cellStyle name="Normal 6 2 2 5 4 3" xfId="5259"/>
    <cellStyle name="Normal 6 2 2 5 4 3 2" xfId="12782"/>
    <cellStyle name="Normal 6 2 2 5 4 3 2 2" xfId="27826"/>
    <cellStyle name="Normal 6 2 2 5 4 3 2 3" xfId="42869"/>
    <cellStyle name="Normal 6 2 2 5 4 3 3" xfId="20305"/>
    <cellStyle name="Normal 6 2 2 5 4 3 4" xfId="35348"/>
    <cellStyle name="Normal 6 2 2 5 4 4" xfId="9033"/>
    <cellStyle name="Normal 6 2 2 5 4 4 2" xfId="24077"/>
    <cellStyle name="Normal 6 2 2 5 4 4 3" xfId="39120"/>
    <cellStyle name="Normal 6 2 2 5 4 5" xfId="16556"/>
    <cellStyle name="Normal 6 2 2 5 4 6" xfId="31599"/>
    <cellStyle name="Normal 6 2 2 5 5" xfId="2396"/>
    <cellStyle name="Normal 6 2 2 5 5 2" xfId="6192"/>
    <cellStyle name="Normal 6 2 2 5 5 2 2" xfId="13715"/>
    <cellStyle name="Normal 6 2 2 5 5 2 2 2" xfId="28759"/>
    <cellStyle name="Normal 6 2 2 5 5 2 2 3" xfId="43802"/>
    <cellStyle name="Normal 6 2 2 5 5 2 3" xfId="21238"/>
    <cellStyle name="Normal 6 2 2 5 5 2 4" xfId="36281"/>
    <cellStyle name="Normal 6 2 2 5 5 3" xfId="9966"/>
    <cellStyle name="Normal 6 2 2 5 5 3 2" xfId="25010"/>
    <cellStyle name="Normal 6 2 2 5 5 3 3" xfId="40053"/>
    <cellStyle name="Normal 6 2 2 5 5 4" xfId="17489"/>
    <cellStyle name="Normal 6 2 2 5 5 5" xfId="32532"/>
    <cellStyle name="Normal 6 2 2 5 6" xfId="4324"/>
    <cellStyle name="Normal 6 2 2 5 6 2" xfId="11848"/>
    <cellStyle name="Normal 6 2 2 5 6 2 2" xfId="26892"/>
    <cellStyle name="Normal 6 2 2 5 6 2 3" xfId="41935"/>
    <cellStyle name="Normal 6 2 2 5 6 3" xfId="19371"/>
    <cellStyle name="Normal 6 2 2 5 6 4" xfId="34414"/>
    <cellStyle name="Normal 6 2 2 5 7" xfId="8087"/>
    <cellStyle name="Normal 6 2 2 5 7 2" xfId="23131"/>
    <cellStyle name="Normal 6 2 2 5 7 3" xfId="38174"/>
    <cellStyle name="Normal 6 2 2 5 8" xfId="15610"/>
    <cellStyle name="Normal 6 2 2 5 9" xfId="30653"/>
    <cellStyle name="Normal 6 2 2 6" xfId="434"/>
    <cellStyle name="Normal 6 2 2 6 2" xfId="953"/>
    <cellStyle name="Normal 6 2 2 6 2 2" xfId="1912"/>
    <cellStyle name="Normal 6 2 2 6 2 2 2" xfId="3783"/>
    <cellStyle name="Normal 6 2 2 6 2 2 2 2" xfId="7578"/>
    <cellStyle name="Normal 6 2 2 6 2 2 2 2 2" xfId="15101"/>
    <cellStyle name="Normal 6 2 2 6 2 2 2 2 2 2" xfId="30145"/>
    <cellStyle name="Normal 6 2 2 6 2 2 2 2 2 3" xfId="45188"/>
    <cellStyle name="Normal 6 2 2 6 2 2 2 2 3" xfId="22624"/>
    <cellStyle name="Normal 6 2 2 6 2 2 2 2 4" xfId="37667"/>
    <cellStyle name="Normal 6 2 2 6 2 2 2 3" xfId="11352"/>
    <cellStyle name="Normal 6 2 2 6 2 2 2 3 2" xfId="26396"/>
    <cellStyle name="Normal 6 2 2 6 2 2 2 3 3" xfId="41439"/>
    <cellStyle name="Normal 6 2 2 6 2 2 2 4" xfId="18875"/>
    <cellStyle name="Normal 6 2 2 6 2 2 2 5" xfId="33918"/>
    <cellStyle name="Normal 6 2 2 6 2 2 3" xfId="5713"/>
    <cellStyle name="Normal 6 2 2 6 2 2 3 2" xfId="13236"/>
    <cellStyle name="Normal 6 2 2 6 2 2 3 2 2" xfId="28280"/>
    <cellStyle name="Normal 6 2 2 6 2 2 3 2 3" xfId="43323"/>
    <cellStyle name="Normal 6 2 2 6 2 2 3 3" xfId="20759"/>
    <cellStyle name="Normal 6 2 2 6 2 2 3 4" xfId="35802"/>
    <cellStyle name="Normal 6 2 2 6 2 2 4" xfId="9487"/>
    <cellStyle name="Normal 6 2 2 6 2 2 4 2" xfId="24531"/>
    <cellStyle name="Normal 6 2 2 6 2 2 4 3" xfId="39574"/>
    <cellStyle name="Normal 6 2 2 6 2 2 5" xfId="17010"/>
    <cellStyle name="Normal 6 2 2 6 2 2 6" xfId="32053"/>
    <cellStyle name="Normal 6 2 2 6 2 3" xfId="2851"/>
    <cellStyle name="Normal 6 2 2 6 2 3 2" xfId="6646"/>
    <cellStyle name="Normal 6 2 2 6 2 3 2 2" xfId="14169"/>
    <cellStyle name="Normal 6 2 2 6 2 3 2 2 2" xfId="29213"/>
    <cellStyle name="Normal 6 2 2 6 2 3 2 2 3" xfId="44256"/>
    <cellStyle name="Normal 6 2 2 6 2 3 2 3" xfId="21692"/>
    <cellStyle name="Normal 6 2 2 6 2 3 2 4" xfId="36735"/>
    <cellStyle name="Normal 6 2 2 6 2 3 3" xfId="10420"/>
    <cellStyle name="Normal 6 2 2 6 2 3 3 2" xfId="25464"/>
    <cellStyle name="Normal 6 2 2 6 2 3 3 3" xfId="40507"/>
    <cellStyle name="Normal 6 2 2 6 2 3 4" xfId="17943"/>
    <cellStyle name="Normal 6 2 2 6 2 3 5" xfId="32986"/>
    <cellStyle name="Normal 6 2 2 6 2 4" xfId="4781"/>
    <cellStyle name="Normal 6 2 2 6 2 4 2" xfId="12304"/>
    <cellStyle name="Normal 6 2 2 6 2 4 2 2" xfId="27348"/>
    <cellStyle name="Normal 6 2 2 6 2 4 2 3" xfId="42391"/>
    <cellStyle name="Normal 6 2 2 6 2 4 3" xfId="19827"/>
    <cellStyle name="Normal 6 2 2 6 2 4 4" xfId="34870"/>
    <cellStyle name="Normal 6 2 2 6 2 5" xfId="8555"/>
    <cellStyle name="Normal 6 2 2 6 2 5 2" xfId="23599"/>
    <cellStyle name="Normal 6 2 2 6 2 5 3" xfId="38642"/>
    <cellStyle name="Normal 6 2 2 6 2 6" xfId="16078"/>
    <cellStyle name="Normal 6 2 2 6 2 7" xfId="31121"/>
    <cellStyle name="Normal 6 2 2 6 3" xfId="1460"/>
    <cellStyle name="Normal 6 2 2 6 3 2" xfId="3331"/>
    <cellStyle name="Normal 6 2 2 6 3 2 2" xfId="7126"/>
    <cellStyle name="Normal 6 2 2 6 3 2 2 2" xfId="14649"/>
    <cellStyle name="Normal 6 2 2 6 3 2 2 2 2" xfId="29693"/>
    <cellStyle name="Normal 6 2 2 6 3 2 2 2 3" xfId="44736"/>
    <cellStyle name="Normal 6 2 2 6 3 2 2 3" xfId="22172"/>
    <cellStyle name="Normal 6 2 2 6 3 2 2 4" xfId="37215"/>
    <cellStyle name="Normal 6 2 2 6 3 2 3" xfId="10900"/>
    <cellStyle name="Normal 6 2 2 6 3 2 3 2" xfId="25944"/>
    <cellStyle name="Normal 6 2 2 6 3 2 3 3" xfId="40987"/>
    <cellStyle name="Normal 6 2 2 6 3 2 4" xfId="18423"/>
    <cellStyle name="Normal 6 2 2 6 3 2 5" xfId="33466"/>
    <cellStyle name="Normal 6 2 2 6 3 3" xfId="5261"/>
    <cellStyle name="Normal 6 2 2 6 3 3 2" xfId="12784"/>
    <cellStyle name="Normal 6 2 2 6 3 3 2 2" xfId="27828"/>
    <cellStyle name="Normal 6 2 2 6 3 3 2 3" xfId="42871"/>
    <cellStyle name="Normal 6 2 2 6 3 3 3" xfId="20307"/>
    <cellStyle name="Normal 6 2 2 6 3 3 4" xfId="35350"/>
    <cellStyle name="Normal 6 2 2 6 3 4" xfId="9035"/>
    <cellStyle name="Normal 6 2 2 6 3 4 2" xfId="24079"/>
    <cellStyle name="Normal 6 2 2 6 3 4 3" xfId="39122"/>
    <cellStyle name="Normal 6 2 2 6 3 5" xfId="16558"/>
    <cellStyle name="Normal 6 2 2 6 3 6" xfId="31601"/>
    <cellStyle name="Normal 6 2 2 6 4" xfId="2398"/>
    <cellStyle name="Normal 6 2 2 6 4 2" xfId="6194"/>
    <cellStyle name="Normal 6 2 2 6 4 2 2" xfId="13717"/>
    <cellStyle name="Normal 6 2 2 6 4 2 2 2" xfId="28761"/>
    <cellStyle name="Normal 6 2 2 6 4 2 2 3" xfId="43804"/>
    <cellStyle name="Normal 6 2 2 6 4 2 3" xfId="21240"/>
    <cellStyle name="Normal 6 2 2 6 4 2 4" xfId="36283"/>
    <cellStyle name="Normal 6 2 2 6 4 3" xfId="9968"/>
    <cellStyle name="Normal 6 2 2 6 4 3 2" xfId="25012"/>
    <cellStyle name="Normal 6 2 2 6 4 3 3" xfId="40055"/>
    <cellStyle name="Normal 6 2 2 6 4 4" xfId="17491"/>
    <cellStyle name="Normal 6 2 2 6 4 5" xfId="32534"/>
    <cellStyle name="Normal 6 2 2 6 5" xfId="4326"/>
    <cellStyle name="Normal 6 2 2 6 5 2" xfId="11850"/>
    <cellStyle name="Normal 6 2 2 6 5 2 2" xfId="26894"/>
    <cellStyle name="Normal 6 2 2 6 5 2 3" xfId="41937"/>
    <cellStyle name="Normal 6 2 2 6 5 3" xfId="19373"/>
    <cellStyle name="Normal 6 2 2 6 5 4" xfId="34416"/>
    <cellStyle name="Normal 6 2 2 6 6" xfId="8089"/>
    <cellStyle name="Normal 6 2 2 6 6 2" xfId="23133"/>
    <cellStyle name="Normal 6 2 2 6 6 3" xfId="38176"/>
    <cellStyle name="Normal 6 2 2 6 7" xfId="15612"/>
    <cellStyle name="Normal 6 2 2 6 8" xfId="30655"/>
    <cellStyle name="Normal 6 2 2 7" xfId="932"/>
    <cellStyle name="Normal 6 2 2 7 2" xfId="1891"/>
    <cellStyle name="Normal 6 2 2 7 2 2" xfId="3762"/>
    <cellStyle name="Normal 6 2 2 7 2 2 2" xfId="7557"/>
    <cellStyle name="Normal 6 2 2 7 2 2 2 2" xfId="15080"/>
    <cellStyle name="Normal 6 2 2 7 2 2 2 2 2" xfId="30124"/>
    <cellStyle name="Normal 6 2 2 7 2 2 2 2 3" xfId="45167"/>
    <cellStyle name="Normal 6 2 2 7 2 2 2 3" xfId="22603"/>
    <cellStyle name="Normal 6 2 2 7 2 2 2 4" xfId="37646"/>
    <cellStyle name="Normal 6 2 2 7 2 2 3" xfId="11331"/>
    <cellStyle name="Normal 6 2 2 7 2 2 3 2" xfId="26375"/>
    <cellStyle name="Normal 6 2 2 7 2 2 3 3" xfId="41418"/>
    <cellStyle name="Normal 6 2 2 7 2 2 4" xfId="18854"/>
    <cellStyle name="Normal 6 2 2 7 2 2 5" xfId="33897"/>
    <cellStyle name="Normal 6 2 2 7 2 3" xfId="5692"/>
    <cellStyle name="Normal 6 2 2 7 2 3 2" xfId="13215"/>
    <cellStyle name="Normal 6 2 2 7 2 3 2 2" xfId="28259"/>
    <cellStyle name="Normal 6 2 2 7 2 3 2 3" xfId="43302"/>
    <cellStyle name="Normal 6 2 2 7 2 3 3" xfId="20738"/>
    <cellStyle name="Normal 6 2 2 7 2 3 4" xfId="35781"/>
    <cellStyle name="Normal 6 2 2 7 2 4" xfId="9466"/>
    <cellStyle name="Normal 6 2 2 7 2 4 2" xfId="24510"/>
    <cellStyle name="Normal 6 2 2 7 2 4 3" xfId="39553"/>
    <cellStyle name="Normal 6 2 2 7 2 5" xfId="16989"/>
    <cellStyle name="Normal 6 2 2 7 2 6" xfId="32032"/>
    <cellStyle name="Normal 6 2 2 7 3" xfId="2830"/>
    <cellStyle name="Normal 6 2 2 7 3 2" xfId="6625"/>
    <cellStyle name="Normal 6 2 2 7 3 2 2" xfId="14148"/>
    <cellStyle name="Normal 6 2 2 7 3 2 2 2" xfId="29192"/>
    <cellStyle name="Normal 6 2 2 7 3 2 2 3" xfId="44235"/>
    <cellStyle name="Normal 6 2 2 7 3 2 3" xfId="21671"/>
    <cellStyle name="Normal 6 2 2 7 3 2 4" xfId="36714"/>
    <cellStyle name="Normal 6 2 2 7 3 3" xfId="10399"/>
    <cellStyle name="Normal 6 2 2 7 3 3 2" xfId="25443"/>
    <cellStyle name="Normal 6 2 2 7 3 3 3" xfId="40486"/>
    <cellStyle name="Normal 6 2 2 7 3 4" xfId="17922"/>
    <cellStyle name="Normal 6 2 2 7 3 5" xfId="32965"/>
    <cellStyle name="Normal 6 2 2 7 4" xfId="4760"/>
    <cellStyle name="Normal 6 2 2 7 4 2" xfId="12283"/>
    <cellStyle name="Normal 6 2 2 7 4 2 2" xfId="27327"/>
    <cellStyle name="Normal 6 2 2 7 4 2 3" xfId="42370"/>
    <cellStyle name="Normal 6 2 2 7 4 3" xfId="19806"/>
    <cellStyle name="Normal 6 2 2 7 4 4" xfId="34849"/>
    <cellStyle name="Normal 6 2 2 7 5" xfId="8534"/>
    <cellStyle name="Normal 6 2 2 7 5 2" xfId="23578"/>
    <cellStyle name="Normal 6 2 2 7 5 3" xfId="38621"/>
    <cellStyle name="Normal 6 2 2 7 6" xfId="16057"/>
    <cellStyle name="Normal 6 2 2 7 7" xfId="31100"/>
    <cellStyle name="Normal 6 2 2 8" xfId="1439"/>
    <cellStyle name="Normal 6 2 2 8 2" xfId="3310"/>
    <cellStyle name="Normal 6 2 2 8 2 2" xfId="7105"/>
    <cellStyle name="Normal 6 2 2 8 2 2 2" xfId="14628"/>
    <cellStyle name="Normal 6 2 2 8 2 2 2 2" xfId="29672"/>
    <cellStyle name="Normal 6 2 2 8 2 2 2 3" xfId="44715"/>
    <cellStyle name="Normal 6 2 2 8 2 2 3" xfId="22151"/>
    <cellStyle name="Normal 6 2 2 8 2 2 4" xfId="37194"/>
    <cellStyle name="Normal 6 2 2 8 2 3" xfId="10879"/>
    <cellStyle name="Normal 6 2 2 8 2 3 2" xfId="25923"/>
    <cellStyle name="Normal 6 2 2 8 2 3 3" xfId="40966"/>
    <cellStyle name="Normal 6 2 2 8 2 4" xfId="18402"/>
    <cellStyle name="Normal 6 2 2 8 2 5" xfId="33445"/>
    <cellStyle name="Normal 6 2 2 8 3" xfId="5240"/>
    <cellStyle name="Normal 6 2 2 8 3 2" xfId="12763"/>
    <cellStyle name="Normal 6 2 2 8 3 2 2" xfId="27807"/>
    <cellStyle name="Normal 6 2 2 8 3 2 3" xfId="42850"/>
    <cellStyle name="Normal 6 2 2 8 3 3" xfId="20286"/>
    <cellStyle name="Normal 6 2 2 8 3 4" xfId="35329"/>
    <cellStyle name="Normal 6 2 2 8 4" xfId="9014"/>
    <cellStyle name="Normal 6 2 2 8 4 2" xfId="24058"/>
    <cellStyle name="Normal 6 2 2 8 4 3" xfId="39101"/>
    <cellStyle name="Normal 6 2 2 8 5" xfId="16537"/>
    <cellStyle name="Normal 6 2 2 8 6" xfId="31580"/>
    <cellStyle name="Normal 6 2 2 9" xfId="2377"/>
    <cellStyle name="Normal 6 2 2 9 2" xfId="6173"/>
    <cellStyle name="Normal 6 2 2 9 2 2" xfId="13696"/>
    <cellStyle name="Normal 6 2 2 9 2 2 2" xfId="28740"/>
    <cellStyle name="Normal 6 2 2 9 2 2 3" xfId="43783"/>
    <cellStyle name="Normal 6 2 2 9 2 3" xfId="21219"/>
    <cellStyle name="Normal 6 2 2 9 2 4" xfId="36262"/>
    <cellStyle name="Normal 6 2 2 9 3" xfId="9947"/>
    <cellStyle name="Normal 6 2 2 9 3 2" xfId="24991"/>
    <cellStyle name="Normal 6 2 2 9 3 3" xfId="40034"/>
    <cellStyle name="Normal 6 2 2 9 4" xfId="17470"/>
    <cellStyle name="Normal 6 2 2 9 5" xfId="32513"/>
    <cellStyle name="Normal 6 2 3" xfId="435"/>
    <cellStyle name="Normal 6 2 3 10" xfId="8090"/>
    <cellStyle name="Normal 6 2 3 10 2" xfId="23134"/>
    <cellStyle name="Normal 6 2 3 10 3" xfId="38177"/>
    <cellStyle name="Normal 6 2 3 11" xfId="15613"/>
    <cellStyle name="Normal 6 2 3 12" xfId="30656"/>
    <cellStyle name="Normal 6 2 3 2" xfId="436"/>
    <cellStyle name="Normal 6 2 3 2 10" xfId="30657"/>
    <cellStyle name="Normal 6 2 3 2 2" xfId="437"/>
    <cellStyle name="Normal 6 2 3 2 2 2" xfId="438"/>
    <cellStyle name="Normal 6 2 3 2 2 2 2" xfId="957"/>
    <cellStyle name="Normal 6 2 3 2 2 2 2 2" xfId="1916"/>
    <cellStyle name="Normal 6 2 3 2 2 2 2 2 2" xfId="3787"/>
    <cellStyle name="Normal 6 2 3 2 2 2 2 2 2 2" xfId="7582"/>
    <cellStyle name="Normal 6 2 3 2 2 2 2 2 2 2 2" xfId="15105"/>
    <cellStyle name="Normal 6 2 3 2 2 2 2 2 2 2 2 2" xfId="30149"/>
    <cellStyle name="Normal 6 2 3 2 2 2 2 2 2 2 2 3" xfId="45192"/>
    <cellStyle name="Normal 6 2 3 2 2 2 2 2 2 2 3" xfId="22628"/>
    <cellStyle name="Normal 6 2 3 2 2 2 2 2 2 2 4" xfId="37671"/>
    <cellStyle name="Normal 6 2 3 2 2 2 2 2 2 3" xfId="11356"/>
    <cellStyle name="Normal 6 2 3 2 2 2 2 2 2 3 2" xfId="26400"/>
    <cellStyle name="Normal 6 2 3 2 2 2 2 2 2 3 3" xfId="41443"/>
    <cellStyle name="Normal 6 2 3 2 2 2 2 2 2 4" xfId="18879"/>
    <cellStyle name="Normal 6 2 3 2 2 2 2 2 2 5" xfId="33922"/>
    <cellStyle name="Normal 6 2 3 2 2 2 2 2 3" xfId="5717"/>
    <cellStyle name="Normal 6 2 3 2 2 2 2 2 3 2" xfId="13240"/>
    <cellStyle name="Normal 6 2 3 2 2 2 2 2 3 2 2" xfId="28284"/>
    <cellStyle name="Normal 6 2 3 2 2 2 2 2 3 2 3" xfId="43327"/>
    <cellStyle name="Normal 6 2 3 2 2 2 2 2 3 3" xfId="20763"/>
    <cellStyle name="Normal 6 2 3 2 2 2 2 2 3 4" xfId="35806"/>
    <cellStyle name="Normal 6 2 3 2 2 2 2 2 4" xfId="9491"/>
    <cellStyle name="Normal 6 2 3 2 2 2 2 2 4 2" xfId="24535"/>
    <cellStyle name="Normal 6 2 3 2 2 2 2 2 4 3" xfId="39578"/>
    <cellStyle name="Normal 6 2 3 2 2 2 2 2 5" xfId="17014"/>
    <cellStyle name="Normal 6 2 3 2 2 2 2 2 6" xfId="32057"/>
    <cellStyle name="Normal 6 2 3 2 2 2 2 3" xfId="2855"/>
    <cellStyle name="Normal 6 2 3 2 2 2 2 3 2" xfId="6650"/>
    <cellStyle name="Normal 6 2 3 2 2 2 2 3 2 2" xfId="14173"/>
    <cellStyle name="Normal 6 2 3 2 2 2 2 3 2 2 2" xfId="29217"/>
    <cellStyle name="Normal 6 2 3 2 2 2 2 3 2 2 3" xfId="44260"/>
    <cellStyle name="Normal 6 2 3 2 2 2 2 3 2 3" xfId="21696"/>
    <cellStyle name="Normal 6 2 3 2 2 2 2 3 2 4" xfId="36739"/>
    <cellStyle name="Normal 6 2 3 2 2 2 2 3 3" xfId="10424"/>
    <cellStyle name="Normal 6 2 3 2 2 2 2 3 3 2" xfId="25468"/>
    <cellStyle name="Normal 6 2 3 2 2 2 2 3 3 3" xfId="40511"/>
    <cellStyle name="Normal 6 2 3 2 2 2 2 3 4" xfId="17947"/>
    <cellStyle name="Normal 6 2 3 2 2 2 2 3 5" xfId="32990"/>
    <cellStyle name="Normal 6 2 3 2 2 2 2 4" xfId="4785"/>
    <cellStyle name="Normal 6 2 3 2 2 2 2 4 2" xfId="12308"/>
    <cellStyle name="Normal 6 2 3 2 2 2 2 4 2 2" xfId="27352"/>
    <cellStyle name="Normal 6 2 3 2 2 2 2 4 2 3" xfId="42395"/>
    <cellStyle name="Normal 6 2 3 2 2 2 2 4 3" xfId="19831"/>
    <cellStyle name="Normal 6 2 3 2 2 2 2 4 4" xfId="34874"/>
    <cellStyle name="Normal 6 2 3 2 2 2 2 5" xfId="8559"/>
    <cellStyle name="Normal 6 2 3 2 2 2 2 5 2" xfId="23603"/>
    <cellStyle name="Normal 6 2 3 2 2 2 2 5 3" xfId="38646"/>
    <cellStyle name="Normal 6 2 3 2 2 2 2 6" xfId="16082"/>
    <cellStyle name="Normal 6 2 3 2 2 2 2 7" xfId="31125"/>
    <cellStyle name="Normal 6 2 3 2 2 2 3" xfId="1464"/>
    <cellStyle name="Normal 6 2 3 2 2 2 3 2" xfId="3335"/>
    <cellStyle name="Normal 6 2 3 2 2 2 3 2 2" xfId="7130"/>
    <cellStyle name="Normal 6 2 3 2 2 2 3 2 2 2" xfId="14653"/>
    <cellStyle name="Normal 6 2 3 2 2 2 3 2 2 2 2" xfId="29697"/>
    <cellStyle name="Normal 6 2 3 2 2 2 3 2 2 2 3" xfId="44740"/>
    <cellStyle name="Normal 6 2 3 2 2 2 3 2 2 3" xfId="22176"/>
    <cellStyle name="Normal 6 2 3 2 2 2 3 2 2 4" xfId="37219"/>
    <cellStyle name="Normal 6 2 3 2 2 2 3 2 3" xfId="10904"/>
    <cellStyle name="Normal 6 2 3 2 2 2 3 2 3 2" xfId="25948"/>
    <cellStyle name="Normal 6 2 3 2 2 2 3 2 3 3" xfId="40991"/>
    <cellStyle name="Normal 6 2 3 2 2 2 3 2 4" xfId="18427"/>
    <cellStyle name="Normal 6 2 3 2 2 2 3 2 5" xfId="33470"/>
    <cellStyle name="Normal 6 2 3 2 2 2 3 3" xfId="5265"/>
    <cellStyle name="Normal 6 2 3 2 2 2 3 3 2" xfId="12788"/>
    <cellStyle name="Normal 6 2 3 2 2 2 3 3 2 2" xfId="27832"/>
    <cellStyle name="Normal 6 2 3 2 2 2 3 3 2 3" xfId="42875"/>
    <cellStyle name="Normal 6 2 3 2 2 2 3 3 3" xfId="20311"/>
    <cellStyle name="Normal 6 2 3 2 2 2 3 3 4" xfId="35354"/>
    <cellStyle name="Normal 6 2 3 2 2 2 3 4" xfId="9039"/>
    <cellStyle name="Normal 6 2 3 2 2 2 3 4 2" xfId="24083"/>
    <cellStyle name="Normal 6 2 3 2 2 2 3 4 3" xfId="39126"/>
    <cellStyle name="Normal 6 2 3 2 2 2 3 5" xfId="16562"/>
    <cellStyle name="Normal 6 2 3 2 2 2 3 6" xfId="31605"/>
    <cellStyle name="Normal 6 2 3 2 2 2 4" xfId="2402"/>
    <cellStyle name="Normal 6 2 3 2 2 2 4 2" xfId="6198"/>
    <cellStyle name="Normal 6 2 3 2 2 2 4 2 2" xfId="13721"/>
    <cellStyle name="Normal 6 2 3 2 2 2 4 2 2 2" xfId="28765"/>
    <cellStyle name="Normal 6 2 3 2 2 2 4 2 2 3" xfId="43808"/>
    <cellStyle name="Normal 6 2 3 2 2 2 4 2 3" xfId="21244"/>
    <cellStyle name="Normal 6 2 3 2 2 2 4 2 4" xfId="36287"/>
    <cellStyle name="Normal 6 2 3 2 2 2 4 3" xfId="9972"/>
    <cellStyle name="Normal 6 2 3 2 2 2 4 3 2" xfId="25016"/>
    <cellStyle name="Normal 6 2 3 2 2 2 4 3 3" xfId="40059"/>
    <cellStyle name="Normal 6 2 3 2 2 2 4 4" xfId="17495"/>
    <cellStyle name="Normal 6 2 3 2 2 2 4 5" xfId="32538"/>
    <cellStyle name="Normal 6 2 3 2 2 2 5" xfId="4330"/>
    <cellStyle name="Normal 6 2 3 2 2 2 5 2" xfId="11854"/>
    <cellStyle name="Normal 6 2 3 2 2 2 5 2 2" xfId="26898"/>
    <cellStyle name="Normal 6 2 3 2 2 2 5 2 3" xfId="41941"/>
    <cellStyle name="Normal 6 2 3 2 2 2 5 3" xfId="19377"/>
    <cellStyle name="Normal 6 2 3 2 2 2 5 4" xfId="34420"/>
    <cellStyle name="Normal 6 2 3 2 2 2 6" xfId="8093"/>
    <cellStyle name="Normal 6 2 3 2 2 2 6 2" xfId="23137"/>
    <cellStyle name="Normal 6 2 3 2 2 2 6 3" xfId="38180"/>
    <cellStyle name="Normal 6 2 3 2 2 2 7" xfId="15616"/>
    <cellStyle name="Normal 6 2 3 2 2 2 8" xfId="30659"/>
    <cellStyle name="Normal 6 2 3 2 2 3" xfId="956"/>
    <cellStyle name="Normal 6 2 3 2 2 3 2" xfId="1915"/>
    <cellStyle name="Normal 6 2 3 2 2 3 2 2" xfId="3786"/>
    <cellStyle name="Normal 6 2 3 2 2 3 2 2 2" xfId="7581"/>
    <cellStyle name="Normal 6 2 3 2 2 3 2 2 2 2" xfId="15104"/>
    <cellStyle name="Normal 6 2 3 2 2 3 2 2 2 2 2" xfId="30148"/>
    <cellStyle name="Normal 6 2 3 2 2 3 2 2 2 2 3" xfId="45191"/>
    <cellStyle name="Normal 6 2 3 2 2 3 2 2 2 3" xfId="22627"/>
    <cellStyle name="Normal 6 2 3 2 2 3 2 2 2 4" xfId="37670"/>
    <cellStyle name="Normal 6 2 3 2 2 3 2 2 3" xfId="11355"/>
    <cellStyle name="Normal 6 2 3 2 2 3 2 2 3 2" xfId="26399"/>
    <cellStyle name="Normal 6 2 3 2 2 3 2 2 3 3" xfId="41442"/>
    <cellStyle name="Normal 6 2 3 2 2 3 2 2 4" xfId="18878"/>
    <cellStyle name="Normal 6 2 3 2 2 3 2 2 5" xfId="33921"/>
    <cellStyle name="Normal 6 2 3 2 2 3 2 3" xfId="5716"/>
    <cellStyle name="Normal 6 2 3 2 2 3 2 3 2" xfId="13239"/>
    <cellStyle name="Normal 6 2 3 2 2 3 2 3 2 2" xfId="28283"/>
    <cellStyle name="Normal 6 2 3 2 2 3 2 3 2 3" xfId="43326"/>
    <cellStyle name="Normal 6 2 3 2 2 3 2 3 3" xfId="20762"/>
    <cellStyle name="Normal 6 2 3 2 2 3 2 3 4" xfId="35805"/>
    <cellStyle name="Normal 6 2 3 2 2 3 2 4" xfId="9490"/>
    <cellStyle name="Normal 6 2 3 2 2 3 2 4 2" xfId="24534"/>
    <cellStyle name="Normal 6 2 3 2 2 3 2 4 3" xfId="39577"/>
    <cellStyle name="Normal 6 2 3 2 2 3 2 5" xfId="17013"/>
    <cellStyle name="Normal 6 2 3 2 2 3 2 6" xfId="32056"/>
    <cellStyle name="Normal 6 2 3 2 2 3 3" xfId="2854"/>
    <cellStyle name="Normal 6 2 3 2 2 3 3 2" xfId="6649"/>
    <cellStyle name="Normal 6 2 3 2 2 3 3 2 2" xfId="14172"/>
    <cellStyle name="Normal 6 2 3 2 2 3 3 2 2 2" xfId="29216"/>
    <cellStyle name="Normal 6 2 3 2 2 3 3 2 2 3" xfId="44259"/>
    <cellStyle name="Normal 6 2 3 2 2 3 3 2 3" xfId="21695"/>
    <cellStyle name="Normal 6 2 3 2 2 3 3 2 4" xfId="36738"/>
    <cellStyle name="Normal 6 2 3 2 2 3 3 3" xfId="10423"/>
    <cellStyle name="Normal 6 2 3 2 2 3 3 3 2" xfId="25467"/>
    <cellStyle name="Normal 6 2 3 2 2 3 3 3 3" xfId="40510"/>
    <cellStyle name="Normal 6 2 3 2 2 3 3 4" xfId="17946"/>
    <cellStyle name="Normal 6 2 3 2 2 3 3 5" xfId="32989"/>
    <cellStyle name="Normal 6 2 3 2 2 3 4" xfId="4784"/>
    <cellStyle name="Normal 6 2 3 2 2 3 4 2" xfId="12307"/>
    <cellStyle name="Normal 6 2 3 2 2 3 4 2 2" xfId="27351"/>
    <cellStyle name="Normal 6 2 3 2 2 3 4 2 3" xfId="42394"/>
    <cellStyle name="Normal 6 2 3 2 2 3 4 3" xfId="19830"/>
    <cellStyle name="Normal 6 2 3 2 2 3 4 4" xfId="34873"/>
    <cellStyle name="Normal 6 2 3 2 2 3 5" xfId="8558"/>
    <cellStyle name="Normal 6 2 3 2 2 3 5 2" xfId="23602"/>
    <cellStyle name="Normal 6 2 3 2 2 3 5 3" xfId="38645"/>
    <cellStyle name="Normal 6 2 3 2 2 3 6" xfId="16081"/>
    <cellStyle name="Normal 6 2 3 2 2 3 7" xfId="31124"/>
    <cellStyle name="Normal 6 2 3 2 2 4" xfId="1463"/>
    <cellStyle name="Normal 6 2 3 2 2 4 2" xfId="3334"/>
    <cellStyle name="Normal 6 2 3 2 2 4 2 2" xfId="7129"/>
    <cellStyle name="Normal 6 2 3 2 2 4 2 2 2" xfId="14652"/>
    <cellStyle name="Normal 6 2 3 2 2 4 2 2 2 2" xfId="29696"/>
    <cellStyle name="Normal 6 2 3 2 2 4 2 2 2 3" xfId="44739"/>
    <cellStyle name="Normal 6 2 3 2 2 4 2 2 3" xfId="22175"/>
    <cellStyle name="Normal 6 2 3 2 2 4 2 2 4" xfId="37218"/>
    <cellStyle name="Normal 6 2 3 2 2 4 2 3" xfId="10903"/>
    <cellStyle name="Normal 6 2 3 2 2 4 2 3 2" xfId="25947"/>
    <cellStyle name="Normal 6 2 3 2 2 4 2 3 3" xfId="40990"/>
    <cellStyle name="Normal 6 2 3 2 2 4 2 4" xfId="18426"/>
    <cellStyle name="Normal 6 2 3 2 2 4 2 5" xfId="33469"/>
    <cellStyle name="Normal 6 2 3 2 2 4 3" xfId="5264"/>
    <cellStyle name="Normal 6 2 3 2 2 4 3 2" xfId="12787"/>
    <cellStyle name="Normal 6 2 3 2 2 4 3 2 2" xfId="27831"/>
    <cellStyle name="Normal 6 2 3 2 2 4 3 2 3" xfId="42874"/>
    <cellStyle name="Normal 6 2 3 2 2 4 3 3" xfId="20310"/>
    <cellStyle name="Normal 6 2 3 2 2 4 3 4" xfId="35353"/>
    <cellStyle name="Normal 6 2 3 2 2 4 4" xfId="9038"/>
    <cellStyle name="Normal 6 2 3 2 2 4 4 2" xfId="24082"/>
    <cellStyle name="Normal 6 2 3 2 2 4 4 3" xfId="39125"/>
    <cellStyle name="Normal 6 2 3 2 2 4 5" xfId="16561"/>
    <cellStyle name="Normal 6 2 3 2 2 4 6" xfId="31604"/>
    <cellStyle name="Normal 6 2 3 2 2 5" xfId="2401"/>
    <cellStyle name="Normal 6 2 3 2 2 5 2" xfId="6197"/>
    <cellStyle name="Normal 6 2 3 2 2 5 2 2" xfId="13720"/>
    <cellStyle name="Normal 6 2 3 2 2 5 2 2 2" xfId="28764"/>
    <cellStyle name="Normal 6 2 3 2 2 5 2 2 3" xfId="43807"/>
    <cellStyle name="Normal 6 2 3 2 2 5 2 3" xfId="21243"/>
    <cellStyle name="Normal 6 2 3 2 2 5 2 4" xfId="36286"/>
    <cellStyle name="Normal 6 2 3 2 2 5 3" xfId="9971"/>
    <cellStyle name="Normal 6 2 3 2 2 5 3 2" xfId="25015"/>
    <cellStyle name="Normal 6 2 3 2 2 5 3 3" xfId="40058"/>
    <cellStyle name="Normal 6 2 3 2 2 5 4" xfId="17494"/>
    <cellStyle name="Normal 6 2 3 2 2 5 5" xfId="32537"/>
    <cellStyle name="Normal 6 2 3 2 2 6" xfId="4329"/>
    <cellStyle name="Normal 6 2 3 2 2 6 2" xfId="11853"/>
    <cellStyle name="Normal 6 2 3 2 2 6 2 2" xfId="26897"/>
    <cellStyle name="Normal 6 2 3 2 2 6 2 3" xfId="41940"/>
    <cellStyle name="Normal 6 2 3 2 2 6 3" xfId="19376"/>
    <cellStyle name="Normal 6 2 3 2 2 6 4" xfId="34419"/>
    <cellStyle name="Normal 6 2 3 2 2 7" xfId="8092"/>
    <cellStyle name="Normal 6 2 3 2 2 7 2" xfId="23136"/>
    <cellStyle name="Normal 6 2 3 2 2 7 3" xfId="38179"/>
    <cellStyle name="Normal 6 2 3 2 2 8" xfId="15615"/>
    <cellStyle name="Normal 6 2 3 2 2 9" xfId="30658"/>
    <cellStyle name="Normal 6 2 3 2 3" xfId="439"/>
    <cellStyle name="Normal 6 2 3 2 3 2" xfId="958"/>
    <cellStyle name="Normal 6 2 3 2 3 2 2" xfId="1917"/>
    <cellStyle name="Normal 6 2 3 2 3 2 2 2" xfId="3788"/>
    <cellStyle name="Normal 6 2 3 2 3 2 2 2 2" xfId="7583"/>
    <cellStyle name="Normal 6 2 3 2 3 2 2 2 2 2" xfId="15106"/>
    <cellStyle name="Normal 6 2 3 2 3 2 2 2 2 2 2" xfId="30150"/>
    <cellStyle name="Normal 6 2 3 2 3 2 2 2 2 2 3" xfId="45193"/>
    <cellStyle name="Normal 6 2 3 2 3 2 2 2 2 3" xfId="22629"/>
    <cellStyle name="Normal 6 2 3 2 3 2 2 2 2 4" xfId="37672"/>
    <cellStyle name="Normal 6 2 3 2 3 2 2 2 3" xfId="11357"/>
    <cellStyle name="Normal 6 2 3 2 3 2 2 2 3 2" xfId="26401"/>
    <cellStyle name="Normal 6 2 3 2 3 2 2 2 3 3" xfId="41444"/>
    <cellStyle name="Normal 6 2 3 2 3 2 2 2 4" xfId="18880"/>
    <cellStyle name="Normal 6 2 3 2 3 2 2 2 5" xfId="33923"/>
    <cellStyle name="Normal 6 2 3 2 3 2 2 3" xfId="5718"/>
    <cellStyle name="Normal 6 2 3 2 3 2 2 3 2" xfId="13241"/>
    <cellStyle name="Normal 6 2 3 2 3 2 2 3 2 2" xfId="28285"/>
    <cellStyle name="Normal 6 2 3 2 3 2 2 3 2 3" xfId="43328"/>
    <cellStyle name="Normal 6 2 3 2 3 2 2 3 3" xfId="20764"/>
    <cellStyle name="Normal 6 2 3 2 3 2 2 3 4" xfId="35807"/>
    <cellStyle name="Normal 6 2 3 2 3 2 2 4" xfId="9492"/>
    <cellStyle name="Normal 6 2 3 2 3 2 2 4 2" xfId="24536"/>
    <cellStyle name="Normal 6 2 3 2 3 2 2 4 3" xfId="39579"/>
    <cellStyle name="Normal 6 2 3 2 3 2 2 5" xfId="17015"/>
    <cellStyle name="Normal 6 2 3 2 3 2 2 6" xfId="32058"/>
    <cellStyle name="Normal 6 2 3 2 3 2 3" xfId="2856"/>
    <cellStyle name="Normal 6 2 3 2 3 2 3 2" xfId="6651"/>
    <cellStyle name="Normal 6 2 3 2 3 2 3 2 2" xfId="14174"/>
    <cellStyle name="Normal 6 2 3 2 3 2 3 2 2 2" xfId="29218"/>
    <cellStyle name="Normal 6 2 3 2 3 2 3 2 2 3" xfId="44261"/>
    <cellStyle name="Normal 6 2 3 2 3 2 3 2 3" xfId="21697"/>
    <cellStyle name="Normal 6 2 3 2 3 2 3 2 4" xfId="36740"/>
    <cellStyle name="Normal 6 2 3 2 3 2 3 3" xfId="10425"/>
    <cellStyle name="Normal 6 2 3 2 3 2 3 3 2" xfId="25469"/>
    <cellStyle name="Normal 6 2 3 2 3 2 3 3 3" xfId="40512"/>
    <cellStyle name="Normal 6 2 3 2 3 2 3 4" xfId="17948"/>
    <cellStyle name="Normal 6 2 3 2 3 2 3 5" xfId="32991"/>
    <cellStyle name="Normal 6 2 3 2 3 2 4" xfId="4786"/>
    <cellStyle name="Normal 6 2 3 2 3 2 4 2" xfId="12309"/>
    <cellStyle name="Normal 6 2 3 2 3 2 4 2 2" xfId="27353"/>
    <cellStyle name="Normal 6 2 3 2 3 2 4 2 3" xfId="42396"/>
    <cellStyle name="Normal 6 2 3 2 3 2 4 3" xfId="19832"/>
    <cellStyle name="Normal 6 2 3 2 3 2 4 4" xfId="34875"/>
    <cellStyle name="Normal 6 2 3 2 3 2 5" xfId="8560"/>
    <cellStyle name="Normal 6 2 3 2 3 2 5 2" xfId="23604"/>
    <cellStyle name="Normal 6 2 3 2 3 2 5 3" xfId="38647"/>
    <cellStyle name="Normal 6 2 3 2 3 2 6" xfId="16083"/>
    <cellStyle name="Normal 6 2 3 2 3 2 7" xfId="31126"/>
    <cellStyle name="Normal 6 2 3 2 3 3" xfId="1465"/>
    <cellStyle name="Normal 6 2 3 2 3 3 2" xfId="3336"/>
    <cellStyle name="Normal 6 2 3 2 3 3 2 2" xfId="7131"/>
    <cellStyle name="Normal 6 2 3 2 3 3 2 2 2" xfId="14654"/>
    <cellStyle name="Normal 6 2 3 2 3 3 2 2 2 2" xfId="29698"/>
    <cellStyle name="Normal 6 2 3 2 3 3 2 2 2 3" xfId="44741"/>
    <cellStyle name="Normal 6 2 3 2 3 3 2 2 3" xfId="22177"/>
    <cellStyle name="Normal 6 2 3 2 3 3 2 2 4" xfId="37220"/>
    <cellStyle name="Normal 6 2 3 2 3 3 2 3" xfId="10905"/>
    <cellStyle name="Normal 6 2 3 2 3 3 2 3 2" xfId="25949"/>
    <cellStyle name="Normal 6 2 3 2 3 3 2 3 3" xfId="40992"/>
    <cellStyle name="Normal 6 2 3 2 3 3 2 4" xfId="18428"/>
    <cellStyle name="Normal 6 2 3 2 3 3 2 5" xfId="33471"/>
    <cellStyle name="Normal 6 2 3 2 3 3 3" xfId="5266"/>
    <cellStyle name="Normal 6 2 3 2 3 3 3 2" xfId="12789"/>
    <cellStyle name="Normal 6 2 3 2 3 3 3 2 2" xfId="27833"/>
    <cellStyle name="Normal 6 2 3 2 3 3 3 2 3" xfId="42876"/>
    <cellStyle name="Normal 6 2 3 2 3 3 3 3" xfId="20312"/>
    <cellStyle name="Normal 6 2 3 2 3 3 3 4" xfId="35355"/>
    <cellStyle name="Normal 6 2 3 2 3 3 4" xfId="9040"/>
    <cellStyle name="Normal 6 2 3 2 3 3 4 2" xfId="24084"/>
    <cellStyle name="Normal 6 2 3 2 3 3 4 3" xfId="39127"/>
    <cellStyle name="Normal 6 2 3 2 3 3 5" xfId="16563"/>
    <cellStyle name="Normal 6 2 3 2 3 3 6" xfId="31606"/>
    <cellStyle name="Normal 6 2 3 2 3 4" xfId="2403"/>
    <cellStyle name="Normal 6 2 3 2 3 4 2" xfId="6199"/>
    <cellStyle name="Normal 6 2 3 2 3 4 2 2" xfId="13722"/>
    <cellStyle name="Normal 6 2 3 2 3 4 2 2 2" xfId="28766"/>
    <cellStyle name="Normal 6 2 3 2 3 4 2 2 3" xfId="43809"/>
    <cellStyle name="Normal 6 2 3 2 3 4 2 3" xfId="21245"/>
    <cellStyle name="Normal 6 2 3 2 3 4 2 4" xfId="36288"/>
    <cellStyle name="Normal 6 2 3 2 3 4 3" xfId="9973"/>
    <cellStyle name="Normal 6 2 3 2 3 4 3 2" xfId="25017"/>
    <cellStyle name="Normal 6 2 3 2 3 4 3 3" xfId="40060"/>
    <cellStyle name="Normal 6 2 3 2 3 4 4" xfId="17496"/>
    <cellStyle name="Normal 6 2 3 2 3 4 5" xfId="32539"/>
    <cellStyle name="Normal 6 2 3 2 3 5" xfId="4331"/>
    <cellStyle name="Normal 6 2 3 2 3 5 2" xfId="11855"/>
    <cellStyle name="Normal 6 2 3 2 3 5 2 2" xfId="26899"/>
    <cellStyle name="Normal 6 2 3 2 3 5 2 3" xfId="41942"/>
    <cellStyle name="Normal 6 2 3 2 3 5 3" xfId="19378"/>
    <cellStyle name="Normal 6 2 3 2 3 5 4" xfId="34421"/>
    <cellStyle name="Normal 6 2 3 2 3 6" xfId="8094"/>
    <cellStyle name="Normal 6 2 3 2 3 6 2" xfId="23138"/>
    <cellStyle name="Normal 6 2 3 2 3 6 3" xfId="38181"/>
    <cellStyle name="Normal 6 2 3 2 3 7" xfId="15617"/>
    <cellStyle name="Normal 6 2 3 2 3 8" xfId="30660"/>
    <cellStyle name="Normal 6 2 3 2 4" xfId="955"/>
    <cellStyle name="Normal 6 2 3 2 4 2" xfId="1914"/>
    <cellStyle name="Normal 6 2 3 2 4 2 2" xfId="3785"/>
    <cellStyle name="Normal 6 2 3 2 4 2 2 2" xfId="7580"/>
    <cellStyle name="Normal 6 2 3 2 4 2 2 2 2" xfId="15103"/>
    <cellStyle name="Normal 6 2 3 2 4 2 2 2 2 2" xfId="30147"/>
    <cellStyle name="Normal 6 2 3 2 4 2 2 2 2 3" xfId="45190"/>
    <cellStyle name="Normal 6 2 3 2 4 2 2 2 3" xfId="22626"/>
    <cellStyle name="Normal 6 2 3 2 4 2 2 2 4" xfId="37669"/>
    <cellStyle name="Normal 6 2 3 2 4 2 2 3" xfId="11354"/>
    <cellStyle name="Normal 6 2 3 2 4 2 2 3 2" xfId="26398"/>
    <cellStyle name="Normal 6 2 3 2 4 2 2 3 3" xfId="41441"/>
    <cellStyle name="Normal 6 2 3 2 4 2 2 4" xfId="18877"/>
    <cellStyle name="Normal 6 2 3 2 4 2 2 5" xfId="33920"/>
    <cellStyle name="Normal 6 2 3 2 4 2 3" xfId="5715"/>
    <cellStyle name="Normal 6 2 3 2 4 2 3 2" xfId="13238"/>
    <cellStyle name="Normal 6 2 3 2 4 2 3 2 2" xfId="28282"/>
    <cellStyle name="Normal 6 2 3 2 4 2 3 2 3" xfId="43325"/>
    <cellStyle name="Normal 6 2 3 2 4 2 3 3" xfId="20761"/>
    <cellStyle name="Normal 6 2 3 2 4 2 3 4" xfId="35804"/>
    <cellStyle name="Normal 6 2 3 2 4 2 4" xfId="9489"/>
    <cellStyle name="Normal 6 2 3 2 4 2 4 2" xfId="24533"/>
    <cellStyle name="Normal 6 2 3 2 4 2 4 3" xfId="39576"/>
    <cellStyle name="Normal 6 2 3 2 4 2 5" xfId="17012"/>
    <cellStyle name="Normal 6 2 3 2 4 2 6" xfId="32055"/>
    <cellStyle name="Normal 6 2 3 2 4 3" xfId="2853"/>
    <cellStyle name="Normal 6 2 3 2 4 3 2" xfId="6648"/>
    <cellStyle name="Normal 6 2 3 2 4 3 2 2" xfId="14171"/>
    <cellStyle name="Normal 6 2 3 2 4 3 2 2 2" xfId="29215"/>
    <cellStyle name="Normal 6 2 3 2 4 3 2 2 3" xfId="44258"/>
    <cellStyle name="Normal 6 2 3 2 4 3 2 3" xfId="21694"/>
    <cellStyle name="Normal 6 2 3 2 4 3 2 4" xfId="36737"/>
    <cellStyle name="Normal 6 2 3 2 4 3 3" xfId="10422"/>
    <cellStyle name="Normal 6 2 3 2 4 3 3 2" xfId="25466"/>
    <cellStyle name="Normal 6 2 3 2 4 3 3 3" xfId="40509"/>
    <cellStyle name="Normal 6 2 3 2 4 3 4" xfId="17945"/>
    <cellStyle name="Normal 6 2 3 2 4 3 5" xfId="32988"/>
    <cellStyle name="Normal 6 2 3 2 4 4" xfId="4783"/>
    <cellStyle name="Normal 6 2 3 2 4 4 2" xfId="12306"/>
    <cellStyle name="Normal 6 2 3 2 4 4 2 2" xfId="27350"/>
    <cellStyle name="Normal 6 2 3 2 4 4 2 3" xfId="42393"/>
    <cellStyle name="Normal 6 2 3 2 4 4 3" xfId="19829"/>
    <cellStyle name="Normal 6 2 3 2 4 4 4" xfId="34872"/>
    <cellStyle name="Normal 6 2 3 2 4 5" xfId="8557"/>
    <cellStyle name="Normal 6 2 3 2 4 5 2" xfId="23601"/>
    <cellStyle name="Normal 6 2 3 2 4 5 3" xfId="38644"/>
    <cellStyle name="Normal 6 2 3 2 4 6" xfId="16080"/>
    <cellStyle name="Normal 6 2 3 2 4 7" xfId="31123"/>
    <cellStyle name="Normal 6 2 3 2 5" xfId="1462"/>
    <cellStyle name="Normal 6 2 3 2 5 2" xfId="3333"/>
    <cellStyle name="Normal 6 2 3 2 5 2 2" xfId="7128"/>
    <cellStyle name="Normal 6 2 3 2 5 2 2 2" xfId="14651"/>
    <cellStyle name="Normal 6 2 3 2 5 2 2 2 2" xfId="29695"/>
    <cellStyle name="Normal 6 2 3 2 5 2 2 2 3" xfId="44738"/>
    <cellStyle name="Normal 6 2 3 2 5 2 2 3" xfId="22174"/>
    <cellStyle name="Normal 6 2 3 2 5 2 2 4" xfId="37217"/>
    <cellStyle name="Normal 6 2 3 2 5 2 3" xfId="10902"/>
    <cellStyle name="Normal 6 2 3 2 5 2 3 2" xfId="25946"/>
    <cellStyle name="Normal 6 2 3 2 5 2 3 3" xfId="40989"/>
    <cellStyle name="Normal 6 2 3 2 5 2 4" xfId="18425"/>
    <cellStyle name="Normal 6 2 3 2 5 2 5" xfId="33468"/>
    <cellStyle name="Normal 6 2 3 2 5 3" xfId="5263"/>
    <cellStyle name="Normal 6 2 3 2 5 3 2" xfId="12786"/>
    <cellStyle name="Normal 6 2 3 2 5 3 2 2" xfId="27830"/>
    <cellStyle name="Normal 6 2 3 2 5 3 2 3" xfId="42873"/>
    <cellStyle name="Normal 6 2 3 2 5 3 3" xfId="20309"/>
    <cellStyle name="Normal 6 2 3 2 5 3 4" xfId="35352"/>
    <cellStyle name="Normal 6 2 3 2 5 4" xfId="9037"/>
    <cellStyle name="Normal 6 2 3 2 5 4 2" xfId="24081"/>
    <cellStyle name="Normal 6 2 3 2 5 4 3" xfId="39124"/>
    <cellStyle name="Normal 6 2 3 2 5 5" xfId="16560"/>
    <cellStyle name="Normal 6 2 3 2 5 6" xfId="31603"/>
    <cellStyle name="Normal 6 2 3 2 6" xfId="2400"/>
    <cellStyle name="Normal 6 2 3 2 6 2" xfId="6196"/>
    <cellStyle name="Normal 6 2 3 2 6 2 2" xfId="13719"/>
    <cellStyle name="Normal 6 2 3 2 6 2 2 2" xfId="28763"/>
    <cellStyle name="Normal 6 2 3 2 6 2 2 3" xfId="43806"/>
    <cellStyle name="Normal 6 2 3 2 6 2 3" xfId="21242"/>
    <cellStyle name="Normal 6 2 3 2 6 2 4" xfId="36285"/>
    <cellStyle name="Normal 6 2 3 2 6 3" xfId="9970"/>
    <cellStyle name="Normal 6 2 3 2 6 3 2" xfId="25014"/>
    <cellStyle name="Normal 6 2 3 2 6 3 3" xfId="40057"/>
    <cellStyle name="Normal 6 2 3 2 6 4" xfId="17493"/>
    <cellStyle name="Normal 6 2 3 2 6 5" xfId="32536"/>
    <cellStyle name="Normal 6 2 3 2 7" xfId="4328"/>
    <cellStyle name="Normal 6 2 3 2 7 2" xfId="11852"/>
    <cellStyle name="Normal 6 2 3 2 7 2 2" xfId="26896"/>
    <cellStyle name="Normal 6 2 3 2 7 2 3" xfId="41939"/>
    <cellStyle name="Normal 6 2 3 2 7 3" xfId="19375"/>
    <cellStyle name="Normal 6 2 3 2 7 4" xfId="34418"/>
    <cellStyle name="Normal 6 2 3 2 8" xfId="8091"/>
    <cellStyle name="Normal 6 2 3 2 8 2" xfId="23135"/>
    <cellStyle name="Normal 6 2 3 2 8 3" xfId="38178"/>
    <cellStyle name="Normal 6 2 3 2 9" xfId="15614"/>
    <cellStyle name="Normal 6 2 3 3" xfId="440"/>
    <cellStyle name="Normal 6 2 3 3 2" xfId="441"/>
    <cellStyle name="Normal 6 2 3 3 2 2" xfId="960"/>
    <cellStyle name="Normal 6 2 3 3 2 2 2" xfId="1919"/>
    <cellStyle name="Normal 6 2 3 3 2 2 2 2" xfId="3790"/>
    <cellStyle name="Normal 6 2 3 3 2 2 2 2 2" xfId="7585"/>
    <cellStyle name="Normal 6 2 3 3 2 2 2 2 2 2" xfId="15108"/>
    <cellStyle name="Normal 6 2 3 3 2 2 2 2 2 2 2" xfId="30152"/>
    <cellStyle name="Normal 6 2 3 3 2 2 2 2 2 2 3" xfId="45195"/>
    <cellStyle name="Normal 6 2 3 3 2 2 2 2 2 3" xfId="22631"/>
    <cellStyle name="Normal 6 2 3 3 2 2 2 2 2 4" xfId="37674"/>
    <cellStyle name="Normal 6 2 3 3 2 2 2 2 3" xfId="11359"/>
    <cellStyle name="Normal 6 2 3 3 2 2 2 2 3 2" xfId="26403"/>
    <cellStyle name="Normal 6 2 3 3 2 2 2 2 3 3" xfId="41446"/>
    <cellStyle name="Normal 6 2 3 3 2 2 2 2 4" xfId="18882"/>
    <cellStyle name="Normal 6 2 3 3 2 2 2 2 5" xfId="33925"/>
    <cellStyle name="Normal 6 2 3 3 2 2 2 3" xfId="5720"/>
    <cellStyle name="Normal 6 2 3 3 2 2 2 3 2" xfId="13243"/>
    <cellStyle name="Normal 6 2 3 3 2 2 2 3 2 2" xfId="28287"/>
    <cellStyle name="Normal 6 2 3 3 2 2 2 3 2 3" xfId="43330"/>
    <cellStyle name="Normal 6 2 3 3 2 2 2 3 3" xfId="20766"/>
    <cellStyle name="Normal 6 2 3 3 2 2 2 3 4" xfId="35809"/>
    <cellStyle name="Normal 6 2 3 3 2 2 2 4" xfId="9494"/>
    <cellStyle name="Normal 6 2 3 3 2 2 2 4 2" xfId="24538"/>
    <cellStyle name="Normal 6 2 3 3 2 2 2 4 3" xfId="39581"/>
    <cellStyle name="Normal 6 2 3 3 2 2 2 5" xfId="17017"/>
    <cellStyle name="Normal 6 2 3 3 2 2 2 6" xfId="32060"/>
    <cellStyle name="Normal 6 2 3 3 2 2 3" xfId="2858"/>
    <cellStyle name="Normal 6 2 3 3 2 2 3 2" xfId="6653"/>
    <cellStyle name="Normal 6 2 3 3 2 2 3 2 2" xfId="14176"/>
    <cellStyle name="Normal 6 2 3 3 2 2 3 2 2 2" xfId="29220"/>
    <cellStyle name="Normal 6 2 3 3 2 2 3 2 2 3" xfId="44263"/>
    <cellStyle name="Normal 6 2 3 3 2 2 3 2 3" xfId="21699"/>
    <cellStyle name="Normal 6 2 3 3 2 2 3 2 4" xfId="36742"/>
    <cellStyle name="Normal 6 2 3 3 2 2 3 3" xfId="10427"/>
    <cellStyle name="Normal 6 2 3 3 2 2 3 3 2" xfId="25471"/>
    <cellStyle name="Normal 6 2 3 3 2 2 3 3 3" xfId="40514"/>
    <cellStyle name="Normal 6 2 3 3 2 2 3 4" xfId="17950"/>
    <cellStyle name="Normal 6 2 3 3 2 2 3 5" xfId="32993"/>
    <cellStyle name="Normal 6 2 3 3 2 2 4" xfId="4788"/>
    <cellStyle name="Normal 6 2 3 3 2 2 4 2" xfId="12311"/>
    <cellStyle name="Normal 6 2 3 3 2 2 4 2 2" xfId="27355"/>
    <cellStyle name="Normal 6 2 3 3 2 2 4 2 3" xfId="42398"/>
    <cellStyle name="Normal 6 2 3 3 2 2 4 3" xfId="19834"/>
    <cellStyle name="Normal 6 2 3 3 2 2 4 4" xfId="34877"/>
    <cellStyle name="Normal 6 2 3 3 2 2 5" xfId="8562"/>
    <cellStyle name="Normal 6 2 3 3 2 2 5 2" xfId="23606"/>
    <cellStyle name="Normal 6 2 3 3 2 2 5 3" xfId="38649"/>
    <cellStyle name="Normal 6 2 3 3 2 2 6" xfId="16085"/>
    <cellStyle name="Normal 6 2 3 3 2 2 7" xfId="31128"/>
    <cellStyle name="Normal 6 2 3 3 2 3" xfId="1467"/>
    <cellStyle name="Normal 6 2 3 3 2 3 2" xfId="3338"/>
    <cellStyle name="Normal 6 2 3 3 2 3 2 2" xfId="7133"/>
    <cellStyle name="Normal 6 2 3 3 2 3 2 2 2" xfId="14656"/>
    <cellStyle name="Normal 6 2 3 3 2 3 2 2 2 2" xfId="29700"/>
    <cellStyle name="Normal 6 2 3 3 2 3 2 2 2 3" xfId="44743"/>
    <cellStyle name="Normal 6 2 3 3 2 3 2 2 3" xfId="22179"/>
    <cellStyle name="Normal 6 2 3 3 2 3 2 2 4" xfId="37222"/>
    <cellStyle name="Normal 6 2 3 3 2 3 2 3" xfId="10907"/>
    <cellStyle name="Normal 6 2 3 3 2 3 2 3 2" xfId="25951"/>
    <cellStyle name="Normal 6 2 3 3 2 3 2 3 3" xfId="40994"/>
    <cellStyle name="Normal 6 2 3 3 2 3 2 4" xfId="18430"/>
    <cellStyle name="Normal 6 2 3 3 2 3 2 5" xfId="33473"/>
    <cellStyle name="Normal 6 2 3 3 2 3 3" xfId="5268"/>
    <cellStyle name="Normal 6 2 3 3 2 3 3 2" xfId="12791"/>
    <cellStyle name="Normal 6 2 3 3 2 3 3 2 2" xfId="27835"/>
    <cellStyle name="Normal 6 2 3 3 2 3 3 2 3" xfId="42878"/>
    <cellStyle name="Normal 6 2 3 3 2 3 3 3" xfId="20314"/>
    <cellStyle name="Normal 6 2 3 3 2 3 3 4" xfId="35357"/>
    <cellStyle name="Normal 6 2 3 3 2 3 4" xfId="9042"/>
    <cellStyle name="Normal 6 2 3 3 2 3 4 2" xfId="24086"/>
    <cellStyle name="Normal 6 2 3 3 2 3 4 3" xfId="39129"/>
    <cellStyle name="Normal 6 2 3 3 2 3 5" xfId="16565"/>
    <cellStyle name="Normal 6 2 3 3 2 3 6" xfId="31608"/>
    <cellStyle name="Normal 6 2 3 3 2 4" xfId="2405"/>
    <cellStyle name="Normal 6 2 3 3 2 4 2" xfId="6201"/>
    <cellStyle name="Normal 6 2 3 3 2 4 2 2" xfId="13724"/>
    <cellStyle name="Normal 6 2 3 3 2 4 2 2 2" xfId="28768"/>
    <cellStyle name="Normal 6 2 3 3 2 4 2 2 3" xfId="43811"/>
    <cellStyle name="Normal 6 2 3 3 2 4 2 3" xfId="21247"/>
    <cellStyle name="Normal 6 2 3 3 2 4 2 4" xfId="36290"/>
    <cellStyle name="Normal 6 2 3 3 2 4 3" xfId="9975"/>
    <cellStyle name="Normal 6 2 3 3 2 4 3 2" xfId="25019"/>
    <cellStyle name="Normal 6 2 3 3 2 4 3 3" xfId="40062"/>
    <cellStyle name="Normal 6 2 3 3 2 4 4" xfId="17498"/>
    <cellStyle name="Normal 6 2 3 3 2 4 5" xfId="32541"/>
    <cellStyle name="Normal 6 2 3 3 2 5" xfId="4333"/>
    <cellStyle name="Normal 6 2 3 3 2 5 2" xfId="11857"/>
    <cellStyle name="Normal 6 2 3 3 2 5 2 2" xfId="26901"/>
    <cellStyle name="Normal 6 2 3 3 2 5 2 3" xfId="41944"/>
    <cellStyle name="Normal 6 2 3 3 2 5 3" xfId="19380"/>
    <cellStyle name="Normal 6 2 3 3 2 5 4" xfId="34423"/>
    <cellStyle name="Normal 6 2 3 3 2 6" xfId="8096"/>
    <cellStyle name="Normal 6 2 3 3 2 6 2" xfId="23140"/>
    <cellStyle name="Normal 6 2 3 3 2 6 3" xfId="38183"/>
    <cellStyle name="Normal 6 2 3 3 2 7" xfId="15619"/>
    <cellStyle name="Normal 6 2 3 3 2 8" xfId="30662"/>
    <cellStyle name="Normal 6 2 3 3 3" xfId="959"/>
    <cellStyle name="Normal 6 2 3 3 3 2" xfId="1918"/>
    <cellStyle name="Normal 6 2 3 3 3 2 2" xfId="3789"/>
    <cellStyle name="Normal 6 2 3 3 3 2 2 2" xfId="7584"/>
    <cellStyle name="Normal 6 2 3 3 3 2 2 2 2" xfId="15107"/>
    <cellStyle name="Normal 6 2 3 3 3 2 2 2 2 2" xfId="30151"/>
    <cellStyle name="Normal 6 2 3 3 3 2 2 2 2 3" xfId="45194"/>
    <cellStyle name="Normal 6 2 3 3 3 2 2 2 3" xfId="22630"/>
    <cellStyle name="Normal 6 2 3 3 3 2 2 2 4" xfId="37673"/>
    <cellStyle name="Normal 6 2 3 3 3 2 2 3" xfId="11358"/>
    <cellStyle name="Normal 6 2 3 3 3 2 2 3 2" xfId="26402"/>
    <cellStyle name="Normal 6 2 3 3 3 2 2 3 3" xfId="41445"/>
    <cellStyle name="Normal 6 2 3 3 3 2 2 4" xfId="18881"/>
    <cellStyle name="Normal 6 2 3 3 3 2 2 5" xfId="33924"/>
    <cellStyle name="Normal 6 2 3 3 3 2 3" xfId="5719"/>
    <cellStyle name="Normal 6 2 3 3 3 2 3 2" xfId="13242"/>
    <cellStyle name="Normal 6 2 3 3 3 2 3 2 2" xfId="28286"/>
    <cellStyle name="Normal 6 2 3 3 3 2 3 2 3" xfId="43329"/>
    <cellStyle name="Normal 6 2 3 3 3 2 3 3" xfId="20765"/>
    <cellStyle name="Normal 6 2 3 3 3 2 3 4" xfId="35808"/>
    <cellStyle name="Normal 6 2 3 3 3 2 4" xfId="9493"/>
    <cellStyle name="Normal 6 2 3 3 3 2 4 2" xfId="24537"/>
    <cellStyle name="Normal 6 2 3 3 3 2 4 3" xfId="39580"/>
    <cellStyle name="Normal 6 2 3 3 3 2 5" xfId="17016"/>
    <cellStyle name="Normal 6 2 3 3 3 2 6" xfId="32059"/>
    <cellStyle name="Normal 6 2 3 3 3 3" xfId="2857"/>
    <cellStyle name="Normal 6 2 3 3 3 3 2" xfId="6652"/>
    <cellStyle name="Normal 6 2 3 3 3 3 2 2" xfId="14175"/>
    <cellStyle name="Normal 6 2 3 3 3 3 2 2 2" xfId="29219"/>
    <cellStyle name="Normal 6 2 3 3 3 3 2 2 3" xfId="44262"/>
    <cellStyle name="Normal 6 2 3 3 3 3 2 3" xfId="21698"/>
    <cellStyle name="Normal 6 2 3 3 3 3 2 4" xfId="36741"/>
    <cellStyle name="Normal 6 2 3 3 3 3 3" xfId="10426"/>
    <cellStyle name="Normal 6 2 3 3 3 3 3 2" xfId="25470"/>
    <cellStyle name="Normal 6 2 3 3 3 3 3 3" xfId="40513"/>
    <cellStyle name="Normal 6 2 3 3 3 3 4" xfId="17949"/>
    <cellStyle name="Normal 6 2 3 3 3 3 5" xfId="32992"/>
    <cellStyle name="Normal 6 2 3 3 3 4" xfId="4787"/>
    <cellStyle name="Normal 6 2 3 3 3 4 2" xfId="12310"/>
    <cellStyle name="Normal 6 2 3 3 3 4 2 2" xfId="27354"/>
    <cellStyle name="Normal 6 2 3 3 3 4 2 3" xfId="42397"/>
    <cellStyle name="Normal 6 2 3 3 3 4 3" xfId="19833"/>
    <cellStyle name="Normal 6 2 3 3 3 4 4" xfId="34876"/>
    <cellStyle name="Normal 6 2 3 3 3 5" xfId="8561"/>
    <cellStyle name="Normal 6 2 3 3 3 5 2" xfId="23605"/>
    <cellStyle name="Normal 6 2 3 3 3 5 3" xfId="38648"/>
    <cellStyle name="Normal 6 2 3 3 3 6" xfId="16084"/>
    <cellStyle name="Normal 6 2 3 3 3 7" xfId="31127"/>
    <cellStyle name="Normal 6 2 3 3 4" xfId="1466"/>
    <cellStyle name="Normal 6 2 3 3 4 2" xfId="3337"/>
    <cellStyle name="Normal 6 2 3 3 4 2 2" xfId="7132"/>
    <cellStyle name="Normal 6 2 3 3 4 2 2 2" xfId="14655"/>
    <cellStyle name="Normal 6 2 3 3 4 2 2 2 2" xfId="29699"/>
    <cellStyle name="Normal 6 2 3 3 4 2 2 2 3" xfId="44742"/>
    <cellStyle name="Normal 6 2 3 3 4 2 2 3" xfId="22178"/>
    <cellStyle name="Normal 6 2 3 3 4 2 2 4" xfId="37221"/>
    <cellStyle name="Normal 6 2 3 3 4 2 3" xfId="10906"/>
    <cellStyle name="Normal 6 2 3 3 4 2 3 2" xfId="25950"/>
    <cellStyle name="Normal 6 2 3 3 4 2 3 3" xfId="40993"/>
    <cellStyle name="Normal 6 2 3 3 4 2 4" xfId="18429"/>
    <cellStyle name="Normal 6 2 3 3 4 2 5" xfId="33472"/>
    <cellStyle name="Normal 6 2 3 3 4 3" xfId="5267"/>
    <cellStyle name="Normal 6 2 3 3 4 3 2" xfId="12790"/>
    <cellStyle name="Normal 6 2 3 3 4 3 2 2" xfId="27834"/>
    <cellStyle name="Normal 6 2 3 3 4 3 2 3" xfId="42877"/>
    <cellStyle name="Normal 6 2 3 3 4 3 3" xfId="20313"/>
    <cellStyle name="Normal 6 2 3 3 4 3 4" xfId="35356"/>
    <cellStyle name="Normal 6 2 3 3 4 4" xfId="9041"/>
    <cellStyle name="Normal 6 2 3 3 4 4 2" xfId="24085"/>
    <cellStyle name="Normal 6 2 3 3 4 4 3" xfId="39128"/>
    <cellStyle name="Normal 6 2 3 3 4 5" xfId="16564"/>
    <cellStyle name="Normal 6 2 3 3 4 6" xfId="31607"/>
    <cellStyle name="Normal 6 2 3 3 5" xfId="2404"/>
    <cellStyle name="Normal 6 2 3 3 5 2" xfId="6200"/>
    <cellStyle name="Normal 6 2 3 3 5 2 2" xfId="13723"/>
    <cellStyle name="Normal 6 2 3 3 5 2 2 2" xfId="28767"/>
    <cellStyle name="Normal 6 2 3 3 5 2 2 3" xfId="43810"/>
    <cellStyle name="Normal 6 2 3 3 5 2 3" xfId="21246"/>
    <cellStyle name="Normal 6 2 3 3 5 2 4" xfId="36289"/>
    <cellStyle name="Normal 6 2 3 3 5 3" xfId="9974"/>
    <cellStyle name="Normal 6 2 3 3 5 3 2" xfId="25018"/>
    <cellStyle name="Normal 6 2 3 3 5 3 3" xfId="40061"/>
    <cellStyle name="Normal 6 2 3 3 5 4" xfId="17497"/>
    <cellStyle name="Normal 6 2 3 3 5 5" xfId="32540"/>
    <cellStyle name="Normal 6 2 3 3 6" xfId="4332"/>
    <cellStyle name="Normal 6 2 3 3 6 2" xfId="11856"/>
    <cellStyle name="Normal 6 2 3 3 6 2 2" xfId="26900"/>
    <cellStyle name="Normal 6 2 3 3 6 2 3" xfId="41943"/>
    <cellStyle name="Normal 6 2 3 3 6 3" xfId="19379"/>
    <cellStyle name="Normal 6 2 3 3 6 4" xfId="34422"/>
    <cellStyle name="Normal 6 2 3 3 7" xfId="8095"/>
    <cellStyle name="Normal 6 2 3 3 7 2" xfId="23139"/>
    <cellStyle name="Normal 6 2 3 3 7 3" xfId="38182"/>
    <cellStyle name="Normal 6 2 3 3 8" xfId="15618"/>
    <cellStyle name="Normal 6 2 3 3 9" xfId="30661"/>
    <cellStyle name="Normal 6 2 3 4" xfId="442"/>
    <cellStyle name="Normal 6 2 3 4 2" xfId="443"/>
    <cellStyle name="Normal 6 2 3 4 2 2" xfId="962"/>
    <cellStyle name="Normal 6 2 3 4 2 2 2" xfId="1921"/>
    <cellStyle name="Normal 6 2 3 4 2 2 2 2" xfId="3792"/>
    <cellStyle name="Normal 6 2 3 4 2 2 2 2 2" xfId="7587"/>
    <cellStyle name="Normal 6 2 3 4 2 2 2 2 2 2" xfId="15110"/>
    <cellStyle name="Normal 6 2 3 4 2 2 2 2 2 2 2" xfId="30154"/>
    <cellStyle name="Normal 6 2 3 4 2 2 2 2 2 2 3" xfId="45197"/>
    <cellStyle name="Normal 6 2 3 4 2 2 2 2 2 3" xfId="22633"/>
    <cellStyle name="Normal 6 2 3 4 2 2 2 2 2 4" xfId="37676"/>
    <cellStyle name="Normal 6 2 3 4 2 2 2 2 3" xfId="11361"/>
    <cellStyle name="Normal 6 2 3 4 2 2 2 2 3 2" xfId="26405"/>
    <cellStyle name="Normal 6 2 3 4 2 2 2 2 3 3" xfId="41448"/>
    <cellStyle name="Normal 6 2 3 4 2 2 2 2 4" xfId="18884"/>
    <cellStyle name="Normal 6 2 3 4 2 2 2 2 5" xfId="33927"/>
    <cellStyle name="Normal 6 2 3 4 2 2 2 3" xfId="5722"/>
    <cellStyle name="Normal 6 2 3 4 2 2 2 3 2" xfId="13245"/>
    <cellStyle name="Normal 6 2 3 4 2 2 2 3 2 2" xfId="28289"/>
    <cellStyle name="Normal 6 2 3 4 2 2 2 3 2 3" xfId="43332"/>
    <cellStyle name="Normal 6 2 3 4 2 2 2 3 3" xfId="20768"/>
    <cellStyle name="Normal 6 2 3 4 2 2 2 3 4" xfId="35811"/>
    <cellStyle name="Normal 6 2 3 4 2 2 2 4" xfId="9496"/>
    <cellStyle name="Normal 6 2 3 4 2 2 2 4 2" xfId="24540"/>
    <cellStyle name="Normal 6 2 3 4 2 2 2 4 3" xfId="39583"/>
    <cellStyle name="Normal 6 2 3 4 2 2 2 5" xfId="17019"/>
    <cellStyle name="Normal 6 2 3 4 2 2 2 6" xfId="32062"/>
    <cellStyle name="Normal 6 2 3 4 2 2 3" xfId="2860"/>
    <cellStyle name="Normal 6 2 3 4 2 2 3 2" xfId="6655"/>
    <cellStyle name="Normal 6 2 3 4 2 2 3 2 2" xfId="14178"/>
    <cellStyle name="Normal 6 2 3 4 2 2 3 2 2 2" xfId="29222"/>
    <cellStyle name="Normal 6 2 3 4 2 2 3 2 2 3" xfId="44265"/>
    <cellStyle name="Normal 6 2 3 4 2 2 3 2 3" xfId="21701"/>
    <cellStyle name="Normal 6 2 3 4 2 2 3 2 4" xfId="36744"/>
    <cellStyle name="Normal 6 2 3 4 2 2 3 3" xfId="10429"/>
    <cellStyle name="Normal 6 2 3 4 2 2 3 3 2" xfId="25473"/>
    <cellStyle name="Normal 6 2 3 4 2 2 3 3 3" xfId="40516"/>
    <cellStyle name="Normal 6 2 3 4 2 2 3 4" xfId="17952"/>
    <cellStyle name="Normal 6 2 3 4 2 2 3 5" xfId="32995"/>
    <cellStyle name="Normal 6 2 3 4 2 2 4" xfId="4790"/>
    <cellStyle name="Normal 6 2 3 4 2 2 4 2" xfId="12313"/>
    <cellStyle name="Normal 6 2 3 4 2 2 4 2 2" xfId="27357"/>
    <cellStyle name="Normal 6 2 3 4 2 2 4 2 3" xfId="42400"/>
    <cellStyle name="Normal 6 2 3 4 2 2 4 3" xfId="19836"/>
    <cellStyle name="Normal 6 2 3 4 2 2 4 4" xfId="34879"/>
    <cellStyle name="Normal 6 2 3 4 2 2 5" xfId="8564"/>
    <cellStyle name="Normal 6 2 3 4 2 2 5 2" xfId="23608"/>
    <cellStyle name="Normal 6 2 3 4 2 2 5 3" xfId="38651"/>
    <cellStyle name="Normal 6 2 3 4 2 2 6" xfId="16087"/>
    <cellStyle name="Normal 6 2 3 4 2 2 7" xfId="31130"/>
    <cellStyle name="Normal 6 2 3 4 2 3" xfId="1469"/>
    <cellStyle name="Normal 6 2 3 4 2 3 2" xfId="3340"/>
    <cellStyle name="Normal 6 2 3 4 2 3 2 2" xfId="7135"/>
    <cellStyle name="Normal 6 2 3 4 2 3 2 2 2" xfId="14658"/>
    <cellStyle name="Normal 6 2 3 4 2 3 2 2 2 2" xfId="29702"/>
    <cellStyle name="Normal 6 2 3 4 2 3 2 2 2 3" xfId="44745"/>
    <cellStyle name="Normal 6 2 3 4 2 3 2 2 3" xfId="22181"/>
    <cellStyle name="Normal 6 2 3 4 2 3 2 2 4" xfId="37224"/>
    <cellStyle name="Normal 6 2 3 4 2 3 2 3" xfId="10909"/>
    <cellStyle name="Normal 6 2 3 4 2 3 2 3 2" xfId="25953"/>
    <cellStyle name="Normal 6 2 3 4 2 3 2 3 3" xfId="40996"/>
    <cellStyle name="Normal 6 2 3 4 2 3 2 4" xfId="18432"/>
    <cellStyle name="Normal 6 2 3 4 2 3 2 5" xfId="33475"/>
    <cellStyle name="Normal 6 2 3 4 2 3 3" xfId="5270"/>
    <cellStyle name="Normal 6 2 3 4 2 3 3 2" xfId="12793"/>
    <cellStyle name="Normal 6 2 3 4 2 3 3 2 2" xfId="27837"/>
    <cellStyle name="Normal 6 2 3 4 2 3 3 2 3" xfId="42880"/>
    <cellStyle name="Normal 6 2 3 4 2 3 3 3" xfId="20316"/>
    <cellStyle name="Normal 6 2 3 4 2 3 3 4" xfId="35359"/>
    <cellStyle name="Normal 6 2 3 4 2 3 4" xfId="9044"/>
    <cellStyle name="Normal 6 2 3 4 2 3 4 2" xfId="24088"/>
    <cellStyle name="Normal 6 2 3 4 2 3 4 3" xfId="39131"/>
    <cellStyle name="Normal 6 2 3 4 2 3 5" xfId="16567"/>
    <cellStyle name="Normal 6 2 3 4 2 3 6" xfId="31610"/>
    <cellStyle name="Normal 6 2 3 4 2 4" xfId="2407"/>
    <cellStyle name="Normal 6 2 3 4 2 4 2" xfId="6203"/>
    <cellStyle name="Normal 6 2 3 4 2 4 2 2" xfId="13726"/>
    <cellStyle name="Normal 6 2 3 4 2 4 2 2 2" xfId="28770"/>
    <cellStyle name="Normal 6 2 3 4 2 4 2 2 3" xfId="43813"/>
    <cellStyle name="Normal 6 2 3 4 2 4 2 3" xfId="21249"/>
    <cellStyle name="Normal 6 2 3 4 2 4 2 4" xfId="36292"/>
    <cellStyle name="Normal 6 2 3 4 2 4 3" xfId="9977"/>
    <cellStyle name="Normal 6 2 3 4 2 4 3 2" xfId="25021"/>
    <cellStyle name="Normal 6 2 3 4 2 4 3 3" xfId="40064"/>
    <cellStyle name="Normal 6 2 3 4 2 4 4" xfId="17500"/>
    <cellStyle name="Normal 6 2 3 4 2 4 5" xfId="32543"/>
    <cellStyle name="Normal 6 2 3 4 2 5" xfId="4335"/>
    <cellStyle name="Normal 6 2 3 4 2 5 2" xfId="11859"/>
    <cellStyle name="Normal 6 2 3 4 2 5 2 2" xfId="26903"/>
    <cellStyle name="Normal 6 2 3 4 2 5 2 3" xfId="41946"/>
    <cellStyle name="Normal 6 2 3 4 2 5 3" xfId="19382"/>
    <cellStyle name="Normal 6 2 3 4 2 5 4" xfId="34425"/>
    <cellStyle name="Normal 6 2 3 4 2 6" xfId="8098"/>
    <cellStyle name="Normal 6 2 3 4 2 6 2" xfId="23142"/>
    <cellStyle name="Normal 6 2 3 4 2 6 3" xfId="38185"/>
    <cellStyle name="Normal 6 2 3 4 2 7" xfId="15621"/>
    <cellStyle name="Normal 6 2 3 4 2 8" xfId="30664"/>
    <cellStyle name="Normal 6 2 3 4 3" xfId="961"/>
    <cellStyle name="Normal 6 2 3 4 3 2" xfId="1920"/>
    <cellStyle name="Normal 6 2 3 4 3 2 2" xfId="3791"/>
    <cellStyle name="Normal 6 2 3 4 3 2 2 2" xfId="7586"/>
    <cellStyle name="Normal 6 2 3 4 3 2 2 2 2" xfId="15109"/>
    <cellStyle name="Normal 6 2 3 4 3 2 2 2 2 2" xfId="30153"/>
    <cellStyle name="Normal 6 2 3 4 3 2 2 2 2 3" xfId="45196"/>
    <cellStyle name="Normal 6 2 3 4 3 2 2 2 3" xfId="22632"/>
    <cellStyle name="Normal 6 2 3 4 3 2 2 2 4" xfId="37675"/>
    <cellStyle name="Normal 6 2 3 4 3 2 2 3" xfId="11360"/>
    <cellStyle name="Normal 6 2 3 4 3 2 2 3 2" xfId="26404"/>
    <cellStyle name="Normal 6 2 3 4 3 2 2 3 3" xfId="41447"/>
    <cellStyle name="Normal 6 2 3 4 3 2 2 4" xfId="18883"/>
    <cellStyle name="Normal 6 2 3 4 3 2 2 5" xfId="33926"/>
    <cellStyle name="Normal 6 2 3 4 3 2 3" xfId="5721"/>
    <cellStyle name="Normal 6 2 3 4 3 2 3 2" xfId="13244"/>
    <cellStyle name="Normal 6 2 3 4 3 2 3 2 2" xfId="28288"/>
    <cellStyle name="Normal 6 2 3 4 3 2 3 2 3" xfId="43331"/>
    <cellStyle name="Normal 6 2 3 4 3 2 3 3" xfId="20767"/>
    <cellStyle name="Normal 6 2 3 4 3 2 3 4" xfId="35810"/>
    <cellStyle name="Normal 6 2 3 4 3 2 4" xfId="9495"/>
    <cellStyle name="Normal 6 2 3 4 3 2 4 2" xfId="24539"/>
    <cellStyle name="Normal 6 2 3 4 3 2 4 3" xfId="39582"/>
    <cellStyle name="Normal 6 2 3 4 3 2 5" xfId="17018"/>
    <cellStyle name="Normal 6 2 3 4 3 2 6" xfId="32061"/>
    <cellStyle name="Normal 6 2 3 4 3 3" xfId="2859"/>
    <cellStyle name="Normal 6 2 3 4 3 3 2" xfId="6654"/>
    <cellStyle name="Normal 6 2 3 4 3 3 2 2" xfId="14177"/>
    <cellStyle name="Normal 6 2 3 4 3 3 2 2 2" xfId="29221"/>
    <cellStyle name="Normal 6 2 3 4 3 3 2 2 3" xfId="44264"/>
    <cellStyle name="Normal 6 2 3 4 3 3 2 3" xfId="21700"/>
    <cellStyle name="Normal 6 2 3 4 3 3 2 4" xfId="36743"/>
    <cellStyle name="Normal 6 2 3 4 3 3 3" xfId="10428"/>
    <cellStyle name="Normal 6 2 3 4 3 3 3 2" xfId="25472"/>
    <cellStyle name="Normal 6 2 3 4 3 3 3 3" xfId="40515"/>
    <cellStyle name="Normal 6 2 3 4 3 3 4" xfId="17951"/>
    <cellStyle name="Normal 6 2 3 4 3 3 5" xfId="32994"/>
    <cellStyle name="Normal 6 2 3 4 3 4" xfId="4789"/>
    <cellStyle name="Normal 6 2 3 4 3 4 2" xfId="12312"/>
    <cellStyle name="Normal 6 2 3 4 3 4 2 2" xfId="27356"/>
    <cellStyle name="Normal 6 2 3 4 3 4 2 3" xfId="42399"/>
    <cellStyle name="Normal 6 2 3 4 3 4 3" xfId="19835"/>
    <cellStyle name="Normal 6 2 3 4 3 4 4" xfId="34878"/>
    <cellStyle name="Normal 6 2 3 4 3 5" xfId="8563"/>
    <cellStyle name="Normal 6 2 3 4 3 5 2" xfId="23607"/>
    <cellStyle name="Normal 6 2 3 4 3 5 3" xfId="38650"/>
    <cellStyle name="Normal 6 2 3 4 3 6" xfId="16086"/>
    <cellStyle name="Normal 6 2 3 4 3 7" xfId="31129"/>
    <cellStyle name="Normal 6 2 3 4 4" xfId="1468"/>
    <cellStyle name="Normal 6 2 3 4 4 2" xfId="3339"/>
    <cellStyle name="Normal 6 2 3 4 4 2 2" xfId="7134"/>
    <cellStyle name="Normal 6 2 3 4 4 2 2 2" xfId="14657"/>
    <cellStyle name="Normal 6 2 3 4 4 2 2 2 2" xfId="29701"/>
    <cellStyle name="Normal 6 2 3 4 4 2 2 2 3" xfId="44744"/>
    <cellStyle name="Normal 6 2 3 4 4 2 2 3" xfId="22180"/>
    <cellStyle name="Normal 6 2 3 4 4 2 2 4" xfId="37223"/>
    <cellStyle name="Normal 6 2 3 4 4 2 3" xfId="10908"/>
    <cellStyle name="Normal 6 2 3 4 4 2 3 2" xfId="25952"/>
    <cellStyle name="Normal 6 2 3 4 4 2 3 3" xfId="40995"/>
    <cellStyle name="Normal 6 2 3 4 4 2 4" xfId="18431"/>
    <cellStyle name="Normal 6 2 3 4 4 2 5" xfId="33474"/>
    <cellStyle name="Normal 6 2 3 4 4 3" xfId="5269"/>
    <cellStyle name="Normal 6 2 3 4 4 3 2" xfId="12792"/>
    <cellStyle name="Normal 6 2 3 4 4 3 2 2" xfId="27836"/>
    <cellStyle name="Normal 6 2 3 4 4 3 2 3" xfId="42879"/>
    <cellStyle name="Normal 6 2 3 4 4 3 3" xfId="20315"/>
    <cellStyle name="Normal 6 2 3 4 4 3 4" xfId="35358"/>
    <cellStyle name="Normal 6 2 3 4 4 4" xfId="9043"/>
    <cellStyle name="Normal 6 2 3 4 4 4 2" xfId="24087"/>
    <cellStyle name="Normal 6 2 3 4 4 4 3" xfId="39130"/>
    <cellStyle name="Normal 6 2 3 4 4 5" xfId="16566"/>
    <cellStyle name="Normal 6 2 3 4 4 6" xfId="31609"/>
    <cellStyle name="Normal 6 2 3 4 5" xfId="2406"/>
    <cellStyle name="Normal 6 2 3 4 5 2" xfId="6202"/>
    <cellStyle name="Normal 6 2 3 4 5 2 2" xfId="13725"/>
    <cellStyle name="Normal 6 2 3 4 5 2 2 2" xfId="28769"/>
    <cellStyle name="Normal 6 2 3 4 5 2 2 3" xfId="43812"/>
    <cellStyle name="Normal 6 2 3 4 5 2 3" xfId="21248"/>
    <cellStyle name="Normal 6 2 3 4 5 2 4" xfId="36291"/>
    <cellStyle name="Normal 6 2 3 4 5 3" xfId="9976"/>
    <cellStyle name="Normal 6 2 3 4 5 3 2" xfId="25020"/>
    <cellStyle name="Normal 6 2 3 4 5 3 3" xfId="40063"/>
    <cellStyle name="Normal 6 2 3 4 5 4" xfId="17499"/>
    <cellStyle name="Normal 6 2 3 4 5 5" xfId="32542"/>
    <cellStyle name="Normal 6 2 3 4 6" xfId="4334"/>
    <cellStyle name="Normal 6 2 3 4 6 2" xfId="11858"/>
    <cellStyle name="Normal 6 2 3 4 6 2 2" xfId="26902"/>
    <cellStyle name="Normal 6 2 3 4 6 2 3" xfId="41945"/>
    <cellStyle name="Normal 6 2 3 4 6 3" xfId="19381"/>
    <cellStyle name="Normal 6 2 3 4 6 4" xfId="34424"/>
    <cellStyle name="Normal 6 2 3 4 7" xfId="8097"/>
    <cellStyle name="Normal 6 2 3 4 7 2" xfId="23141"/>
    <cellStyle name="Normal 6 2 3 4 7 3" xfId="38184"/>
    <cellStyle name="Normal 6 2 3 4 8" xfId="15620"/>
    <cellStyle name="Normal 6 2 3 4 9" xfId="30663"/>
    <cellStyle name="Normal 6 2 3 5" xfId="444"/>
    <cellStyle name="Normal 6 2 3 5 2" xfId="963"/>
    <cellStyle name="Normal 6 2 3 5 2 2" xfId="1922"/>
    <cellStyle name="Normal 6 2 3 5 2 2 2" xfId="3793"/>
    <cellStyle name="Normal 6 2 3 5 2 2 2 2" xfId="7588"/>
    <cellStyle name="Normal 6 2 3 5 2 2 2 2 2" xfId="15111"/>
    <cellStyle name="Normal 6 2 3 5 2 2 2 2 2 2" xfId="30155"/>
    <cellStyle name="Normal 6 2 3 5 2 2 2 2 2 3" xfId="45198"/>
    <cellStyle name="Normal 6 2 3 5 2 2 2 2 3" xfId="22634"/>
    <cellStyle name="Normal 6 2 3 5 2 2 2 2 4" xfId="37677"/>
    <cellStyle name="Normal 6 2 3 5 2 2 2 3" xfId="11362"/>
    <cellStyle name="Normal 6 2 3 5 2 2 2 3 2" xfId="26406"/>
    <cellStyle name="Normal 6 2 3 5 2 2 2 3 3" xfId="41449"/>
    <cellStyle name="Normal 6 2 3 5 2 2 2 4" xfId="18885"/>
    <cellStyle name="Normal 6 2 3 5 2 2 2 5" xfId="33928"/>
    <cellStyle name="Normal 6 2 3 5 2 2 3" xfId="5723"/>
    <cellStyle name="Normal 6 2 3 5 2 2 3 2" xfId="13246"/>
    <cellStyle name="Normal 6 2 3 5 2 2 3 2 2" xfId="28290"/>
    <cellStyle name="Normal 6 2 3 5 2 2 3 2 3" xfId="43333"/>
    <cellStyle name="Normal 6 2 3 5 2 2 3 3" xfId="20769"/>
    <cellStyle name="Normal 6 2 3 5 2 2 3 4" xfId="35812"/>
    <cellStyle name="Normal 6 2 3 5 2 2 4" xfId="9497"/>
    <cellStyle name="Normal 6 2 3 5 2 2 4 2" xfId="24541"/>
    <cellStyle name="Normal 6 2 3 5 2 2 4 3" xfId="39584"/>
    <cellStyle name="Normal 6 2 3 5 2 2 5" xfId="17020"/>
    <cellStyle name="Normal 6 2 3 5 2 2 6" xfId="32063"/>
    <cellStyle name="Normal 6 2 3 5 2 3" xfId="2861"/>
    <cellStyle name="Normal 6 2 3 5 2 3 2" xfId="6656"/>
    <cellStyle name="Normal 6 2 3 5 2 3 2 2" xfId="14179"/>
    <cellStyle name="Normal 6 2 3 5 2 3 2 2 2" xfId="29223"/>
    <cellStyle name="Normal 6 2 3 5 2 3 2 2 3" xfId="44266"/>
    <cellStyle name="Normal 6 2 3 5 2 3 2 3" xfId="21702"/>
    <cellStyle name="Normal 6 2 3 5 2 3 2 4" xfId="36745"/>
    <cellStyle name="Normal 6 2 3 5 2 3 3" xfId="10430"/>
    <cellStyle name="Normal 6 2 3 5 2 3 3 2" xfId="25474"/>
    <cellStyle name="Normal 6 2 3 5 2 3 3 3" xfId="40517"/>
    <cellStyle name="Normal 6 2 3 5 2 3 4" xfId="17953"/>
    <cellStyle name="Normal 6 2 3 5 2 3 5" xfId="32996"/>
    <cellStyle name="Normal 6 2 3 5 2 4" xfId="4791"/>
    <cellStyle name="Normal 6 2 3 5 2 4 2" xfId="12314"/>
    <cellStyle name="Normal 6 2 3 5 2 4 2 2" xfId="27358"/>
    <cellStyle name="Normal 6 2 3 5 2 4 2 3" xfId="42401"/>
    <cellStyle name="Normal 6 2 3 5 2 4 3" xfId="19837"/>
    <cellStyle name="Normal 6 2 3 5 2 4 4" xfId="34880"/>
    <cellStyle name="Normal 6 2 3 5 2 5" xfId="8565"/>
    <cellStyle name="Normal 6 2 3 5 2 5 2" xfId="23609"/>
    <cellStyle name="Normal 6 2 3 5 2 5 3" xfId="38652"/>
    <cellStyle name="Normal 6 2 3 5 2 6" xfId="16088"/>
    <cellStyle name="Normal 6 2 3 5 2 7" xfId="31131"/>
    <cellStyle name="Normal 6 2 3 5 3" xfId="1470"/>
    <cellStyle name="Normal 6 2 3 5 3 2" xfId="3341"/>
    <cellStyle name="Normal 6 2 3 5 3 2 2" xfId="7136"/>
    <cellStyle name="Normal 6 2 3 5 3 2 2 2" xfId="14659"/>
    <cellStyle name="Normal 6 2 3 5 3 2 2 2 2" xfId="29703"/>
    <cellStyle name="Normal 6 2 3 5 3 2 2 2 3" xfId="44746"/>
    <cellStyle name="Normal 6 2 3 5 3 2 2 3" xfId="22182"/>
    <cellStyle name="Normal 6 2 3 5 3 2 2 4" xfId="37225"/>
    <cellStyle name="Normal 6 2 3 5 3 2 3" xfId="10910"/>
    <cellStyle name="Normal 6 2 3 5 3 2 3 2" xfId="25954"/>
    <cellStyle name="Normal 6 2 3 5 3 2 3 3" xfId="40997"/>
    <cellStyle name="Normal 6 2 3 5 3 2 4" xfId="18433"/>
    <cellStyle name="Normal 6 2 3 5 3 2 5" xfId="33476"/>
    <cellStyle name="Normal 6 2 3 5 3 3" xfId="5271"/>
    <cellStyle name="Normal 6 2 3 5 3 3 2" xfId="12794"/>
    <cellStyle name="Normal 6 2 3 5 3 3 2 2" xfId="27838"/>
    <cellStyle name="Normal 6 2 3 5 3 3 2 3" xfId="42881"/>
    <cellStyle name="Normal 6 2 3 5 3 3 3" xfId="20317"/>
    <cellStyle name="Normal 6 2 3 5 3 3 4" xfId="35360"/>
    <cellStyle name="Normal 6 2 3 5 3 4" xfId="9045"/>
    <cellStyle name="Normal 6 2 3 5 3 4 2" xfId="24089"/>
    <cellStyle name="Normal 6 2 3 5 3 4 3" xfId="39132"/>
    <cellStyle name="Normal 6 2 3 5 3 5" xfId="16568"/>
    <cellStyle name="Normal 6 2 3 5 3 6" xfId="31611"/>
    <cellStyle name="Normal 6 2 3 5 4" xfId="2408"/>
    <cellStyle name="Normal 6 2 3 5 4 2" xfId="6204"/>
    <cellStyle name="Normal 6 2 3 5 4 2 2" xfId="13727"/>
    <cellStyle name="Normal 6 2 3 5 4 2 2 2" xfId="28771"/>
    <cellStyle name="Normal 6 2 3 5 4 2 2 3" xfId="43814"/>
    <cellStyle name="Normal 6 2 3 5 4 2 3" xfId="21250"/>
    <cellStyle name="Normal 6 2 3 5 4 2 4" xfId="36293"/>
    <cellStyle name="Normal 6 2 3 5 4 3" xfId="9978"/>
    <cellStyle name="Normal 6 2 3 5 4 3 2" xfId="25022"/>
    <cellStyle name="Normal 6 2 3 5 4 3 3" xfId="40065"/>
    <cellStyle name="Normal 6 2 3 5 4 4" xfId="17501"/>
    <cellStyle name="Normal 6 2 3 5 4 5" xfId="32544"/>
    <cellStyle name="Normal 6 2 3 5 5" xfId="4336"/>
    <cellStyle name="Normal 6 2 3 5 5 2" xfId="11860"/>
    <cellStyle name="Normal 6 2 3 5 5 2 2" xfId="26904"/>
    <cellStyle name="Normal 6 2 3 5 5 2 3" xfId="41947"/>
    <cellStyle name="Normal 6 2 3 5 5 3" xfId="19383"/>
    <cellStyle name="Normal 6 2 3 5 5 4" xfId="34426"/>
    <cellStyle name="Normal 6 2 3 5 6" xfId="8099"/>
    <cellStyle name="Normal 6 2 3 5 6 2" xfId="23143"/>
    <cellStyle name="Normal 6 2 3 5 6 3" xfId="38186"/>
    <cellStyle name="Normal 6 2 3 5 7" xfId="15622"/>
    <cellStyle name="Normal 6 2 3 5 8" xfId="30665"/>
    <cellStyle name="Normal 6 2 3 6" xfId="954"/>
    <cellStyle name="Normal 6 2 3 6 2" xfId="1913"/>
    <cellStyle name="Normal 6 2 3 6 2 2" xfId="3784"/>
    <cellStyle name="Normal 6 2 3 6 2 2 2" xfId="7579"/>
    <cellStyle name="Normal 6 2 3 6 2 2 2 2" xfId="15102"/>
    <cellStyle name="Normal 6 2 3 6 2 2 2 2 2" xfId="30146"/>
    <cellStyle name="Normal 6 2 3 6 2 2 2 2 3" xfId="45189"/>
    <cellStyle name="Normal 6 2 3 6 2 2 2 3" xfId="22625"/>
    <cellStyle name="Normal 6 2 3 6 2 2 2 4" xfId="37668"/>
    <cellStyle name="Normal 6 2 3 6 2 2 3" xfId="11353"/>
    <cellStyle name="Normal 6 2 3 6 2 2 3 2" xfId="26397"/>
    <cellStyle name="Normal 6 2 3 6 2 2 3 3" xfId="41440"/>
    <cellStyle name="Normal 6 2 3 6 2 2 4" xfId="18876"/>
    <cellStyle name="Normal 6 2 3 6 2 2 5" xfId="33919"/>
    <cellStyle name="Normal 6 2 3 6 2 3" xfId="5714"/>
    <cellStyle name="Normal 6 2 3 6 2 3 2" xfId="13237"/>
    <cellStyle name="Normal 6 2 3 6 2 3 2 2" xfId="28281"/>
    <cellStyle name="Normal 6 2 3 6 2 3 2 3" xfId="43324"/>
    <cellStyle name="Normal 6 2 3 6 2 3 3" xfId="20760"/>
    <cellStyle name="Normal 6 2 3 6 2 3 4" xfId="35803"/>
    <cellStyle name="Normal 6 2 3 6 2 4" xfId="9488"/>
    <cellStyle name="Normal 6 2 3 6 2 4 2" xfId="24532"/>
    <cellStyle name="Normal 6 2 3 6 2 4 3" xfId="39575"/>
    <cellStyle name="Normal 6 2 3 6 2 5" xfId="17011"/>
    <cellStyle name="Normal 6 2 3 6 2 6" xfId="32054"/>
    <cellStyle name="Normal 6 2 3 6 3" xfId="2852"/>
    <cellStyle name="Normal 6 2 3 6 3 2" xfId="6647"/>
    <cellStyle name="Normal 6 2 3 6 3 2 2" xfId="14170"/>
    <cellStyle name="Normal 6 2 3 6 3 2 2 2" xfId="29214"/>
    <cellStyle name="Normal 6 2 3 6 3 2 2 3" xfId="44257"/>
    <cellStyle name="Normal 6 2 3 6 3 2 3" xfId="21693"/>
    <cellStyle name="Normal 6 2 3 6 3 2 4" xfId="36736"/>
    <cellStyle name="Normal 6 2 3 6 3 3" xfId="10421"/>
    <cellStyle name="Normal 6 2 3 6 3 3 2" xfId="25465"/>
    <cellStyle name="Normal 6 2 3 6 3 3 3" xfId="40508"/>
    <cellStyle name="Normal 6 2 3 6 3 4" xfId="17944"/>
    <cellStyle name="Normal 6 2 3 6 3 5" xfId="32987"/>
    <cellStyle name="Normal 6 2 3 6 4" xfId="4782"/>
    <cellStyle name="Normal 6 2 3 6 4 2" xfId="12305"/>
    <cellStyle name="Normal 6 2 3 6 4 2 2" xfId="27349"/>
    <cellStyle name="Normal 6 2 3 6 4 2 3" xfId="42392"/>
    <cellStyle name="Normal 6 2 3 6 4 3" xfId="19828"/>
    <cellStyle name="Normal 6 2 3 6 4 4" xfId="34871"/>
    <cellStyle name="Normal 6 2 3 6 5" xfId="8556"/>
    <cellStyle name="Normal 6 2 3 6 5 2" xfId="23600"/>
    <cellStyle name="Normal 6 2 3 6 5 3" xfId="38643"/>
    <cellStyle name="Normal 6 2 3 6 6" xfId="16079"/>
    <cellStyle name="Normal 6 2 3 6 7" xfId="31122"/>
    <cellStyle name="Normal 6 2 3 7" xfId="1461"/>
    <cellStyle name="Normal 6 2 3 7 2" xfId="3332"/>
    <cellStyle name="Normal 6 2 3 7 2 2" xfId="7127"/>
    <cellStyle name="Normal 6 2 3 7 2 2 2" xfId="14650"/>
    <cellStyle name="Normal 6 2 3 7 2 2 2 2" xfId="29694"/>
    <cellStyle name="Normal 6 2 3 7 2 2 2 3" xfId="44737"/>
    <cellStyle name="Normal 6 2 3 7 2 2 3" xfId="22173"/>
    <cellStyle name="Normal 6 2 3 7 2 2 4" xfId="37216"/>
    <cellStyle name="Normal 6 2 3 7 2 3" xfId="10901"/>
    <cellStyle name="Normal 6 2 3 7 2 3 2" xfId="25945"/>
    <cellStyle name="Normal 6 2 3 7 2 3 3" xfId="40988"/>
    <cellStyle name="Normal 6 2 3 7 2 4" xfId="18424"/>
    <cellStyle name="Normal 6 2 3 7 2 5" xfId="33467"/>
    <cellStyle name="Normal 6 2 3 7 3" xfId="5262"/>
    <cellStyle name="Normal 6 2 3 7 3 2" xfId="12785"/>
    <cellStyle name="Normal 6 2 3 7 3 2 2" xfId="27829"/>
    <cellStyle name="Normal 6 2 3 7 3 2 3" xfId="42872"/>
    <cellStyle name="Normal 6 2 3 7 3 3" xfId="20308"/>
    <cellStyle name="Normal 6 2 3 7 3 4" xfId="35351"/>
    <cellStyle name="Normal 6 2 3 7 4" xfId="9036"/>
    <cellStyle name="Normal 6 2 3 7 4 2" xfId="24080"/>
    <cellStyle name="Normal 6 2 3 7 4 3" xfId="39123"/>
    <cellStyle name="Normal 6 2 3 7 5" xfId="16559"/>
    <cellStyle name="Normal 6 2 3 7 6" xfId="31602"/>
    <cellStyle name="Normal 6 2 3 8" xfId="2399"/>
    <cellStyle name="Normal 6 2 3 8 2" xfId="6195"/>
    <cellStyle name="Normal 6 2 3 8 2 2" xfId="13718"/>
    <cellStyle name="Normal 6 2 3 8 2 2 2" xfId="28762"/>
    <cellStyle name="Normal 6 2 3 8 2 2 3" xfId="43805"/>
    <cellStyle name="Normal 6 2 3 8 2 3" xfId="21241"/>
    <cellStyle name="Normal 6 2 3 8 2 4" xfId="36284"/>
    <cellStyle name="Normal 6 2 3 8 3" xfId="9969"/>
    <cellStyle name="Normal 6 2 3 8 3 2" xfId="25013"/>
    <cellStyle name="Normal 6 2 3 8 3 3" xfId="40056"/>
    <cellStyle name="Normal 6 2 3 8 4" xfId="17492"/>
    <cellStyle name="Normal 6 2 3 8 5" xfId="32535"/>
    <cellStyle name="Normal 6 2 3 9" xfId="4327"/>
    <cellStyle name="Normal 6 2 3 9 2" xfId="11851"/>
    <cellStyle name="Normal 6 2 3 9 2 2" xfId="26895"/>
    <cellStyle name="Normal 6 2 3 9 2 3" xfId="41938"/>
    <cellStyle name="Normal 6 2 3 9 3" xfId="19374"/>
    <cellStyle name="Normal 6 2 3 9 4" xfId="34417"/>
    <cellStyle name="Normal 6 2 4" xfId="445"/>
    <cellStyle name="Normal 6 2 4 10" xfId="15623"/>
    <cellStyle name="Normal 6 2 4 11" xfId="30666"/>
    <cellStyle name="Normal 6 2 4 2" xfId="446"/>
    <cellStyle name="Normal 6 2 4 2 2" xfId="447"/>
    <cellStyle name="Normal 6 2 4 2 2 2" xfId="966"/>
    <cellStyle name="Normal 6 2 4 2 2 2 2" xfId="1925"/>
    <cellStyle name="Normal 6 2 4 2 2 2 2 2" xfId="3796"/>
    <cellStyle name="Normal 6 2 4 2 2 2 2 2 2" xfId="7591"/>
    <cellStyle name="Normal 6 2 4 2 2 2 2 2 2 2" xfId="15114"/>
    <cellStyle name="Normal 6 2 4 2 2 2 2 2 2 2 2" xfId="30158"/>
    <cellStyle name="Normal 6 2 4 2 2 2 2 2 2 2 3" xfId="45201"/>
    <cellStyle name="Normal 6 2 4 2 2 2 2 2 2 3" xfId="22637"/>
    <cellStyle name="Normal 6 2 4 2 2 2 2 2 2 4" xfId="37680"/>
    <cellStyle name="Normal 6 2 4 2 2 2 2 2 3" xfId="11365"/>
    <cellStyle name="Normal 6 2 4 2 2 2 2 2 3 2" xfId="26409"/>
    <cellStyle name="Normal 6 2 4 2 2 2 2 2 3 3" xfId="41452"/>
    <cellStyle name="Normal 6 2 4 2 2 2 2 2 4" xfId="18888"/>
    <cellStyle name="Normal 6 2 4 2 2 2 2 2 5" xfId="33931"/>
    <cellStyle name="Normal 6 2 4 2 2 2 2 3" xfId="5726"/>
    <cellStyle name="Normal 6 2 4 2 2 2 2 3 2" xfId="13249"/>
    <cellStyle name="Normal 6 2 4 2 2 2 2 3 2 2" xfId="28293"/>
    <cellStyle name="Normal 6 2 4 2 2 2 2 3 2 3" xfId="43336"/>
    <cellStyle name="Normal 6 2 4 2 2 2 2 3 3" xfId="20772"/>
    <cellStyle name="Normal 6 2 4 2 2 2 2 3 4" xfId="35815"/>
    <cellStyle name="Normal 6 2 4 2 2 2 2 4" xfId="9500"/>
    <cellStyle name="Normal 6 2 4 2 2 2 2 4 2" xfId="24544"/>
    <cellStyle name="Normal 6 2 4 2 2 2 2 4 3" xfId="39587"/>
    <cellStyle name="Normal 6 2 4 2 2 2 2 5" xfId="17023"/>
    <cellStyle name="Normal 6 2 4 2 2 2 2 6" xfId="32066"/>
    <cellStyle name="Normal 6 2 4 2 2 2 3" xfId="2864"/>
    <cellStyle name="Normal 6 2 4 2 2 2 3 2" xfId="6659"/>
    <cellStyle name="Normal 6 2 4 2 2 2 3 2 2" xfId="14182"/>
    <cellStyle name="Normal 6 2 4 2 2 2 3 2 2 2" xfId="29226"/>
    <cellStyle name="Normal 6 2 4 2 2 2 3 2 2 3" xfId="44269"/>
    <cellStyle name="Normal 6 2 4 2 2 2 3 2 3" xfId="21705"/>
    <cellStyle name="Normal 6 2 4 2 2 2 3 2 4" xfId="36748"/>
    <cellStyle name="Normal 6 2 4 2 2 2 3 3" xfId="10433"/>
    <cellStyle name="Normal 6 2 4 2 2 2 3 3 2" xfId="25477"/>
    <cellStyle name="Normal 6 2 4 2 2 2 3 3 3" xfId="40520"/>
    <cellStyle name="Normal 6 2 4 2 2 2 3 4" xfId="17956"/>
    <cellStyle name="Normal 6 2 4 2 2 2 3 5" xfId="32999"/>
    <cellStyle name="Normal 6 2 4 2 2 2 4" xfId="4794"/>
    <cellStyle name="Normal 6 2 4 2 2 2 4 2" xfId="12317"/>
    <cellStyle name="Normal 6 2 4 2 2 2 4 2 2" xfId="27361"/>
    <cellStyle name="Normal 6 2 4 2 2 2 4 2 3" xfId="42404"/>
    <cellStyle name="Normal 6 2 4 2 2 2 4 3" xfId="19840"/>
    <cellStyle name="Normal 6 2 4 2 2 2 4 4" xfId="34883"/>
    <cellStyle name="Normal 6 2 4 2 2 2 5" xfId="8568"/>
    <cellStyle name="Normal 6 2 4 2 2 2 5 2" xfId="23612"/>
    <cellStyle name="Normal 6 2 4 2 2 2 5 3" xfId="38655"/>
    <cellStyle name="Normal 6 2 4 2 2 2 6" xfId="16091"/>
    <cellStyle name="Normal 6 2 4 2 2 2 7" xfId="31134"/>
    <cellStyle name="Normal 6 2 4 2 2 3" xfId="1473"/>
    <cellStyle name="Normal 6 2 4 2 2 3 2" xfId="3344"/>
    <cellStyle name="Normal 6 2 4 2 2 3 2 2" xfId="7139"/>
    <cellStyle name="Normal 6 2 4 2 2 3 2 2 2" xfId="14662"/>
    <cellStyle name="Normal 6 2 4 2 2 3 2 2 2 2" xfId="29706"/>
    <cellStyle name="Normal 6 2 4 2 2 3 2 2 2 3" xfId="44749"/>
    <cellStyle name="Normal 6 2 4 2 2 3 2 2 3" xfId="22185"/>
    <cellStyle name="Normal 6 2 4 2 2 3 2 2 4" xfId="37228"/>
    <cellStyle name="Normal 6 2 4 2 2 3 2 3" xfId="10913"/>
    <cellStyle name="Normal 6 2 4 2 2 3 2 3 2" xfId="25957"/>
    <cellStyle name="Normal 6 2 4 2 2 3 2 3 3" xfId="41000"/>
    <cellStyle name="Normal 6 2 4 2 2 3 2 4" xfId="18436"/>
    <cellStyle name="Normal 6 2 4 2 2 3 2 5" xfId="33479"/>
    <cellStyle name="Normal 6 2 4 2 2 3 3" xfId="5274"/>
    <cellStyle name="Normal 6 2 4 2 2 3 3 2" xfId="12797"/>
    <cellStyle name="Normal 6 2 4 2 2 3 3 2 2" xfId="27841"/>
    <cellStyle name="Normal 6 2 4 2 2 3 3 2 3" xfId="42884"/>
    <cellStyle name="Normal 6 2 4 2 2 3 3 3" xfId="20320"/>
    <cellStyle name="Normal 6 2 4 2 2 3 3 4" xfId="35363"/>
    <cellStyle name="Normal 6 2 4 2 2 3 4" xfId="9048"/>
    <cellStyle name="Normal 6 2 4 2 2 3 4 2" xfId="24092"/>
    <cellStyle name="Normal 6 2 4 2 2 3 4 3" xfId="39135"/>
    <cellStyle name="Normal 6 2 4 2 2 3 5" xfId="16571"/>
    <cellStyle name="Normal 6 2 4 2 2 3 6" xfId="31614"/>
    <cellStyle name="Normal 6 2 4 2 2 4" xfId="2411"/>
    <cellStyle name="Normal 6 2 4 2 2 4 2" xfId="6207"/>
    <cellStyle name="Normal 6 2 4 2 2 4 2 2" xfId="13730"/>
    <cellStyle name="Normal 6 2 4 2 2 4 2 2 2" xfId="28774"/>
    <cellStyle name="Normal 6 2 4 2 2 4 2 2 3" xfId="43817"/>
    <cellStyle name="Normal 6 2 4 2 2 4 2 3" xfId="21253"/>
    <cellStyle name="Normal 6 2 4 2 2 4 2 4" xfId="36296"/>
    <cellStyle name="Normal 6 2 4 2 2 4 3" xfId="9981"/>
    <cellStyle name="Normal 6 2 4 2 2 4 3 2" xfId="25025"/>
    <cellStyle name="Normal 6 2 4 2 2 4 3 3" xfId="40068"/>
    <cellStyle name="Normal 6 2 4 2 2 4 4" xfId="17504"/>
    <cellStyle name="Normal 6 2 4 2 2 4 5" xfId="32547"/>
    <cellStyle name="Normal 6 2 4 2 2 5" xfId="4339"/>
    <cellStyle name="Normal 6 2 4 2 2 5 2" xfId="11863"/>
    <cellStyle name="Normal 6 2 4 2 2 5 2 2" xfId="26907"/>
    <cellStyle name="Normal 6 2 4 2 2 5 2 3" xfId="41950"/>
    <cellStyle name="Normal 6 2 4 2 2 5 3" xfId="19386"/>
    <cellStyle name="Normal 6 2 4 2 2 5 4" xfId="34429"/>
    <cellStyle name="Normal 6 2 4 2 2 6" xfId="8102"/>
    <cellStyle name="Normal 6 2 4 2 2 6 2" xfId="23146"/>
    <cellStyle name="Normal 6 2 4 2 2 6 3" xfId="38189"/>
    <cellStyle name="Normal 6 2 4 2 2 7" xfId="15625"/>
    <cellStyle name="Normal 6 2 4 2 2 8" xfId="30668"/>
    <cellStyle name="Normal 6 2 4 2 3" xfId="965"/>
    <cellStyle name="Normal 6 2 4 2 3 2" xfId="1924"/>
    <cellStyle name="Normal 6 2 4 2 3 2 2" xfId="3795"/>
    <cellStyle name="Normal 6 2 4 2 3 2 2 2" xfId="7590"/>
    <cellStyle name="Normal 6 2 4 2 3 2 2 2 2" xfId="15113"/>
    <cellStyle name="Normal 6 2 4 2 3 2 2 2 2 2" xfId="30157"/>
    <cellStyle name="Normal 6 2 4 2 3 2 2 2 2 3" xfId="45200"/>
    <cellStyle name="Normal 6 2 4 2 3 2 2 2 3" xfId="22636"/>
    <cellStyle name="Normal 6 2 4 2 3 2 2 2 4" xfId="37679"/>
    <cellStyle name="Normal 6 2 4 2 3 2 2 3" xfId="11364"/>
    <cellStyle name="Normal 6 2 4 2 3 2 2 3 2" xfId="26408"/>
    <cellStyle name="Normal 6 2 4 2 3 2 2 3 3" xfId="41451"/>
    <cellStyle name="Normal 6 2 4 2 3 2 2 4" xfId="18887"/>
    <cellStyle name="Normal 6 2 4 2 3 2 2 5" xfId="33930"/>
    <cellStyle name="Normal 6 2 4 2 3 2 3" xfId="5725"/>
    <cellStyle name="Normal 6 2 4 2 3 2 3 2" xfId="13248"/>
    <cellStyle name="Normal 6 2 4 2 3 2 3 2 2" xfId="28292"/>
    <cellStyle name="Normal 6 2 4 2 3 2 3 2 3" xfId="43335"/>
    <cellStyle name="Normal 6 2 4 2 3 2 3 3" xfId="20771"/>
    <cellStyle name="Normal 6 2 4 2 3 2 3 4" xfId="35814"/>
    <cellStyle name="Normal 6 2 4 2 3 2 4" xfId="9499"/>
    <cellStyle name="Normal 6 2 4 2 3 2 4 2" xfId="24543"/>
    <cellStyle name="Normal 6 2 4 2 3 2 4 3" xfId="39586"/>
    <cellStyle name="Normal 6 2 4 2 3 2 5" xfId="17022"/>
    <cellStyle name="Normal 6 2 4 2 3 2 6" xfId="32065"/>
    <cellStyle name="Normal 6 2 4 2 3 3" xfId="2863"/>
    <cellStyle name="Normal 6 2 4 2 3 3 2" xfId="6658"/>
    <cellStyle name="Normal 6 2 4 2 3 3 2 2" xfId="14181"/>
    <cellStyle name="Normal 6 2 4 2 3 3 2 2 2" xfId="29225"/>
    <cellStyle name="Normal 6 2 4 2 3 3 2 2 3" xfId="44268"/>
    <cellStyle name="Normal 6 2 4 2 3 3 2 3" xfId="21704"/>
    <cellStyle name="Normal 6 2 4 2 3 3 2 4" xfId="36747"/>
    <cellStyle name="Normal 6 2 4 2 3 3 3" xfId="10432"/>
    <cellStyle name="Normal 6 2 4 2 3 3 3 2" xfId="25476"/>
    <cellStyle name="Normal 6 2 4 2 3 3 3 3" xfId="40519"/>
    <cellStyle name="Normal 6 2 4 2 3 3 4" xfId="17955"/>
    <cellStyle name="Normal 6 2 4 2 3 3 5" xfId="32998"/>
    <cellStyle name="Normal 6 2 4 2 3 4" xfId="4793"/>
    <cellStyle name="Normal 6 2 4 2 3 4 2" xfId="12316"/>
    <cellStyle name="Normal 6 2 4 2 3 4 2 2" xfId="27360"/>
    <cellStyle name="Normal 6 2 4 2 3 4 2 3" xfId="42403"/>
    <cellStyle name="Normal 6 2 4 2 3 4 3" xfId="19839"/>
    <cellStyle name="Normal 6 2 4 2 3 4 4" xfId="34882"/>
    <cellStyle name="Normal 6 2 4 2 3 5" xfId="8567"/>
    <cellStyle name="Normal 6 2 4 2 3 5 2" xfId="23611"/>
    <cellStyle name="Normal 6 2 4 2 3 5 3" xfId="38654"/>
    <cellStyle name="Normal 6 2 4 2 3 6" xfId="16090"/>
    <cellStyle name="Normal 6 2 4 2 3 7" xfId="31133"/>
    <cellStyle name="Normal 6 2 4 2 4" xfId="1472"/>
    <cellStyle name="Normal 6 2 4 2 4 2" xfId="3343"/>
    <cellStyle name="Normal 6 2 4 2 4 2 2" xfId="7138"/>
    <cellStyle name="Normal 6 2 4 2 4 2 2 2" xfId="14661"/>
    <cellStyle name="Normal 6 2 4 2 4 2 2 2 2" xfId="29705"/>
    <cellStyle name="Normal 6 2 4 2 4 2 2 2 3" xfId="44748"/>
    <cellStyle name="Normal 6 2 4 2 4 2 2 3" xfId="22184"/>
    <cellStyle name="Normal 6 2 4 2 4 2 2 4" xfId="37227"/>
    <cellStyle name="Normal 6 2 4 2 4 2 3" xfId="10912"/>
    <cellStyle name="Normal 6 2 4 2 4 2 3 2" xfId="25956"/>
    <cellStyle name="Normal 6 2 4 2 4 2 3 3" xfId="40999"/>
    <cellStyle name="Normal 6 2 4 2 4 2 4" xfId="18435"/>
    <cellStyle name="Normal 6 2 4 2 4 2 5" xfId="33478"/>
    <cellStyle name="Normal 6 2 4 2 4 3" xfId="5273"/>
    <cellStyle name="Normal 6 2 4 2 4 3 2" xfId="12796"/>
    <cellStyle name="Normal 6 2 4 2 4 3 2 2" xfId="27840"/>
    <cellStyle name="Normal 6 2 4 2 4 3 2 3" xfId="42883"/>
    <cellStyle name="Normal 6 2 4 2 4 3 3" xfId="20319"/>
    <cellStyle name="Normal 6 2 4 2 4 3 4" xfId="35362"/>
    <cellStyle name="Normal 6 2 4 2 4 4" xfId="9047"/>
    <cellStyle name="Normal 6 2 4 2 4 4 2" xfId="24091"/>
    <cellStyle name="Normal 6 2 4 2 4 4 3" xfId="39134"/>
    <cellStyle name="Normal 6 2 4 2 4 5" xfId="16570"/>
    <cellStyle name="Normal 6 2 4 2 4 6" xfId="31613"/>
    <cellStyle name="Normal 6 2 4 2 5" xfId="2410"/>
    <cellStyle name="Normal 6 2 4 2 5 2" xfId="6206"/>
    <cellStyle name="Normal 6 2 4 2 5 2 2" xfId="13729"/>
    <cellStyle name="Normal 6 2 4 2 5 2 2 2" xfId="28773"/>
    <cellStyle name="Normal 6 2 4 2 5 2 2 3" xfId="43816"/>
    <cellStyle name="Normal 6 2 4 2 5 2 3" xfId="21252"/>
    <cellStyle name="Normal 6 2 4 2 5 2 4" xfId="36295"/>
    <cellStyle name="Normal 6 2 4 2 5 3" xfId="9980"/>
    <cellStyle name="Normal 6 2 4 2 5 3 2" xfId="25024"/>
    <cellStyle name="Normal 6 2 4 2 5 3 3" xfId="40067"/>
    <cellStyle name="Normal 6 2 4 2 5 4" xfId="17503"/>
    <cellStyle name="Normal 6 2 4 2 5 5" xfId="32546"/>
    <cellStyle name="Normal 6 2 4 2 6" xfId="4338"/>
    <cellStyle name="Normal 6 2 4 2 6 2" xfId="11862"/>
    <cellStyle name="Normal 6 2 4 2 6 2 2" xfId="26906"/>
    <cellStyle name="Normal 6 2 4 2 6 2 3" xfId="41949"/>
    <cellStyle name="Normal 6 2 4 2 6 3" xfId="19385"/>
    <cellStyle name="Normal 6 2 4 2 6 4" xfId="34428"/>
    <cellStyle name="Normal 6 2 4 2 7" xfId="8101"/>
    <cellStyle name="Normal 6 2 4 2 7 2" xfId="23145"/>
    <cellStyle name="Normal 6 2 4 2 7 3" xfId="38188"/>
    <cellStyle name="Normal 6 2 4 2 8" xfId="15624"/>
    <cellStyle name="Normal 6 2 4 2 9" xfId="30667"/>
    <cellStyle name="Normal 6 2 4 3" xfId="448"/>
    <cellStyle name="Normal 6 2 4 3 2" xfId="449"/>
    <cellStyle name="Normal 6 2 4 3 2 2" xfId="968"/>
    <cellStyle name="Normal 6 2 4 3 2 2 2" xfId="1927"/>
    <cellStyle name="Normal 6 2 4 3 2 2 2 2" xfId="3798"/>
    <cellStyle name="Normal 6 2 4 3 2 2 2 2 2" xfId="7593"/>
    <cellStyle name="Normal 6 2 4 3 2 2 2 2 2 2" xfId="15116"/>
    <cellStyle name="Normal 6 2 4 3 2 2 2 2 2 2 2" xfId="30160"/>
    <cellStyle name="Normal 6 2 4 3 2 2 2 2 2 2 3" xfId="45203"/>
    <cellStyle name="Normal 6 2 4 3 2 2 2 2 2 3" xfId="22639"/>
    <cellStyle name="Normal 6 2 4 3 2 2 2 2 2 4" xfId="37682"/>
    <cellStyle name="Normal 6 2 4 3 2 2 2 2 3" xfId="11367"/>
    <cellStyle name="Normal 6 2 4 3 2 2 2 2 3 2" xfId="26411"/>
    <cellStyle name="Normal 6 2 4 3 2 2 2 2 3 3" xfId="41454"/>
    <cellStyle name="Normal 6 2 4 3 2 2 2 2 4" xfId="18890"/>
    <cellStyle name="Normal 6 2 4 3 2 2 2 2 5" xfId="33933"/>
    <cellStyle name="Normal 6 2 4 3 2 2 2 3" xfId="5728"/>
    <cellStyle name="Normal 6 2 4 3 2 2 2 3 2" xfId="13251"/>
    <cellStyle name="Normal 6 2 4 3 2 2 2 3 2 2" xfId="28295"/>
    <cellStyle name="Normal 6 2 4 3 2 2 2 3 2 3" xfId="43338"/>
    <cellStyle name="Normal 6 2 4 3 2 2 2 3 3" xfId="20774"/>
    <cellStyle name="Normal 6 2 4 3 2 2 2 3 4" xfId="35817"/>
    <cellStyle name="Normal 6 2 4 3 2 2 2 4" xfId="9502"/>
    <cellStyle name="Normal 6 2 4 3 2 2 2 4 2" xfId="24546"/>
    <cellStyle name="Normal 6 2 4 3 2 2 2 4 3" xfId="39589"/>
    <cellStyle name="Normal 6 2 4 3 2 2 2 5" xfId="17025"/>
    <cellStyle name="Normal 6 2 4 3 2 2 2 6" xfId="32068"/>
    <cellStyle name="Normal 6 2 4 3 2 2 3" xfId="2866"/>
    <cellStyle name="Normal 6 2 4 3 2 2 3 2" xfId="6661"/>
    <cellStyle name="Normal 6 2 4 3 2 2 3 2 2" xfId="14184"/>
    <cellStyle name="Normal 6 2 4 3 2 2 3 2 2 2" xfId="29228"/>
    <cellStyle name="Normal 6 2 4 3 2 2 3 2 2 3" xfId="44271"/>
    <cellStyle name="Normal 6 2 4 3 2 2 3 2 3" xfId="21707"/>
    <cellStyle name="Normal 6 2 4 3 2 2 3 2 4" xfId="36750"/>
    <cellStyle name="Normal 6 2 4 3 2 2 3 3" xfId="10435"/>
    <cellStyle name="Normal 6 2 4 3 2 2 3 3 2" xfId="25479"/>
    <cellStyle name="Normal 6 2 4 3 2 2 3 3 3" xfId="40522"/>
    <cellStyle name="Normal 6 2 4 3 2 2 3 4" xfId="17958"/>
    <cellStyle name="Normal 6 2 4 3 2 2 3 5" xfId="33001"/>
    <cellStyle name="Normal 6 2 4 3 2 2 4" xfId="4796"/>
    <cellStyle name="Normal 6 2 4 3 2 2 4 2" xfId="12319"/>
    <cellStyle name="Normal 6 2 4 3 2 2 4 2 2" xfId="27363"/>
    <cellStyle name="Normal 6 2 4 3 2 2 4 2 3" xfId="42406"/>
    <cellStyle name="Normal 6 2 4 3 2 2 4 3" xfId="19842"/>
    <cellStyle name="Normal 6 2 4 3 2 2 4 4" xfId="34885"/>
    <cellStyle name="Normal 6 2 4 3 2 2 5" xfId="8570"/>
    <cellStyle name="Normal 6 2 4 3 2 2 5 2" xfId="23614"/>
    <cellStyle name="Normal 6 2 4 3 2 2 5 3" xfId="38657"/>
    <cellStyle name="Normal 6 2 4 3 2 2 6" xfId="16093"/>
    <cellStyle name="Normal 6 2 4 3 2 2 7" xfId="31136"/>
    <cellStyle name="Normal 6 2 4 3 2 3" xfId="1475"/>
    <cellStyle name="Normal 6 2 4 3 2 3 2" xfId="3346"/>
    <cellStyle name="Normal 6 2 4 3 2 3 2 2" xfId="7141"/>
    <cellStyle name="Normal 6 2 4 3 2 3 2 2 2" xfId="14664"/>
    <cellStyle name="Normal 6 2 4 3 2 3 2 2 2 2" xfId="29708"/>
    <cellStyle name="Normal 6 2 4 3 2 3 2 2 2 3" xfId="44751"/>
    <cellStyle name="Normal 6 2 4 3 2 3 2 2 3" xfId="22187"/>
    <cellStyle name="Normal 6 2 4 3 2 3 2 2 4" xfId="37230"/>
    <cellStyle name="Normal 6 2 4 3 2 3 2 3" xfId="10915"/>
    <cellStyle name="Normal 6 2 4 3 2 3 2 3 2" xfId="25959"/>
    <cellStyle name="Normal 6 2 4 3 2 3 2 3 3" xfId="41002"/>
    <cellStyle name="Normal 6 2 4 3 2 3 2 4" xfId="18438"/>
    <cellStyle name="Normal 6 2 4 3 2 3 2 5" xfId="33481"/>
    <cellStyle name="Normal 6 2 4 3 2 3 3" xfId="5276"/>
    <cellStyle name="Normal 6 2 4 3 2 3 3 2" xfId="12799"/>
    <cellStyle name="Normal 6 2 4 3 2 3 3 2 2" xfId="27843"/>
    <cellStyle name="Normal 6 2 4 3 2 3 3 2 3" xfId="42886"/>
    <cellStyle name="Normal 6 2 4 3 2 3 3 3" xfId="20322"/>
    <cellStyle name="Normal 6 2 4 3 2 3 3 4" xfId="35365"/>
    <cellStyle name="Normal 6 2 4 3 2 3 4" xfId="9050"/>
    <cellStyle name="Normal 6 2 4 3 2 3 4 2" xfId="24094"/>
    <cellStyle name="Normal 6 2 4 3 2 3 4 3" xfId="39137"/>
    <cellStyle name="Normal 6 2 4 3 2 3 5" xfId="16573"/>
    <cellStyle name="Normal 6 2 4 3 2 3 6" xfId="31616"/>
    <cellStyle name="Normal 6 2 4 3 2 4" xfId="2413"/>
    <cellStyle name="Normal 6 2 4 3 2 4 2" xfId="6209"/>
    <cellStyle name="Normal 6 2 4 3 2 4 2 2" xfId="13732"/>
    <cellStyle name="Normal 6 2 4 3 2 4 2 2 2" xfId="28776"/>
    <cellStyle name="Normal 6 2 4 3 2 4 2 2 3" xfId="43819"/>
    <cellStyle name="Normal 6 2 4 3 2 4 2 3" xfId="21255"/>
    <cellStyle name="Normal 6 2 4 3 2 4 2 4" xfId="36298"/>
    <cellStyle name="Normal 6 2 4 3 2 4 3" xfId="9983"/>
    <cellStyle name="Normal 6 2 4 3 2 4 3 2" xfId="25027"/>
    <cellStyle name="Normal 6 2 4 3 2 4 3 3" xfId="40070"/>
    <cellStyle name="Normal 6 2 4 3 2 4 4" xfId="17506"/>
    <cellStyle name="Normal 6 2 4 3 2 4 5" xfId="32549"/>
    <cellStyle name="Normal 6 2 4 3 2 5" xfId="4341"/>
    <cellStyle name="Normal 6 2 4 3 2 5 2" xfId="11865"/>
    <cellStyle name="Normal 6 2 4 3 2 5 2 2" xfId="26909"/>
    <cellStyle name="Normal 6 2 4 3 2 5 2 3" xfId="41952"/>
    <cellStyle name="Normal 6 2 4 3 2 5 3" xfId="19388"/>
    <cellStyle name="Normal 6 2 4 3 2 5 4" xfId="34431"/>
    <cellStyle name="Normal 6 2 4 3 2 6" xfId="8104"/>
    <cellStyle name="Normal 6 2 4 3 2 6 2" xfId="23148"/>
    <cellStyle name="Normal 6 2 4 3 2 6 3" xfId="38191"/>
    <cellStyle name="Normal 6 2 4 3 2 7" xfId="15627"/>
    <cellStyle name="Normal 6 2 4 3 2 8" xfId="30670"/>
    <cellStyle name="Normal 6 2 4 3 3" xfId="967"/>
    <cellStyle name="Normal 6 2 4 3 3 2" xfId="1926"/>
    <cellStyle name="Normal 6 2 4 3 3 2 2" xfId="3797"/>
    <cellStyle name="Normal 6 2 4 3 3 2 2 2" xfId="7592"/>
    <cellStyle name="Normal 6 2 4 3 3 2 2 2 2" xfId="15115"/>
    <cellStyle name="Normal 6 2 4 3 3 2 2 2 2 2" xfId="30159"/>
    <cellStyle name="Normal 6 2 4 3 3 2 2 2 2 3" xfId="45202"/>
    <cellStyle name="Normal 6 2 4 3 3 2 2 2 3" xfId="22638"/>
    <cellStyle name="Normal 6 2 4 3 3 2 2 2 4" xfId="37681"/>
    <cellStyle name="Normal 6 2 4 3 3 2 2 3" xfId="11366"/>
    <cellStyle name="Normal 6 2 4 3 3 2 2 3 2" xfId="26410"/>
    <cellStyle name="Normal 6 2 4 3 3 2 2 3 3" xfId="41453"/>
    <cellStyle name="Normal 6 2 4 3 3 2 2 4" xfId="18889"/>
    <cellStyle name="Normal 6 2 4 3 3 2 2 5" xfId="33932"/>
    <cellStyle name="Normal 6 2 4 3 3 2 3" xfId="5727"/>
    <cellStyle name="Normal 6 2 4 3 3 2 3 2" xfId="13250"/>
    <cellStyle name="Normal 6 2 4 3 3 2 3 2 2" xfId="28294"/>
    <cellStyle name="Normal 6 2 4 3 3 2 3 2 3" xfId="43337"/>
    <cellStyle name="Normal 6 2 4 3 3 2 3 3" xfId="20773"/>
    <cellStyle name="Normal 6 2 4 3 3 2 3 4" xfId="35816"/>
    <cellStyle name="Normal 6 2 4 3 3 2 4" xfId="9501"/>
    <cellStyle name="Normal 6 2 4 3 3 2 4 2" xfId="24545"/>
    <cellStyle name="Normal 6 2 4 3 3 2 4 3" xfId="39588"/>
    <cellStyle name="Normal 6 2 4 3 3 2 5" xfId="17024"/>
    <cellStyle name="Normal 6 2 4 3 3 2 6" xfId="32067"/>
    <cellStyle name="Normal 6 2 4 3 3 3" xfId="2865"/>
    <cellStyle name="Normal 6 2 4 3 3 3 2" xfId="6660"/>
    <cellStyle name="Normal 6 2 4 3 3 3 2 2" xfId="14183"/>
    <cellStyle name="Normal 6 2 4 3 3 3 2 2 2" xfId="29227"/>
    <cellStyle name="Normal 6 2 4 3 3 3 2 2 3" xfId="44270"/>
    <cellStyle name="Normal 6 2 4 3 3 3 2 3" xfId="21706"/>
    <cellStyle name="Normal 6 2 4 3 3 3 2 4" xfId="36749"/>
    <cellStyle name="Normal 6 2 4 3 3 3 3" xfId="10434"/>
    <cellStyle name="Normal 6 2 4 3 3 3 3 2" xfId="25478"/>
    <cellStyle name="Normal 6 2 4 3 3 3 3 3" xfId="40521"/>
    <cellStyle name="Normal 6 2 4 3 3 3 4" xfId="17957"/>
    <cellStyle name="Normal 6 2 4 3 3 3 5" xfId="33000"/>
    <cellStyle name="Normal 6 2 4 3 3 4" xfId="4795"/>
    <cellStyle name="Normal 6 2 4 3 3 4 2" xfId="12318"/>
    <cellStyle name="Normal 6 2 4 3 3 4 2 2" xfId="27362"/>
    <cellStyle name="Normal 6 2 4 3 3 4 2 3" xfId="42405"/>
    <cellStyle name="Normal 6 2 4 3 3 4 3" xfId="19841"/>
    <cellStyle name="Normal 6 2 4 3 3 4 4" xfId="34884"/>
    <cellStyle name="Normal 6 2 4 3 3 5" xfId="8569"/>
    <cellStyle name="Normal 6 2 4 3 3 5 2" xfId="23613"/>
    <cellStyle name="Normal 6 2 4 3 3 5 3" xfId="38656"/>
    <cellStyle name="Normal 6 2 4 3 3 6" xfId="16092"/>
    <cellStyle name="Normal 6 2 4 3 3 7" xfId="31135"/>
    <cellStyle name="Normal 6 2 4 3 4" xfId="1474"/>
    <cellStyle name="Normal 6 2 4 3 4 2" xfId="3345"/>
    <cellStyle name="Normal 6 2 4 3 4 2 2" xfId="7140"/>
    <cellStyle name="Normal 6 2 4 3 4 2 2 2" xfId="14663"/>
    <cellStyle name="Normal 6 2 4 3 4 2 2 2 2" xfId="29707"/>
    <cellStyle name="Normal 6 2 4 3 4 2 2 2 3" xfId="44750"/>
    <cellStyle name="Normal 6 2 4 3 4 2 2 3" xfId="22186"/>
    <cellStyle name="Normal 6 2 4 3 4 2 2 4" xfId="37229"/>
    <cellStyle name="Normal 6 2 4 3 4 2 3" xfId="10914"/>
    <cellStyle name="Normal 6 2 4 3 4 2 3 2" xfId="25958"/>
    <cellStyle name="Normal 6 2 4 3 4 2 3 3" xfId="41001"/>
    <cellStyle name="Normal 6 2 4 3 4 2 4" xfId="18437"/>
    <cellStyle name="Normal 6 2 4 3 4 2 5" xfId="33480"/>
    <cellStyle name="Normal 6 2 4 3 4 3" xfId="5275"/>
    <cellStyle name="Normal 6 2 4 3 4 3 2" xfId="12798"/>
    <cellStyle name="Normal 6 2 4 3 4 3 2 2" xfId="27842"/>
    <cellStyle name="Normal 6 2 4 3 4 3 2 3" xfId="42885"/>
    <cellStyle name="Normal 6 2 4 3 4 3 3" xfId="20321"/>
    <cellStyle name="Normal 6 2 4 3 4 3 4" xfId="35364"/>
    <cellStyle name="Normal 6 2 4 3 4 4" xfId="9049"/>
    <cellStyle name="Normal 6 2 4 3 4 4 2" xfId="24093"/>
    <cellStyle name="Normal 6 2 4 3 4 4 3" xfId="39136"/>
    <cellStyle name="Normal 6 2 4 3 4 5" xfId="16572"/>
    <cellStyle name="Normal 6 2 4 3 4 6" xfId="31615"/>
    <cellStyle name="Normal 6 2 4 3 5" xfId="2412"/>
    <cellStyle name="Normal 6 2 4 3 5 2" xfId="6208"/>
    <cellStyle name="Normal 6 2 4 3 5 2 2" xfId="13731"/>
    <cellStyle name="Normal 6 2 4 3 5 2 2 2" xfId="28775"/>
    <cellStyle name="Normal 6 2 4 3 5 2 2 3" xfId="43818"/>
    <cellStyle name="Normal 6 2 4 3 5 2 3" xfId="21254"/>
    <cellStyle name="Normal 6 2 4 3 5 2 4" xfId="36297"/>
    <cellStyle name="Normal 6 2 4 3 5 3" xfId="9982"/>
    <cellStyle name="Normal 6 2 4 3 5 3 2" xfId="25026"/>
    <cellStyle name="Normal 6 2 4 3 5 3 3" xfId="40069"/>
    <cellStyle name="Normal 6 2 4 3 5 4" xfId="17505"/>
    <cellStyle name="Normal 6 2 4 3 5 5" xfId="32548"/>
    <cellStyle name="Normal 6 2 4 3 6" xfId="4340"/>
    <cellStyle name="Normal 6 2 4 3 6 2" xfId="11864"/>
    <cellStyle name="Normal 6 2 4 3 6 2 2" xfId="26908"/>
    <cellStyle name="Normal 6 2 4 3 6 2 3" xfId="41951"/>
    <cellStyle name="Normal 6 2 4 3 6 3" xfId="19387"/>
    <cellStyle name="Normal 6 2 4 3 6 4" xfId="34430"/>
    <cellStyle name="Normal 6 2 4 3 7" xfId="8103"/>
    <cellStyle name="Normal 6 2 4 3 7 2" xfId="23147"/>
    <cellStyle name="Normal 6 2 4 3 7 3" xfId="38190"/>
    <cellStyle name="Normal 6 2 4 3 8" xfId="15626"/>
    <cellStyle name="Normal 6 2 4 3 9" xfId="30669"/>
    <cellStyle name="Normal 6 2 4 4" xfId="450"/>
    <cellStyle name="Normal 6 2 4 4 2" xfId="969"/>
    <cellStyle name="Normal 6 2 4 4 2 2" xfId="1928"/>
    <cellStyle name="Normal 6 2 4 4 2 2 2" xfId="3799"/>
    <cellStyle name="Normal 6 2 4 4 2 2 2 2" xfId="7594"/>
    <cellStyle name="Normal 6 2 4 4 2 2 2 2 2" xfId="15117"/>
    <cellStyle name="Normal 6 2 4 4 2 2 2 2 2 2" xfId="30161"/>
    <cellStyle name="Normal 6 2 4 4 2 2 2 2 2 3" xfId="45204"/>
    <cellStyle name="Normal 6 2 4 4 2 2 2 2 3" xfId="22640"/>
    <cellStyle name="Normal 6 2 4 4 2 2 2 2 4" xfId="37683"/>
    <cellStyle name="Normal 6 2 4 4 2 2 2 3" xfId="11368"/>
    <cellStyle name="Normal 6 2 4 4 2 2 2 3 2" xfId="26412"/>
    <cellStyle name="Normal 6 2 4 4 2 2 2 3 3" xfId="41455"/>
    <cellStyle name="Normal 6 2 4 4 2 2 2 4" xfId="18891"/>
    <cellStyle name="Normal 6 2 4 4 2 2 2 5" xfId="33934"/>
    <cellStyle name="Normal 6 2 4 4 2 2 3" xfId="5729"/>
    <cellStyle name="Normal 6 2 4 4 2 2 3 2" xfId="13252"/>
    <cellStyle name="Normal 6 2 4 4 2 2 3 2 2" xfId="28296"/>
    <cellStyle name="Normal 6 2 4 4 2 2 3 2 3" xfId="43339"/>
    <cellStyle name="Normal 6 2 4 4 2 2 3 3" xfId="20775"/>
    <cellStyle name="Normal 6 2 4 4 2 2 3 4" xfId="35818"/>
    <cellStyle name="Normal 6 2 4 4 2 2 4" xfId="9503"/>
    <cellStyle name="Normal 6 2 4 4 2 2 4 2" xfId="24547"/>
    <cellStyle name="Normal 6 2 4 4 2 2 4 3" xfId="39590"/>
    <cellStyle name="Normal 6 2 4 4 2 2 5" xfId="17026"/>
    <cellStyle name="Normal 6 2 4 4 2 2 6" xfId="32069"/>
    <cellStyle name="Normal 6 2 4 4 2 3" xfId="2867"/>
    <cellStyle name="Normal 6 2 4 4 2 3 2" xfId="6662"/>
    <cellStyle name="Normal 6 2 4 4 2 3 2 2" xfId="14185"/>
    <cellStyle name="Normal 6 2 4 4 2 3 2 2 2" xfId="29229"/>
    <cellStyle name="Normal 6 2 4 4 2 3 2 2 3" xfId="44272"/>
    <cellStyle name="Normal 6 2 4 4 2 3 2 3" xfId="21708"/>
    <cellStyle name="Normal 6 2 4 4 2 3 2 4" xfId="36751"/>
    <cellStyle name="Normal 6 2 4 4 2 3 3" xfId="10436"/>
    <cellStyle name="Normal 6 2 4 4 2 3 3 2" xfId="25480"/>
    <cellStyle name="Normal 6 2 4 4 2 3 3 3" xfId="40523"/>
    <cellStyle name="Normal 6 2 4 4 2 3 4" xfId="17959"/>
    <cellStyle name="Normal 6 2 4 4 2 3 5" xfId="33002"/>
    <cellStyle name="Normal 6 2 4 4 2 4" xfId="4797"/>
    <cellStyle name="Normal 6 2 4 4 2 4 2" xfId="12320"/>
    <cellStyle name="Normal 6 2 4 4 2 4 2 2" xfId="27364"/>
    <cellStyle name="Normal 6 2 4 4 2 4 2 3" xfId="42407"/>
    <cellStyle name="Normal 6 2 4 4 2 4 3" xfId="19843"/>
    <cellStyle name="Normal 6 2 4 4 2 4 4" xfId="34886"/>
    <cellStyle name="Normal 6 2 4 4 2 5" xfId="8571"/>
    <cellStyle name="Normal 6 2 4 4 2 5 2" xfId="23615"/>
    <cellStyle name="Normal 6 2 4 4 2 5 3" xfId="38658"/>
    <cellStyle name="Normal 6 2 4 4 2 6" xfId="16094"/>
    <cellStyle name="Normal 6 2 4 4 2 7" xfId="31137"/>
    <cellStyle name="Normal 6 2 4 4 3" xfId="1476"/>
    <cellStyle name="Normal 6 2 4 4 3 2" xfId="3347"/>
    <cellStyle name="Normal 6 2 4 4 3 2 2" xfId="7142"/>
    <cellStyle name="Normal 6 2 4 4 3 2 2 2" xfId="14665"/>
    <cellStyle name="Normal 6 2 4 4 3 2 2 2 2" xfId="29709"/>
    <cellStyle name="Normal 6 2 4 4 3 2 2 2 3" xfId="44752"/>
    <cellStyle name="Normal 6 2 4 4 3 2 2 3" xfId="22188"/>
    <cellStyle name="Normal 6 2 4 4 3 2 2 4" xfId="37231"/>
    <cellStyle name="Normal 6 2 4 4 3 2 3" xfId="10916"/>
    <cellStyle name="Normal 6 2 4 4 3 2 3 2" xfId="25960"/>
    <cellStyle name="Normal 6 2 4 4 3 2 3 3" xfId="41003"/>
    <cellStyle name="Normal 6 2 4 4 3 2 4" xfId="18439"/>
    <cellStyle name="Normal 6 2 4 4 3 2 5" xfId="33482"/>
    <cellStyle name="Normal 6 2 4 4 3 3" xfId="5277"/>
    <cellStyle name="Normal 6 2 4 4 3 3 2" xfId="12800"/>
    <cellStyle name="Normal 6 2 4 4 3 3 2 2" xfId="27844"/>
    <cellStyle name="Normal 6 2 4 4 3 3 2 3" xfId="42887"/>
    <cellStyle name="Normal 6 2 4 4 3 3 3" xfId="20323"/>
    <cellStyle name="Normal 6 2 4 4 3 3 4" xfId="35366"/>
    <cellStyle name="Normal 6 2 4 4 3 4" xfId="9051"/>
    <cellStyle name="Normal 6 2 4 4 3 4 2" xfId="24095"/>
    <cellStyle name="Normal 6 2 4 4 3 4 3" xfId="39138"/>
    <cellStyle name="Normal 6 2 4 4 3 5" xfId="16574"/>
    <cellStyle name="Normal 6 2 4 4 3 6" xfId="31617"/>
    <cellStyle name="Normal 6 2 4 4 4" xfId="2414"/>
    <cellStyle name="Normal 6 2 4 4 4 2" xfId="6210"/>
    <cellStyle name="Normal 6 2 4 4 4 2 2" xfId="13733"/>
    <cellStyle name="Normal 6 2 4 4 4 2 2 2" xfId="28777"/>
    <cellStyle name="Normal 6 2 4 4 4 2 2 3" xfId="43820"/>
    <cellStyle name="Normal 6 2 4 4 4 2 3" xfId="21256"/>
    <cellStyle name="Normal 6 2 4 4 4 2 4" xfId="36299"/>
    <cellStyle name="Normal 6 2 4 4 4 3" xfId="9984"/>
    <cellStyle name="Normal 6 2 4 4 4 3 2" xfId="25028"/>
    <cellStyle name="Normal 6 2 4 4 4 3 3" xfId="40071"/>
    <cellStyle name="Normal 6 2 4 4 4 4" xfId="17507"/>
    <cellStyle name="Normal 6 2 4 4 4 5" xfId="32550"/>
    <cellStyle name="Normal 6 2 4 4 5" xfId="4342"/>
    <cellStyle name="Normal 6 2 4 4 5 2" xfId="11866"/>
    <cellStyle name="Normal 6 2 4 4 5 2 2" xfId="26910"/>
    <cellStyle name="Normal 6 2 4 4 5 2 3" xfId="41953"/>
    <cellStyle name="Normal 6 2 4 4 5 3" xfId="19389"/>
    <cellStyle name="Normal 6 2 4 4 5 4" xfId="34432"/>
    <cellStyle name="Normal 6 2 4 4 6" xfId="8105"/>
    <cellStyle name="Normal 6 2 4 4 6 2" xfId="23149"/>
    <cellStyle name="Normal 6 2 4 4 6 3" xfId="38192"/>
    <cellStyle name="Normal 6 2 4 4 7" xfId="15628"/>
    <cellStyle name="Normal 6 2 4 4 8" xfId="30671"/>
    <cellStyle name="Normal 6 2 4 5" xfId="964"/>
    <cellStyle name="Normal 6 2 4 5 2" xfId="1923"/>
    <cellStyle name="Normal 6 2 4 5 2 2" xfId="3794"/>
    <cellStyle name="Normal 6 2 4 5 2 2 2" xfId="7589"/>
    <cellStyle name="Normal 6 2 4 5 2 2 2 2" xfId="15112"/>
    <cellStyle name="Normal 6 2 4 5 2 2 2 2 2" xfId="30156"/>
    <cellStyle name="Normal 6 2 4 5 2 2 2 2 3" xfId="45199"/>
    <cellStyle name="Normal 6 2 4 5 2 2 2 3" xfId="22635"/>
    <cellStyle name="Normal 6 2 4 5 2 2 2 4" xfId="37678"/>
    <cellStyle name="Normal 6 2 4 5 2 2 3" xfId="11363"/>
    <cellStyle name="Normal 6 2 4 5 2 2 3 2" xfId="26407"/>
    <cellStyle name="Normal 6 2 4 5 2 2 3 3" xfId="41450"/>
    <cellStyle name="Normal 6 2 4 5 2 2 4" xfId="18886"/>
    <cellStyle name="Normal 6 2 4 5 2 2 5" xfId="33929"/>
    <cellStyle name="Normal 6 2 4 5 2 3" xfId="5724"/>
    <cellStyle name="Normal 6 2 4 5 2 3 2" xfId="13247"/>
    <cellStyle name="Normal 6 2 4 5 2 3 2 2" xfId="28291"/>
    <cellStyle name="Normal 6 2 4 5 2 3 2 3" xfId="43334"/>
    <cellStyle name="Normal 6 2 4 5 2 3 3" xfId="20770"/>
    <cellStyle name="Normal 6 2 4 5 2 3 4" xfId="35813"/>
    <cellStyle name="Normal 6 2 4 5 2 4" xfId="9498"/>
    <cellStyle name="Normal 6 2 4 5 2 4 2" xfId="24542"/>
    <cellStyle name="Normal 6 2 4 5 2 4 3" xfId="39585"/>
    <cellStyle name="Normal 6 2 4 5 2 5" xfId="17021"/>
    <cellStyle name="Normal 6 2 4 5 2 6" xfId="32064"/>
    <cellStyle name="Normal 6 2 4 5 3" xfId="2862"/>
    <cellStyle name="Normal 6 2 4 5 3 2" xfId="6657"/>
    <cellStyle name="Normal 6 2 4 5 3 2 2" xfId="14180"/>
    <cellStyle name="Normal 6 2 4 5 3 2 2 2" xfId="29224"/>
    <cellStyle name="Normal 6 2 4 5 3 2 2 3" xfId="44267"/>
    <cellStyle name="Normal 6 2 4 5 3 2 3" xfId="21703"/>
    <cellStyle name="Normal 6 2 4 5 3 2 4" xfId="36746"/>
    <cellStyle name="Normal 6 2 4 5 3 3" xfId="10431"/>
    <cellStyle name="Normal 6 2 4 5 3 3 2" xfId="25475"/>
    <cellStyle name="Normal 6 2 4 5 3 3 3" xfId="40518"/>
    <cellStyle name="Normal 6 2 4 5 3 4" xfId="17954"/>
    <cellStyle name="Normal 6 2 4 5 3 5" xfId="32997"/>
    <cellStyle name="Normal 6 2 4 5 4" xfId="4792"/>
    <cellStyle name="Normal 6 2 4 5 4 2" xfId="12315"/>
    <cellStyle name="Normal 6 2 4 5 4 2 2" xfId="27359"/>
    <cellStyle name="Normal 6 2 4 5 4 2 3" xfId="42402"/>
    <cellStyle name="Normal 6 2 4 5 4 3" xfId="19838"/>
    <cellStyle name="Normal 6 2 4 5 4 4" xfId="34881"/>
    <cellStyle name="Normal 6 2 4 5 5" xfId="8566"/>
    <cellStyle name="Normal 6 2 4 5 5 2" xfId="23610"/>
    <cellStyle name="Normal 6 2 4 5 5 3" xfId="38653"/>
    <cellStyle name="Normal 6 2 4 5 6" xfId="16089"/>
    <cellStyle name="Normal 6 2 4 5 7" xfId="31132"/>
    <cellStyle name="Normal 6 2 4 6" xfId="1471"/>
    <cellStyle name="Normal 6 2 4 6 2" xfId="3342"/>
    <cellStyle name="Normal 6 2 4 6 2 2" xfId="7137"/>
    <cellStyle name="Normal 6 2 4 6 2 2 2" xfId="14660"/>
    <cellStyle name="Normal 6 2 4 6 2 2 2 2" xfId="29704"/>
    <cellStyle name="Normal 6 2 4 6 2 2 2 3" xfId="44747"/>
    <cellStyle name="Normal 6 2 4 6 2 2 3" xfId="22183"/>
    <cellStyle name="Normal 6 2 4 6 2 2 4" xfId="37226"/>
    <cellStyle name="Normal 6 2 4 6 2 3" xfId="10911"/>
    <cellStyle name="Normal 6 2 4 6 2 3 2" xfId="25955"/>
    <cellStyle name="Normal 6 2 4 6 2 3 3" xfId="40998"/>
    <cellStyle name="Normal 6 2 4 6 2 4" xfId="18434"/>
    <cellStyle name="Normal 6 2 4 6 2 5" xfId="33477"/>
    <cellStyle name="Normal 6 2 4 6 3" xfId="5272"/>
    <cellStyle name="Normal 6 2 4 6 3 2" xfId="12795"/>
    <cellStyle name="Normal 6 2 4 6 3 2 2" xfId="27839"/>
    <cellStyle name="Normal 6 2 4 6 3 2 3" xfId="42882"/>
    <cellStyle name="Normal 6 2 4 6 3 3" xfId="20318"/>
    <cellStyle name="Normal 6 2 4 6 3 4" xfId="35361"/>
    <cellStyle name="Normal 6 2 4 6 4" xfId="9046"/>
    <cellStyle name="Normal 6 2 4 6 4 2" xfId="24090"/>
    <cellStyle name="Normal 6 2 4 6 4 3" xfId="39133"/>
    <cellStyle name="Normal 6 2 4 6 5" xfId="16569"/>
    <cellStyle name="Normal 6 2 4 6 6" xfId="31612"/>
    <cellStyle name="Normal 6 2 4 7" xfId="2409"/>
    <cellStyle name="Normal 6 2 4 7 2" xfId="6205"/>
    <cellStyle name="Normal 6 2 4 7 2 2" xfId="13728"/>
    <cellStyle name="Normal 6 2 4 7 2 2 2" xfId="28772"/>
    <cellStyle name="Normal 6 2 4 7 2 2 3" xfId="43815"/>
    <cellStyle name="Normal 6 2 4 7 2 3" xfId="21251"/>
    <cellStyle name="Normal 6 2 4 7 2 4" xfId="36294"/>
    <cellStyle name="Normal 6 2 4 7 3" xfId="9979"/>
    <cellStyle name="Normal 6 2 4 7 3 2" xfId="25023"/>
    <cellStyle name="Normal 6 2 4 7 3 3" xfId="40066"/>
    <cellStyle name="Normal 6 2 4 7 4" xfId="17502"/>
    <cellStyle name="Normal 6 2 4 7 5" xfId="32545"/>
    <cellStyle name="Normal 6 2 4 8" xfId="4337"/>
    <cellStyle name="Normal 6 2 4 8 2" xfId="11861"/>
    <cellStyle name="Normal 6 2 4 8 2 2" xfId="26905"/>
    <cellStyle name="Normal 6 2 4 8 2 3" xfId="41948"/>
    <cellStyle name="Normal 6 2 4 8 3" xfId="19384"/>
    <cellStyle name="Normal 6 2 4 8 4" xfId="34427"/>
    <cellStyle name="Normal 6 2 4 9" xfId="8100"/>
    <cellStyle name="Normal 6 2 4 9 2" xfId="23144"/>
    <cellStyle name="Normal 6 2 4 9 3" xfId="38187"/>
    <cellStyle name="Normal 6 2 5" xfId="451"/>
    <cellStyle name="Normal 6 2 5 2" xfId="452"/>
    <cellStyle name="Normal 6 2 5 2 2" xfId="971"/>
    <cellStyle name="Normal 6 2 5 2 2 2" xfId="1930"/>
    <cellStyle name="Normal 6 2 5 2 2 2 2" xfId="3801"/>
    <cellStyle name="Normal 6 2 5 2 2 2 2 2" xfId="7596"/>
    <cellStyle name="Normal 6 2 5 2 2 2 2 2 2" xfId="15119"/>
    <cellStyle name="Normal 6 2 5 2 2 2 2 2 2 2" xfId="30163"/>
    <cellStyle name="Normal 6 2 5 2 2 2 2 2 2 3" xfId="45206"/>
    <cellStyle name="Normal 6 2 5 2 2 2 2 2 3" xfId="22642"/>
    <cellStyle name="Normal 6 2 5 2 2 2 2 2 4" xfId="37685"/>
    <cellStyle name="Normal 6 2 5 2 2 2 2 3" xfId="11370"/>
    <cellStyle name="Normal 6 2 5 2 2 2 2 3 2" xfId="26414"/>
    <cellStyle name="Normal 6 2 5 2 2 2 2 3 3" xfId="41457"/>
    <cellStyle name="Normal 6 2 5 2 2 2 2 4" xfId="18893"/>
    <cellStyle name="Normal 6 2 5 2 2 2 2 5" xfId="33936"/>
    <cellStyle name="Normal 6 2 5 2 2 2 3" xfId="5731"/>
    <cellStyle name="Normal 6 2 5 2 2 2 3 2" xfId="13254"/>
    <cellStyle name="Normal 6 2 5 2 2 2 3 2 2" xfId="28298"/>
    <cellStyle name="Normal 6 2 5 2 2 2 3 2 3" xfId="43341"/>
    <cellStyle name="Normal 6 2 5 2 2 2 3 3" xfId="20777"/>
    <cellStyle name="Normal 6 2 5 2 2 2 3 4" xfId="35820"/>
    <cellStyle name="Normal 6 2 5 2 2 2 4" xfId="9505"/>
    <cellStyle name="Normal 6 2 5 2 2 2 4 2" xfId="24549"/>
    <cellStyle name="Normal 6 2 5 2 2 2 4 3" xfId="39592"/>
    <cellStyle name="Normal 6 2 5 2 2 2 5" xfId="17028"/>
    <cellStyle name="Normal 6 2 5 2 2 2 6" xfId="32071"/>
    <cellStyle name="Normal 6 2 5 2 2 3" xfId="2869"/>
    <cellStyle name="Normal 6 2 5 2 2 3 2" xfId="6664"/>
    <cellStyle name="Normal 6 2 5 2 2 3 2 2" xfId="14187"/>
    <cellStyle name="Normal 6 2 5 2 2 3 2 2 2" xfId="29231"/>
    <cellStyle name="Normal 6 2 5 2 2 3 2 2 3" xfId="44274"/>
    <cellStyle name="Normal 6 2 5 2 2 3 2 3" xfId="21710"/>
    <cellStyle name="Normal 6 2 5 2 2 3 2 4" xfId="36753"/>
    <cellStyle name="Normal 6 2 5 2 2 3 3" xfId="10438"/>
    <cellStyle name="Normal 6 2 5 2 2 3 3 2" xfId="25482"/>
    <cellStyle name="Normal 6 2 5 2 2 3 3 3" xfId="40525"/>
    <cellStyle name="Normal 6 2 5 2 2 3 4" xfId="17961"/>
    <cellStyle name="Normal 6 2 5 2 2 3 5" xfId="33004"/>
    <cellStyle name="Normal 6 2 5 2 2 4" xfId="4799"/>
    <cellStyle name="Normal 6 2 5 2 2 4 2" xfId="12322"/>
    <cellStyle name="Normal 6 2 5 2 2 4 2 2" xfId="27366"/>
    <cellStyle name="Normal 6 2 5 2 2 4 2 3" xfId="42409"/>
    <cellStyle name="Normal 6 2 5 2 2 4 3" xfId="19845"/>
    <cellStyle name="Normal 6 2 5 2 2 4 4" xfId="34888"/>
    <cellStyle name="Normal 6 2 5 2 2 5" xfId="8573"/>
    <cellStyle name="Normal 6 2 5 2 2 5 2" xfId="23617"/>
    <cellStyle name="Normal 6 2 5 2 2 5 3" xfId="38660"/>
    <cellStyle name="Normal 6 2 5 2 2 6" xfId="16096"/>
    <cellStyle name="Normal 6 2 5 2 2 7" xfId="31139"/>
    <cellStyle name="Normal 6 2 5 2 3" xfId="1478"/>
    <cellStyle name="Normal 6 2 5 2 3 2" xfId="3349"/>
    <cellStyle name="Normal 6 2 5 2 3 2 2" xfId="7144"/>
    <cellStyle name="Normal 6 2 5 2 3 2 2 2" xfId="14667"/>
    <cellStyle name="Normal 6 2 5 2 3 2 2 2 2" xfId="29711"/>
    <cellStyle name="Normal 6 2 5 2 3 2 2 2 3" xfId="44754"/>
    <cellStyle name="Normal 6 2 5 2 3 2 2 3" xfId="22190"/>
    <cellStyle name="Normal 6 2 5 2 3 2 2 4" xfId="37233"/>
    <cellStyle name="Normal 6 2 5 2 3 2 3" xfId="10918"/>
    <cellStyle name="Normal 6 2 5 2 3 2 3 2" xfId="25962"/>
    <cellStyle name="Normal 6 2 5 2 3 2 3 3" xfId="41005"/>
    <cellStyle name="Normal 6 2 5 2 3 2 4" xfId="18441"/>
    <cellStyle name="Normal 6 2 5 2 3 2 5" xfId="33484"/>
    <cellStyle name="Normal 6 2 5 2 3 3" xfId="5279"/>
    <cellStyle name="Normal 6 2 5 2 3 3 2" xfId="12802"/>
    <cellStyle name="Normal 6 2 5 2 3 3 2 2" xfId="27846"/>
    <cellStyle name="Normal 6 2 5 2 3 3 2 3" xfId="42889"/>
    <cellStyle name="Normal 6 2 5 2 3 3 3" xfId="20325"/>
    <cellStyle name="Normal 6 2 5 2 3 3 4" xfId="35368"/>
    <cellStyle name="Normal 6 2 5 2 3 4" xfId="9053"/>
    <cellStyle name="Normal 6 2 5 2 3 4 2" xfId="24097"/>
    <cellStyle name="Normal 6 2 5 2 3 4 3" xfId="39140"/>
    <cellStyle name="Normal 6 2 5 2 3 5" xfId="16576"/>
    <cellStyle name="Normal 6 2 5 2 3 6" xfId="31619"/>
    <cellStyle name="Normal 6 2 5 2 4" xfId="2416"/>
    <cellStyle name="Normal 6 2 5 2 4 2" xfId="6212"/>
    <cellStyle name="Normal 6 2 5 2 4 2 2" xfId="13735"/>
    <cellStyle name="Normal 6 2 5 2 4 2 2 2" xfId="28779"/>
    <cellStyle name="Normal 6 2 5 2 4 2 2 3" xfId="43822"/>
    <cellStyle name="Normal 6 2 5 2 4 2 3" xfId="21258"/>
    <cellStyle name="Normal 6 2 5 2 4 2 4" xfId="36301"/>
    <cellStyle name="Normal 6 2 5 2 4 3" xfId="9986"/>
    <cellStyle name="Normal 6 2 5 2 4 3 2" xfId="25030"/>
    <cellStyle name="Normal 6 2 5 2 4 3 3" xfId="40073"/>
    <cellStyle name="Normal 6 2 5 2 4 4" xfId="17509"/>
    <cellStyle name="Normal 6 2 5 2 4 5" xfId="32552"/>
    <cellStyle name="Normal 6 2 5 2 5" xfId="4344"/>
    <cellStyle name="Normal 6 2 5 2 5 2" xfId="11868"/>
    <cellStyle name="Normal 6 2 5 2 5 2 2" xfId="26912"/>
    <cellStyle name="Normal 6 2 5 2 5 2 3" xfId="41955"/>
    <cellStyle name="Normal 6 2 5 2 5 3" xfId="19391"/>
    <cellStyle name="Normal 6 2 5 2 5 4" xfId="34434"/>
    <cellStyle name="Normal 6 2 5 2 6" xfId="8107"/>
    <cellStyle name="Normal 6 2 5 2 6 2" xfId="23151"/>
    <cellStyle name="Normal 6 2 5 2 6 3" xfId="38194"/>
    <cellStyle name="Normal 6 2 5 2 7" xfId="15630"/>
    <cellStyle name="Normal 6 2 5 2 8" xfId="30673"/>
    <cellStyle name="Normal 6 2 5 3" xfId="970"/>
    <cellStyle name="Normal 6 2 5 3 2" xfId="1929"/>
    <cellStyle name="Normal 6 2 5 3 2 2" xfId="3800"/>
    <cellStyle name="Normal 6 2 5 3 2 2 2" xfId="7595"/>
    <cellStyle name="Normal 6 2 5 3 2 2 2 2" xfId="15118"/>
    <cellStyle name="Normal 6 2 5 3 2 2 2 2 2" xfId="30162"/>
    <cellStyle name="Normal 6 2 5 3 2 2 2 2 3" xfId="45205"/>
    <cellStyle name="Normal 6 2 5 3 2 2 2 3" xfId="22641"/>
    <cellStyle name="Normal 6 2 5 3 2 2 2 4" xfId="37684"/>
    <cellStyle name="Normal 6 2 5 3 2 2 3" xfId="11369"/>
    <cellStyle name="Normal 6 2 5 3 2 2 3 2" xfId="26413"/>
    <cellStyle name="Normal 6 2 5 3 2 2 3 3" xfId="41456"/>
    <cellStyle name="Normal 6 2 5 3 2 2 4" xfId="18892"/>
    <cellStyle name="Normal 6 2 5 3 2 2 5" xfId="33935"/>
    <cellStyle name="Normal 6 2 5 3 2 3" xfId="5730"/>
    <cellStyle name="Normal 6 2 5 3 2 3 2" xfId="13253"/>
    <cellStyle name="Normal 6 2 5 3 2 3 2 2" xfId="28297"/>
    <cellStyle name="Normal 6 2 5 3 2 3 2 3" xfId="43340"/>
    <cellStyle name="Normal 6 2 5 3 2 3 3" xfId="20776"/>
    <cellStyle name="Normal 6 2 5 3 2 3 4" xfId="35819"/>
    <cellStyle name="Normal 6 2 5 3 2 4" xfId="9504"/>
    <cellStyle name="Normal 6 2 5 3 2 4 2" xfId="24548"/>
    <cellStyle name="Normal 6 2 5 3 2 4 3" xfId="39591"/>
    <cellStyle name="Normal 6 2 5 3 2 5" xfId="17027"/>
    <cellStyle name="Normal 6 2 5 3 2 6" xfId="32070"/>
    <cellStyle name="Normal 6 2 5 3 3" xfId="2868"/>
    <cellStyle name="Normal 6 2 5 3 3 2" xfId="6663"/>
    <cellStyle name="Normal 6 2 5 3 3 2 2" xfId="14186"/>
    <cellStyle name="Normal 6 2 5 3 3 2 2 2" xfId="29230"/>
    <cellStyle name="Normal 6 2 5 3 3 2 2 3" xfId="44273"/>
    <cellStyle name="Normal 6 2 5 3 3 2 3" xfId="21709"/>
    <cellStyle name="Normal 6 2 5 3 3 2 4" xfId="36752"/>
    <cellStyle name="Normal 6 2 5 3 3 3" xfId="10437"/>
    <cellStyle name="Normal 6 2 5 3 3 3 2" xfId="25481"/>
    <cellStyle name="Normal 6 2 5 3 3 3 3" xfId="40524"/>
    <cellStyle name="Normal 6 2 5 3 3 4" xfId="17960"/>
    <cellStyle name="Normal 6 2 5 3 3 5" xfId="33003"/>
    <cellStyle name="Normal 6 2 5 3 4" xfId="4798"/>
    <cellStyle name="Normal 6 2 5 3 4 2" xfId="12321"/>
    <cellStyle name="Normal 6 2 5 3 4 2 2" xfId="27365"/>
    <cellStyle name="Normal 6 2 5 3 4 2 3" xfId="42408"/>
    <cellStyle name="Normal 6 2 5 3 4 3" xfId="19844"/>
    <cellStyle name="Normal 6 2 5 3 4 4" xfId="34887"/>
    <cellStyle name="Normal 6 2 5 3 5" xfId="8572"/>
    <cellStyle name="Normal 6 2 5 3 5 2" xfId="23616"/>
    <cellStyle name="Normal 6 2 5 3 5 3" xfId="38659"/>
    <cellStyle name="Normal 6 2 5 3 6" xfId="16095"/>
    <cellStyle name="Normal 6 2 5 3 7" xfId="31138"/>
    <cellStyle name="Normal 6 2 5 4" xfId="1477"/>
    <cellStyle name="Normal 6 2 5 4 2" xfId="3348"/>
    <cellStyle name="Normal 6 2 5 4 2 2" xfId="7143"/>
    <cellStyle name="Normal 6 2 5 4 2 2 2" xfId="14666"/>
    <cellStyle name="Normal 6 2 5 4 2 2 2 2" xfId="29710"/>
    <cellStyle name="Normal 6 2 5 4 2 2 2 3" xfId="44753"/>
    <cellStyle name="Normal 6 2 5 4 2 2 3" xfId="22189"/>
    <cellStyle name="Normal 6 2 5 4 2 2 4" xfId="37232"/>
    <cellStyle name="Normal 6 2 5 4 2 3" xfId="10917"/>
    <cellStyle name="Normal 6 2 5 4 2 3 2" xfId="25961"/>
    <cellStyle name="Normal 6 2 5 4 2 3 3" xfId="41004"/>
    <cellStyle name="Normal 6 2 5 4 2 4" xfId="18440"/>
    <cellStyle name="Normal 6 2 5 4 2 5" xfId="33483"/>
    <cellStyle name="Normal 6 2 5 4 3" xfId="5278"/>
    <cellStyle name="Normal 6 2 5 4 3 2" xfId="12801"/>
    <cellStyle name="Normal 6 2 5 4 3 2 2" xfId="27845"/>
    <cellStyle name="Normal 6 2 5 4 3 2 3" xfId="42888"/>
    <cellStyle name="Normal 6 2 5 4 3 3" xfId="20324"/>
    <cellStyle name="Normal 6 2 5 4 3 4" xfId="35367"/>
    <cellStyle name="Normal 6 2 5 4 4" xfId="9052"/>
    <cellStyle name="Normal 6 2 5 4 4 2" xfId="24096"/>
    <cellStyle name="Normal 6 2 5 4 4 3" xfId="39139"/>
    <cellStyle name="Normal 6 2 5 4 5" xfId="16575"/>
    <cellStyle name="Normal 6 2 5 4 6" xfId="31618"/>
    <cellStyle name="Normal 6 2 5 5" xfId="2415"/>
    <cellStyle name="Normal 6 2 5 5 2" xfId="6211"/>
    <cellStyle name="Normal 6 2 5 5 2 2" xfId="13734"/>
    <cellStyle name="Normal 6 2 5 5 2 2 2" xfId="28778"/>
    <cellStyle name="Normal 6 2 5 5 2 2 3" xfId="43821"/>
    <cellStyle name="Normal 6 2 5 5 2 3" xfId="21257"/>
    <cellStyle name="Normal 6 2 5 5 2 4" xfId="36300"/>
    <cellStyle name="Normal 6 2 5 5 3" xfId="9985"/>
    <cellStyle name="Normal 6 2 5 5 3 2" xfId="25029"/>
    <cellStyle name="Normal 6 2 5 5 3 3" xfId="40072"/>
    <cellStyle name="Normal 6 2 5 5 4" xfId="17508"/>
    <cellStyle name="Normal 6 2 5 5 5" xfId="32551"/>
    <cellStyle name="Normal 6 2 5 6" xfId="4343"/>
    <cellStyle name="Normal 6 2 5 6 2" xfId="11867"/>
    <cellStyle name="Normal 6 2 5 6 2 2" xfId="26911"/>
    <cellStyle name="Normal 6 2 5 6 2 3" xfId="41954"/>
    <cellStyle name="Normal 6 2 5 6 3" xfId="19390"/>
    <cellStyle name="Normal 6 2 5 6 4" xfId="34433"/>
    <cellStyle name="Normal 6 2 5 7" xfId="8106"/>
    <cellStyle name="Normal 6 2 5 7 2" xfId="23150"/>
    <cellStyle name="Normal 6 2 5 7 3" xfId="38193"/>
    <cellStyle name="Normal 6 2 5 8" xfId="15629"/>
    <cellStyle name="Normal 6 2 5 9" xfId="30672"/>
    <cellStyle name="Normal 6 2 6" xfId="453"/>
    <cellStyle name="Normal 6 2 6 2" xfId="454"/>
    <cellStyle name="Normal 6 2 6 2 2" xfId="973"/>
    <cellStyle name="Normal 6 2 6 2 2 2" xfId="1932"/>
    <cellStyle name="Normal 6 2 6 2 2 2 2" xfId="3803"/>
    <cellStyle name="Normal 6 2 6 2 2 2 2 2" xfId="7598"/>
    <cellStyle name="Normal 6 2 6 2 2 2 2 2 2" xfId="15121"/>
    <cellStyle name="Normal 6 2 6 2 2 2 2 2 2 2" xfId="30165"/>
    <cellStyle name="Normal 6 2 6 2 2 2 2 2 2 3" xfId="45208"/>
    <cellStyle name="Normal 6 2 6 2 2 2 2 2 3" xfId="22644"/>
    <cellStyle name="Normal 6 2 6 2 2 2 2 2 4" xfId="37687"/>
    <cellStyle name="Normal 6 2 6 2 2 2 2 3" xfId="11372"/>
    <cellStyle name="Normal 6 2 6 2 2 2 2 3 2" xfId="26416"/>
    <cellStyle name="Normal 6 2 6 2 2 2 2 3 3" xfId="41459"/>
    <cellStyle name="Normal 6 2 6 2 2 2 2 4" xfId="18895"/>
    <cellStyle name="Normal 6 2 6 2 2 2 2 5" xfId="33938"/>
    <cellStyle name="Normal 6 2 6 2 2 2 3" xfId="5733"/>
    <cellStyle name="Normal 6 2 6 2 2 2 3 2" xfId="13256"/>
    <cellStyle name="Normal 6 2 6 2 2 2 3 2 2" xfId="28300"/>
    <cellStyle name="Normal 6 2 6 2 2 2 3 2 3" xfId="43343"/>
    <cellStyle name="Normal 6 2 6 2 2 2 3 3" xfId="20779"/>
    <cellStyle name="Normal 6 2 6 2 2 2 3 4" xfId="35822"/>
    <cellStyle name="Normal 6 2 6 2 2 2 4" xfId="9507"/>
    <cellStyle name="Normal 6 2 6 2 2 2 4 2" xfId="24551"/>
    <cellStyle name="Normal 6 2 6 2 2 2 4 3" xfId="39594"/>
    <cellStyle name="Normal 6 2 6 2 2 2 5" xfId="17030"/>
    <cellStyle name="Normal 6 2 6 2 2 2 6" xfId="32073"/>
    <cellStyle name="Normal 6 2 6 2 2 3" xfId="2871"/>
    <cellStyle name="Normal 6 2 6 2 2 3 2" xfId="6666"/>
    <cellStyle name="Normal 6 2 6 2 2 3 2 2" xfId="14189"/>
    <cellStyle name="Normal 6 2 6 2 2 3 2 2 2" xfId="29233"/>
    <cellStyle name="Normal 6 2 6 2 2 3 2 2 3" xfId="44276"/>
    <cellStyle name="Normal 6 2 6 2 2 3 2 3" xfId="21712"/>
    <cellStyle name="Normal 6 2 6 2 2 3 2 4" xfId="36755"/>
    <cellStyle name="Normal 6 2 6 2 2 3 3" xfId="10440"/>
    <cellStyle name="Normal 6 2 6 2 2 3 3 2" xfId="25484"/>
    <cellStyle name="Normal 6 2 6 2 2 3 3 3" xfId="40527"/>
    <cellStyle name="Normal 6 2 6 2 2 3 4" xfId="17963"/>
    <cellStyle name="Normal 6 2 6 2 2 3 5" xfId="33006"/>
    <cellStyle name="Normal 6 2 6 2 2 4" xfId="4801"/>
    <cellStyle name="Normal 6 2 6 2 2 4 2" xfId="12324"/>
    <cellStyle name="Normal 6 2 6 2 2 4 2 2" xfId="27368"/>
    <cellStyle name="Normal 6 2 6 2 2 4 2 3" xfId="42411"/>
    <cellStyle name="Normal 6 2 6 2 2 4 3" xfId="19847"/>
    <cellStyle name="Normal 6 2 6 2 2 4 4" xfId="34890"/>
    <cellStyle name="Normal 6 2 6 2 2 5" xfId="8575"/>
    <cellStyle name="Normal 6 2 6 2 2 5 2" xfId="23619"/>
    <cellStyle name="Normal 6 2 6 2 2 5 3" xfId="38662"/>
    <cellStyle name="Normal 6 2 6 2 2 6" xfId="16098"/>
    <cellStyle name="Normal 6 2 6 2 2 7" xfId="31141"/>
    <cellStyle name="Normal 6 2 6 2 3" xfId="1480"/>
    <cellStyle name="Normal 6 2 6 2 3 2" xfId="3351"/>
    <cellStyle name="Normal 6 2 6 2 3 2 2" xfId="7146"/>
    <cellStyle name="Normal 6 2 6 2 3 2 2 2" xfId="14669"/>
    <cellStyle name="Normal 6 2 6 2 3 2 2 2 2" xfId="29713"/>
    <cellStyle name="Normal 6 2 6 2 3 2 2 2 3" xfId="44756"/>
    <cellStyle name="Normal 6 2 6 2 3 2 2 3" xfId="22192"/>
    <cellStyle name="Normal 6 2 6 2 3 2 2 4" xfId="37235"/>
    <cellStyle name="Normal 6 2 6 2 3 2 3" xfId="10920"/>
    <cellStyle name="Normal 6 2 6 2 3 2 3 2" xfId="25964"/>
    <cellStyle name="Normal 6 2 6 2 3 2 3 3" xfId="41007"/>
    <cellStyle name="Normal 6 2 6 2 3 2 4" xfId="18443"/>
    <cellStyle name="Normal 6 2 6 2 3 2 5" xfId="33486"/>
    <cellStyle name="Normal 6 2 6 2 3 3" xfId="5281"/>
    <cellStyle name="Normal 6 2 6 2 3 3 2" xfId="12804"/>
    <cellStyle name="Normal 6 2 6 2 3 3 2 2" xfId="27848"/>
    <cellStyle name="Normal 6 2 6 2 3 3 2 3" xfId="42891"/>
    <cellStyle name="Normal 6 2 6 2 3 3 3" xfId="20327"/>
    <cellStyle name="Normal 6 2 6 2 3 3 4" xfId="35370"/>
    <cellStyle name="Normal 6 2 6 2 3 4" xfId="9055"/>
    <cellStyle name="Normal 6 2 6 2 3 4 2" xfId="24099"/>
    <cellStyle name="Normal 6 2 6 2 3 4 3" xfId="39142"/>
    <cellStyle name="Normal 6 2 6 2 3 5" xfId="16578"/>
    <cellStyle name="Normal 6 2 6 2 3 6" xfId="31621"/>
    <cellStyle name="Normal 6 2 6 2 4" xfId="2418"/>
    <cellStyle name="Normal 6 2 6 2 4 2" xfId="6214"/>
    <cellStyle name="Normal 6 2 6 2 4 2 2" xfId="13737"/>
    <cellStyle name="Normal 6 2 6 2 4 2 2 2" xfId="28781"/>
    <cellStyle name="Normal 6 2 6 2 4 2 2 3" xfId="43824"/>
    <cellStyle name="Normal 6 2 6 2 4 2 3" xfId="21260"/>
    <cellStyle name="Normal 6 2 6 2 4 2 4" xfId="36303"/>
    <cellStyle name="Normal 6 2 6 2 4 3" xfId="9988"/>
    <cellStyle name="Normal 6 2 6 2 4 3 2" xfId="25032"/>
    <cellStyle name="Normal 6 2 6 2 4 3 3" xfId="40075"/>
    <cellStyle name="Normal 6 2 6 2 4 4" xfId="17511"/>
    <cellStyle name="Normal 6 2 6 2 4 5" xfId="32554"/>
    <cellStyle name="Normal 6 2 6 2 5" xfId="4346"/>
    <cellStyle name="Normal 6 2 6 2 5 2" xfId="11870"/>
    <cellStyle name="Normal 6 2 6 2 5 2 2" xfId="26914"/>
    <cellStyle name="Normal 6 2 6 2 5 2 3" xfId="41957"/>
    <cellStyle name="Normal 6 2 6 2 5 3" xfId="19393"/>
    <cellStyle name="Normal 6 2 6 2 5 4" xfId="34436"/>
    <cellStyle name="Normal 6 2 6 2 6" xfId="8109"/>
    <cellStyle name="Normal 6 2 6 2 6 2" xfId="23153"/>
    <cellStyle name="Normal 6 2 6 2 6 3" xfId="38196"/>
    <cellStyle name="Normal 6 2 6 2 7" xfId="15632"/>
    <cellStyle name="Normal 6 2 6 2 8" xfId="30675"/>
    <cellStyle name="Normal 6 2 6 3" xfId="972"/>
    <cellStyle name="Normal 6 2 6 3 2" xfId="1931"/>
    <cellStyle name="Normal 6 2 6 3 2 2" xfId="3802"/>
    <cellStyle name="Normal 6 2 6 3 2 2 2" xfId="7597"/>
    <cellStyle name="Normal 6 2 6 3 2 2 2 2" xfId="15120"/>
    <cellStyle name="Normal 6 2 6 3 2 2 2 2 2" xfId="30164"/>
    <cellStyle name="Normal 6 2 6 3 2 2 2 2 3" xfId="45207"/>
    <cellStyle name="Normal 6 2 6 3 2 2 2 3" xfId="22643"/>
    <cellStyle name="Normal 6 2 6 3 2 2 2 4" xfId="37686"/>
    <cellStyle name="Normal 6 2 6 3 2 2 3" xfId="11371"/>
    <cellStyle name="Normal 6 2 6 3 2 2 3 2" xfId="26415"/>
    <cellStyle name="Normal 6 2 6 3 2 2 3 3" xfId="41458"/>
    <cellStyle name="Normal 6 2 6 3 2 2 4" xfId="18894"/>
    <cellStyle name="Normal 6 2 6 3 2 2 5" xfId="33937"/>
    <cellStyle name="Normal 6 2 6 3 2 3" xfId="5732"/>
    <cellStyle name="Normal 6 2 6 3 2 3 2" xfId="13255"/>
    <cellStyle name="Normal 6 2 6 3 2 3 2 2" xfId="28299"/>
    <cellStyle name="Normal 6 2 6 3 2 3 2 3" xfId="43342"/>
    <cellStyle name="Normal 6 2 6 3 2 3 3" xfId="20778"/>
    <cellStyle name="Normal 6 2 6 3 2 3 4" xfId="35821"/>
    <cellStyle name="Normal 6 2 6 3 2 4" xfId="9506"/>
    <cellStyle name="Normal 6 2 6 3 2 4 2" xfId="24550"/>
    <cellStyle name="Normal 6 2 6 3 2 4 3" xfId="39593"/>
    <cellStyle name="Normal 6 2 6 3 2 5" xfId="17029"/>
    <cellStyle name="Normal 6 2 6 3 2 6" xfId="32072"/>
    <cellStyle name="Normal 6 2 6 3 3" xfId="2870"/>
    <cellStyle name="Normal 6 2 6 3 3 2" xfId="6665"/>
    <cellStyle name="Normal 6 2 6 3 3 2 2" xfId="14188"/>
    <cellStyle name="Normal 6 2 6 3 3 2 2 2" xfId="29232"/>
    <cellStyle name="Normal 6 2 6 3 3 2 2 3" xfId="44275"/>
    <cellStyle name="Normal 6 2 6 3 3 2 3" xfId="21711"/>
    <cellStyle name="Normal 6 2 6 3 3 2 4" xfId="36754"/>
    <cellStyle name="Normal 6 2 6 3 3 3" xfId="10439"/>
    <cellStyle name="Normal 6 2 6 3 3 3 2" xfId="25483"/>
    <cellStyle name="Normal 6 2 6 3 3 3 3" xfId="40526"/>
    <cellStyle name="Normal 6 2 6 3 3 4" xfId="17962"/>
    <cellStyle name="Normal 6 2 6 3 3 5" xfId="33005"/>
    <cellStyle name="Normal 6 2 6 3 4" xfId="4800"/>
    <cellStyle name="Normal 6 2 6 3 4 2" xfId="12323"/>
    <cellStyle name="Normal 6 2 6 3 4 2 2" xfId="27367"/>
    <cellStyle name="Normal 6 2 6 3 4 2 3" xfId="42410"/>
    <cellStyle name="Normal 6 2 6 3 4 3" xfId="19846"/>
    <cellStyle name="Normal 6 2 6 3 4 4" xfId="34889"/>
    <cellStyle name="Normal 6 2 6 3 5" xfId="8574"/>
    <cellStyle name="Normal 6 2 6 3 5 2" xfId="23618"/>
    <cellStyle name="Normal 6 2 6 3 5 3" xfId="38661"/>
    <cellStyle name="Normal 6 2 6 3 6" xfId="16097"/>
    <cellStyle name="Normal 6 2 6 3 7" xfId="31140"/>
    <cellStyle name="Normal 6 2 6 4" xfId="1479"/>
    <cellStyle name="Normal 6 2 6 4 2" xfId="3350"/>
    <cellStyle name="Normal 6 2 6 4 2 2" xfId="7145"/>
    <cellStyle name="Normal 6 2 6 4 2 2 2" xfId="14668"/>
    <cellStyle name="Normal 6 2 6 4 2 2 2 2" xfId="29712"/>
    <cellStyle name="Normal 6 2 6 4 2 2 2 3" xfId="44755"/>
    <cellStyle name="Normal 6 2 6 4 2 2 3" xfId="22191"/>
    <cellStyle name="Normal 6 2 6 4 2 2 4" xfId="37234"/>
    <cellStyle name="Normal 6 2 6 4 2 3" xfId="10919"/>
    <cellStyle name="Normal 6 2 6 4 2 3 2" xfId="25963"/>
    <cellStyle name="Normal 6 2 6 4 2 3 3" xfId="41006"/>
    <cellStyle name="Normal 6 2 6 4 2 4" xfId="18442"/>
    <cellStyle name="Normal 6 2 6 4 2 5" xfId="33485"/>
    <cellStyle name="Normal 6 2 6 4 3" xfId="5280"/>
    <cellStyle name="Normal 6 2 6 4 3 2" xfId="12803"/>
    <cellStyle name="Normal 6 2 6 4 3 2 2" xfId="27847"/>
    <cellStyle name="Normal 6 2 6 4 3 2 3" xfId="42890"/>
    <cellStyle name="Normal 6 2 6 4 3 3" xfId="20326"/>
    <cellStyle name="Normal 6 2 6 4 3 4" xfId="35369"/>
    <cellStyle name="Normal 6 2 6 4 4" xfId="9054"/>
    <cellStyle name="Normal 6 2 6 4 4 2" xfId="24098"/>
    <cellStyle name="Normal 6 2 6 4 4 3" xfId="39141"/>
    <cellStyle name="Normal 6 2 6 4 5" xfId="16577"/>
    <cellStyle name="Normal 6 2 6 4 6" xfId="31620"/>
    <cellStyle name="Normal 6 2 6 5" xfId="2417"/>
    <cellStyle name="Normal 6 2 6 5 2" xfId="6213"/>
    <cellStyle name="Normal 6 2 6 5 2 2" xfId="13736"/>
    <cellStyle name="Normal 6 2 6 5 2 2 2" xfId="28780"/>
    <cellStyle name="Normal 6 2 6 5 2 2 3" xfId="43823"/>
    <cellStyle name="Normal 6 2 6 5 2 3" xfId="21259"/>
    <cellStyle name="Normal 6 2 6 5 2 4" xfId="36302"/>
    <cellStyle name="Normal 6 2 6 5 3" xfId="9987"/>
    <cellStyle name="Normal 6 2 6 5 3 2" xfId="25031"/>
    <cellStyle name="Normal 6 2 6 5 3 3" xfId="40074"/>
    <cellStyle name="Normal 6 2 6 5 4" xfId="17510"/>
    <cellStyle name="Normal 6 2 6 5 5" xfId="32553"/>
    <cellStyle name="Normal 6 2 6 6" xfId="4345"/>
    <cellStyle name="Normal 6 2 6 6 2" xfId="11869"/>
    <cellStyle name="Normal 6 2 6 6 2 2" xfId="26913"/>
    <cellStyle name="Normal 6 2 6 6 2 3" xfId="41956"/>
    <cellStyle name="Normal 6 2 6 6 3" xfId="19392"/>
    <cellStyle name="Normal 6 2 6 6 4" xfId="34435"/>
    <cellStyle name="Normal 6 2 6 7" xfId="8108"/>
    <cellStyle name="Normal 6 2 6 7 2" xfId="23152"/>
    <cellStyle name="Normal 6 2 6 7 3" xfId="38195"/>
    <cellStyle name="Normal 6 2 6 8" xfId="15631"/>
    <cellStyle name="Normal 6 2 6 9" xfId="30674"/>
    <cellStyle name="Normal 6 2 7" xfId="455"/>
    <cellStyle name="Normal 6 2 7 2" xfId="974"/>
    <cellStyle name="Normal 6 2 7 2 2" xfId="1933"/>
    <cellStyle name="Normal 6 2 7 2 2 2" xfId="3804"/>
    <cellStyle name="Normal 6 2 7 2 2 2 2" xfId="7599"/>
    <cellStyle name="Normal 6 2 7 2 2 2 2 2" xfId="15122"/>
    <cellStyle name="Normal 6 2 7 2 2 2 2 2 2" xfId="30166"/>
    <cellStyle name="Normal 6 2 7 2 2 2 2 2 3" xfId="45209"/>
    <cellStyle name="Normal 6 2 7 2 2 2 2 3" xfId="22645"/>
    <cellStyle name="Normal 6 2 7 2 2 2 2 4" xfId="37688"/>
    <cellStyle name="Normal 6 2 7 2 2 2 3" xfId="11373"/>
    <cellStyle name="Normal 6 2 7 2 2 2 3 2" xfId="26417"/>
    <cellStyle name="Normal 6 2 7 2 2 2 3 3" xfId="41460"/>
    <cellStyle name="Normal 6 2 7 2 2 2 4" xfId="18896"/>
    <cellStyle name="Normal 6 2 7 2 2 2 5" xfId="33939"/>
    <cellStyle name="Normal 6 2 7 2 2 3" xfId="5734"/>
    <cellStyle name="Normal 6 2 7 2 2 3 2" xfId="13257"/>
    <cellStyle name="Normal 6 2 7 2 2 3 2 2" xfId="28301"/>
    <cellStyle name="Normal 6 2 7 2 2 3 2 3" xfId="43344"/>
    <cellStyle name="Normal 6 2 7 2 2 3 3" xfId="20780"/>
    <cellStyle name="Normal 6 2 7 2 2 3 4" xfId="35823"/>
    <cellStyle name="Normal 6 2 7 2 2 4" xfId="9508"/>
    <cellStyle name="Normal 6 2 7 2 2 4 2" xfId="24552"/>
    <cellStyle name="Normal 6 2 7 2 2 4 3" xfId="39595"/>
    <cellStyle name="Normal 6 2 7 2 2 5" xfId="17031"/>
    <cellStyle name="Normal 6 2 7 2 2 6" xfId="32074"/>
    <cellStyle name="Normal 6 2 7 2 3" xfId="2872"/>
    <cellStyle name="Normal 6 2 7 2 3 2" xfId="6667"/>
    <cellStyle name="Normal 6 2 7 2 3 2 2" xfId="14190"/>
    <cellStyle name="Normal 6 2 7 2 3 2 2 2" xfId="29234"/>
    <cellStyle name="Normal 6 2 7 2 3 2 2 3" xfId="44277"/>
    <cellStyle name="Normal 6 2 7 2 3 2 3" xfId="21713"/>
    <cellStyle name="Normal 6 2 7 2 3 2 4" xfId="36756"/>
    <cellStyle name="Normal 6 2 7 2 3 3" xfId="10441"/>
    <cellStyle name="Normal 6 2 7 2 3 3 2" xfId="25485"/>
    <cellStyle name="Normal 6 2 7 2 3 3 3" xfId="40528"/>
    <cellStyle name="Normal 6 2 7 2 3 4" xfId="17964"/>
    <cellStyle name="Normal 6 2 7 2 3 5" xfId="33007"/>
    <cellStyle name="Normal 6 2 7 2 4" xfId="4802"/>
    <cellStyle name="Normal 6 2 7 2 4 2" xfId="12325"/>
    <cellStyle name="Normal 6 2 7 2 4 2 2" xfId="27369"/>
    <cellStyle name="Normal 6 2 7 2 4 2 3" xfId="42412"/>
    <cellStyle name="Normal 6 2 7 2 4 3" xfId="19848"/>
    <cellStyle name="Normal 6 2 7 2 4 4" xfId="34891"/>
    <cellStyle name="Normal 6 2 7 2 5" xfId="8576"/>
    <cellStyle name="Normal 6 2 7 2 5 2" xfId="23620"/>
    <cellStyle name="Normal 6 2 7 2 5 3" xfId="38663"/>
    <cellStyle name="Normal 6 2 7 2 6" xfId="16099"/>
    <cellStyle name="Normal 6 2 7 2 7" xfId="31142"/>
    <cellStyle name="Normal 6 2 7 3" xfId="1481"/>
    <cellStyle name="Normal 6 2 7 3 2" xfId="3352"/>
    <cellStyle name="Normal 6 2 7 3 2 2" xfId="7147"/>
    <cellStyle name="Normal 6 2 7 3 2 2 2" xfId="14670"/>
    <cellStyle name="Normal 6 2 7 3 2 2 2 2" xfId="29714"/>
    <cellStyle name="Normal 6 2 7 3 2 2 2 3" xfId="44757"/>
    <cellStyle name="Normal 6 2 7 3 2 2 3" xfId="22193"/>
    <cellStyle name="Normal 6 2 7 3 2 2 4" xfId="37236"/>
    <cellStyle name="Normal 6 2 7 3 2 3" xfId="10921"/>
    <cellStyle name="Normal 6 2 7 3 2 3 2" xfId="25965"/>
    <cellStyle name="Normal 6 2 7 3 2 3 3" xfId="41008"/>
    <cellStyle name="Normal 6 2 7 3 2 4" xfId="18444"/>
    <cellStyle name="Normal 6 2 7 3 2 5" xfId="33487"/>
    <cellStyle name="Normal 6 2 7 3 3" xfId="5282"/>
    <cellStyle name="Normal 6 2 7 3 3 2" xfId="12805"/>
    <cellStyle name="Normal 6 2 7 3 3 2 2" xfId="27849"/>
    <cellStyle name="Normal 6 2 7 3 3 2 3" xfId="42892"/>
    <cellStyle name="Normal 6 2 7 3 3 3" xfId="20328"/>
    <cellStyle name="Normal 6 2 7 3 3 4" xfId="35371"/>
    <cellStyle name="Normal 6 2 7 3 4" xfId="9056"/>
    <cellStyle name="Normal 6 2 7 3 4 2" xfId="24100"/>
    <cellStyle name="Normal 6 2 7 3 4 3" xfId="39143"/>
    <cellStyle name="Normal 6 2 7 3 5" xfId="16579"/>
    <cellStyle name="Normal 6 2 7 3 6" xfId="31622"/>
    <cellStyle name="Normal 6 2 7 4" xfId="2419"/>
    <cellStyle name="Normal 6 2 7 4 2" xfId="6215"/>
    <cellStyle name="Normal 6 2 7 4 2 2" xfId="13738"/>
    <cellStyle name="Normal 6 2 7 4 2 2 2" xfId="28782"/>
    <cellStyle name="Normal 6 2 7 4 2 2 3" xfId="43825"/>
    <cellStyle name="Normal 6 2 7 4 2 3" xfId="21261"/>
    <cellStyle name="Normal 6 2 7 4 2 4" xfId="36304"/>
    <cellStyle name="Normal 6 2 7 4 3" xfId="9989"/>
    <cellStyle name="Normal 6 2 7 4 3 2" xfId="25033"/>
    <cellStyle name="Normal 6 2 7 4 3 3" xfId="40076"/>
    <cellStyle name="Normal 6 2 7 4 4" xfId="17512"/>
    <cellStyle name="Normal 6 2 7 4 5" xfId="32555"/>
    <cellStyle name="Normal 6 2 7 5" xfId="4347"/>
    <cellStyle name="Normal 6 2 7 5 2" xfId="11871"/>
    <cellStyle name="Normal 6 2 7 5 2 2" xfId="26915"/>
    <cellStyle name="Normal 6 2 7 5 2 3" xfId="41958"/>
    <cellStyle name="Normal 6 2 7 5 3" xfId="19394"/>
    <cellStyle name="Normal 6 2 7 5 4" xfId="34437"/>
    <cellStyle name="Normal 6 2 7 6" xfId="8110"/>
    <cellStyle name="Normal 6 2 7 6 2" xfId="23154"/>
    <cellStyle name="Normal 6 2 7 6 3" xfId="38197"/>
    <cellStyle name="Normal 6 2 7 7" xfId="15633"/>
    <cellStyle name="Normal 6 2 7 8" xfId="30676"/>
    <cellStyle name="Normal 6 2 8" xfId="931"/>
    <cellStyle name="Normal 6 2 8 2" xfId="1890"/>
    <cellStyle name="Normal 6 2 8 2 2" xfId="3761"/>
    <cellStyle name="Normal 6 2 8 2 2 2" xfId="7556"/>
    <cellStyle name="Normal 6 2 8 2 2 2 2" xfId="15079"/>
    <cellStyle name="Normal 6 2 8 2 2 2 2 2" xfId="30123"/>
    <cellStyle name="Normal 6 2 8 2 2 2 2 3" xfId="45166"/>
    <cellStyle name="Normal 6 2 8 2 2 2 3" xfId="22602"/>
    <cellStyle name="Normal 6 2 8 2 2 2 4" xfId="37645"/>
    <cellStyle name="Normal 6 2 8 2 2 3" xfId="11330"/>
    <cellStyle name="Normal 6 2 8 2 2 3 2" xfId="26374"/>
    <cellStyle name="Normal 6 2 8 2 2 3 3" xfId="41417"/>
    <cellStyle name="Normal 6 2 8 2 2 4" xfId="18853"/>
    <cellStyle name="Normal 6 2 8 2 2 5" xfId="33896"/>
    <cellStyle name="Normal 6 2 8 2 3" xfId="5691"/>
    <cellStyle name="Normal 6 2 8 2 3 2" xfId="13214"/>
    <cellStyle name="Normal 6 2 8 2 3 2 2" xfId="28258"/>
    <cellStyle name="Normal 6 2 8 2 3 2 3" xfId="43301"/>
    <cellStyle name="Normal 6 2 8 2 3 3" xfId="20737"/>
    <cellStyle name="Normal 6 2 8 2 3 4" xfId="35780"/>
    <cellStyle name="Normal 6 2 8 2 4" xfId="9465"/>
    <cellStyle name="Normal 6 2 8 2 4 2" xfId="24509"/>
    <cellStyle name="Normal 6 2 8 2 4 3" xfId="39552"/>
    <cellStyle name="Normal 6 2 8 2 5" xfId="16988"/>
    <cellStyle name="Normal 6 2 8 2 6" xfId="32031"/>
    <cellStyle name="Normal 6 2 8 3" xfId="2829"/>
    <cellStyle name="Normal 6 2 8 3 2" xfId="6624"/>
    <cellStyle name="Normal 6 2 8 3 2 2" xfId="14147"/>
    <cellStyle name="Normal 6 2 8 3 2 2 2" xfId="29191"/>
    <cellStyle name="Normal 6 2 8 3 2 2 3" xfId="44234"/>
    <cellStyle name="Normal 6 2 8 3 2 3" xfId="21670"/>
    <cellStyle name="Normal 6 2 8 3 2 4" xfId="36713"/>
    <cellStyle name="Normal 6 2 8 3 3" xfId="10398"/>
    <cellStyle name="Normal 6 2 8 3 3 2" xfId="25442"/>
    <cellStyle name="Normal 6 2 8 3 3 3" xfId="40485"/>
    <cellStyle name="Normal 6 2 8 3 4" xfId="17921"/>
    <cellStyle name="Normal 6 2 8 3 5" xfId="32964"/>
    <cellStyle name="Normal 6 2 8 4" xfId="4759"/>
    <cellStyle name="Normal 6 2 8 4 2" xfId="12282"/>
    <cellStyle name="Normal 6 2 8 4 2 2" xfId="27326"/>
    <cellStyle name="Normal 6 2 8 4 2 3" xfId="42369"/>
    <cellStyle name="Normal 6 2 8 4 3" xfId="19805"/>
    <cellStyle name="Normal 6 2 8 4 4" xfId="34848"/>
    <cellStyle name="Normal 6 2 8 5" xfId="8533"/>
    <cellStyle name="Normal 6 2 8 5 2" xfId="23577"/>
    <cellStyle name="Normal 6 2 8 5 3" xfId="38620"/>
    <cellStyle name="Normal 6 2 8 6" xfId="16056"/>
    <cellStyle name="Normal 6 2 8 7" xfId="31099"/>
    <cellStyle name="Normal 6 2 9" xfId="1438"/>
    <cellStyle name="Normal 6 2 9 2" xfId="3309"/>
    <cellStyle name="Normal 6 2 9 2 2" xfId="7104"/>
    <cellStyle name="Normal 6 2 9 2 2 2" xfId="14627"/>
    <cellStyle name="Normal 6 2 9 2 2 2 2" xfId="29671"/>
    <cellStyle name="Normal 6 2 9 2 2 2 3" xfId="44714"/>
    <cellStyle name="Normal 6 2 9 2 2 3" xfId="22150"/>
    <cellStyle name="Normal 6 2 9 2 2 4" xfId="37193"/>
    <cellStyle name="Normal 6 2 9 2 3" xfId="10878"/>
    <cellStyle name="Normal 6 2 9 2 3 2" xfId="25922"/>
    <cellStyle name="Normal 6 2 9 2 3 3" xfId="40965"/>
    <cellStyle name="Normal 6 2 9 2 4" xfId="18401"/>
    <cellStyle name="Normal 6 2 9 2 5" xfId="33444"/>
    <cellStyle name="Normal 6 2 9 3" xfId="5239"/>
    <cellStyle name="Normal 6 2 9 3 2" xfId="12762"/>
    <cellStyle name="Normal 6 2 9 3 2 2" xfId="27806"/>
    <cellStyle name="Normal 6 2 9 3 2 3" xfId="42849"/>
    <cellStyle name="Normal 6 2 9 3 3" xfId="20285"/>
    <cellStyle name="Normal 6 2 9 3 4" xfId="35328"/>
    <cellStyle name="Normal 6 2 9 4" xfId="9013"/>
    <cellStyle name="Normal 6 2 9 4 2" xfId="24057"/>
    <cellStyle name="Normal 6 2 9 4 3" xfId="39100"/>
    <cellStyle name="Normal 6 2 9 5" xfId="16536"/>
    <cellStyle name="Normal 6 2 9 6" xfId="31579"/>
    <cellStyle name="Normal 6 3" xfId="456"/>
    <cellStyle name="Normal 6 3 10" xfId="4348"/>
    <cellStyle name="Normal 6 3 10 2" xfId="11872"/>
    <cellStyle name="Normal 6 3 10 2 2" xfId="26916"/>
    <cellStyle name="Normal 6 3 10 2 3" xfId="41959"/>
    <cellStyle name="Normal 6 3 10 3" xfId="19395"/>
    <cellStyle name="Normal 6 3 10 4" xfId="34438"/>
    <cellStyle name="Normal 6 3 11" xfId="8111"/>
    <cellStyle name="Normal 6 3 11 2" xfId="23155"/>
    <cellStyle name="Normal 6 3 11 3" xfId="38198"/>
    <cellStyle name="Normal 6 3 12" xfId="15634"/>
    <cellStyle name="Normal 6 3 13" xfId="30677"/>
    <cellStyle name="Normal 6 3 2" xfId="457"/>
    <cellStyle name="Normal 6 3 2 10" xfId="8112"/>
    <cellStyle name="Normal 6 3 2 10 2" xfId="23156"/>
    <cellStyle name="Normal 6 3 2 10 3" xfId="38199"/>
    <cellStyle name="Normal 6 3 2 11" xfId="15635"/>
    <cellStyle name="Normal 6 3 2 12" xfId="30678"/>
    <cellStyle name="Normal 6 3 2 2" xfId="458"/>
    <cellStyle name="Normal 6 3 2 2 10" xfId="30679"/>
    <cellStyle name="Normal 6 3 2 2 2" xfId="459"/>
    <cellStyle name="Normal 6 3 2 2 2 2" xfId="460"/>
    <cellStyle name="Normal 6 3 2 2 2 2 2" xfId="979"/>
    <cellStyle name="Normal 6 3 2 2 2 2 2 2" xfId="1938"/>
    <cellStyle name="Normal 6 3 2 2 2 2 2 2 2" xfId="3809"/>
    <cellStyle name="Normal 6 3 2 2 2 2 2 2 2 2" xfId="7604"/>
    <cellStyle name="Normal 6 3 2 2 2 2 2 2 2 2 2" xfId="15127"/>
    <cellStyle name="Normal 6 3 2 2 2 2 2 2 2 2 2 2" xfId="30171"/>
    <cellStyle name="Normal 6 3 2 2 2 2 2 2 2 2 2 3" xfId="45214"/>
    <cellStyle name="Normal 6 3 2 2 2 2 2 2 2 2 3" xfId="22650"/>
    <cellStyle name="Normal 6 3 2 2 2 2 2 2 2 2 4" xfId="37693"/>
    <cellStyle name="Normal 6 3 2 2 2 2 2 2 2 3" xfId="11378"/>
    <cellStyle name="Normal 6 3 2 2 2 2 2 2 2 3 2" xfId="26422"/>
    <cellStyle name="Normal 6 3 2 2 2 2 2 2 2 3 3" xfId="41465"/>
    <cellStyle name="Normal 6 3 2 2 2 2 2 2 2 4" xfId="18901"/>
    <cellStyle name="Normal 6 3 2 2 2 2 2 2 2 5" xfId="33944"/>
    <cellStyle name="Normal 6 3 2 2 2 2 2 2 3" xfId="5739"/>
    <cellStyle name="Normal 6 3 2 2 2 2 2 2 3 2" xfId="13262"/>
    <cellStyle name="Normal 6 3 2 2 2 2 2 2 3 2 2" xfId="28306"/>
    <cellStyle name="Normal 6 3 2 2 2 2 2 2 3 2 3" xfId="43349"/>
    <cellStyle name="Normal 6 3 2 2 2 2 2 2 3 3" xfId="20785"/>
    <cellStyle name="Normal 6 3 2 2 2 2 2 2 3 4" xfId="35828"/>
    <cellStyle name="Normal 6 3 2 2 2 2 2 2 4" xfId="9513"/>
    <cellStyle name="Normal 6 3 2 2 2 2 2 2 4 2" xfId="24557"/>
    <cellStyle name="Normal 6 3 2 2 2 2 2 2 4 3" xfId="39600"/>
    <cellStyle name="Normal 6 3 2 2 2 2 2 2 5" xfId="17036"/>
    <cellStyle name="Normal 6 3 2 2 2 2 2 2 6" xfId="32079"/>
    <cellStyle name="Normal 6 3 2 2 2 2 2 3" xfId="2877"/>
    <cellStyle name="Normal 6 3 2 2 2 2 2 3 2" xfId="6672"/>
    <cellStyle name="Normal 6 3 2 2 2 2 2 3 2 2" xfId="14195"/>
    <cellStyle name="Normal 6 3 2 2 2 2 2 3 2 2 2" xfId="29239"/>
    <cellStyle name="Normal 6 3 2 2 2 2 2 3 2 2 3" xfId="44282"/>
    <cellStyle name="Normal 6 3 2 2 2 2 2 3 2 3" xfId="21718"/>
    <cellStyle name="Normal 6 3 2 2 2 2 2 3 2 4" xfId="36761"/>
    <cellStyle name="Normal 6 3 2 2 2 2 2 3 3" xfId="10446"/>
    <cellStyle name="Normal 6 3 2 2 2 2 2 3 3 2" xfId="25490"/>
    <cellStyle name="Normal 6 3 2 2 2 2 2 3 3 3" xfId="40533"/>
    <cellStyle name="Normal 6 3 2 2 2 2 2 3 4" xfId="17969"/>
    <cellStyle name="Normal 6 3 2 2 2 2 2 3 5" xfId="33012"/>
    <cellStyle name="Normal 6 3 2 2 2 2 2 4" xfId="4807"/>
    <cellStyle name="Normal 6 3 2 2 2 2 2 4 2" xfId="12330"/>
    <cellStyle name="Normal 6 3 2 2 2 2 2 4 2 2" xfId="27374"/>
    <cellStyle name="Normal 6 3 2 2 2 2 2 4 2 3" xfId="42417"/>
    <cellStyle name="Normal 6 3 2 2 2 2 2 4 3" xfId="19853"/>
    <cellStyle name="Normal 6 3 2 2 2 2 2 4 4" xfId="34896"/>
    <cellStyle name="Normal 6 3 2 2 2 2 2 5" xfId="8581"/>
    <cellStyle name="Normal 6 3 2 2 2 2 2 5 2" xfId="23625"/>
    <cellStyle name="Normal 6 3 2 2 2 2 2 5 3" xfId="38668"/>
    <cellStyle name="Normal 6 3 2 2 2 2 2 6" xfId="16104"/>
    <cellStyle name="Normal 6 3 2 2 2 2 2 7" xfId="31147"/>
    <cellStyle name="Normal 6 3 2 2 2 2 3" xfId="1486"/>
    <cellStyle name="Normal 6 3 2 2 2 2 3 2" xfId="3357"/>
    <cellStyle name="Normal 6 3 2 2 2 2 3 2 2" xfId="7152"/>
    <cellStyle name="Normal 6 3 2 2 2 2 3 2 2 2" xfId="14675"/>
    <cellStyle name="Normal 6 3 2 2 2 2 3 2 2 2 2" xfId="29719"/>
    <cellStyle name="Normal 6 3 2 2 2 2 3 2 2 2 3" xfId="44762"/>
    <cellStyle name="Normal 6 3 2 2 2 2 3 2 2 3" xfId="22198"/>
    <cellStyle name="Normal 6 3 2 2 2 2 3 2 2 4" xfId="37241"/>
    <cellStyle name="Normal 6 3 2 2 2 2 3 2 3" xfId="10926"/>
    <cellStyle name="Normal 6 3 2 2 2 2 3 2 3 2" xfId="25970"/>
    <cellStyle name="Normal 6 3 2 2 2 2 3 2 3 3" xfId="41013"/>
    <cellStyle name="Normal 6 3 2 2 2 2 3 2 4" xfId="18449"/>
    <cellStyle name="Normal 6 3 2 2 2 2 3 2 5" xfId="33492"/>
    <cellStyle name="Normal 6 3 2 2 2 2 3 3" xfId="5287"/>
    <cellStyle name="Normal 6 3 2 2 2 2 3 3 2" xfId="12810"/>
    <cellStyle name="Normal 6 3 2 2 2 2 3 3 2 2" xfId="27854"/>
    <cellStyle name="Normal 6 3 2 2 2 2 3 3 2 3" xfId="42897"/>
    <cellStyle name="Normal 6 3 2 2 2 2 3 3 3" xfId="20333"/>
    <cellStyle name="Normal 6 3 2 2 2 2 3 3 4" xfId="35376"/>
    <cellStyle name="Normal 6 3 2 2 2 2 3 4" xfId="9061"/>
    <cellStyle name="Normal 6 3 2 2 2 2 3 4 2" xfId="24105"/>
    <cellStyle name="Normal 6 3 2 2 2 2 3 4 3" xfId="39148"/>
    <cellStyle name="Normal 6 3 2 2 2 2 3 5" xfId="16584"/>
    <cellStyle name="Normal 6 3 2 2 2 2 3 6" xfId="31627"/>
    <cellStyle name="Normal 6 3 2 2 2 2 4" xfId="2424"/>
    <cellStyle name="Normal 6 3 2 2 2 2 4 2" xfId="6220"/>
    <cellStyle name="Normal 6 3 2 2 2 2 4 2 2" xfId="13743"/>
    <cellStyle name="Normal 6 3 2 2 2 2 4 2 2 2" xfId="28787"/>
    <cellStyle name="Normal 6 3 2 2 2 2 4 2 2 3" xfId="43830"/>
    <cellStyle name="Normal 6 3 2 2 2 2 4 2 3" xfId="21266"/>
    <cellStyle name="Normal 6 3 2 2 2 2 4 2 4" xfId="36309"/>
    <cellStyle name="Normal 6 3 2 2 2 2 4 3" xfId="9994"/>
    <cellStyle name="Normal 6 3 2 2 2 2 4 3 2" xfId="25038"/>
    <cellStyle name="Normal 6 3 2 2 2 2 4 3 3" xfId="40081"/>
    <cellStyle name="Normal 6 3 2 2 2 2 4 4" xfId="17517"/>
    <cellStyle name="Normal 6 3 2 2 2 2 4 5" xfId="32560"/>
    <cellStyle name="Normal 6 3 2 2 2 2 5" xfId="4352"/>
    <cellStyle name="Normal 6 3 2 2 2 2 5 2" xfId="11876"/>
    <cellStyle name="Normal 6 3 2 2 2 2 5 2 2" xfId="26920"/>
    <cellStyle name="Normal 6 3 2 2 2 2 5 2 3" xfId="41963"/>
    <cellStyle name="Normal 6 3 2 2 2 2 5 3" xfId="19399"/>
    <cellStyle name="Normal 6 3 2 2 2 2 5 4" xfId="34442"/>
    <cellStyle name="Normal 6 3 2 2 2 2 6" xfId="8115"/>
    <cellStyle name="Normal 6 3 2 2 2 2 6 2" xfId="23159"/>
    <cellStyle name="Normal 6 3 2 2 2 2 6 3" xfId="38202"/>
    <cellStyle name="Normal 6 3 2 2 2 2 7" xfId="15638"/>
    <cellStyle name="Normal 6 3 2 2 2 2 8" xfId="30681"/>
    <cellStyle name="Normal 6 3 2 2 2 3" xfId="978"/>
    <cellStyle name="Normal 6 3 2 2 2 3 2" xfId="1937"/>
    <cellStyle name="Normal 6 3 2 2 2 3 2 2" xfId="3808"/>
    <cellStyle name="Normal 6 3 2 2 2 3 2 2 2" xfId="7603"/>
    <cellStyle name="Normal 6 3 2 2 2 3 2 2 2 2" xfId="15126"/>
    <cellStyle name="Normal 6 3 2 2 2 3 2 2 2 2 2" xfId="30170"/>
    <cellStyle name="Normal 6 3 2 2 2 3 2 2 2 2 3" xfId="45213"/>
    <cellStyle name="Normal 6 3 2 2 2 3 2 2 2 3" xfId="22649"/>
    <cellStyle name="Normal 6 3 2 2 2 3 2 2 2 4" xfId="37692"/>
    <cellStyle name="Normal 6 3 2 2 2 3 2 2 3" xfId="11377"/>
    <cellStyle name="Normal 6 3 2 2 2 3 2 2 3 2" xfId="26421"/>
    <cellStyle name="Normal 6 3 2 2 2 3 2 2 3 3" xfId="41464"/>
    <cellStyle name="Normal 6 3 2 2 2 3 2 2 4" xfId="18900"/>
    <cellStyle name="Normal 6 3 2 2 2 3 2 2 5" xfId="33943"/>
    <cellStyle name="Normal 6 3 2 2 2 3 2 3" xfId="5738"/>
    <cellStyle name="Normal 6 3 2 2 2 3 2 3 2" xfId="13261"/>
    <cellStyle name="Normal 6 3 2 2 2 3 2 3 2 2" xfId="28305"/>
    <cellStyle name="Normal 6 3 2 2 2 3 2 3 2 3" xfId="43348"/>
    <cellStyle name="Normal 6 3 2 2 2 3 2 3 3" xfId="20784"/>
    <cellStyle name="Normal 6 3 2 2 2 3 2 3 4" xfId="35827"/>
    <cellStyle name="Normal 6 3 2 2 2 3 2 4" xfId="9512"/>
    <cellStyle name="Normal 6 3 2 2 2 3 2 4 2" xfId="24556"/>
    <cellStyle name="Normal 6 3 2 2 2 3 2 4 3" xfId="39599"/>
    <cellStyle name="Normal 6 3 2 2 2 3 2 5" xfId="17035"/>
    <cellStyle name="Normal 6 3 2 2 2 3 2 6" xfId="32078"/>
    <cellStyle name="Normal 6 3 2 2 2 3 3" xfId="2876"/>
    <cellStyle name="Normal 6 3 2 2 2 3 3 2" xfId="6671"/>
    <cellStyle name="Normal 6 3 2 2 2 3 3 2 2" xfId="14194"/>
    <cellStyle name="Normal 6 3 2 2 2 3 3 2 2 2" xfId="29238"/>
    <cellStyle name="Normal 6 3 2 2 2 3 3 2 2 3" xfId="44281"/>
    <cellStyle name="Normal 6 3 2 2 2 3 3 2 3" xfId="21717"/>
    <cellStyle name="Normal 6 3 2 2 2 3 3 2 4" xfId="36760"/>
    <cellStyle name="Normal 6 3 2 2 2 3 3 3" xfId="10445"/>
    <cellStyle name="Normal 6 3 2 2 2 3 3 3 2" xfId="25489"/>
    <cellStyle name="Normal 6 3 2 2 2 3 3 3 3" xfId="40532"/>
    <cellStyle name="Normal 6 3 2 2 2 3 3 4" xfId="17968"/>
    <cellStyle name="Normal 6 3 2 2 2 3 3 5" xfId="33011"/>
    <cellStyle name="Normal 6 3 2 2 2 3 4" xfId="4806"/>
    <cellStyle name="Normal 6 3 2 2 2 3 4 2" xfId="12329"/>
    <cellStyle name="Normal 6 3 2 2 2 3 4 2 2" xfId="27373"/>
    <cellStyle name="Normal 6 3 2 2 2 3 4 2 3" xfId="42416"/>
    <cellStyle name="Normal 6 3 2 2 2 3 4 3" xfId="19852"/>
    <cellStyle name="Normal 6 3 2 2 2 3 4 4" xfId="34895"/>
    <cellStyle name="Normal 6 3 2 2 2 3 5" xfId="8580"/>
    <cellStyle name="Normal 6 3 2 2 2 3 5 2" xfId="23624"/>
    <cellStyle name="Normal 6 3 2 2 2 3 5 3" xfId="38667"/>
    <cellStyle name="Normal 6 3 2 2 2 3 6" xfId="16103"/>
    <cellStyle name="Normal 6 3 2 2 2 3 7" xfId="31146"/>
    <cellStyle name="Normal 6 3 2 2 2 4" xfId="1485"/>
    <cellStyle name="Normal 6 3 2 2 2 4 2" xfId="3356"/>
    <cellStyle name="Normal 6 3 2 2 2 4 2 2" xfId="7151"/>
    <cellStyle name="Normal 6 3 2 2 2 4 2 2 2" xfId="14674"/>
    <cellStyle name="Normal 6 3 2 2 2 4 2 2 2 2" xfId="29718"/>
    <cellStyle name="Normal 6 3 2 2 2 4 2 2 2 3" xfId="44761"/>
    <cellStyle name="Normal 6 3 2 2 2 4 2 2 3" xfId="22197"/>
    <cellStyle name="Normal 6 3 2 2 2 4 2 2 4" xfId="37240"/>
    <cellStyle name="Normal 6 3 2 2 2 4 2 3" xfId="10925"/>
    <cellStyle name="Normal 6 3 2 2 2 4 2 3 2" xfId="25969"/>
    <cellStyle name="Normal 6 3 2 2 2 4 2 3 3" xfId="41012"/>
    <cellStyle name="Normal 6 3 2 2 2 4 2 4" xfId="18448"/>
    <cellStyle name="Normal 6 3 2 2 2 4 2 5" xfId="33491"/>
    <cellStyle name="Normal 6 3 2 2 2 4 3" xfId="5286"/>
    <cellStyle name="Normal 6 3 2 2 2 4 3 2" xfId="12809"/>
    <cellStyle name="Normal 6 3 2 2 2 4 3 2 2" xfId="27853"/>
    <cellStyle name="Normal 6 3 2 2 2 4 3 2 3" xfId="42896"/>
    <cellStyle name="Normal 6 3 2 2 2 4 3 3" xfId="20332"/>
    <cellStyle name="Normal 6 3 2 2 2 4 3 4" xfId="35375"/>
    <cellStyle name="Normal 6 3 2 2 2 4 4" xfId="9060"/>
    <cellStyle name="Normal 6 3 2 2 2 4 4 2" xfId="24104"/>
    <cellStyle name="Normal 6 3 2 2 2 4 4 3" xfId="39147"/>
    <cellStyle name="Normal 6 3 2 2 2 4 5" xfId="16583"/>
    <cellStyle name="Normal 6 3 2 2 2 4 6" xfId="31626"/>
    <cellStyle name="Normal 6 3 2 2 2 5" xfId="2423"/>
    <cellStyle name="Normal 6 3 2 2 2 5 2" xfId="6219"/>
    <cellStyle name="Normal 6 3 2 2 2 5 2 2" xfId="13742"/>
    <cellStyle name="Normal 6 3 2 2 2 5 2 2 2" xfId="28786"/>
    <cellStyle name="Normal 6 3 2 2 2 5 2 2 3" xfId="43829"/>
    <cellStyle name="Normal 6 3 2 2 2 5 2 3" xfId="21265"/>
    <cellStyle name="Normal 6 3 2 2 2 5 2 4" xfId="36308"/>
    <cellStyle name="Normal 6 3 2 2 2 5 3" xfId="9993"/>
    <cellStyle name="Normal 6 3 2 2 2 5 3 2" xfId="25037"/>
    <cellStyle name="Normal 6 3 2 2 2 5 3 3" xfId="40080"/>
    <cellStyle name="Normal 6 3 2 2 2 5 4" xfId="17516"/>
    <cellStyle name="Normal 6 3 2 2 2 5 5" xfId="32559"/>
    <cellStyle name="Normal 6 3 2 2 2 6" xfId="4351"/>
    <cellStyle name="Normal 6 3 2 2 2 6 2" xfId="11875"/>
    <cellStyle name="Normal 6 3 2 2 2 6 2 2" xfId="26919"/>
    <cellStyle name="Normal 6 3 2 2 2 6 2 3" xfId="41962"/>
    <cellStyle name="Normal 6 3 2 2 2 6 3" xfId="19398"/>
    <cellStyle name="Normal 6 3 2 2 2 6 4" xfId="34441"/>
    <cellStyle name="Normal 6 3 2 2 2 7" xfId="8114"/>
    <cellStyle name="Normal 6 3 2 2 2 7 2" xfId="23158"/>
    <cellStyle name="Normal 6 3 2 2 2 7 3" xfId="38201"/>
    <cellStyle name="Normal 6 3 2 2 2 8" xfId="15637"/>
    <cellStyle name="Normal 6 3 2 2 2 9" xfId="30680"/>
    <cellStyle name="Normal 6 3 2 2 3" xfId="461"/>
    <cellStyle name="Normal 6 3 2 2 3 2" xfId="980"/>
    <cellStyle name="Normal 6 3 2 2 3 2 2" xfId="1939"/>
    <cellStyle name="Normal 6 3 2 2 3 2 2 2" xfId="3810"/>
    <cellStyle name="Normal 6 3 2 2 3 2 2 2 2" xfId="7605"/>
    <cellStyle name="Normal 6 3 2 2 3 2 2 2 2 2" xfId="15128"/>
    <cellStyle name="Normal 6 3 2 2 3 2 2 2 2 2 2" xfId="30172"/>
    <cellStyle name="Normal 6 3 2 2 3 2 2 2 2 2 3" xfId="45215"/>
    <cellStyle name="Normal 6 3 2 2 3 2 2 2 2 3" xfId="22651"/>
    <cellStyle name="Normal 6 3 2 2 3 2 2 2 2 4" xfId="37694"/>
    <cellStyle name="Normal 6 3 2 2 3 2 2 2 3" xfId="11379"/>
    <cellStyle name="Normal 6 3 2 2 3 2 2 2 3 2" xfId="26423"/>
    <cellStyle name="Normal 6 3 2 2 3 2 2 2 3 3" xfId="41466"/>
    <cellStyle name="Normal 6 3 2 2 3 2 2 2 4" xfId="18902"/>
    <cellStyle name="Normal 6 3 2 2 3 2 2 2 5" xfId="33945"/>
    <cellStyle name="Normal 6 3 2 2 3 2 2 3" xfId="5740"/>
    <cellStyle name="Normal 6 3 2 2 3 2 2 3 2" xfId="13263"/>
    <cellStyle name="Normal 6 3 2 2 3 2 2 3 2 2" xfId="28307"/>
    <cellStyle name="Normal 6 3 2 2 3 2 2 3 2 3" xfId="43350"/>
    <cellStyle name="Normal 6 3 2 2 3 2 2 3 3" xfId="20786"/>
    <cellStyle name="Normal 6 3 2 2 3 2 2 3 4" xfId="35829"/>
    <cellStyle name="Normal 6 3 2 2 3 2 2 4" xfId="9514"/>
    <cellStyle name="Normal 6 3 2 2 3 2 2 4 2" xfId="24558"/>
    <cellStyle name="Normal 6 3 2 2 3 2 2 4 3" xfId="39601"/>
    <cellStyle name="Normal 6 3 2 2 3 2 2 5" xfId="17037"/>
    <cellStyle name="Normal 6 3 2 2 3 2 2 6" xfId="32080"/>
    <cellStyle name="Normal 6 3 2 2 3 2 3" xfId="2878"/>
    <cellStyle name="Normal 6 3 2 2 3 2 3 2" xfId="6673"/>
    <cellStyle name="Normal 6 3 2 2 3 2 3 2 2" xfId="14196"/>
    <cellStyle name="Normal 6 3 2 2 3 2 3 2 2 2" xfId="29240"/>
    <cellStyle name="Normal 6 3 2 2 3 2 3 2 2 3" xfId="44283"/>
    <cellStyle name="Normal 6 3 2 2 3 2 3 2 3" xfId="21719"/>
    <cellStyle name="Normal 6 3 2 2 3 2 3 2 4" xfId="36762"/>
    <cellStyle name="Normal 6 3 2 2 3 2 3 3" xfId="10447"/>
    <cellStyle name="Normal 6 3 2 2 3 2 3 3 2" xfId="25491"/>
    <cellStyle name="Normal 6 3 2 2 3 2 3 3 3" xfId="40534"/>
    <cellStyle name="Normal 6 3 2 2 3 2 3 4" xfId="17970"/>
    <cellStyle name="Normal 6 3 2 2 3 2 3 5" xfId="33013"/>
    <cellStyle name="Normal 6 3 2 2 3 2 4" xfId="4808"/>
    <cellStyle name="Normal 6 3 2 2 3 2 4 2" xfId="12331"/>
    <cellStyle name="Normal 6 3 2 2 3 2 4 2 2" xfId="27375"/>
    <cellStyle name="Normal 6 3 2 2 3 2 4 2 3" xfId="42418"/>
    <cellStyle name="Normal 6 3 2 2 3 2 4 3" xfId="19854"/>
    <cellStyle name="Normal 6 3 2 2 3 2 4 4" xfId="34897"/>
    <cellStyle name="Normal 6 3 2 2 3 2 5" xfId="8582"/>
    <cellStyle name="Normal 6 3 2 2 3 2 5 2" xfId="23626"/>
    <cellStyle name="Normal 6 3 2 2 3 2 5 3" xfId="38669"/>
    <cellStyle name="Normal 6 3 2 2 3 2 6" xfId="16105"/>
    <cellStyle name="Normal 6 3 2 2 3 2 7" xfId="31148"/>
    <cellStyle name="Normal 6 3 2 2 3 3" xfId="1487"/>
    <cellStyle name="Normal 6 3 2 2 3 3 2" xfId="3358"/>
    <cellStyle name="Normal 6 3 2 2 3 3 2 2" xfId="7153"/>
    <cellStyle name="Normal 6 3 2 2 3 3 2 2 2" xfId="14676"/>
    <cellStyle name="Normal 6 3 2 2 3 3 2 2 2 2" xfId="29720"/>
    <cellStyle name="Normal 6 3 2 2 3 3 2 2 2 3" xfId="44763"/>
    <cellStyle name="Normal 6 3 2 2 3 3 2 2 3" xfId="22199"/>
    <cellStyle name="Normal 6 3 2 2 3 3 2 2 4" xfId="37242"/>
    <cellStyle name="Normal 6 3 2 2 3 3 2 3" xfId="10927"/>
    <cellStyle name="Normal 6 3 2 2 3 3 2 3 2" xfId="25971"/>
    <cellStyle name="Normal 6 3 2 2 3 3 2 3 3" xfId="41014"/>
    <cellStyle name="Normal 6 3 2 2 3 3 2 4" xfId="18450"/>
    <cellStyle name="Normal 6 3 2 2 3 3 2 5" xfId="33493"/>
    <cellStyle name="Normal 6 3 2 2 3 3 3" xfId="5288"/>
    <cellStyle name="Normal 6 3 2 2 3 3 3 2" xfId="12811"/>
    <cellStyle name="Normal 6 3 2 2 3 3 3 2 2" xfId="27855"/>
    <cellStyle name="Normal 6 3 2 2 3 3 3 2 3" xfId="42898"/>
    <cellStyle name="Normal 6 3 2 2 3 3 3 3" xfId="20334"/>
    <cellStyle name="Normal 6 3 2 2 3 3 3 4" xfId="35377"/>
    <cellStyle name="Normal 6 3 2 2 3 3 4" xfId="9062"/>
    <cellStyle name="Normal 6 3 2 2 3 3 4 2" xfId="24106"/>
    <cellStyle name="Normal 6 3 2 2 3 3 4 3" xfId="39149"/>
    <cellStyle name="Normal 6 3 2 2 3 3 5" xfId="16585"/>
    <cellStyle name="Normal 6 3 2 2 3 3 6" xfId="31628"/>
    <cellStyle name="Normal 6 3 2 2 3 4" xfId="2425"/>
    <cellStyle name="Normal 6 3 2 2 3 4 2" xfId="6221"/>
    <cellStyle name="Normal 6 3 2 2 3 4 2 2" xfId="13744"/>
    <cellStyle name="Normal 6 3 2 2 3 4 2 2 2" xfId="28788"/>
    <cellStyle name="Normal 6 3 2 2 3 4 2 2 3" xfId="43831"/>
    <cellStyle name="Normal 6 3 2 2 3 4 2 3" xfId="21267"/>
    <cellStyle name="Normal 6 3 2 2 3 4 2 4" xfId="36310"/>
    <cellStyle name="Normal 6 3 2 2 3 4 3" xfId="9995"/>
    <cellStyle name="Normal 6 3 2 2 3 4 3 2" xfId="25039"/>
    <cellStyle name="Normal 6 3 2 2 3 4 3 3" xfId="40082"/>
    <cellStyle name="Normal 6 3 2 2 3 4 4" xfId="17518"/>
    <cellStyle name="Normal 6 3 2 2 3 4 5" xfId="32561"/>
    <cellStyle name="Normal 6 3 2 2 3 5" xfId="4353"/>
    <cellStyle name="Normal 6 3 2 2 3 5 2" xfId="11877"/>
    <cellStyle name="Normal 6 3 2 2 3 5 2 2" xfId="26921"/>
    <cellStyle name="Normal 6 3 2 2 3 5 2 3" xfId="41964"/>
    <cellStyle name="Normal 6 3 2 2 3 5 3" xfId="19400"/>
    <cellStyle name="Normal 6 3 2 2 3 5 4" xfId="34443"/>
    <cellStyle name="Normal 6 3 2 2 3 6" xfId="8116"/>
    <cellStyle name="Normal 6 3 2 2 3 6 2" xfId="23160"/>
    <cellStyle name="Normal 6 3 2 2 3 6 3" xfId="38203"/>
    <cellStyle name="Normal 6 3 2 2 3 7" xfId="15639"/>
    <cellStyle name="Normal 6 3 2 2 3 8" xfId="30682"/>
    <cellStyle name="Normal 6 3 2 2 4" xfId="977"/>
    <cellStyle name="Normal 6 3 2 2 4 2" xfId="1936"/>
    <cellStyle name="Normal 6 3 2 2 4 2 2" xfId="3807"/>
    <cellStyle name="Normal 6 3 2 2 4 2 2 2" xfId="7602"/>
    <cellStyle name="Normal 6 3 2 2 4 2 2 2 2" xfId="15125"/>
    <cellStyle name="Normal 6 3 2 2 4 2 2 2 2 2" xfId="30169"/>
    <cellStyle name="Normal 6 3 2 2 4 2 2 2 2 3" xfId="45212"/>
    <cellStyle name="Normal 6 3 2 2 4 2 2 2 3" xfId="22648"/>
    <cellStyle name="Normal 6 3 2 2 4 2 2 2 4" xfId="37691"/>
    <cellStyle name="Normal 6 3 2 2 4 2 2 3" xfId="11376"/>
    <cellStyle name="Normal 6 3 2 2 4 2 2 3 2" xfId="26420"/>
    <cellStyle name="Normal 6 3 2 2 4 2 2 3 3" xfId="41463"/>
    <cellStyle name="Normal 6 3 2 2 4 2 2 4" xfId="18899"/>
    <cellStyle name="Normal 6 3 2 2 4 2 2 5" xfId="33942"/>
    <cellStyle name="Normal 6 3 2 2 4 2 3" xfId="5737"/>
    <cellStyle name="Normal 6 3 2 2 4 2 3 2" xfId="13260"/>
    <cellStyle name="Normal 6 3 2 2 4 2 3 2 2" xfId="28304"/>
    <cellStyle name="Normal 6 3 2 2 4 2 3 2 3" xfId="43347"/>
    <cellStyle name="Normal 6 3 2 2 4 2 3 3" xfId="20783"/>
    <cellStyle name="Normal 6 3 2 2 4 2 3 4" xfId="35826"/>
    <cellStyle name="Normal 6 3 2 2 4 2 4" xfId="9511"/>
    <cellStyle name="Normal 6 3 2 2 4 2 4 2" xfId="24555"/>
    <cellStyle name="Normal 6 3 2 2 4 2 4 3" xfId="39598"/>
    <cellStyle name="Normal 6 3 2 2 4 2 5" xfId="17034"/>
    <cellStyle name="Normal 6 3 2 2 4 2 6" xfId="32077"/>
    <cellStyle name="Normal 6 3 2 2 4 3" xfId="2875"/>
    <cellStyle name="Normal 6 3 2 2 4 3 2" xfId="6670"/>
    <cellStyle name="Normal 6 3 2 2 4 3 2 2" xfId="14193"/>
    <cellStyle name="Normal 6 3 2 2 4 3 2 2 2" xfId="29237"/>
    <cellStyle name="Normal 6 3 2 2 4 3 2 2 3" xfId="44280"/>
    <cellStyle name="Normal 6 3 2 2 4 3 2 3" xfId="21716"/>
    <cellStyle name="Normal 6 3 2 2 4 3 2 4" xfId="36759"/>
    <cellStyle name="Normal 6 3 2 2 4 3 3" xfId="10444"/>
    <cellStyle name="Normal 6 3 2 2 4 3 3 2" xfId="25488"/>
    <cellStyle name="Normal 6 3 2 2 4 3 3 3" xfId="40531"/>
    <cellStyle name="Normal 6 3 2 2 4 3 4" xfId="17967"/>
    <cellStyle name="Normal 6 3 2 2 4 3 5" xfId="33010"/>
    <cellStyle name="Normal 6 3 2 2 4 4" xfId="4805"/>
    <cellStyle name="Normal 6 3 2 2 4 4 2" xfId="12328"/>
    <cellStyle name="Normal 6 3 2 2 4 4 2 2" xfId="27372"/>
    <cellStyle name="Normal 6 3 2 2 4 4 2 3" xfId="42415"/>
    <cellStyle name="Normal 6 3 2 2 4 4 3" xfId="19851"/>
    <cellStyle name="Normal 6 3 2 2 4 4 4" xfId="34894"/>
    <cellStyle name="Normal 6 3 2 2 4 5" xfId="8579"/>
    <cellStyle name="Normal 6 3 2 2 4 5 2" xfId="23623"/>
    <cellStyle name="Normal 6 3 2 2 4 5 3" xfId="38666"/>
    <cellStyle name="Normal 6 3 2 2 4 6" xfId="16102"/>
    <cellStyle name="Normal 6 3 2 2 4 7" xfId="31145"/>
    <cellStyle name="Normal 6 3 2 2 5" xfId="1484"/>
    <cellStyle name="Normal 6 3 2 2 5 2" xfId="3355"/>
    <cellStyle name="Normal 6 3 2 2 5 2 2" xfId="7150"/>
    <cellStyle name="Normal 6 3 2 2 5 2 2 2" xfId="14673"/>
    <cellStyle name="Normal 6 3 2 2 5 2 2 2 2" xfId="29717"/>
    <cellStyle name="Normal 6 3 2 2 5 2 2 2 3" xfId="44760"/>
    <cellStyle name="Normal 6 3 2 2 5 2 2 3" xfId="22196"/>
    <cellStyle name="Normal 6 3 2 2 5 2 2 4" xfId="37239"/>
    <cellStyle name="Normal 6 3 2 2 5 2 3" xfId="10924"/>
    <cellStyle name="Normal 6 3 2 2 5 2 3 2" xfId="25968"/>
    <cellStyle name="Normal 6 3 2 2 5 2 3 3" xfId="41011"/>
    <cellStyle name="Normal 6 3 2 2 5 2 4" xfId="18447"/>
    <cellStyle name="Normal 6 3 2 2 5 2 5" xfId="33490"/>
    <cellStyle name="Normal 6 3 2 2 5 3" xfId="5285"/>
    <cellStyle name="Normal 6 3 2 2 5 3 2" xfId="12808"/>
    <cellStyle name="Normal 6 3 2 2 5 3 2 2" xfId="27852"/>
    <cellStyle name="Normal 6 3 2 2 5 3 2 3" xfId="42895"/>
    <cellStyle name="Normal 6 3 2 2 5 3 3" xfId="20331"/>
    <cellStyle name="Normal 6 3 2 2 5 3 4" xfId="35374"/>
    <cellStyle name="Normal 6 3 2 2 5 4" xfId="9059"/>
    <cellStyle name="Normal 6 3 2 2 5 4 2" xfId="24103"/>
    <cellStyle name="Normal 6 3 2 2 5 4 3" xfId="39146"/>
    <cellStyle name="Normal 6 3 2 2 5 5" xfId="16582"/>
    <cellStyle name="Normal 6 3 2 2 5 6" xfId="31625"/>
    <cellStyle name="Normal 6 3 2 2 6" xfId="2422"/>
    <cellStyle name="Normal 6 3 2 2 6 2" xfId="6218"/>
    <cellStyle name="Normal 6 3 2 2 6 2 2" xfId="13741"/>
    <cellStyle name="Normal 6 3 2 2 6 2 2 2" xfId="28785"/>
    <cellStyle name="Normal 6 3 2 2 6 2 2 3" xfId="43828"/>
    <cellStyle name="Normal 6 3 2 2 6 2 3" xfId="21264"/>
    <cellStyle name="Normal 6 3 2 2 6 2 4" xfId="36307"/>
    <cellStyle name="Normal 6 3 2 2 6 3" xfId="9992"/>
    <cellStyle name="Normal 6 3 2 2 6 3 2" xfId="25036"/>
    <cellStyle name="Normal 6 3 2 2 6 3 3" xfId="40079"/>
    <cellStyle name="Normal 6 3 2 2 6 4" xfId="17515"/>
    <cellStyle name="Normal 6 3 2 2 6 5" xfId="32558"/>
    <cellStyle name="Normal 6 3 2 2 7" xfId="4350"/>
    <cellStyle name="Normal 6 3 2 2 7 2" xfId="11874"/>
    <cellStyle name="Normal 6 3 2 2 7 2 2" xfId="26918"/>
    <cellStyle name="Normal 6 3 2 2 7 2 3" xfId="41961"/>
    <cellStyle name="Normal 6 3 2 2 7 3" xfId="19397"/>
    <cellStyle name="Normal 6 3 2 2 7 4" xfId="34440"/>
    <cellStyle name="Normal 6 3 2 2 8" xfId="8113"/>
    <cellStyle name="Normal 6 3 2 2 8 2" xfId="23157"/>
    <cellStyle name="Normal 6 3 2 2 8 3" xfId="38200"/>
    <cellStyle name="Normal 6 3 2 2 9" xfId="15636"/>
    <cellStyle name="Normal 6 3 2 3" xfId="462"/>
    <cellStyle name="Normal 6 3 2 3 2" xfId="463"/>
    <cellStyle name="Normal 6 3 2 3 2 2" xfId="982"/>
    <cellStyle name="Normal 6 3 2 3 2 2 2" xfId="1941"/>
    <cellStyle name="Normal 6 3 2 3 2 2 2 2" xfId="3812"/>
    <cellStyle name="Normal 6 3 2 3 2 2 2 2 2" xfId="7607"/>
    <cellStyle name="Normal 6 3 2 3 2 2 2 2 2 2" xfId="15130"/>
    <cellStyle name="Normal 6 3 2 3 2 2 2 2 2 2 2" xfId="30174"/>
    <cellStyle name="Normal 6 3 2 3 2 2 2 2 2 2 3" xfId="45217"/>
    <cellStyle name="Normal 6 3 2 3 2 2 2 2 2 3" xfId="22653"/>
    <cellStyle name="Normal 6 3 2 3 2 2 2 2 2 4" xfId="37696"/>
    <cellStyle name="Normal 6 3 2 3 2 2 2 2 3" xfId="11381"/>
    <cellStyle name="Normal 6 3 2 3 2 2 2 2 3 2" xfId="26425"/>
    <cellStyle name="Normal 6 3 2 3 2 2 2 2 3 3" xfId="41468"/>
    <cellStyle name="Normal 6 3 2 3 2 2 2 2 4" xfId="18904"/>
    <cellStyle name="Normal 6 3 2 3 2 2 2 2 5" xfId="33947"/>
    <cellStyle name="Normal 6 3 2 3 2 2 2 3" xfId="5742"/>
    <cellStyle name="Normal 6 3 2 3 2 2 2 3 2" xfId="13265"/>
    <cellStyle name="Normal 6 3 2 3 2 2 2 3 2 2" xfId="28309"/>
    <cellStyle name="Normal 6 3 2 3 2 2 2 3 2 3" xfId="43352"/>
    <cellStyle name="Normal 6 3 2 3 2 2 2 3 3" xfId="20788"/>
    <cellStyle name="Normal 6 3 2 3 2 2 2 3 4" xfId="35831"/>
    <cellStyle name="Normal 6 3 2 3 2 2 2 4" xfId="9516"/>
    <cellStyle name="Normal 6 3 2 3 2 2 2 4 2" xfId="24560"/>
    <cellStyle name="Normal 6 3 2 3 2 2 2 4 3" xfId="39603"/>
    <cellStyle name="Normal 6 3 2 3 2 2 2 5" xfId="17039"/>
    <cellStyle name="Normal 6 3 2 3 2 2 2 6" xfId="32082"/>
    <cellStyle name="Normal 6 3 2 3 2 2 3" xfId="2880"/>
    <cellStyle name="Normal 6 3 2 3 2 2 3 2" xfId="6675"/>
    <cellStyle name="Normal 6 3 2 3 2 2 3 2 2" xfId="14198"/>
    <cellStyle name="Normal 6 3 2 3 2 2 3 2 2 2" xfId="29242"/>
    <cellStyle name="Normal 6 3 2 3 2 2 3 2 2 3" xfId="44285"/>
    <cellStyle name="Normal 6 3 2 3 2 2 3 2 3" xfId="21721"/>
    <cellStyle name="Normal 6 3 2 3 2 2 3 2 4" xfId="36764"/>
    <cellStyle name="Normal 6 3 2 3 2 2 3 3" xfId="10449"/>
    <cellStyle name="Normal 6 3 2 3 2 2 3 3 2" xfId="25493"/>
    <cellStyle name="Normal 6 3 2 3 2 2 3 3 3" xfId="40536"/>
    <cellStyle name="Normal 6 3 2 3 2 2 3 4" xfId="17972"/>
    <cellStyle name="Normal 6 3 2 3 2 2 3 5" xfId="33015"/>
    <cellStyle name="Normal 6 3 2 3 2 2 4" xfId="4810"/>
    <cellStyle name="Normal 6 3 2 3 2 2 4 2" xfId="12333"/>
    <cellStyle name="Normal 6 3 2 3 2 2 4 2 2" xfId="27377"/>
    <cellStyle name="Normal 6 3 2 3 2 2 4 2 3" xfId="42420"/>
    <cellStyle name="Normal 6 3 2 3 2 2 4 3" xfId="19856"/>
    <cellStyle name="Normal 6 3 2 3 2 2 4 4" xfId="34899"/>
    <cellStyle name="Normal 6 3 2 3 2 2 5" xfId="8584"/>
    <cellStyle name="Normal 6 3 2 3 2 2 5 2" xfId="23628"/>
    <cellStyle name="Normal 6 3 2 3 2 2 5 3" xfId="38671"/>
    <cellStyle name="Normal 6 3 2 3 2 2 6" xfId="16107"/>
    <cellStyle name="Normal 6 3 2 3 2 2 7" xfId="31150"/>
    <cellStyle name="Normal 6 3 2 3 2 3" xfId="1489"/>
    <cellStyle name="Normal 6 3 2 3 2 3 2" xfId="3360"/>
    <cellStyle name="Normal 6 3 2 3 2 3 2 2" xfId="7155"/>
    <cellStyle name="Normal 6 3 2 3 2 3 2 2 2" xfId="14678"/>
    <cellStyle name="Normal 6 3 2 3 2 3 2 2 2 2" xfId="29722"/>
    <cellStyle name="Normal 6 3 2 3 2 3 2 2 2 3" xfId="44765"/>
    <cellStyle name="Normal 6 3 2 3 2 3 2 2 3" xfId="22201"/>
    <cellStyle name="Normal 6 3 2 3 2 3 2 2 4" xfId="37244"/>
    <cellStyle name="Normal 6 3 2 3 2 3 2 3" xfId="10929"/>
    <cellStyle name="Normal 6 3 2 3 2 3 2 3 2" xfId="25973"/>
    <cellStyle name="Normal 6 3 2 3 2 3 2 3 3" xfId="41016"/>
    <cellStyle name="Normal 6 3 2 3 2 3 2 4" xfId="18452"/>
    <cellStyle name="Normal 6 3 2 3 2 3 2 5" xfId="33495"/>
    <cellStyle name="Normal 6 3 2 3 2 3 3" xfId="5290"/>
    <cellStyle name="Normal 6 3 2 3 2 3 3 2" xfId="12813"/>
    <cellStyle name="Normal 6 3 2 3 2 3 3 2 2" xfId="27857"/>
    <cellStyle name="Normal 6 3 2 3 2 3 3 2 3" xfId="42900"/>
    <cellStyle name="Normal 6 3 2 3 2 3 3 3" xfId="20336"/>
    <cellStyle name="Normal 6 3 2 3 2 3 3 4" xfId="35379"/>
    <cellStyle name="Normal 6 3 2 3 2 3 4" xfId="9064"/>
    <cellStyle name="Normal 6 3 2 3 2 3 4 2" xfId="24108"/>
    <cellStyle name="Normal 6 3 2 3 2 3 4 3" xfId="39151"/>
    <cellStyle name="Normal 6 3 2 3 2 3 5" xfId="16587"/>
    <cellStyle name="Normal 6 3 2 3 2 3 6" xfId="31630"/>
    <cellStyle name="Normal 6 3 2 3 2 4" xfId="2427"/>
    <cellStyle name="Normal 6 3 2 3 2 4 2" xfId="6223"/>
    <cellStyle name="Normal 6 3 2 3 2 4 2 2" xfId="13746"/>
    <cellStyle name="Normal 6 3 2 3 2 4 2 2 2" xfId="28790"/>
    <cellStyle name="Normal 6 3 2 3 2 4 2 2 3" xfId="43833"/>
    <cellStyle name="Normal 6 3 2 3 2 4 2 3" xfId="21269"/>
    <cellStyle name="Normal 6 3 2 3 2 4 2 4" xfId="36312"/>
    <cellStyle name="Normal 6 3 2 3 2 4 3" xfId="9997"/>
    <cellStyle name="Normal 6 3 2 3 2 4 3 2" xfId="25041"/>
    <cellStyle name="Normal 6 3 2 3 2 4 3 3" xfId="40084"/>
    <cellStyle name="Normal 6 3 2 3 2 4 4" xfId="17520"/>
    <cellStyle name="Normal 6 3 2 3 2 4 5" xfId="32563"/>
    <cellStyle name="Normal 6 3 2 3 2 5" xfId="4355"/>
    <cellStyle name="Normal 6 3 2 3 2 5 2" xfId="11879"/>
    <cellStyle name="Normal 6 3 2 3 2 5 2 2" xfId="26923"/>
    <cellStyle name="Normal 6 3 2 3 2 5 2 3" xfId="41966"/>
    <cellStyle name="Normal 6 3 2 3 2 5 3" xfId="19402"/>
    <cellStyle name="Normal 6 3 2 3 2 5 4" xfId="34445"/>
    <cellStyle name="Normal 6 3 2 3 2 6" xfId="8118"/>
    <cellStyle name="Normal 6 3 2 3 2 6 2" xfId="23162"/>
    <cellStyle name="Normal 6 3 2 3 2 6 3" xfId="38205"/>
    <cellStyle name="Normal 6 3 2 3 2 7" xfId="15641"/>
    <cellStyle name="Normal 6 3 2 3 2 8" xfId="30684"/>
    <cellStyle name="Normal 6 3 2 3 3" xfId="981"/>
    <cellStyle name="Normal 6 3 2 3 3 2" xfId="1940"/>
    <cellStyle name="Normal 6 3 2 3 3 2 2" xfId="3811"/>
    <cellStyle name="Normal 6 3 2 3 3 2 2 2" xfId="7606"/>
    <cellStyle name="Normal 6 3 2 3 3 2 2 2 2" xfId="15129"/>
    <cellStyle name="Normal 6 3 2 3 3 2 2 2 2 2" xfId="30173"/>
    <cellStyle name="Normal 6 3 2 3 3 2 2 2 2 3" xfId="45216"/>
    <cellStyle name="Normal 6 3 2 3 3 2 2 2 3" xfId="22652"/>
    <cellStyle name="Normal 6 3 2 3 3 2 2 2 4" xfId="37695"/>
    <cellStyle name="Normal 6 3 2 3 3 2 2 3" xfId="11380"/>
    <cellStyle name="Normal 6 3 2 3 3 2 2 3 2" xfId="26424"/>
    <cellStyle name="Normal 6 3 2 3 3 2 2 3 3" xfId="41467"/>
    <cellStyle name="Normal 6 3 2 3 3 2 2 4" xfId="18903"/>
    <cellStyle name="Normal 6 3 2 3 3 2 2 5" xfId="33946"/>
    <cellStyle name="Normal 6 3 2 3 3 2 3" xfId="5741"/>
    <cellStyle name="Normal 6 3 2 3 3 2 3 2" xfId="13264"/>
    <cellStyle name="Normal 6 3 2 3 3 2 3 2 2" xfId="28308"/>
    <cellStyle name="Normal 6 3 2 3 3 2 3 2 3" xfId="43351"/>
    <cellStyle name="Normal 6 3 2 3 3 2 3 3" xfId="20787"/>
    <cellStyle name="Normal 6 3 2 3 3 2 3 4" xfId="35830"/>
    <cellStyle name="Normal 6 3 2 3 3 2 4" xfId="9515"/>
    <cellStyle name="Normal 6 3 2 3 3 2 4 2" xfId="24559"/>
    <cellStyle name="Normal 6 3 2 3 3 2 4 3" xfId="39602"/>
    <cellStyle name="Normal 6 3 2 3 3 2 5" xfId="17038"/>
    <cellStyle name="Normal 6 3 2 3 3 2 6" xfId="32081"/>
    <cellStyle name="Normal 6 3 2 3 3 3" xfId="2879"/>
    <cellStyle name="Normal 6 3 2 3 3 3 2" xfId="6674"/>
    <cellStyle name="Normal 6 3 2 3 3 3 2 2" xfId="14197"/>
    <cellStyle name="Normal 6 3 2 3 3 3 2 2 2" xfId="29241"/>
    <cellStyle name="Normal 6 3 2 3 3 3 2 2 3" xfId="44284"/>
    <cellStyle name="Normal 6 3 2 3 3 3 2 3" xfId="21720"/>
    <cellStyle name="Normal 6 3 2 3 3 3 2 4" xfId="36763"/>
    <cellStyle name="Normal 6 3 2 3 3 3 3" xfId="10448"/>
    <cellStyle name="Normal 6 3 2 3 3 3 3 2" xfId="25492"/>
    <cellStyle name="Normal 6 3 2 3 3 3 3 3" xfId="40535"/>
    <cellStyle name="Normal 6 3 2 3 3 3 4" xfId="17971"/>
    <cellStyle name="Normal 6 3 2 3 3 3 5" xfId="33014"/>
    <cellStyle name="Normal 6 3 2 3 3 4" xfId="4809"/>
    <cellStyle name="Normal 6 3 2 3 3 4 2" xfId="12332"/>
    <cellStyle name="Normal 6 3 2 3 3 4 2 2" xfId="27376"/>
    <cellStyle name="Normal 6 3 2 3 3 4 2 3" xfId="42419"/>
    <cellStyle name="Normal 6 3 2 3 3 4 3" xfId="19855"/>
    <cellStyle name="Normal 6 3 2 3 3 4 4" xfId="34898"/>
    <cellStyle name="Normal 6 3 2 3 3 5" xfId="8583"/>
    <cellStyle name="Normal 6 3 2 3 3 5 2" xfId="23627"/>
    <cellStyle name="Normal 6 3 2 3 3 5 3" xfId="38670"/>
    <cellStyle name="Normal 6 3 2 3 3 6" xfId="16106"/>
    <cellStyle name="Normal 6 3 2 3 3 7" xfId="31149"/>
    <cellStyle name="Normal 6 3 2 3 4" xfId="1488"/>
    <cellStyle name="Normal 6 3 2 3 4 2" xfId="3359"/>
    <cellStyle name="Normal 6 3 2 3 4 2 2" xfId="7154"/>
    <cellStyle name="Normal 6 3 2 3 4 2 2 2" xfId="14677"/>
    <cellStyle name="Normal 6 3 2 3 4 2 2 2 2" xfId="29721"/>
    <cellStyle name="Normal 6 3 2 3 4 2 2 2 3" xfId="44764"/>
    <cellStyle name="Normal 6 3 2 3 4 2 2 3" xfId="22200"/>
    <cellStyle name="Normal 6 3 2 3 4 2 2 4" xfId="37243"/>
    <cellStyle name="Normal 6 3 2 3 4 2 3" xfId="10928"/>
    <cellStyle name="Normal 6 3 2 3 4 2 3 2" xfId="25972"/>
    <cellStyle name="Normal 6 3 2 3 4 2 3 3" xfId="41015"/>
    <cellStyle name="Normal 6 3 2 3 4 2 4" xfId="18451"/>
    <cellStyle name="Normal 6 3 2 3 4 2 5" xfId="33494"/>
    <cellStyle name="Normal 6 3 2 3 4 3" xfId="5289"/>
    <cellStyle name="Normal 6 3 2 3 4 3 2" xfId="12812"/>
    <cellStyle name="Normal 6 3 2 3 4 3 2 2" xfId="27856"/>
    <cellStyle name="Normal 6 3 2 3 4 3 2 3" xfId="42899"/>
    <cellStyle name="Normal 6 3 2 3 4 3 3" xfId="20335"/>
    <cellStyle name="Normal 6 3 2 3 4 3 4" xfId="35378"/>
    <cellStyle name="Normal 6 3 2 3 4 4" xfId="9063"/>
    <cellStyle name="Normal 6 3 2 3 4 4 2" xfId="24107"/>
    <cellStyle name="Normal 6 3 2 3 4 4 3" xfId="39150"/>
    <cellStyle name="Normal 6 3 2 3 4 5" xfId="16586"/>
    <cellStyle name="Normal 6 3 2 3 4 6" xfId="31629"/>
    <cellStyle name="Normal 6 3 2 3 5" xfId="2426"/>
    <cellStyle name="Normal 6 3 2 3 5 2" xfId="6222"/>
    <cellStyle name="Normal 6 3 2 3 5 2 2" xfId="13745"/>
    <cellStyle name="Normal 6 3 2 3 5 2 2 2" xfId="28789"/>
    <cellStyle name="Normal 6 3 2 3 5 2 2 3" xfId="43832"/>
    <cellStyle name="Normal 6 3 2 3 5 2 3" xfId="21268"/>
    <cellStyle name="Normal 6 3 2 3 5 2 4" xfId="36311"/>
    <cellStyle name="Normal 6 3 2 3 5 3" xfId="9996"/>
    <cellStyle name="Normal 6 3 2 3 5 3 2" xfId="25040"/>
    <cellStyle name="Normal 6 3 2 3 5 3 3" xfId="40083"/>
    <cellStyle name="Normal 6 3 2 3 5 4" xfId="17519"/>
    <cellStyle name="Normal 6 3 2 3 5 5" xfId="32562"/>
    <cellStyle name="Normal 6 3 2 3 6" xfId="4354"/>
    <cellStyle name="Normal 6 3 2 3 6 2" xfId="11878"/>
    <cellStyle name="Normal 6 3 2 3 6 2 2" xfId="26922"/>
    <cellStyle name="Normal 6 3 2 3 6 2 3" xfId="41965"/>
    <cellStyle name="Normal 6 3 2 3 6 3" xfId="19401"/>
    <cellStyle name="Normal 6 3 2 3 6 4" xfId="34444"/>
    <cellStyle name="Normal 6 3 2 3 7" xfId="8117"/>
    <cellStyle name="Normal 6 3 2 3 7 2" xfId="23161"/>
    <cellStyle name="Normal 6 3 2 3 7 3" xfId="38204"/>
    <cellStyle name="Normal 6 3 2 3 8" xfId="15640"/>
    <cellStyle name="Normal 6 3 2 3 9" xfId="30683"/>
    <cellStyle name="Normal 6 3 2 4" xfId="464"/>
    <cellStyle name="Normal 6 3 2 4 2" xfId="465"/>
    <cellStyle name="Normal 6 3 2 4 2 2" xfId="984"/>
    <cellStyle name="Normal 6 3 2 4 2 2 2" xfId="1943"/>
    <cellStyle name="Normal 6 3 2 4 2 2 2 2" xfId="3814"/>
    <cellStyle name="Normal 6 3 2 4 2 2 2 2 2" xfId="7609"/>
    <cellStyle name="Normal 6 3 2 4 2 2 2 2 2 2" xfId="15132"/>
    <cellStyle name="Normal 6 3 2 4 2 2 2 2 2 2 2" xfId="30176"/>
    <cellStyle name="Normal 6 3 2 4 2 2 2 2 2 2 3" xfId="45219"/>
    <cellStyle name="Normal 6 3 2 4 2 2 2 2 2 3" xfId="22655"/>
    <cellStyle name="Normal 6 3 2 4 2 2 2 2 2 4" xfId="37698"/>
    <cellStyle name="Normal 6 3 2 4 2 2 2 2 3" xfId="11383"/>
    <cellStyle name="Normal 6 3 2 4 2 2 2 2 3 2" xfId="26427"/>
    <cellStyle name="Normal 6 3 2 4 2 2 2 2 3 3" xfId="41470"/>
    <cellStyle name="Normal 6 3 2 4 2 2 2 2 4" xfId="18906"/>
    <cellStyle name="Normal 6 3 2 4 2 2 2 2 5" xfId="33949"/>
    <cellStyle name="Normal 6 3 2 4 2 2 2 3" xfId="5744"/>
    <cellStyle name="Normal 6 3 2 4 2 2 2 3 2" xfId="13267"/>
    <cellStyle name="Normal 6 3 2 4 2 2 2 3 2 2" xfId="28311"/>
    <cellStyle name="Normal 6 3 2 4 2 2 2 3 2 3" xfId="43354"/>
    <cellStyle name="Normal 6 3 2 4 2 2 2 3 3" xfId="20790"/>
    <cellStyle name="Normal 6 3 2 4 2 2 2 3 4" xfId="35833"/>
    <cellStyle name="Normal 6 3 2 4 2 2 2 4" xfId="9518"/>
    <cellStyle name="Normal 6 3 2 4 2 2 2 4 2" xfId="24562"/>
    <cellStyle name="Normal 6 3 2 4 2 2 2 4 3" xfId="39605"/>
    <cellStyle name="Normal 6 3 2 4 2 2 2 5" xfId="17041"/>
    <cellStyle name="Normal 6 3 2 4 2 2 2 6" xfId="32084"/>
    <cellStyle name="Normal 6 3 2 4 2 2 3" xfId="2882"/>
    <cellStyle name="Normal 6 3 2 4 2 2 3 2" xfId="6677"/>
    <cellStyle name="Normal 6 3 2 4 2 2 3 2 2" xfId="14200"/>
    <cellStyle name="Normal 6 3 2 4 2 2 3 2 2 2" xfId="29244"/>
    <cellStyle name="Normal 6 3 2 4 2 2 3 2 2 3" xfId="44287"/>
    <cellStyle name="Normal 6 3 2 4 2 2 3 2 3" xfId="21723"/>
    <cellStyle name="Normal 6 3 2 4 2 2 3 2 4" xfId="36766"/>
    <cellStyle name="Normal 6 3 2 4 2 2 3 3" xfId="10451"/>
    <cellStyle name="Normal 6 3 2 4 2 2 3 3 2" xfId="25495"/>
    <cellStyle name="Normal 6 3 2 4 2 2 3 3 3" xfId="40538"/>
    <cellStyle name="Normal 6 3 2 4 2 2 3 4" xfId="17974"/>
    <cellStyle name="Normal 6 3 2 4 2 2 3 5" xfId="33017"/>
    <cellStyle name="Normal 6 3 2 4 2 2 4" xfId="4812"/>
    <cellStyle name="Normal 6 3 2 4 2 2 4 2" xfId="12335"/>
    <cellStyle name="Normal 6 3 2 4 2 2 4 2 2" xfId="27379"/>
    <cellStyle name="Normal 6 3 2 4 2 2 4 2 3" xfId="42422"/>
    <cellStyle name="Normal 6 3 2 4 2 2 4 3" xfId="19858"/>
    <cellStyle name="Normal 6 3 2 4 2 2 4 4" xfId="34901"/>
    <cellStyle name="Normal 6 3 2 4 2 2 5" xfId="8586"/>
    <cellStyle name="Normal 6 3 2 4 2 2 5 2" xfId="23630"/>
    <cellStyle name="Normal 6 3 2 4 2 2 5 3" xfId="38673"/>
    <cellStyle name="Normal 6 3 2 4 2 2 6" xfId="16109"/>
    <cellStyle name="Normal 6 3 2 4 2 2 7" xfId="31152"/>
    <cellStyle name="Normal 6 3 2 4 2 3" xfId="1491"/>
    <cellStyle name="Normal 6 3 2 4 2 3 2" xfId="3362"/>
    <cellStyle name="Normal 6 3 2 4 2 3 2 2" xfId="7157"/>
    <cellStyle name="Normal 6 3 2 4 2 3 2 2 2" xfId="14680"/>
    <cellStyle name="Normal 6 3 2 4 2 3 2 2 2 2" xfId="29724"/>
    <cellStyle name="Normal 6 3 2 4 2 3 2 2 2 3" xfId="44767"/>
    <cellStyle name="Normal 6 3 2 4 2 3 2 2 3" xfId="22203"/>
    <cellStyle name="Normal 6 3 2 4 2 3 2 2 4" xfId="37246"/>
    <cellStyle name="Normal 6 3 2 4 2 3 2 3" xfId="10931"/>
    <cellStyle name="Normal 6 3 2 4 2 3 2 3 2" xfId="25975"/>
    <cellStyle name="Normal 6 3 2 4 2 3 2 3 3" xfId="41018"/>
    <cellStyle name="Normal 6 3 2 4 2 3 2 4" xfId="18454"/>
    <cellStyle name="Normal 6 3 2 4 2 3 2 5" xfId="33497"/>
    <cellStyle name="Normal 6 3 2 4 2 3 3" xfId="5292"/>
    <cellStyle name="Normal 6 3 2 4 2 3 3 2" xfId="12815"/>
    <cellStyle name="Normal 6 3 2 4 2 3 3 2 2" xfId="27859"/>
    <cellStyle name="Normal 6 3 2 4 2 3 3 2 3" xfId="42902"/>
    <cellStyle name="Normal 6 3 2 4 2 3 3 3" xfId="20338"/>
    <cellStyle name="Normal 6 3 2 4 2 3 3 4" xfId="35381"/>
    <cellStyle name="Normal 6 3 2 4 2 3 4" xfId="9066"/>
    <cellStyle name="Normal 6 3 2 4 2 3 4 2" xfId="24110"/>
    <cellStyle name="Normal 6 3 2 4 2 3 4 3" xfId="39153"/>
    <cellStyle name="Normal 6 3 2 4 2 3 5" xfId="16589"/>
    <cellStyle name="Normal 6 3 2 4 2 3 6" xfId="31632"/>
    <cellStyle name="Normal 6 3 2 4 2 4" xfId="2429"/>
    <cellStyle name="Normal 6 3 2 4 2 4 2" xfId="6225"/>
    <cellStyle name="Normal 6 3 2 4 2 4 2 2" xfId="13748"/>
    <cellStyle name="Normal 6 3 2 4 2 4 2 2 2" xfId="28792"/>
    <cellStyle name="Normal 6 3 2 4 2 4 2 2 3" xfId="43835"/>
    <cellStyle name="Normal 6 3 2 4 2 4 2 3" xfId="21271"/>
    <cellStyle name="Normal 6 3 2 4 2 4 2 4" xfId="36314"/>
    <cellStyle name="Normal 6 3 2 4 2 4 3" xfId="9999"/>
    <cellStyle name="Normal 6 3 2 4 2 4 3 2" xfId="25043"/>
    <cellStyle name="Normal 6 3 2 4 2 4 3 3" xfId="40086"/>
    <cellStyle name="Normal 6 3 2 4 2 4 4" xfId="17522"/>
    <cellStyle name="Normal 6 3 2 4 2 4 5" xfId="32565"/>
    <cellStyle name="Normal 6 3 2 4 2 5" xfId="4357"/>
    <cellStyle name="Normal 6 3 2 4 2 5 2" xfId="11881"/>
    <cellStyle name="Normal 6 3 2 4 2 5 2 2" xfId="26925"/>
    <cellStyle name="Normal 6 3 2 4 2 5 2 3" xfId="41968"/>
    <cellStyle name="Normal 6 3 2 4 2 5 3" xfId="19404"/>
    <cellStyle name="Normal 6 3 2 4 2 5 4" xfId="34447"/>
    <cellStyle name="Normal 6 3 2 4 2 6" xfId="8120"/>
    <cellStyle name="Normal 6 3 2 4 2 6 2" xfId="23164"/>
    <cellStyle name="Normal 6 3 2 4 2 6 3" xfId="38207"/>
    <cellStyle name="Normal 6 3 2 4 2 7" xfId="15643"/>
    <cellStyle name="Normal 6 3 2 4 2 8" xfId="30686"/>
    <cellStyle name="Normal 6 3 2 4 3" xfId="983"/>
    <cellStyle name="Normal 6 3 2 4 3 2" xfId="1942"/>
    <cellStyle name="Normal 6 3 2 4 3 2 2" xfId="3813"/>
    <cellStyle name="Normal 6 3 2 4 3 2 2 2" xfId="7608"/>
    <cellStyle name="Normal 6 3 2 4 3 2 2 2 2" xfId="15131"/>
    <cellStyle name="Normal 6 3 2 4 3 2 2 2 2 2" xfId="30175"/>
    <cellStyle name="Normal 6 3 2 4 3 2 2 2 2 3" xfId="45218"/>
    <cellStyle name="Normal 6 3 2 4 3 2 2 2 3" xfId="22654"/>
    <cellStyle name="Normal 6 3 2 4 3 2 2 2 4" xfId="37697"/>
    <cellStyle name="Normal 6 3 2 4 3 2 2 3" xfId="11382"/>
    <cellStyle name="Normal 6 3 2 4 3 2 2 3 2" xfId="26426"/>
    <cellStyle name="Normal 6 3 2 4 3 2 2 3 3" xfId="41469"/>
    <cellStyle name="Normal 6 3 2 4 3 2 2 4" xfId="18905"/>
    <cellStyle name="Normal 6 3 2 4 3 2 2 5" xfId="33948"/>
    <cellStyle name="Normal 6 3 2 4 3 2 3" xfId="5743"/>
    <cellStyle name="Normal 6 3 2 4 3 2 3 2" xfId="13266"/>
    <cellStyle name="Normal 6 3 2 4 3 2 3 2 2" xfId="28310"/>
    <cellStyle name="Normal 6 3 2 4 3 2 3 2 3" xfId="43353"/>
    <cellStyle name="Normal 6 3 2 4 3 2 3 3" xfId="20789"/>
    <cellStyle name="Normal 6 3 2 4 3 2 3 4" xfId="35832"/>
    <cellStyle name="Normal 6 3 2 4 3 2 4" xfId="9517"/>
    <cellStyle name="Normal 6 3 2 4 3 2 4 2" xfId="24561"/>
    <cellStyle name="Normal 6 3 2 4 3 2 4 3" xfId="39604"/>
    <cellStyle name="Normal 6 3 2 4 3 2 5" xfId="17040"/>
    <cellStyle name="Normal 6 3 2 4 3 2 6" xfId="32083"/>
    <cellStyle name="Normal 6 3 2 4 3 3" xfId="2881"/>
    <cellStyle name="Normal 6 3 2 4 3 3 2" xfId="6676"/>
    <cellStyle name="Normal 6 3 2 4 3 3 2 2" xfId="14199"/>
    <cellStyle name="Normal 6 3 2 4 3 3 2 2 2" xfId="29243"/>
    <cellStyle name="Normal 6 3 2 4 3 3 2 2 3" xfId="44286"/>
    <cellStyle name="Normal 6 3 2 4 3 3 2 3" xfId="21722"/>
    <cellStyle name="Normal 6 3 2 4 3 3 2 4" xfId="36765"/>
    <cellStyle name="Normal 6 3 2 4 3 3 3" xfId="10450"/>
    <cellStyle name="Normal 6 3 2 4 3 3 3 2" xfId="25494"/>
    <cellStyle name="Normal 6 3 2 4 3 3 3 3" xfId="40537"/>
    <cellStyle name="Normal 6 3 2 4 3 3 4" xfId="17973"/>
    <cellStyle name="Normal 6 3 2 4 3 3 5" xfId="33016"/>
    <cellStyle name="Normal 6 3 2 4 3 4" xfId="4811"/>
    <cellStyle name="Normal 6 3 2 4 3 4 2" xfId="12334"/>
    <cellStyle name="Normal 6 3 2 4 3 4 2 2" xfId="27378"/>
    <cellStyle name="Normal 6 3 2 4 3 4 2 3" xfId="42421"/>
    <cellStyle name="Normal 6 3 2 4 3 4 3" xfId="19857"/>
    <cellStyle name="Normal 6 3 2 4 3 4 4" xfId="34900"/>
    <cellStyle name="Normal 6 3 2 4 3 5" xfId="8585"/>
    <cellStyle name="Normal 6 3 2 4 3 5 2" xfId="23629"/>
    <cellStyle name="Normal 6 3 2 4 3 5 3" xfId="38672"/>
    <cellStyle name="Normal 6 3 2 4 3 6" xfId="16108"/>
    <cellStyle name="Normal 6 3 2 4 3 7" xfId="31151"/>
    <cellStyle name="Normal 6 3 2 4 4" xfId="1490"/>
    <cellStyle name="Normal 6 3 2 4 4 2" xfId="3361"/>
    <cellStyle name="Normal 6 3 2 4 4 2 2" xfId="7156"/>
    <cellStyle name="Normal 6 3 2 4 4 2 2 2" xfId="14679"/>
    <cellStyle name="Normal 6 3 2 4 4 2 2 2 2" xfId="29723"/>
    <cellStyle name="Normal 6 3 2 4 4 2 2 2 3" xfId="44766"/>
    <cellStyle name="Normal 6 3 2 4 4 2 2 3" xfId="22202"/>
    <cellStyle name="Normal 6 3 2 4 4 2 2 4" xfId="37245"/>
    <cellStyle name="Normal 6 3 2 4 4 2 3" xfId="10930"/>
    <cellStyle name="Normal 6 3 2 4 4 2 3 2" xfId="25974"/>
    <cellStyle name="Normal 6 3 2 4 4 2 3 3" xfId="41017"/>
    <cellStyle name="Normal 6 3 2 4 4 2 4" xfId="18453"/>
    <cellStyle name="Normal 6 3 2 4 4 2 5" xfId="33496"/>
    <cellStyle name="Normal 6 3 2 4 4 3" xfId="5291"/>
    <cellStyle name="Normal 6 3 2 4 4 3 2" xfId="12814"/>
    <cellStyle name="Normal 6 3 2 4 4 3 2 2" xfId="27858"/>
    <cellStyle name="Normal 6 3 2 4 4 3 2 3" xfId="42901"/>
    <cellStyle name="Normal 6 3 2 4 4 3 3" xfId="20337"/>
    <cellStyle name="Normal 6 3 2 4 4 3 4" xfId="35380"/>
    <cellStyle name="Normal 6 3 2 4 4 4" xfId="9065"/>
    <cellStyle name="Normal 6 3 2 4 4 4 2" xfId="24109"/>
    <cellStyle name="Normal 6 3 2 4 4 4 3" xfId="39152"/>
    <cellStyle name="Normal 6 3 2 4 4 5" xfId="16588"/>
    <cellStyle name="Normal 6 3 2 4 4 6" xfId="31631"/>
    <cellStyle name="Normal 6 3 2 4 5" xfId="2428"/>
    <cellStyle name="Normal 6 3 2 4 5 2" xfId="6224"/>
    <cellStyle name="Normal 6 3 2 4 5 2 2" xfId="13747"/>
    <cellStyle name="Normal 6 3 2 4 5 2 2 2" xfId="28791"/>
    <cellStyle name="Normal 6 3 2 4 5 2 2 3" xfId="43834"/>
    <cellStyle name="Normal 6 3 2 4 5 2 3" xfId="21270"/>
    <cellStyle name="Normal 6 3 2 4 5 2 4" xfId="36313"/>
    <cellStyle name="Normal 6 3 2 4 5 3" xfId="9998"/>
    <cellStyle name="Normal 6 3 2 4 5 3 2" xfId="25042"/>
    <cellStyle name="Normal 6 3 2 4 5 3 3" xfId="40085"/>
    <cellStyle name="Normal 6 3 2 4 5 4" xfId="17521"/>
    <cellStyle name="Normal 6 3 2 4 5 5" xfId="32564"/>
    <cellStyle name="Normal 6 3 2 4 6" xfId="4356"/>
    <cellStyle name="Normal 6 3 2 4 6 2" xfId="11880"/>
    <cellStyle name="Normal 6 3 2 4 6 2 2" xfId="26924"/>
    <cellStyle name="Normal 6 3 2 4 6 2 3" xfId="41967"/>
    <cellStyle name="Normal 6 3 2 4 6 3" xfId="19403"/>
    <cellStyle name="Normal 6 3 2 4 6 4" xfId="34446"/>
    <cellStyle name="Normal 6 3 2 4 7" xfId="8119"/>
    <cellStyle name="Normal 6 3 2 4 7 2" xfId="23163"/>
    <cellStyle name="Normal 6 3 2 4 7 3" xfId="38206"/>
    <cellStyle name="Normal 6 3 2 4 8" xfId="15642"/>
    <cellStyle name="Normal 6 3 2 4 9" xfId="30685"/>
    <cellStyle name="Normal 6 3 2 5" xfId="466"/>
    <cellStyle name="Normal 6 3 2 5 2" xfId="985"/>
    <cellStyle name="Normal 6 3 2 5 2 2" xfId="1944"/>
    <cellStyle name="Normal 6 3 2 5 2 2 2" xfId="3815"/>
    <cellStyle name="Normal 6 3 2 5 2 2 2 2" xfId="7610"/>
    <cellStyle name="Normal 6 3 2 5 2 2 2 2 2" xfId="15133"/>
    <cellStyle name="Normal 6 3 2 5 2 2 2 2 2 2" xfId="30177"/>
    <cellStyle name="Normal 6 3 2 5 2 2 2 2 2 3" xfId="45220"/>
    <cellStyle name="Normal 6 3 2 5 2 2 2 2 3" xfId="22656"/>
    <cellStyle name="Normal 6 3 2 5 2 2 2 2 4" xfId="37699"/>
    <cellStyle name="Normal 6 3 2 5 2 2 2 3" xfId="11384"/>
    <cellStyle name="Normal 6 3 2 5 2 2 2 3 2" xfId="26428"/>
    <cellStyle name="Normal 6 3 2 5 2 2 2 3 3" xfId="41471"/>
    <cellStyle name="Normal 6 3 2 5 2 2 2 4" xfId="18907"/>
    <cellStyle name="Normal 6 3 2 5 2 2 2 5" xfId="33950"/>
    <cellStyle name="Normal 6 3 2 5 2 2 3" xfId="5745"/>
    <cellStyle name="Normal 6 3 2 5 2 2 3 2" xfId="13268"/>
    <cellStyle name="Normal 6 3 2 5 2 2 3 2 2" xfId="28312"/>
    <cellStyle name="Normal 6 3 2 5 2 2 3 2 3" xfId="43355"/>
    <cellStyle name="Normal 6 3 2 5 2 2 3 3" xfId="20791"/>
    <cellStyle name="Normal 6 3 2 5 2 2 3 4" xfId="35834"/>
    <cellStyle name="Normal 6 3 2 5 2 2 4" xfId="9519"/>
    <cellStyle name="Normal 6 3 2 5 2 2 4 2" xfId="24563"/>
    <cellStyle name="Normal 6 3 2 5 2 2 4 3" xfId="39606"/>
    <cellStyle name="Normal 6 3 2 5 2 2 5" xfId="17042"/>
    <cellStyle name="Normal 6 3 2 5 2 2 6" xfId="32085"/>
    <cellStyle name="Normal 6 3 2 5 2 3" xfId="2883"/>
    <cellStyle name="Normal 6 3 2 5 2 3 2" xfId="6678"/>
    <cellStyle name="Normal 6 3 2 5 2 3 2 2" xfId="14201"/>
    <cellStyle name="Normal 6 3 2 5 2 3 2 2 2" xfId="29245"/>
    <cellStyle name="Normal 6 3 2 5 2 3 2 2 3" xfId="44288"/>
    <cellStyle name="Normal 6 3 2 5 2 3 2 3" xfId="21724"/>
    <cellStyle name="Normal 6 3 2 5 2 3 2 4" xfId="36767"/>
    <cellStyle name="Normal 6 3 2 5 2 3 3" xfId="10452"/>
    <cellStyle name="Normal 6 3 2 5 2 3 3 2" xfId="25496"/>
    <cellStyle name="Normal 6 3 2 5 2 3 3 3" xfId="40539"/>
    <cellStyle name="Normal 6 3 2 5 2 3 4" xfId="17975"/>
    <cellStyle name="Normal 6 3 2 5 2 3 5" xfId="33018"/>
    <cellStyle name="Normal 6 3 2 5 2 4" xfId="4813"/>
    <cellStyle name="Normal 6 3 2 5 2 4 2" xfId="12336"/>
    <cellStyle name="Normal 6 3 2 5 2 4 2 2" xfId="27380"/>
    <cellStyle name="Normal 6 3 2 5 2 4 2 3" xfId="42423"/>
    <cellStyle name="Normal 6 3 2 5 2 4 3" xfId="19859"/>
    <cellStyle name="Normal 6 3 2 5 2 4 4" xfId="34902"/>
    <cellStyle name="Normal 6 3 2 5 2 5" xfId="8587"/>
    <cellStyle name="Normal 6 3 2 5 2 5 2" xfId="23631"/>
    <cellStyle name="Normal 6 3 2 5 2 5 3" xfId="38674"/>
    <cellStyle name="Normal 6 3 2 5 2 6" xfId="16110"/>
    <cellStyle name="Normal 6 3 2 5 2 7" xfId="31153"/>
    <cellStyle name="Normal 6 3 2 5 3" xfId="1492"/>
    <cellStyle name="Normal 6 3 2 5 3 2" xfId="3363"/>
    <cellStyle name="Normal 6 3 2 5 3 2 2" xfId="7158"/>
    <cellStyle name="Normal 6 3 2 5 3 2 2 2" xfId="14681"/>
    <cellStyle name="Normal 6 3 2 5 3 2 2 2 2" xfId="29725"/>
    <cellStyle name="Normal 6 3 2 5 3 2 2 2 3" xfId="44768"/>
    <cellStyle name="Normal 6 3 2 5 3 2 2 3" xfId="22204"/>
    <cellStyle name="Normal 6 3 2 5 3 2 2 4" xfId="37247"/>
    <cellStyle name="Normal 6 3 2 5 3 2 3" xfId="10932"/>
    <cellStyle name="Normal 6 3 2 5 3 2 3 2" xfId="25976"/>
    <cellStyle name="Normal 6 3 2 5 3 2 3 3" xfId="41019"/>
    <cellStyle name="Normal 6 3 2 5 3 2 4" xfId="18455"/>
    <cellStyle name="Normal 6 3 2 5 3 2 5" xfId="33498"/>
    <cellStyle name="Normal 6 3 2 5 3 3" xfId="5293"/>
    <cellStyle name="Normal 6 3 2 5 3 3 2" xfId="12816"/>
    <cellStyle name="Normal 6 3 2 5 3 3 2 2" xfId="27860"/>
    <cellStyle name="Normal 6 3 2 5 3 3 2 3" xfId="42903"/>
    <cellStyle name="Normal 6 3 2 5 3 3 3" xfId="20339"/>
    <cellStyle name="Normal 6 3 2 5 3 3 4" xfId="35382"/>
    <cellStyle name="Normal 6 3 2 5 3 4" xfId="9067"/>
    <cellStyle name="Normal 6 3 2 5 3 4 2" xfId="24111"/>
    <cellStyle name="Normal 6 3 2 5 3 4 3" xfId="39154"/>
    <cellStyle name="Normal 6 3 2 5 3 5" xfId="16590"/>
    <cellStyle name="Normal 6 3 2 5 3 6" xfId="31633"/>
    <cellStyle name="Normal 6 3 2 5 4" xfId="2430"/>
    <cellStyle name="Normal 6 3 2 5 4 2" xfId="6226"/>
    <cellStyle name="Normal 6 3 2 5 4 2 2" xfId="13749"/>
    <cellStyle name="Normal 6 3 2 5 4 2 2 2" xfId="28793"/>
    <cellStyle name="Normal 6 3 2 5 4 2 2 3" xfId="43836"/>
    <cellStyle name="Normal 6 3 2 5 4 2 3" xfId="21272"/>
    <cellStyle name="Normal 6 3 2 5 4 2 4" xfId="36315"/>
    <cellStyle name="Normal 6 3 2 5 4 3" xfId="10000"/>
    <cellStyle name="Normal 6 3 2 5 4 3 2" xfId="25044"/>
    <cellStyle name="Normal 6 3 2 5 4 3 3" xfId="40087"/>
    <cellStyle name="Normal 6 3 2 5 4 4" xfId="17523"/>
    <cellStyle name="Normal 6 3 2 5 4 5" xfId="32566"/>
    <cellStyle name="Normal 6 3 2 5 5" xfId="4358"/>
    <cellStyle name="Normal 6 3 2 5 5 2" xfId="11882"/>
    <cellStyle name="Normal 6 3 2 5 5 2 2" xfId="26926"/>
    <cellStyle name="Normal 6 3 2 5 5 2 3" xfId="41969"/>
    <cellStyle name="Normal 6 3 2 5 5 3" xfId="19405"/>
    <cellStyle name="Normal 6 3 2 5 5 4" xfId="34448"/>
    <cellStyle name="Normal 6 3 2 5 6" xfId="8121"/>
    <cellStyle name="Normal 6 3 2 5 6 2" xfId="23165"/>
    <cellStyle name="Normal 6 3 2 5 6 3" xfId="38208"/>
    <cellStyle name="Normal 6 3 2 5 7" xfId="15644"/>
    <cellStyle name="Normal 6 3 2 5 8" xfId="30687"/>
    <cellStyle name="Normal 6 3 2 6" xfId="976"/>
    <cellStyle name="Normal 6 3 2 6 2" xfId="1935"/>
    <cellStyle name="Normal 6 3 2 6 2 2" xfId="3806"/>
    <cellStyle name="Normal 6 3 2 6 2 2 2" xfId="7601"/>
    <cellStyle name="Normal 6 3 2 6 2 2 2 2" xfId="15124"/>
    <cellStyle name="Normal 6 3 2 6 2 2 2 2 2" xfId="30168"/>
    <cellStyle name="Normal 6 3 2 6 2 2 2 2 3" xfId="45211"/>
    <cellStyle name="Normal 6 3 2 6 2 2 2 3" xfId="22647"/>
    <cellStyle name="Normal 6 3 2 6 2 2 2 4" xfId="37690"/>
    <cellStyle name="Normal 6 3 2 6 2 2 3" xfId="11375"/>
    <cellStyle name="Normal 6 3 2 6 2 2 3 2" xfId="26419"/>
    <cellStyle name="Normal 6 3 2 6 2 2 3 3" xfId="41462"/>
    <cellStyle name="Normal 6 3 2 6 2 2 4" xfId="18898"/>
    <cellStyle name="Normal 6 3 2 6 2 2 5" xfId="33941"/>
    <cellStyle name="Normal 6 3 2 6 2 3" xfId="5736"/>
    <cellStyle name="Normal 6 3 2 6 2 3 2" xfId="13259"/>
    <cellStyle name="Normal 6 3 2 6 2 3 2 2" xfId="28303"/>
    <cellStyle name="Normal 6 3 2 6 2 3 2 3" xfId="43346"/>
    <cellStyle name="Normal 6 3 2 6 2 3 3" xfId="20782"/>
    <cellStyle name="Normal 6 3 2 6 2 3 4" xfId="35825"/>
    <cellStyle name="Normal 6 3 2 6 2 4" xfId="9510"/>
    <cellStyle name="Normal 6 3 2 6 2 4 2" xfId="24554"/>
    <cellStyle name="Normal 6 3 2 6 2 4 3" xfId="39597"/>
    <cellStyle name="Normal 6 3 2 6 2 5" xfId="17033"/>
    <cellStyle name="Normal 6 3 2 6 2 6" xfId="32076"/>
    <cellStyle name="Normal 6 3 2 6 3" xfId="2874"/>
    <cellStyle name="Normal 6 3 2 6 3 2" xfId="6669"/>
    <cellStyle name="Normal 6 3 2 6 3 2 2" xfId="14192"/>
    <cellStyle name="Normal 6 3 2 6 3 2 2 2" xfId="29236"/>
    <cellStyle name="Normal 6 3 2 6 3 2 2 3" xfId="44279"/>
    <cellStyle name="Normal 6 3 2 6 3 2 3" xfId="21715"/>
    <cellStyle name="Normal 6 3 2 6 3 2 4" xfId="36758"/>
    <cellStyle name="Normal 6 3 2 6 3 3" xfId="10443"/>
    <cellStyle name="Normal 6 3 2 6 3 3 2" xfId="25487"/>
    <cellStyle name="Normal 6 3 2 6 3 3 3" xfId="40530"/>
    <cellStyle name="Normal 6 3 2 6 3 4" xfId="17966"/>
    <cellStyle name="Normal 6 3 2 6 3 5" xfId="33009"/>
    <cellStyle name="Normal 6 3 2 6 4" xfId="4804"/>
    <cellStyle name="Normal 6 3 2 6 4 2" xfId="12327"/>
    <cellStyle name="Normal 6 3 2 6 4 2 2" xfId="27371"/>
    <cellStyle name="Normal 6 3 2 6 4 2 3" xfId="42414"/>
    <cellStyle name="Normal 6 3 2 6 4 3" xfId="19850"/>
    <cellStyle name="Normal 6 3 2 6 4 4" xfId="34893"/>
    <cellStyle name="Normal 6 3 2 6 5" xfId="8578"/>
    <cellStyle name="Normal 6 3 2 6 5 2" xfId="23622"/>
    <cellStyle name="Normal 6 3 2 6 5 3" xfId="38665"/>
    <cellStyle name="Normal 6 3 2 6 6" xfId="16101"/>
    <cellStyle name="Normal 6 3 2 6 7" xfId="31144"/>
    <cellStyle name="Normal 6 3 2 7" xfId="1483"/>
    <cellStyle name="Normal 6 3 2 7 2" xfId="3354"/>
    <cellStyle name="Normal 6 3 2 7 2 2" xfId="7149"/>
    <cellStyle name="Normal 6 3 2 7 2 2 2" xfId="14672"/>
    <cellStyle name="Normal 6 3 2 7 2 2 2 2" xfId="29716"/>
    <cellStyle name="Normal 6 3 2 7 2 2 2 3" xfId="44759"/>
    <cellStyle name="Normal 6 3 2 7 2 2 3" xfId="22195"/>
    <cellStyle name="Normal 6 3 2 7 2 2 4" xfId="37238"/>
    <cellStyle name="Normal 6 3 2 7 2 3" xfId="10923"/>
    <cellStyle name="Normal 6 3 2 7 2 3 2" xfId="25967"/>
    <cellStyle name="Normal 6 3 2 7 2 3 3" xfId="41010"/>
    <cellStyle name="Normal 6 3 2 7 2 4" xfId="18446"/>
    <cellStyle name="Normal 6 3 2 7 2 5" xfId="33489"/>
    <cellStyle name="Normal 6 3 2 7 3" xfId="5284"/>
    <cellStyle name="Normal 6 3 2 7 3 2" xfId="12807"/>
    <cellStyle name="Normal 6 3 2 7 3 2 2" xfId="27851"/>
    <cellStyle name="Normal 6 3 2 7 3 2 3" xfId="42894"/>
    <cellStyle name="Normal 6 3 2 7 3 3" xfId="20330"/>
    <cellStyle name="Normal 6 3 2 7 3 4" xfId="35373"/>
    <cellStyle name="Normal 6 3 2 7 4" xfId="9058"/>
    <cellStyle name="Normal 6 3 2 7 4 2" xfId="24102"/>
    <cellStyle name="Normal 6 3 2 7 4 3" xfId="39145"/>
    <cellStyle name="Normal 6 3 2 7 5" xfId="16581"/>
    <cellStyle name="Normal 6 3 2 7 6" xfId="31624"/>
    <cellStyle name="Normal 6 3 2 8" xfId="2421"/>
    <cellStyle name="Normal 6 3 2 8 2" xfId="6217"/>
    <cellStyle name="Normal 6 3 2 8 2 2" xfId="13740"/>
    <cellStyle name="Normal 6 3 2 8 2 2 2" xfId="28784"/>
    <cellStyle name="Normal 6 3 2 8 2 2 3" xfId="43827"/>
    <cellStyle name="Normal 6 3 2 8 2 3" xfId="21263"/>
    <cellStyle name="Normal 6 3 2 8 2 4" xfId="36306"/>
    <cellStyle name="Normal 6 3 2 8 3" xfId="9991"/>
    <cellStyle name="Normal 6 3 2 8 3 2" xfId="25035"/>
    <cellStyle name="Normal 6 3 2 8 3 3" xfId="40078"/>
    <cellStyle name="Normal 6 3 2 8 4" xfId="17514"/>
    <cellStyle name="Normal 6 3 2 8 5" xfId="32557"/>
    <cellStyle name="Normal 6 3 2 9" xfId="4349"/>
    <cellStyle name="Normal 6 3 2 9 2" xfId="11873"/>
    <cellStyle name="Normal 6 3 2 9 2 2" xfId="26917"/>
    <cellStyle name="Normal 6 3 2 9 2 3" xfId="41960"/>
    <cellStyle name="Normal 6 3 2 9 3" xfId="19396"/>
    <cellStyle name="Normal 6 3 2 9 4" xfId="34439"/>
    <cellStyle name="Normal 6 3 3" xfId="467"/>
    <cellStyle name="Normal 6 3 3 10" xfId="15645"/>
    <cellStyle name="Normal 6 3 3 11" xfId="30688"/>
    <cellStyle name="Normal 6 3 3 2" xfId="468"/>
    <cellStyle name="Normal 6 3 3 2 2" xfId="469"/>
    <cellStyle name="Normal 6 3 3 2 2 2" xfId="988"/>
    <cellStyle name="Normal 6 3 3 2 2 2 2" xfId="1947"/>
    <cellStyle name="Normal 6 3 3 2 2 2 2 2" xfId="3818"/>
    <cellStyle name="Normal 6 3 3 2 2 2 2 2 2" xfId="7613"/>
    <cellStyle name="Normal 6 3 3 2 2 2 2 2 2 2" xfId="15136"/>
    <cellStyle name="Normal 6 3 3 2 2 2 2 2 2 2 2" xfId="30180"/>
    <cellStyle name="Normal 6 3 3 2 2 2 2 2 2 2 3" xfId="45223"/>
    <cellStyle name="Normal 6 3 3 2 2 2 2 2 2 3" xfId="22659"/>
    <cellStyle name="Normal 6 3 3 2 2 2 2 2 2 4" xfId="37702"/>
    <cellStyle name="Normal 6 3 3 2 2 2 2 2 3" xfId="11387"/>
    <cellStyle name="Normal 6 3 3 2 2 2 2 2 3 2" xfId="26431"/>
    <cellStyle name="Normal 6 3 3 2 2 2 2 2 3 3" xfId="41474"/>
    <cellStyle name="Normal 6 3 3 2 2 2 2 2 4" xfId="18910"/>
    <cellStyle name="Normal 6 3 3 2 2 2 2 2 5" xfId="33953"/>
    <cellStyle name="Normal 6 3 3 2 2 2 2 3" xfId="5748"/>
    <cellStyle name="Normal 6 3 3 2 2 2 2 3 2" xfId="13271"/>
    <cellStyle name="Normal 6 3 3 2 2 2 2 3 2 2" xfId="28315"/>
    <cellStyle name="Normal 6 3 3 2 2 2 2 3 2 3" xfId="43358"/>
    <cellStyle name="Normal 6 3 3 2 2 2 2 3 3" xfId="20794"/>
    <cellStyle name="Normal 6 3 3 2 2 2 2 3 4" xfId="35837"/>
    <cellStyle name="Normal 6 3 3 2 2 2 2 4" xfId="9522"/>
    <cellStyle name="Normal 6 3 3 2 2 2 2 4 2" xfId="24566"/>
    <cellStyle name="Normal 6 3 3 2 2 2 2 4 3" xfId="39609"/>
    <cellStyle name="Normal 6 3 3 2 2 2 2 5" xfId="17045"/>
    <cellStyle name="Normal 6 3 3 2 2 2 2 6" xfId="32088"/>
    <cellStyle name="Normal 6 3 3 2 2 2 3" xfId="2886"/>
    <cellStyle name="Normal 6 3 3 2 2 2 3 2" xfId="6681"/>
    <cellStyle name="Normal 6 3 3 2 2 2 3 2 2" xfId="14204"/>
    <cellStyle name="Normal 6 3 3 2 2 2 3 2 2 2" xfId="29248"/>
    <cellStyle name="Normal 6 3 3 2 2 2 3 2 2 3" xfId="44291"/>
    <cellStyle name="Normal 6 3 3 2 2 2 3 2 3" xfId="21727"/>
    <cellStyle name="Normal 6 3 3 2 2 2 3 2 4" xfId="36770"/>
    <cellStyle name="Normal 6 3 3 2 2 2 3 3" xfId="10455"/>
    <cellStyle name="Normal 6 3 3 2 2 2 3 3 2" xfId="25499"/>
    <cellStyle name="Normal 6 3 3 2 2 2 3 3 3" xfId="40542"/>
    <cellStyle name="Normal 6 3 3 2 2 2 3 4" xfId="17978"/>
    <cellStyle name="Normal 6 3 3 2 2 2 3 5" xfId="33021"/>
    <cellStyle name="Normal 6 3 3 2 2 2 4" xfId="4816"/>
    <cellStyle name="Normal 6 3 3 2 2 2 4 2" xfId="12339"/>
    <cellStyle name="Normal 6 3 3 2 2 2 4 2 2" xfId="27383"/>
    <cellStyle name="Normal 6 3 3 2 2 2 4 2 3" xfId="42426"/>
    <cellStyle name="Normal 6 3 3 2 2 2 4 3" xfId="19862"/>
    <cellStyle name="Normal 6 3 3 2 2 2 4 4" xfId="34905"/>
    <cellStyle name="Normal 6 3 3 2 2 2 5" xfId="8590"/>
    <cellStyle name="Normal 6 3 3 2 2 2 5 2" xfId="23634"/>
    <cellStyle name="Normal 6 3 3 2 2 2 5 3" xfId="38677"/>
    <cellStyle name="Normal 6 3 3 2 2 2 6" xfId="16113"/>
    <cellStyle name="Normal 6 3 3 2 2 2 7" xfId="31156"/>
    <cellStyle name="Normal 6 3 3 2 2 3" xfId="1495"/>
    <cellStyle name="Normal 6 3 3 2 2 3 2" xfId="3366"/>
    <cellStyle name="Normal 6 3 3 2 2 3 2 2" xfId="7161"/>
    <cellStyle name="Normal 6 3 3 2 2 3 2 2 2" xfId="14684"/>
    <cellStyle name="Normal 6 3 3 2 2 3 2 2 2 2" xfId="29728"/>
    <cellStyle name="Normal 6 3 3 2 2 3 2 2 2 3" xfId="44771"/>
    <cellStyle name="Normal 6 3 3 2 2 3 2 2 3" xfId="22207"/>
    <cellStyle name="Normal 6 3 3 2 2 3 2 2 4" xfId="37250"/>
    <cellStyle name="Normal 6 3 3 2 2 3 2 3" xfId="10935"/>
    <cellStyle name="Normal 6 3 3 2 2 3 2 3 2" xfId="25979"/>
    <cellStyle name="Normal 6 3 3 2 2 3 2 3 3" xfId="41022"/>
    <cellStyle name="Normal 6 3 3 2 2 3 2 4" xfId="18458"/>
    <cellStyle name="Normal 6 3 3 2 2 3 2 5" xfId="33501"/>
    <cellStyle name="Normal 6 3 3 2 2 3 3" xfId="5296"/>
    <cellStyle name="Normal 6 3 3 2 2 3 3 2" xfId="12819"/>
    <cellStyle name="Normal 6 3 3 2 2 3 3 2 2" xfId="27863"/>
    <cellStyle name="Normal 6 3 3 2 2 3 3 2 3" xfId="42906"/>
    <cellStyle name="Normal 6 3 3 2 2 3 3 3" xfId="20342"/>
    <cellStyle name="Normal 6 3 3 2 2 3 3 4" xfId="35385"/>
    <cellStyle name="Normal 6 3 3 2 2 3 4" xfId="9070"/>
    <cellStyle name="Normal 6 3 3 2 2 3 4 2" xfId="24114"/>
    <cellStyle name="Normal 6 3 3 2 2 3 4 3" xfId="39157"/>
    <cellStyle name="Normal 6 3 3 2 2 3 5" xfId="16593"/>
    <cellStyle name="Normal 6 3 3 2 2 3 6" xfId="31636"/>
    <cellStyle name="Normal 6 3 3 2 2 4" xfId="2433"/>
    <cellStyle name="Normal 6 3 3 2 2 4 2" xfId="6229"/>
    <cellStyle name="Normal 6 3 3 2 2 4 2 2" xfId="13752"/>
    <cellStyle name="Normal 6 3 3 2 2 4 2 2 2" xfId="28796"/>
    <cellStyle name="Normal 6 3 3 2 2 4 2 2 3" xfId="43839"/>
    <cellStyle name="Normal 6 3 3 2 2 4 2 3" xfId="21275"/>
    <cellStyle name="Normal 6 3 3 2 2 4 2 4" xfId="36318"/>
    <cellStyle name="Normal 6 3 3 2 2 4 3" xfId="10003"/>
    <cellStyle name="Normal 6 3 3 2 2 4 3 2" xfId="25047"/>
    <cellStyle name="Normal 6 3 3 2 2 4 3 3" xfId="40090"/>
    <cellStyle name="Normal 6 3 3 2 2 4 4" xfId="17526"/>
    <cellStyle name="Normal 6 3 3 2 2 4 5" xfId="32569"/>
    <cellStyle name="Normal 6 3 3 2 2 5" xfId="4361"/>
    <cellStyle name="Normal 6 3 3 2 2 5 2" xfId="11885"/>
    <cellStyle name="Normal 6 3 3 2 2 5 2 2" xfId="26929"/>
    <cellStyle name="Normal 6 3 3 2 2 5 2 3" xfId="41972"/>
    <cellStyle name="Normal 6 3 3 2 2 5 3" xfId="19408"/>
    <cellStyle name="Normal 6 3 3 2 2 5 4" xfId="34451"/>
    <cellStyle name="Normal 6 3 3 2 2 6" xfId="8124"/>
    <cellStyle name="Normal 6 3 3 2 2 6 2" xfId="23168"/>
    <cellStyle name="Normal 6 3 3 2 2 6 3" xfId="38211"/>
    <cellStyle name="Normal 6 3 3 2 2 7" xfId="15647"/>
    <cellStyle name="Normal 6 3 3 2 2 8" xfId="30690"/>
    <cellStyle name="Normal 6 3 3 2 3" xfId="987"/>
    <cellStyle name="Normal 6 3 3 2 3 2" xfId="1946"/>
    <cellStyle name="Normal 6 3 3 2 3 2 2" xfId="3817"/>
    <cellStyle name="Normal 6 3 3 2 3 2 2 2" xfId="7612"/>
    <cellStyle name="Normal 6 3 3 2 3 2 2 2 2" xfId="15135"/>
    <cellStyle name="Normal 6 3 3 2 3 2 2 2 2 2" xfId="30179"/>
    <cellStyle name="Normal 6 3 3 2 3 2 2 2 2 3" xfId="45222"/>
    <cellStyle name="Normal 6 3 3 2 3 2 2 2 3" xfId="22658"/>
    <cellStyle name="Normal 6 3 3 2 3 2 2 2 4" xfId="37701"/>
    <cellStyle name="Normal 6 3 3 2 3 2 2 3" xfId="11386"/>
    <cellStyle name="Normal 6 3 3 2 3 2 2 3 2" xfId="26430"/>
    <cellStyle name="Normal 6 3 3 2 3 2 2 3 3" xfId="41473"/>
    <cellStyle name="Normal 6 3 3 2 3 2 2 4" xfId="18909"/>
    <cellStyle name="Normal 6 3 3 2 3 2 2 5" xfId="33952"/>
    <cellStyle name="Normal 6 3 3 2 3 2 3" xfId="5747"/>
    <cellStyle name="Normal 6 3 3 2 3 2 3 2" xfId="13270"/>
    <cellStyle name="Normal 6 3 3 2 3 2 3 2 2" xfId="28314"/>
    <cellStyle name="Normal 6 3 3 2 3 2 3 2 3" xfId="43357"/>
    <cellStyle name="Normal 6 3 3 2 3 2 3 3" xfId="20793"/>
    <cellStyle name="Normal 6 3 3 2 3 2 3 4" xfId="35836"/>
    <cellStyle name="Normal 6 3 3 2 3 2 4" xfId="9521"/>
    <cellStyle name="Normal 6 3 3 2 3 2 4 2" xfId="24565"/>
    <cellStyle name="Normal 6 3 3 2 3 2 4 3" xfId="39608"/>
    <cellStyle name="Normal 6 3 3 2 3 2 5" xfId="17044"/>
    <cellStyle name="Normal 6 3 3 2 3 2 6" xfId="32087"/>
    <cellStyle name="Normal 6 3 3 2 3 3" xfId="2885"/>
    <cellStyle name="Normal 6 3 3 2 3 3 2" xfId="6680"/>
    <cellStyle name="Normal 6 3 3 2 3 3 2 2" xfId="14203"/>
    <cellStyle name="Normal 6 3 3 2 3 3 2 2 2" xfId="29247"/>
    <cellStyle name="Normal 6 3 3 2 3 3 2 2 3" xfId="44290"/>
    <cellStyle name="Normal 6 3 3 2 3 3 2 3" xfId="21726"/>
    <cellStyle name="Normal 6 3 3 2 3 3 2 4" xfId="36769"/>
    <cellStyle name="Normal 6 3 3 2 3 3 3" xfId="10454"/>
    <cellStyle name="Normal 6 3 3 2 3 3 3 2" xfId="25498"/>
    <cellStyle name="Normal 6 3 3 2 3 3 3 3" xfId="40541"/>
    <cellStyle name="Normal 6 3 3 2 3 3 4" xfId="17977"/>
    <cellStyle name="Normal 6 3 3 2 3 3 5" xfId="33020"/>
    <cellStyle name="Normal 6 3 3 2 3 4" xfId="4815"/>
    <cellStyle name="Normal 6 3 3 2 3 4 2" xfId="12338"/>
    <cellStyle name="Normal 6 3 3 2 3 4 2 2" xfId="27382"/>
    <cellStyle name="Normal 6 3 3 2 3 4 2 3" xfId="42425"/>
    <cellStyle name="Normal 6 3 3 2 3 4 3" xfId="19861"/>
    <cellStyle name="Normal 6 3 3 2 3 4 4" xfId="34904"/>
    <cellStyle name="Normal 6 3 3 2 3 5" xfId="8589"/>
    <cellStyle name="Normal 6 3 3 2 3 5 2" xfId="23633"/>
    <cellStyle name="Normal 6 3 3 2 3 5 3" xfId="38676"/>
    <cellStyle name="Normal 6 3 3 2 3 6" xfId="16112"/>
    <cellStyle name="Normal 6 3 3 2 3 7" xfId="31155"/>
    <cellStyle name="Normal 6 3 3 2 4" xfId="1494"/>
    <cellStyle name="Normal 6 3 3 2 4 2" xfId="3365"/>
    <cellStyle name="Normal 6 3 3 2 4 2 2" xfId="7160"/>
    <cellStyle name="Normal 6 3 3 2 4 2 2 2" xfId="14683"/>
    <cellStyle name="Normal 6 3 3 2 4 2 2 2 2" xfId="29727"/>
    <cellStyle name="Normal 6 3 3 2 4 2 2 2 3" xfId="44770"/>
    <cellStyle name="Normal 6 3 3 2 4 2 2 3" xfId="22206"/>
    <cellStyle name="Normal 6 3 3 2 4 2 2 4" xfId="37249"/>
    <cellStyle name="Normal 6 3 3 2 4 2 3" xfId="10934"/>
    <cellStyle name="Normal 6 3 3 2 4 2 3 2" xfId="25978"/>
    <cellStyle name="Normal 6 3 3 2 4 2 3 3" xfId="41021"/>
    <cellStyle name="Normal 6 3 3 2 4 2 4" xfId="18457"/>
    <cellStyle name="Normal 6 3 3 2 4 2 5" xfId="33500"/>
    <cellStyle name="Normal 6 3 3 2 4 3" xfId="5295"/>
    <cellStyle name="Normal 6 3 3 2 4 3 2" xfId="12818"/>
    <cellStyle name="Normal 6 3 3 2 4 3 2 2" xfId="27862"/>
    <cellStyle name="Normal 6 3 3 2 4 3 2 3" xfId="42905"/>
    <cellStyle name="Normal 6 3 3 2 4 3 3" xfId="20341"/>
    <cellStyle name="Normal 6 3 3 2 4 3 4" xfId="35384"/>
    <cellStyle name="Normal 6 3 3 2 4 4" xfId="9069"/>
    <cellStyle name="Normal 6 3 3 2 4 4 2" xfId="24113"/>
    <cellStyle name="Normal 6 3 3 2 4 4 3" xfId="39156"/>
    <cellStyle name="Normal 6 3 3 2 4 5" xfId="16592"/>
    <cellStyle name="Normal 6 3 3 2 4 6" xfId="31635"/>
    <cellStyle name="Normal 6 3 3 2 5" xfId="2432"/>
    <cellStyle name="Normal 6 3 3 2 5 2" xfId="6228"/>
    <cellStyle name="Normal 6 3 3 2 5 2 2" xfId="13751"/>
    <cellStyle name="Normal 6 3 3 2 5 2 2 2" xfId="28795"/>
    <cellStyle name="Normal 6 3 3 2 5 2 2 3" xfId="43838"/>
    <cellStyle name="Normal 6 3 3 2 5 2 3" xfId="21274"/>
    <cellStyle name="Normal 6 3 3 2 5 2 4" xfId="36317"/>
    <cellStyle name="Normal 6 3 3 2 5 3" xfId="10002"/>
    <cellStyle name="Normal 6 3 3 2 5 3 2" xfId="25046"/>
    <cellStyle name="Normal 6 3 3 2 5 3 3" xfId="40089"/>
    <cellStyle name="Normal 6 3 3 2 5 4" xfId="17525"/>
    <cellStyle name="Normal 6 3 3 2 5 5" xfId="32568"/>
    <cellStyle name="Normal 6 3 3 2 6" xfId="4360"/>
    <cellStyle name="Normal 6 3 3 2 6 2" xfId="11884"/>
    <cellStyle name="Normal 6 3 3 2 6 2 2" xfId="26928"/>
    <cellStyle name="Normal 6 3 3 2 6 2 3" xfId="41971"/>
    <cellStyle name="Normal 6 3 3 2 6 3" xfId="19407"/>
    <cellStyle name="Normal 6 3 3 2 6 4" xfId="34450"/>
    <cellStyle name="Normal 6 3 3 2 7" xfId="8123"/>
    <cellStyle name="Normal 6 3 3 2 7 2" xfId="23167"/>
    <cellStyle name="Normal 6 3 3 2 7 3" xfId="38210"/>
    <cellStyle name="Normal 6 3 3 2 8" xfId="15646"/>
    <cellStyle name="Normal 6 3 3 2 9" xfId="30689"/>
    <cellStyle name="Normal 6 3 3 3" xfId="470"/>
    <cellStyle name="Normal 6 3 3 3 2" xfId="471"/>
    <cellStyle name="Normal 6 3 3 3 2 2" xfId="990"/>
    <cellStyle name="Normal 6 3 3 3 2 2 2" xfId="1949"/>
    <cellStyle name="Normal 6 3 3 3 2 2 2 2" xfId="3820"/>
    <cellStyle name="Normal 6 3 3 3 2 2 2 2 2" xfId="7615"/>
    <cellStyle name="Normal 6 3 3 3 2 2 2 2 2 2" xfId="15138"/>
    <cellStyle name="Normal 6 3 3 3 2 2 2 2 2 2 2" xfId="30182"/>
    <cellStyle name="Normal 6 3 3 3 2 2 2 2 2 2 3" xfId="45225"/>
    <cellStyle name="Normal 6 3 3 3 2 2 2 2 2 3" xfId="22661"/>
    <cellStyle name="Normal 6 3 3 3 2 2 2 2 2 4" xfId="37704"/>
    <cellStyle name="Normal 6 3 3 3 2 2 2 2 3" xfId="11389"/>
    <cellStyle name="Normal 6 3 3 3 2 2 2 2 3 2" xfId="26433"/>
    <cellStyle name="Normal 6 3 3 3 2 2 2 2 3 3" xfId="41476"/>
    <cellStyle name="Normal 6 3 3 3 2 2 2 2 4" xfId="18912"/>
    <cellStyle name="Normal 6 3 3 3 2 2 2 2 5" xfId="33955"/>
    <cellStyle name="Normal 6 3 3 3 2 2 2 3" xfId="5750"/>
    <cellStyle name="Normal 6 3 3 3 2 2 2 3 2" xfId="13273"/>
    <cellStyle name="Normal 6 3 3 3 2 2 2 3 2 2" xfId="28317"/>
    <cellStyle name="Normal 6 3 3 3 2 2 2 3 2 3" xfId="43360"/>
    <cellStyle name="Normal 6 3 3 3 2 2 2 3 3" xfId="20796"/>
    <cellStyle name="Normal 6 3 3 3 2 2 2 3 4" xfId="35839"/>
    <cellStyle name="Normal 6 3 3 3 2 2 2 4" xfId="9524"/>
    <cellStyle name="Normal 6 3 3 3 2 2 2 4 2" xfId="24568"/>
    <cellStyle name="Normal 6 3 3 3 2 2 2 4 3" xfId="39611"/>
    <cellStyle name="Normal 6 3 3 3 2 2 2 5" xfId="17047"/>
    <cellStyle name="Normal 6 3 3 3 2 2 2 6" xfId="32090"/>
    <cellStyle name="Normal 6 3 3 3 2 2 3" xfId="2888"/>
    <cellStyle name="Normal 6 3 3 3 2 2 3 2" xfId="6683"/>
    <cellStyle name="Normal 6 3 3 3 2 2 3 2 2" xfId="14206"/>
    <cellStyle name="Normal 6 3 3 3 2 2 3 2 2 2" xfId="29250"/>
    <cellStyle name="Normal 6 3 3 3 2 2 3 2 2 3" xfId="44293"/>
    <cellStyle name="Normal 6 3 3 3 2 2 3 2 3" xfId="21729"/>
    <cellStyle name="Normal 6 3 3 3 2 2 3 2 4" xfId="36772"/>
    <cellStyle name="Normal 6 3 3 3 2 2 3 3" xfId="10457"/>
    <cellStyle name="Normal 6 3 3 3 2 2 3 3 2" xfId="25501"/>
    <cellStyle name="Normal 6 3 3 3 2 2 3 3 3" xfId="40544"/>
    <cellStyle name="Normal 6 3 3 3 2 2 3 4" xfId="17980"/>
    <cellStyle name="Normal 6 3 3 3 2 2 3 5" xfId="33023"/>
    <cellStyle name="Normal 6 3 3 3 2 2 4" xfId="4818"/>
    <cellStyle name="Normal 6 3 3 3 2 2 4 2" xfId="12341"/>
    <cellStyle name="Normal 6 3 3 3 2 2 4 2 2" xfId="27385"/>
    <cellStyle name="Normal 6 3 3 3 2 2 4 2 3" xfId="42428"/>
    <cellStyle name="Normal 6 3 3 3 2 2 4 3" xfId="19864"/>
    <cellStyle name="Normal 6 3 3 3 2 2 4 4" xfId="34907"/>
    <cellStyle name="Normal 6 3 3 3 2 2 5" xfId="8592"/>
    <cellStyle name="Normal 6 3 3 3 2 2 5 2" xfId="23636"/>
    <cellStyle name="Normal 6 3 3 3 2 2 5 3" xfId="38679"/>
    <cellStyle name="Normal 6 3 3 3 2 2 6" xfId="16115"/>
    <cellStyle name="Normal 6 3 3 3 2 2 7" xfId="31158"/>
    <cellStyle name="Normal 6 3 3 3 2 3" xfId="1497"/>
    <cellStyle name="Normal 6 3 3 3 2 3 2" xfId="3368"/>
    <cellStyle name="Normal 6 3 3 3 2 3 2 2" xfId="7163"/>
    <cellStyle name="Normal 6 3 3 3 2 3 2 2 2" xfId="14686"/>
    <cellStyle name="Normal 6 3 3 3 2 3 2 2 2 2" xfId="29730"/>
    <cellStyle name="Normal 6 3 3 3 2 3 2 2 2 3" xfId="44773"/>
    <cellStyle name="Normal 6 3 3 3 2 3 2 2 3" xfId="22209"/>
    <cellStyle name="Normal 6 3 3 3 2 3 2 2 4" xfId="37252"/>
    <cellStyle name="Normal 6 3 3 3 2 3 2 3" xfId="10937"/>
    <cellStyle name="Normal 6 3 3 3 2 3 2 3 2" xfId="25981"/>
    <cellStyle name="Normal 6 3 3 3 2 3 2 3 3" xfId="41024"/>
    <cellStyle name="Normal 6 3 3 3 2 3 2 4" xfId="18460"/>
    <cellStyle name="Normal 6 3 3 3 2 3 2 5" xfId="33503"/>
    <cellStyle name="Normal 6 3 3 3 2 3 3" xfId="5298"/>
    <cellStyle name="Normal 6 3 3 3 2 3 3 2" xfId="12821"/>
    <cellStyle name="Normal 6 3 3 3 2 3 3 2 2" xfId="27865"/>
    <cellStyle name="Normal 6 3 3 3 2 3 3 2 3" xfId="42908"/>
    <cellStyle name="Normal 6 3 3 3 2 3 3 3" xfId="20344"/>
    <cellStyle name="Normal 6 3 3 3 2 3 3 4" xfId="35387"/>
    <cellStyle name="Normal 6 3 3 3 2 3 4" xfId="9072"/>
    <cellStyle name="Normal 6 3 3 3 2 3 4 2" xfId="24116"/>
    <cellStyle name="Normal 6 3 3 3 2 3 4 3" xfId="39159"/>
    <cellStyle name="Normal 6 3 3 3 2 3 5" xfId="16595"/>
    <cellStyle name="Normal 6 3 3 3 2 3 6" xfId="31638"/>
    <cellStyle name="Normal 6 3 3 3 2 4" xfId="2435"/>
    <cellStyle name="Normal 6 3 3 3 2 4 2" xfId="6231"/>
    <cellStyle name="Normal 6 3 3 3 2 4 2 2" xfId="13754"/>
    <cellStyle name="Normal 6 3 3 3 2 4 2 2 2" xfId="28798"/>
    <cellStyle name="Normal 6 3 3 3 2 4 2 2 3" xfId="43841"/>
    <cellStyle name="Normal 6 3 3 3 2 4 2 3" xfId="21277"/>
    <cellStyle name="Normal 6 3 3 3 2 4 2 4" xfId="36320"/>
    <cellStyle name="Normal 6 3 3 3 2 4 3" xfId="10005"/>
    <cellStyle name="Normal 6 3 3 3 2 4 3 2" xfId="25049"/>
    <cellStyle name="Normal 6 3 3 3 2 4 3 3" xfId="40092"/>
    <cellStyle name="Normal 6 3 3 3 2 4 4" xfId="17528"/>
    <cellStyle name="Normal 6 3 3 3 2 4 5" xfId="32571"/>
    <cellStyle name="Normal 6 3 3 3 2 5" xfId="4363"/>
    <cellStyle name="Normal 6 3 3 3 2 5 2" xfId="11887"/>
    <cellStyle name="Normal 6 3 3 3 2 5 2 2" xfId="26931"/>
    <cellStyle name="Normal 6 3 3 3 2 5 2 3" xfId="41974"/>
    <cellStyle name="Normal 6 3 3 3 2 5 3" xfId="19410"/>
    <cellStyle name="Normal 6 3 3 3 2 5 4" xfId="34453"/>
    <cellStyle name="Normal 6 3 3 3 2 6" xfId="8126"/>
    <cellStyle name="Normal 6 3 3 3 2 6 2" xfId="23170"/>
    <cellStyle name="Normal 6 3 3 3 2 6 3" xfId="38213"/>
    <cellStyle name="Normal 6 3 3 3 2 7" xfId="15649"/>
    <cellStyle name="Normal 6 3 3 3 2 8" xfId="30692"/>
    <cellStyle name="Normal 6 3 3 3 3" xfId="989"/>
    <cellStyle name="Normal 6 3 3 3 3 2" xfId="1948"/>
    <cellStyle name="Normal 6 3 3 3 3 2 2" xfId="3819"/>
    <cellStyle name="Normal 6 3 3 3 3 2 2 2" xfId="7614"/>
    <cellStyle name="Normal 6 3 3 3 3 2 2 2 2" xfId="15137"/>
    <cellStyle name="Normal 6 3 3 3 3 2 2 2 2 2" xfId="30181"/>
    <cellStyle name="Normal 6 3 3 3 3 2 2 2 2 3" xfId="45224"/>
    <cellStyle name="Normal 6 3 3 3 3 2 2 2 3" xfId="22660"/>
    <cellStyle name="Normal 6 3 3 3 3 2 2 2 4" xfId="37703"/>
    <cellStyle name="Normal 6 3 3 3 3 2 2 3" xfId="11388"/>
    <cellStyle name="Normal 6 3 3 3 3 2 2 3 2" xfId="26432"/>
    <cellStyle name="Normal 6 3 3 3 3 2 2 3 3" xfId="41475"/>
    <cellStyle name="Normal 6 3 3 3 3 2 2 4" xfId="18911"/>
    <cellStyle name="Normal 6 3 3 3 3 2 2 5" xfId="33954"/>
    <cellStyle name="Normal 6 3 3 3 3 2 3" xfId="5749"/>
    <cellStyle name="Normal 6 3 3 3 3 2 3 2" xfId="13272"/>
    <cellStyle name="Normal 6 3 3 3 3 2 3 2 2" xfId="28316"/>
    <cellStyle name="Normal 6 3 3 3 3 2 3 2 3" xfId="43359"/>
    <cellStyle name="Normal 6 3 3 3 3 2 3 3" xfId="20795"/>
    <cellStyle name="Normal 6 3 3 3 3 2 3 4" xfId="35838"/>
    <cellStyle name="Normal 6 3 3 3 3 2 4" xfId="9523"/>
    <cellStyle name="Normal 6 3 3 3 3 2 4 2" xfId="24567"/>
    <cellStyle name="Normal 6 3 3 3 3 2 4 3" xfId="39610"/>
    <cellStyle name="Normal 6 3 3 3 3 2 5" xfId="17046"/>
    <cellStyle name="Normal 6 3 3 3 3 2 6" xfId="32089"/>
    <cellStyle name="Normal 6 3 3 3 3 3" xfId="2887"/>
    <cellStyle name="Normal 6 3 3 3 3 3 2" xfId="6682"/>
    <cellStyle name="Normal 6 3 3 3 3 3 2 2" xfId="14205"/>
    <cellStyle name="Normal 6 3 3 3 3 3 2 2 2" xfId="29249"/>
    <cellStyle name="Normal 6 3 3 3 3 3 2 2 3" xfId="44292"/>
    <cellStyle name="Normal 6 3 3 3 3 3 2 3" xfId="21728"/>
    <cellStyle name="Normal 6 3 3 3 3 3 2 4" xfId="36771"/>
    <cellStyle name="Normal 6 3 3 3 3 3 3" xfId="10456"/>
    <cellStyle name="Normal 6 3 3 3 3 3 3 2" xfId="25500"/>
    <cellStyle name="Normal 6 3 3 3 3 3 3 3" xfId="40543"/>
    <cellStyle name="Normal 6 3 3 3 3 3 4" xfId="17979"/>
    <cellStyle name="Normal 6 3 3 3 3 3 5" xfId="33022"/>
    <cellStyle name="Normal 6 3 3 3 3 4" xfId="4817"/>
    <cellStyle name="Normal 6 3 3 3 3 4 2" xfId="12340"/>
    <cellStyle name="Normal 6 3 3 3 3 4 2 2" xfId="27384"/>
    <cellStyle name="Normal 6 3 3 3 3 4 2 3" xfId="42427"/>
    <cellStyle name="Normal 6 3 3 3 3 4 3" xfId="19863"/>
    <cellStyle name="Normal 6 3 3 3 3 4 4" xfId="34906"/>
    <cellStyle name="Normal 6 3 3 3 3 5" xfId="8591"/>
    <cellStyle name="Normal 6 3 3 3 3 5 2" xfId="23635"/>
    <cellStyle name="Normal 6 3 3 3 3 5 3" xfId="38678"/>
    <cellStyle name="Normal 6 3 3 3 3 6" xfId="16114"/>
    <cellStyle name="Normal 6 3 3 3 3 7" xfId="31157"/>
    <cellStyle name="Normal 6 3 3 3 4" xfId="1496"/>
    <cellStyle name="Normal 6 3 3 3 4 2" xfId="3367"/>
    <cellStyle name="Normal 6 3 3 3 4 2 2" xfId="7162"/>
    <cellStyle name="Normal 6 3 3 3 4 2 2 2" xfId="14685"/>
    <cellStyle name="Normal 6 3 3 3 4 2 2 2 2" xfId="29729"/>
    <cellStyle name="Normal 6 3 3 3 4 2 2 2 3" xfId="44772"/>
    <cellStyle name="Normal 6 3 3 3 4 2 2 3" xfId="22208"/>
    <cellStyle name="Normal 6 3 3 3 4 2 2 4" xfId="37251"/>
    <cellStyle name="Normal 6 3 3 3 4 2 3" xfId="10936"/>
    <cellStyle name="Normal 6 3 3 3 4 2 3 2" xfId="25980"/>
    <cellStyle name="Normal 6 3 3 3 4 2 3 3" xfId="41023"/>
    <cellStyle name="Normal 6 3 3 3 4 2 4" xfId="18459"/>
    <cellStyle name="Normal 6 3 3 3 4 2 5" xfId="33502"/>
    <cellStyle name="Normal 6 3 3 3 4 3" xfId="5297"/>
    <cellStyle name="Normal 6 3 3 3 4 3 2" xfId="12820"/>
    <cellStyle name="Normal 6 3 3 3 4 3 2 2" xfId="27864"/>
    <cellStyle name="Normal 6 3 3 3 4 3 2 3" xfId="42907"/>
    <cellStyle name="Normal 6 3 3 3 4 3 3" xfId="20343"/>
    <cellStyle name="Normal 6 3 3 3 4 3 4" xfId="35386"/>
    <cellStyle name="Normal 6 3 3 3 4 4" xfId="9071"/>
    <cellStyle name="Normal 6 3 3 3 4 4 2" xfId="24115"/>
    <cellStyle name="Normal 6 3 3 3 4 4 3" xfId="39158"/>
    <cellStyle name="Normal 6 3 3 3 4 5" xfId="16594"/>
    <cellStyle name="Normal 6 3 3 3 4 6" xfId="31637"/>
    <cellStyle name="Normal 6 3 3 3 5" xfId="2434"/>
    <cellStyle name="Normal 6 3 3 3 5 2" xfId="6230"/>
    <cellStyle name="Normal 6 3 3 3 5 2 2" xfId="13753"/>
    <cellStyle name="Normal 6 3 3 3 5 2 2 2" xfId="28797"/>
    <cellStyle name="Normal 6 3 3 3 5 2 2 3" xfId="43840"/>
    <cellStyle name="Normal 6 3 3 3 5 2 3" xfId="21276"/>
    <cellStyle name="Normal 6 3 3 3 5 2 4" xfId="36319"/>
    <cellStyle name="Normal 6 3 3 3 5 3" xfId="10004"/>
    <cellStyle name="Normal 6 3 3 3 5 3 2" xfId="25048"/>
    <cellStyle name="Normal 6 3 3 3 5 3 3" xfId="40091"/>
    <cellStyle name="Normal 6 3 3 3 5 4" xfId="17527"/>
    <cellStyle name="Normal 6 3 3 3 5 5" xfId="32570"/>
    <cellStyle name="Normal 6 3 3 3 6" xfId="4362"/>
    <cellStyle name="Normal 6 3 3 3 6 2" xfId="11886"/>
    <cellStyle name="Normal 6 3 3 3 6 2 2" xfId="26930"/>
    <cellStyle name="Normal 6 3 3 3 6 2 3" xfId="41973"/>
    <cellStyle name="Normal 6 3 3 3 6 3" xfId="19409"/>
    <cellStyle name="Normal 6 3 3 3 6 4" xfId="34452"/>
    <cellStyle name="Normal 6 3 3 3 7" xfId="8125"/>
    <cellStyle name="Normal 6 3 3 3 7 2" xfId="23169"/>
    <cellStyle name="Normal 6 3 3 3 7 3" xfId="38212"/>
    <cellStyle name="Normal 6 3 3 3 8" xfId="15648"/>
    <cellStyle name="Normal 6 3 3 3 9" xfId="30691"/>
    <cellStyle name="Normal 6 3 3 4" xfId="472"/>
    <cellStyle name="Normal 6 3 3 4 2" xfId="991"/>
    <cellStyle name="Normal 6 3 3 4 2 2" xfId="1950"/>
    <cellStyle name="Normal 6 3 3 4 2 2 2" xfId="3821"/>
    <cellStyle name="Normal 6 3 3 4 2 2 2 2" xfId="7616"/>
    <cellStyle name="Normal 6 3 3 4 2 2 2 2 2" xfId="15139"/>
    <cellStyle name="Normal 6 3 3 4 2 2 2 2 2 2" xfId="30183"/>
    <cellStyle name="Normal 6 3 3 4 2 2 2 2 2 3" xfId="45226"/>
    <cellStyle name="Normal 6 3 3 4 2 2 2 2 3" xfId="22662"/>
    <cellStyle name="Normal 6 3 3 4 2 2 2 2 4" xfId="37705"/>
    <cellStyle name="Normal 6 3 3 4 2 2 2 3" xfId="11390"/>
    <cellStyle name="Normal 6 3 3 4 2 2 2 3 2" xfId="26434"/>
    <cellStyle name="Normal 6 3 3 4 2 2 2 3 3" xfId="41477"/>
    <cellStyle name="Normal 6 3 3 4 2 2 2 4" xfId="18913"/>
    <cellStyle name="Normal 6 3 3 4 2 2 2 5" xfId="33956"/>
    <cellStyle name="Normal 6 3 3 4 2 2 3" xfId="5751"/>
    <cellStyle name="Normal 6 3 3 4 2 2 3 2" xfId="13274"/>
    <cellStyle name="Normal 6 3 3 4 2 2 3 2 2" xfId="28318"/>
    <cellStyle name="Normal 6 3 3 4 2 2 3 2 3" xfId="43361"/>
    <cellStyle name="Normal 6 3 3 4 2 2 3 3" xfId="20797"/>
    <cellStyle name="Normal 6 3 3 4 2 2 3 4" xfId="35840"/>
    <cellStyle name="Normal 6 3 3 4 2 2 4" xfId="9525"/>
    <cellStyle name="Normal 6 3 3 4 2 2 4 2" xfId="24569"/>
    <cellStyle name="Normal 6 3 3 4 2 2 4 3" xfId="39612"/>
    <cellStyle name="Normal 6 3 3 4 2 2 5" xfId="17048"/>
    <cellStyle name="Normal 6 3 3 4 2 2 6" xfId="32091"/>
    <cellStyle name="Normal 6 3 3 4 2 3" xfId="2889"/>
    <cellStyle name="Normal 6 3 3 4 2 3 2" xfId="6684"/>
    <cellStyle name="Normal 6 3 3 4 2 3 2 2" xfId="14207"/>
    <cellStyle name="Normal 6 3 3 4 2 3 2 2 2" xfId="29251"/>
    <cellStyle name="Normal 6 3 3 4 2 3 2 2 3" xfId="44294"/>
    <cellStyle name="Normal 6 3 3 4 2 3 2 3" xfId="21730"/>
    <cellStyle name="Normal 6 3 3 4 2 3 2 4" xfId="36773"/>
    <cellStyle name="Normal 6 3 3 4 2 3 3" xfId="10458"/>
    <cellStyle name="Normal 6 3 3 4 2 3 3 2" xfId="25502"/>
    <cellStyle name="Normal 6 3 3 4 2 3 3 3" xfId="40545"/>
    <cellStyle name="Normal 6 3 3 4 2 3 4" xfId="17981"/>
    <cellStyle name="Normal 6 3 3 4 2 3 5" xfId="33024"/>
    <cellStyle name="Normal 6 3 3 4 2 4" xfId="4819"/>
    <cellStyle name="Normal 6 3 3 4 2 4 2" xfId="12342"/>
    <cellStyle name="Normal 6 3 3 4 2 4 2 2" xfId="27386"/>
    <cellStyle name="Normal 6 3 3 4 2 4 2 3" xfId="42429"/>
    <cellStyle name="Normal 6 3 3 4 2 4 3" xfId="19865"/>
    <cellStyle name="Normal 6 3 3 4 2 4 4" xfId="34908"/>
    <cellStyle name="Normal 6 3 3 4 2 5" xfId="8593"/>
    <cellStyle name="Normal 6 3 3 4 2 5 2" xfId="23637"/>
    <cellStyle name="Normal 6 3 3 4 2 5 3" xfId="38680"/>
    <cellStyle name="Normal 6 3 3 4 2 6" xfId="16116"/>
    <cellStyle name="Normal 6 3 3 4 2 7" xfId="31159"/>
    <cellStyle name="Normal 6 3 3 4 3" xfId="1498"/>
    <cellStyle name="Normal 6 3 3 4 3 2" xfId="3369"/>
    <cellStyle name="Normal 6 3 3 4 3 2 2" xfId="7164"/>
    <cellStyle name="Normal 6 3 3 4 3 2 2 2" xfId="14687"/>
    <cellStyle name="Normal 6 3 3 4 3 2 2 2 2" xfId="29731"/>
    <cellStyle name="Normal 6 3 3 4 3 2 2 2 3" xfId="44774"/>
    <cellStyle name="Normal 6 3 3 4 3 2 2 3" xfId="22210"/>
    <cellStyle name="Normal 6 3 3 4 3 2 2 4" xfId="37253"/>
    <cellStyle name="Normal 6 3 3 4 3 2 3" xfId="10938"/>
    <cellStyle name="Normal 6 3 3 4 3 2 3 2" xfId="25982"/>
    <cellStyle name="Normal 6 3 3 4 3 2 3 3" xfId="41025"/>
    <cellStyle name="Normal 6 3 3 4 3 2 4" xfId="18461"/>
    <cellStyle name="Normal 6 3 3 4 3 2 5" xfId="33504"/>
    <cellStyle name="Normal 6 3 3 4 3 3" xfId="5299"/>
    <cellStyle name="Normal 6 3 3 4 3 3 2" xfId="12822"/>
    <cellStyle name="Normal 6 3 3 4 3 3 2 2" xfId="27866"/>
    <cellStyle name="Normal 6 3 3 4 3 3 2 3" xfId="42909"/>
    <cellStyle name="Normal 6 3 3 4 3 3 3" xfId="20345"/>
    <cellStyle name="Normal 6 3 3 4 3 3 4" xfId="35388"/>
    <cellStyle name="Normal 6 3 3 4 3 4" xfId="9073"/>
    <cellStyle name="Normal 6 3 3 4 3 4 2" xfId="24117"/>
    <cellStyle name="Normal 6 3 3 4 3 4 3" xfId="39160"/>
    <cellStyle name="Normal 6 3 3 4 3 5" xfId="16596"/>
    <cellStyle name="Normal 6 3 3 4 3 6" xfId="31639"/>
    <cellStyle name="Normal 6 3 3 4 4" xfId="2436"/>
    <cellStyle name="Normal 6 3 3 4 4 2" xfId="6232"/>
    <cellStyle name="Normal 6 3 3 4 4 2 2" xfId="13755"/>
    <cellStyle name="Normal 6 3 3 4 4 2 2 2" xfId="28799"/>
    <cellStyle name="Normal 6 3 3 4 4 2 2 3" xfId="43842"/>
    <cellStyle name="Normal 6 3 3 4 4 2 3" xfId="21278"/>
    <cellStyle name="Normal 6 3 3 4 4 2 4" xfId="36321"/>
    <cellStyle name="Normal 6 3 3 4 4 3" xfId="10006"/>
    <cellStyle name="Normal 6 3 3 4 4 3 2" xfId="25050"/>
    <cellStyle name="Normal 6 3 3 4 4 3 3" xfId="40093"/>
    <cellStyle name="Normal 6 3 3 4 4 4" xfId="17529"/>
    <cellStyle name="Normal 6 3 3 4 4 5" xfId="32572"/>
    <cellStyle name="Normal 6 3 3 4 5" xfId="4364"/>
    <cellStyle name="Normal 6 3 3 4 5 2" xfId="11888"/>
    <cellStyle name="Normal 6 3 3 4 5 2 2" xfId="26932"/>
    <cellStyle name="Normal 6 3 3 4 5 2 3" xfId="41975"/>
    <cellStyle name="Normal 6 3 3 4 5 3" xfId="19411"/>
    <cellStyle name="Normal 6 3 3 4 5 4" xfId="34454"/>
    <cellStyle name="Normal 6 3 3 4 6" xfId="8127"/>
    <cellStyle name="Normal 6 3 3 4 6 2" xfId="23171"/>
    <cellStyle name="Normal 6 3 3 4 6 3" xfId="38214"/>
    <cellStyle name="Normal 6 3 3 4 7" xfId="15650"/>
    <cellStyle name="Normal 6 3 3 4 8" xfId="30693"/>
    <cellStyle name="Normal 6 3 3 5" xfId="986"/>
    <cellStyle name="Normal 6 3 3 5 2" xfId="1945"/>
    <cellStyle name="Normal 6 3 3 5 2 2" xfId="3816"/>
    <cellStyle name="Normal 6 3 3 5 2 2 2" xfId="7611"/>
    <cellStyle name="Normal 6 3 3 5 2 2 2 2" xfId="15134"/>
    <cellStyle name="Normal 6 3 3 5 2 2 2 2 2" xfId="30178"/>
    <cellStyle name="Normal 6 3 3 5 2 2 2 2 3" xfId="45221"/>
    <cellStyle name="Normal 6 3 3 5 2 2 2 3" xfId="22657"/>
    <cellStyle name="Normal 6 3 3 5 2 2 2 4" xfId="37700"/>
    <cellStyle name="Normal 6 3 3 5 2 2 3" xfId="11385"/>
    <cellStyle name="Normal 6 3 3 5 2 2 3 2" xfId="26429"/>
    <cellStyle name="Normal 6 3 3 5 2 2 3 3" xfId="41472"/>
    <cellStyle name="Normal 6 3 3 5 2 2 4" xfId="18908"/>
    <cellStyle name="Normal 6 3 3 5 2 2 5" xfId="33951"/>
    <cellStyle name="Normal 6 3 3 5 2 3" xfId="5746"/>
    <cellStyle name="Normal 6 3 3 5 2 3 2" xfId="13269"/>
    <cellStyle name="Normal 6 3 3 5 2 3 2 2" xfId="28313"/>
    <cellStyle name="Normal 6 3 3 5 2 3 2 3" xfId="43356"/>
    <cellStyle name="Normal 6 3 3 5 2 3 3" xfId="20792"/>
    <cellStyle name="Normal 6 3 3 5 2 3 4" xfId="35835"/>
    <cellStyle name="Normal 6 3 3 5 2 4" xfId="9520"/>
    <cellStyle name="Normal 6 3 3 5 2 4 2" xfId="24564"/>
    <cellStyle name="Normal 6 3 3 5 2 4 3" xfId="39607"/>
    <cellStyle name="Normal 6 3 3 5 2 5" xfId="17043"/>
    <cellStyle name="Normal 6 3 3 5 2 6" xfId="32086"/>
    <cellStyle name="Normal 6 3 3 5 3" xfId="2884"/>
    <cellStyle name="Normal 6 3 3 5 3 2" xfId="6679"/>
    <cellStyle name="Normal 6 3 3 5 3 2 2" xfId="14202"/>
    <cellStyle name="Normal 6 3 3 5 3 2 2 2" xfId="29246"/>
    <cellStyle name="Normal 6 3 3 5 3 2 2 3" xfId="44289"/>
    <cellStyle name="Normal 6 3 3 5 3 2 3" xfId="21725"/>
    <cellStyle name="Normal 6 3 3 5 3 2 4" xfId="36768"/>
    <cellStyle name="Normal 6 3 3 5 3 3" xfId="10453"/>
    <cellStyle name="Normal 6 3 3 5 3 3 2" xfId="25497"/>
    <cellStyle name="Normal 6 3 3 5 3 3 3" xfId="40540"/>
    <cellStyle name="Normal 6 3 3 5 3 4" xfId="17976"/>
    <cellStyle name="Normal 6 3 3 5 3 5" xfId="33019"/>
    <cellStyle name="Normal 6 3 3 5 4" xfId="4814"/>
    <cellStyle name="Normal 6 3 3 5 4 2" xfId="12337"/>
    <cellStyle name="Normal 6 3 3 5 4 2 2" xfId="27381"/>
    <cellStyle name="Normal 6 3 3 5 4 2 3" xfId="42424"/>
    <cellStyle name="Normal 6 3 3 5 4 3" xfId="19860"/>
    <cellStyle name="Normal 6 3 3 5 4 4" xfId="34903"/>
    <cellStyle name="Normal 6 3 3 5 5" xfId="8588"/>
    <cellStyle name="Normal 6 3 3 5 5 2" xfId="23632"/>
    <cellStyle name="Normal 6 3 3 5 5 3" xfId="38675"/>
    <cellStyle name="Normal 6 3 3 5 6" xfId="16111"/>
    <cellStyle name="Normal 6 3 3 5 7" xfId="31154"/>
    <cellStyle name="Normal 6 3 3 6" xfId="1493"/>
    <cellStyle name="Normal 6 3 3 6 2" xfId="3364"/>
    <cellStyle name="Normal 6 3 3 6 2 2" xfId="7159"/>
    <cellStyle name="Normal 6 3 3 6 2 2 2" xfId="14682"/>
    <cellStyle name="Normal 6 3 3 6 2 2 2 2" xfId="29726"/>
    <cellStyle name="Normal 6 3 3 6 2 2 2 3" xfId="44769"/>
    <cellStyle name="Normal 6 3 3 6 2 2 3" xfId="22205"/>
    <cellStyle name="Normal 6 3 3 6 2 2 4" xfId="37248"/>
    <cellStyle name="Normal 6 3 3 6 2 3" xfId="10933"/>
    <cellStyle name="Normal 6 3 3 6 2 3 2" xfId="25977"/>
    <cellStyle name="Normal 6 3 3 6 2 3 3" xfId="41020"/>
    <cellStyle name="Normal 6 3 3 6 2 4" xfId="18456"/>
    <cellStyle name="Normal 6 3 3 6 2 5" xfId="33499"/>
    <cellStyle name="Normal 6 3 3 6 3" xfId="5294"/>
    <cellStyle name="Normal 6 3 3 6 3 2" xfId="12817"/>
    <cellStyle name="Normal 6 3 3 6 3 2 2" xfId="27861"/>
    <cellStyle name="Normal 6 3 3 6 3 2 3" xfId="42904"/>
    <cellStyle name="Normal 6 3 3 6 3 3" xfId="20340"/>
    <cellStyle name="Normal 6 3 3 6 3 4" xfId="35383"/>
    <cellStyle name="Normal 6 3 3 6 4" xfId="9068"/>
    <cellStyle name="Normal 6 3 3 6 4 2" xfId="24112"/>
    <cellStyle name="Normal 6 3 3 6 4 3" xfId="39155"/>
    <cellStyle name="Normal 6 3 3 6 5" xfId="16591"/>
    <cellStyle name="Normal 6 3 3 6 6" xfId="31634"/>
    <cellStyle name="Normal 6 3 3 7" xfId="2431"/>
    <cellStyle name="Normal 6 3 3 7 2" xfId="6227"/>
    <cellStyle name="Normal 6 3 3 7 2 2" xfId="13750"/>
    <cellStyle name="Normal 6 3 3 7 2 2 2" xfId="28794"/>
    <cellStyle name="Normal 6 3 3 7 2 2 3" xfId="43837"/>
    <cellStyle name="Normal 6 3 3 7 2 3" xfId="21273"/>
    <cellStyle name="Normal 6 3 3 7 2 4" xfId="36316"/>
    <cellStyle name="Normal 6 3 3 7 3" xfId="10001"/>
    <cellStyle name="Normal 6 3 3 7 3 2" xfId="25045"/>
    <cellStyle name="Normal 6 3 3 7 3 3" xfId="40088"/>
    <cellStyle name="Normal 6 3 3 7 4" xfId="17524"/>
    <cellStyle name="Normal 6 3 3 7 5" xfId="32567"/>
    <cellStyle name="Normal 6 3 3 8" xfId="4359"/>
    <cellStyle name="Normal 6 3 3 8 2" xfId="11883"/>
    <cellStyle name="Normal 6 3 3 8 2 2" xfId="26927"/>
    <cellStyle name="Normal 6 3 3 8 2 3" xfId="41970"/>
    <cellStyle name="Normal 6 3 3 8 3" xfId="19406"/>
    <cellStyle name="Normal 6 3 3 8 4" xfId="34449"/>
    <cellStyle name="Normal 6 3 3 9" xfId="8122"/>
    <cellStyle name="Normal 6 3 3 9 2" xfId="23166"/>
    <cellStyle name="Normal 6 3 3 9 3" xfId="38209"/>
    <cellStyle name="Normal 6 3 4" xfId="473"/>
    <cellStyle name="Normal 6 3 4 2" xfId="474"/>
    <cellStyle name="Normal 6 3 4 2 2" xfId="993"/>
    <cellStyle name="Normal 6 3 4 2 2 2" xfId="1952"/>
    <cellStyle name="Normal 6 3 4 2 2 2 2" xfId="3823"/>
    <cellStyle name="Normal 6 3 4 2 2 2 2 2" xfId="7618"/>
    <cellStyle name="Normal 6 3 4 2 2 2 2 2 2" xfId="15141"/>
    <cellStyle name="Normal 6 3 4 2 2 2 2 2 2 2" xfId="30185"/>
    <cellStyle name="Normal 6 3 4 2 2 2 2 2 2 3" xfId="45228"/>
    <cellStyle name="Normal 6 3 4 2 2 2 2 2 3" xfId="22664"/>
    <cellStyle name="Normal 6 3 4 2 2 2 2 2 4" xfId="37707"/>
    <cellStyle name="Normal 6 3 4 2 2 2 2 3" xfId="11392"/>
    <cellStyle name="Normal 6 3 4 2 2 2 2 3 2" xfId="26436"/>
    <cellStyle name="Normal 6 3 4 2 2 2 2 3 3" xfId="41479"/>
    <cellStyle name="Normal 6 3 4 2 2 2 2 4" xfId="18915"/>
    <cellStyle name="Normal 6 3 4 2 2 2 2 5" xfId="33958"/>
    <cellStyle name="Normal 6 3 4 2 2 2 3" xfId="5753"/>
    <cellStyle name="Normal 6 3 4 2 2 2 3 2" xfId="13276"/>
    <cellStyle name="Normal 6 3 4 2 2 2 3 2 2" xfId="28320"/>
    <cellStyle name="Normal 6 3 4 2 2 2 3 2 3" xfId="43363"/>
    <cellStyle name="Normal 6 3 4 2 2 2 3 3" xfId="20799"/>
    <cellStyle name="Normal 6 3 4 2 2 2 3 4" xfId="35842"/>
    <cellStyle name="Normal 6 3 4 2 2 2 4" xfId="9527"/>
    <cellStyle name="Normal 6 3 4 2 2 2 4 2" xfId="24571"/>
    <cellStyle name="Normal 6 3 4 2 2 2 4 3" xfId="39614"/>
    <cellStyle name="Normal 6 3 4 2 2 2 5" xfId="17050"/>
    <cellStyle name="Normal 6 3 4 2 2 2 6" xfId="32093"/>
    <cellStyle name="Normal 6 3 4 2 2 3" xfId="2891"/>
    <cellStyle name="Normal 6 3 4 2 2 3 2" xfId="6686"/>
    <cellStyle name="Normal 6 3 4 2 2 3 2 2" xfId="14209"/>
    <cellStyle name="Normal 6 3 4 2 2 3 2 2 2" xfId="29253"/>
    <cellStyle name="Normal 6 3 4 2 2 3 2 2 3" xfId="44296"/>
    <cellStyle name="Normal 6 3 4 2 2 3 2 3" xfId="21732"/>
    <cellStyle name="Normal 6 3 4 2 2 3 2 4" xfId="36775"/>
    <cellStyle name="Normal 6 3 4 2 2 3 3" xfId="10460"/>
    <cellStyle name="Normal 6 3 4 2 2 3 3 2" xfId="25504"/>
    <cellStyle name="Normal 6 3 4 2 2 3 3 3" xfId="40547"/>
    <cellStyle name="Normal 6 3 4 2 2 3 4" xfId="17983"/>
    <cellStyle name="Normal 6 3 4 2 2 3 5" xfId="33026"/>
    <cellStyle name="Normal 6 3 4 2 2 4" xfId="4821"/>
    <cellStyle name="Normal 6 3 4 2 2 4 2" xfId="12344"/>
    <cellStyle name="Normal 6 3 4 2 2 4 2 2" xfId="27388"/>
    <cellStyle name="Normal 6 3 4 2 2 4 2 3" xfId="42431"/>
    <cellStyle name="Normal 6 3 4 2 2 4 3" xfId="19867"/>
    <cellStyle name="Normal 6 3 4 2 2 4 4" xfId="34910"/>
    <cellStyle name="Normal 6 3 4 2 2 5" xfId="8595"/>
    <cellStyle name="Normal 6 3 4 2 2 5 2" xfId="23639"/>
    <cellStyle name="Normal 6 3 4 2 2 5 3" xfId="38682"/>
    <cellStyle name="Normal 6 3 4 2 2 6" xfId="16118"/>
    <cellStyle name="Normal 6 3 4 2 2 7" xfId="31161"/>
    <cellStyle name="Normal 6 3 4 2 3" xfId="1500"/>
    <cellStyle name="Normal 6 3 4 2 3 2" xfId="3371"/>
    <cellStyle name="Normal 6 3 4 2 3 2 2" xfId="7166"/>
    <cellStyle name="Normal 6 3 4 2 3 2 2 2" xfId="14689"/>
    <cellStyle name="Normal 6 3 4 2 3 2 2 2 2" xfId="29733"/>
    <cellStyle name="Normal 6 3 4 2 3 2 2 2 3" xfId="44776"/>
    <cellStyle name="Normal 6 3 4 2 3 2 2 3" xfId="22212"/>
    <cellStyle name="Normal 6 3 4 2 3 2 2 4" xfId="37255"/>
    <cellStyle name="Normal 6 3 4 2 3 2 3" xfId="10940"/>
    <cellStyle name="Normal 6 3 4 2 3 2 3 2" xfId="25984"/>
    <cellStyle name="Normal 6 3 4 2 3 2 3 3" xfId="41027"/>
    <cellStyle name="Normal 6 3 4 2 3 2 4" xfId="18463"/>
    <cellStyle name="Normal 6 3 4 2 3 2 5" xfId="33506"/>
    <cellStyle name="Normal 6 3 4 2 3 3" xfId="5301"/>
    <cellStyle name="Normal 6 3 4 2 3 3 2" xfId="12824"/>
    <cellStyle name="Normal 6 3 4 2 3 3 2 2" xfId="27868"/>
    <cellStyle name="Normal 6 3 4 2 3 3 2 3" xfId="42911"/>
    <cellStyle name="Normal 6 3 4 2 3 3 3" xfId="20347"/>
    <cellStyle name="Normal 6 3 4 2 3 3 4" xfId="35390"/>
    <cellStyle name="Normal 6 3 4 2 3 4" xfId="9075"/>
    <cellStyle name="Normal 6 3 4 2 3 4 2" xfId="24119"/>
    <cellStyle name="Normal 6 3 4 2 3 4 3" xfId="39162"/>
    <cellStyle name="Normal 6 3 4 2 3 5" xfId="16598"/>
    <cellStyle name="Normal 6 3 4 2 3 6" xfId="31641"/>
    <cellStyle name="Normal 6 3 4 2 4" xfId="2438"/>
    <cellStyle name="Normal 6 3 4 2 4 2" xfId="6234"/>
    <cellStyle name="Normal 6 3 4 2 4 2 2" xfId="13757"/>
    <cellStyle name="Normal 6 3 4 2 4 2 2 2" xfId="28801"/>
    <cellStyle name="Normal 6 3 4 2 4 2 2 3" xfId="43844"/>
    <cellStyle name="Normal 6 3 4 2 4 2 3" xfId="21280"/>
    <cellStyle name="Normal 6 3 4 2 4 2 4" xfId="36323"/>
    <cellStyle name="Normal 6 3 4 2 4 3" xfId="10008"/>
    <cellStyle name="Normal 6 3 4 2 4 3 2" xfId="25052"/>
    <cellStyle name="Normal 6 3 4 2 4 3 3" xfId="40095"/>
    <cellStyle name="Normal 6 3 4 2 4 4" xfId="17531"/>
    <cellStyle name="Normal 6 3 4 2 4 5" xfId="32574"/>
    <cellStyle name="Normal 6 3 4 2 5" xfId="4366"/>
    <cellStyle name="Normal 6 3 4 2 5 2" xfId="11890"/>
    <cellStyle name="Normal 6 3 4 2 5 2 2" xfId="26934"/>
    <cellStyle name="Normal 6 3 4 2 5 2 3" xfId="41977"/>
    <cellStyle name="Normal 6 3 4 2 5 3" xfId="19413"/>
    <cellStyle name="Normal 6 3 4 2 5 4" xfId="34456"/>
    <cellStyle name="Normal 6 3 4 2 6" xfId="8129"/>
    <cellStyle name="Normal 6 3 4 2 6 2" xfId="23173"/>
    <cellStyle name="Normal 6 3 4 2 6 3" xfId="38216"/>
    <cellStyle name="Normal 6 3 4 2 7" xfId="15652"/>
    <cellStyle name="Normal 6 3 4 2 8" xfId="30695"/>
    <cellStyle name="Normal 6 3 4 3" xfId="992"/>
    <cellStyle name="Normal 6 3 4 3 2" xfId="1951"/>
    <cellStyle name="Normal 6 3 4 3 2 2" xfId="3822"/>
    <cellStyle name="Normal 6 3 4 3 2 2 2" xfId="7617"/>
    <cellStyle name="Normal 6 3 4 3 2 2 2 2" xfId="15140"/>
    <cellStyle name="Normal 6 3 4 3 2 2 2 2 2" xfId="30184"/>
    <cellStyle name="Normal 6 3 4 3 2 2 2 2 3" xfId="45227"/>
    <cellStyle name="Normal 6 3 4 3 2 2 2 3" xfId="22663"/>
    <cellStyle name="Normal 6 3 4 3 2 2 2 4" xfId="37706"/>
    <cellStyle name="Normal 6 3 4 3 2 2 3" xfId="11391"/>
    <cellStyle name="Normal 6 3 4 3 2 2 3 2" xfId="26435"/>
    <cellStyle name="Normal 6 3 4 3 2 2 3 3" xfId="41478"/>
    <cellStyle name="Normal 6 3 4 3 2 2 4" xfId="18914"/>
    <cellStyle name="Normal 6 3 4 3 2 2 5" xfId="33957"/>
    <cellStyle name="Normal 6 3 4 3 2 3" xfId="5752"/>
    <cellStyle name="Normal 6 3 4 3 2 3 2" xfId="13275"/>
    <cellStyle name="Normal 6 3 4 3 2 3 2 2" xfId="28319"/>
    <cellStyle name="Normal 6 3 4 3 2 3 2 3" xfId="43362"/>
    <cellStyle name="Normal 6 3 4 3 2 3 3" xfId="20798"/>
    <cellStyle name="Normal 6 3 4 3 2 3 4" xfId="35841"/>
    <cellStyle name="Normal 6 3 4 3 2 4" xfId="9526"/>
    <cellStyle name="Normal 6 3 4 3 2 4 2" xfId="24570"/>
    <cellStyle name="Normal 6 3 4 3 2 4 3" xfId="39613"/>
    <cellStyle name="Normal 6 3 4 3 2 5" xfId="17049"/>
    <cellStyle name="Normal 6 3 4 3 2 6" xfId="32092"/>
    <cellStyle name="Normal 6 3 4 3 3" xfId="2890"/>
    <cellStyle name="Normal 6 3 4 3 3 2" xfId="6685"/>
    <cellStyle name="Normal 6 3 4 3 3 2 2" xfId="14208"/>
    <cellStyle name="Normal 6 3 4 3 3 2 2 2" xfId="29252"/>
    <cellStyle name="Normal 6 3 4 3 3 2 2 3" xfId="44295"/>
    <cellStyle name="Normal 6 3 4 3 3 2 3" xfId="21731"/>
    <cellStyle name="Normal 6 3 4 3 3 2 4" xfId="36774"/>
    <cellStyle name="Normal 6 3 4 3 3 3" xfId="10459"/>
    <cellStyle name="Normal 6 3 4 3 3 3 2" xfId="25503"/>
    <cellStyle name="Normal 6 3 4 3 3 3 3" xfId="40546"/>
    <cellStyle name="Normal 6 3 4 3 3 4" xfId="17982"/>
    <cellStyle name="Normal 6 3 4 3 3 5" xfId="33025"/>
    <cellStyle name="Normal 6 3 4 3 4" xfId="4820"/>
    <cellStyle name="Normal 6 3 4 3 4 2" xfId="12343"/>
    <cellStyle name="Normal 6 3 4 3 4 2 2" xfId="27387"/>
    <cellStyle name="Normal 6 3 4 3 4 2 3" xfId="42430"/>
    <cellStyle name="Normal 6 3 4 3 4 3" xfId="19866"/>
    <cellStyle name="Normal 6 3 4 3 4 4" xfId="34909"/>
    <cellStyle name="Normal 6 3 4 3 5" xfId="8594"/>
    <cellStyle name="Normal 6 3 4 3 5 2" xfId="23638"/>
    <cellStyle name="Normal 6 3 4 3 5 3" xfId="38681"/>
    <cellStyle name="Normal 6 3 4 3 6" xfId="16117"/>
    <cellStyle name="Normal 6 3 4 3 7" xfId="31160"/>
    <cellStyle name="Normal 6 3 4 4" xfId="1499"/>
    <cellStyle name="Normal 6 3 4 4 2" xfId="3370"/>
    <cellStyle name="Normal 6 3 4 4 2 2" xfId="7165"/>
    <cellStyle name="Normal 6 3 4 4 2 2 2" xfId="14688"/>
    <cellStyle name="Normal 6 3 4 4 2 2 2 2" xfId="29732"/>
    <cellStyle name="Normal 6 3 4 4 2 2 2 3" xfId="44775"/>
    <cellStyle name="Normal 6 3 4 4 2 2 3" xfId="22211"/>
    <cellStyle name="Normal 6 3 4 4 2 2 4" xfId="37254"/>
    <cellStyle name="Normal 6 3 4 4 2 3" xfId="10939"/>
    <cellStyle name="Normal 6 3 4 4 2 3 2" xfId="25983"/>
    <cellStyle name="Normal 6 3 4 4 2 3 3" xfId="41026"/>
    <cellStyle name="Normal 6 3 4 4 2 4" xfId="18462"/>
    <cellStyle name="Normal 6 3 4 4 2 5" xfId="33505"/>
    <cellStyle name="Normal 6 3 4 4 3" xfId="5300"/>
    <cellStyle name="Normal 6 3 4 4 3 2" xfId="12823"/>
    <cellStyle name="Normal 6 3 4 4 3 2 2" xfId="27867"/>
    <cellStyle name="Normal 6 3 4 4 3 2 3" xfId="42910"/>
    <cellStyle name="Normal 6 3 4 4 3 3" xfId="20346"/>
    <cellStyle name="Normal 6 3 4 4 3 4" xfId="35389"/>
    <cellStyle name="Normal 6 3 4 4 4" xfId="9074"/>
    <cellStyle name="Normal 6 3 4 4 4 2" xfId="24118"/>
    <cellStyle name="Normal 6 3 4 4 4 3" xfId="39161"/>
    <cellStyle name="Normal 6 3 4 4 5" xfId="16597"/>
    <cellStyle name="Normal 6 3 4 4 6" xfId="31640"/>
    <cellStyle name="Normal 6 3 4 5" xfId="2437"/>
    <cellStyle name="Normal 6 3 4 5 2" xfId="6233"/>
    <cellStyle name="Normal 6 3 4 5 2 2" xfId="13756"/>
    <cellStyle name="Normal 6 3 4 5 2 2 2" xfId="28800"/>
    <cellStyle name="Normal 6 3 4 5 2 2 3" xfId="43843"/>
    <cellStyle name="Normal 6 3 4 5 2 3" xfId="21279"/>
    <cellStyle name="Normal 6 3 4 5 2 4" xfId="36322"/>
    <cellStyle name="Normal 6 3 4 5 3" xfId="10007"/>
    <cellStyle name="Normal 6 3 4 5 3 2" xfId="25051"/>
    <cellStyle name="Normal 6 3 4 5 3 3" xfId="40094"/>
    <cellStyle name="Normal 6 3 4 5 4" xfId="17530"/>
    <cellStyle name="Normal 6 3 4 5 5" xfId="32573"/>
    <cellStyle name="Normal 6 3 4 6" xfId="4365"/>
    <cellStyle name="Normal 6 3 4 6 2" xfId="11889"/>
    <cellStyle name="Normal 6 3 4 6 2 2" xfId="26933"/>
    <cellStyle name="Normal 6 3 4 6 2 3" xfId="41976"/>
    <cellStyle name="Normal 6 3 4 6 3" xfId="19412"/>
    <cellStyle name="Normal 6 3 4 6 4" xfId="34455"/>
    <cellStyle name="Normal 6 3 4 7" xfId="8128"/>
    <cellStyle name="Normal 6 3 4 7 2" xfId="23172"/>
    <cellStyle name="Normal 6 3 4 7 3" xfId="38215"/>
    <cellStyle name="Normal 6 3 4 8" xfId="15651"/>
    <cellStyle name="Normal 6 3 4 9" xfId="30694"/>
    <cellStyle name="Normal 6 3 5" xfId="475"/>
    <cellStyle name="Normal 6 3 5 2" xfId="476"/>
    <cellStyle name="Normal 6 3 5 2 2" xfId="995"/>
    <cellStyle name="Normal 6 3 5 2 2 2" xfId="1954"/>
    <cellStyle name="Normal 6 3 5 2 2 2 2" xfId="3825"/>
    <cellStyle name="Normal 6 3 5 2 2 2 2 2" xfId="7620"/>
    <cellStyle name="Normal 6 3 5 2 2 2 2 2 2" xfId="15143"/>
    <cellStyle name="Normal 6 3 5 2 2 2 2 2 2 2" xfId="30187"/>
    <cellStyle name="Normal 6 3 5 2 2 2 2 2 2 3" xfId="45230"/>
    <cellStyle name="Normal 6 3 5 2 2 2 2 2 3" xfId="22666"/>
    <cellStyle name="Normal 6 3 5 2 2 2 2 2 4" xfId="37709"/>
    <cellStyle name="Normal 6 3 5 2 2 2 2 3" xfId="11394"/>
    <cellStyle name="Normal 6 3 5 2 2 2 2 3 2" xfId="26438"/>
    <cellStyle name="Normal 6 3 5 2 2 2 2 3 3" xfId="41481"/>
    <cellStyle name="Normal 6 3 5 2 2 2 2 4" xfId="18917"/>
    <cellStyle name="Normal 6 3 5 2 2 2 2 5" xfId="33960"/>
    <cellStyle name="Normal 6 3 5 2 2 2 3" xfId="5755"/>
    <cellStyle name="Normal 6 3 5 2 2 2 3 2" xfId="13278"/>
    <cellStyle name="Normal 6 3 5 2 2 2 3 2 2" xfId="28322"/>
    <cellStyle name="Normal 6 3 5 2 2 2 3 2 3" xfId="43365"/>
    <cellStyle name="Normal 6 3 5 2 2 2 3 3" xfId="20801"/>
    <cellStyle name="Normal 6 3 5 2 2 2 3 4" xfId="35844"/>
    <cellStyle name="Normal 6 3 5 2 2 2 4" xfId="9529"/>
    <cellStyle name="Normal 6 3 5 2 2 2 4 2" xfId="24573"/>
    <cellStyle name="Normal 6 3 5 2 2 2 4 3" xfId="39616"/>
    <cellStyle name="Normal 6 3 5 2 2 2 5" xfId="17052"/>
    <cellStyle name="Normal 6 3 5 2 2 2 6" xfId="32095"/>
    <cellStyle name="Normal 6 3 5 2 2 3" xfId="2893"/>
    <cellStyle name="Normal 6 3 5 2 2 3 2" xfId="6688"/>
    <cellStyle name="Normal 6 3 5 2 2 3 2 2" xfId="14211"/>
    <cellStyle name="Normal 6 3 5 2 2 3 2 2 2" xfId="29255"/>
    <cellStyle name="Normal 6 3 5 2 2 3 2 2 3" xfId="44298"/>
    <cellStyle name="Normal 6 3 5 2 2 3 2 3" xfId="21734"/>
    <cellStyle name="Normal 6 3 5 2 2 3 2 4" xfId="36777"/>
    <cellStyle name="Normal 6 3 5 2 2 3 3" xfId="10462"/>
    <cellStyle name="Normal 6 3 5 2 2 3 3 2" xfId="25506"/>
    <cellStyle name="Normal 6 3 5 2 2 3 3 3" xfId="40549"/>
    <cellStyle name="Normal 6 3 5 2 2 3 4" xfId="17985"/>
    <cellStyle name="Normal 6 3 5 2 2 3 5" xfId="33028"/>
    <cellStyle name="Normal 6 3 5 2 2 4" xfId="4823"/>
    <cellStyle name="Normal 6 3 5 2 2 4 2" xfId="12346"/>
    <cellStyle name="Normal 6 3 5 2 2 4 2 2" xfId="27390"/>
    <cellStyle name="Normal 6 3 5 2 2 4 2 3" xfId="42433"/>
    <cellStyle name="Normal 6 3 5 2 2 4 3" xfId="19869"/>
    <cellStyle name="Normal 6 3 5 2 2 4 4" xfId="34912"/>
    <cellStyle name="Normal 6 3 5 2 2 5" xfId="8597"/>
    <cellStyle name="Normal 6 3 5 2 2 5 2" xfId="23641"/>
    <cellStyle name="Normal 6 3 5 2 2 5 3" xfId="38684"/>
    <cellStyle name="Normal 6 3 5 2 2 6" xfId="16120"/>
    <cellStyle name="Normal 6 3 5 2 2 7" xfId="31163"/>
    <cellStyle name="Normal 6 3 5 2 3" xfId="1502"/>
    <cellStyle name="Normal 6 3 5 2 3 2" xfId="3373"/>
    <cellStyle name="Normal 6 3 5 2 3 2 2" xfId="7168"/>
    <cellStyle name="Normal 6 3 5 2 3 2 2 2" xfId="14691"/>
    <cellStyle name="Normal 6 3 5 2 3 2 2 2 2" xfId="29735"/>
    <cellStyle name="Normal 6 3 5 2 3 2 2 2 3" xfId="44778"/>
    <cellStyle name="Normal 6 3 5 2 3 2 2 3" xfId="22214"/>
    <cellStyle name="Normal 6 3 5 2 3 2 2 4" xfId="37257"/>
    <cellStyle name="Normal 6 3 5 2 3 2 3" xfId="10942"/>
    <cellStyle name="Normal 6 3 5 2 3 2 3 2" xfId="25986"/>
    <cellStyle name="Normal 6 3 5 2 3 2 3 3" xfId="41029"/>
    <cellStyle name="Normal 6 3 5 2 3 2 4" xfId="18465"/>
    <cellStyle name="Normal 6 3 5 2 3 2 5" xfId="33508"/>
    <cellStyle name="Normal 6 3 5 2 3 3" xfId="5303"/>
    <cellStyle name="Normal 6 3 5 2 3 3 2" xfId="12826"/>
    <cellStyle name="Normal 6 3 5 2 3 3 2 2" xfId="27870"/>
    <cellStyle name="Normal 6 3 5 2 3 3 2 3" xfId="42913"/>
    <cellStyle name="Normal 6 3 5 2 3 3 3" xfId="20349"/>
    <cellStyle name="Normal 6 3 5 2 3 3 4" xfId="35392"/>
    <cellStyle name="Normal 6 3 5 2 3 4" xfId="9077"/>
    <cellStyle name="Normal 6 3 5 2 3 4 2" xfId="24121"/>
    <cellStyle name="Normal 6 3 5 2 3 4 3" xfId="39164"/>
    <cellStyle name="Normal 6 3 5 2 3 5" xfId="16600"/>
    <cellStyle name="Normal 6 3 5 2 3 6" xfId="31643"/>
    <cellStyle name="Normal 6 3 5 2 4" xfId="2440"/>
    <cellStyle name="Normal 6 3 5 2 4 2" xfId="6236"/>
    <cellStyle name="Normal 6 3 5 2 4 2 2" xfId="13759"/>
    <cellStyle name="Normal 6 3 5 2 4 2 2 2" xfId="28803"/>
    <cellStyle name="Normal 6 3 5 2 4 2 2 3" xfId="43846"/>
    <cellStyle name="Normal 6 3 5 2 4 2 3" xfId="21282"/>
    <cellStyle name="Normal 6 3 5 2 4 2 4" xfId="36325"/>
    <cellStyle name="Normal 6 3 5 2 4 3" xfId="10010"/>
    <cellStyle name="Normal 6 3 5 2 4 3 2" xfId="25054"/>
    <cellStyle name="Normal 6 3 5 2 4 3 3" xfId="40097"/>
    <cellStyle name="Normal 6 3 5 2 4 4" xfId="17533"/>
    <cellStyle name="Normal 6 3 5 2 4 5" xfId="32576"/>
    <cellStyle name="Normal 6 3 5 2 5" xfId="4368"/>
    <cellStyle name="Normal 6 3 5 2 5 2" xfId="11892"/>
    <cellStyle name="Normal 6 3 5 2 5 2 2" xfId="26936"/>
    <cellStyle name="Normal 6 3 5 2 5 2 3" xfId="41979"/>
    <cellStyle name="Normal 6 3 5 2 5 3" xfId="19415"/>
    <cellStyle name="Normal 6 3 5 2 5 4" xfId="34458"/>
    <cellStyle name="Normal 6 3 5 2 6" xfId="8131"/>
    <cellStyle name="Normal 6 3 5 2 6 2" xfId="23175"/>
    <cellStyle name="Normal 6 3 5 2 6 3" xfId="38218"/>
    <cellStyle name="Normal 6 3 5 2 7" xfId="15654"/>
    <cellStyle name="Normal 6 3 5 2 8" xfId="30697"/>
    <cellStyle name="Normal 6 3 5 3" xfId="994"/>
    <cellStyle name="Normal 6 3 5 3 2" xfId="1953"/>
    <cellStyle name="Normal 6 3 5 3 2 2" xfId="3824"/>
    <cellStyle name="Normal 6 3 5 3 2 2 2" xfId="7619"/>
    <cellStyle name="Normal 6 3 5 3 2 2 2 2" xfId="15142"/>
    <cellStyle name="Normal 6 3 5 3 2 2 2 2 2" xfId="30186"/>
    <cellStyle name="Normal 6 3 5 3 2 2 2 2 3" xfId="45229"/>
    <cellStyle name="Normal 6 3 5 3 2 2 2 3" xfId="22665"/>
    <cellStyle name="Normal 6 3 5 3 2 2 2 4" xfId="37708"/>
    <cellStyle name="Normal 6 3 5 3 2 2 3" xfId="11393"/>
    <cellStyle name="Normal 6 3 5 3 2 2 3 2" xfId="26437"/>
    <cellStyle name="Normal 6 3 5 3 2 2 3 3" xfId="41480"/>
    <cellStyle name="Normal 6 3 5 3 2 2 4" xfId="18916"/>
    <cellStyle name="Normal 6 3 5 3 2 2 5" xfId="33959"/>
    <cellStyle name="Normal 6 3 5 3 2 3" xfId="5754"/>
    <cellStyle name="Normal 6 3 5 3 2 3 2" xfId="13277"/>
    <cellStyle name="Normal 6 3 5 3 2 3 2 2" xfId="28321"/>
    <cellStyle name="Normal 6 3 5 3 2 3 2 3" xfId="43364"/>
    <cellStyle name="Normal 6 3 5 3 2 3 3" xfId="20800"/>
    <cellStyle name="Normal 6 3 5 3 2 3 4" xfId="35843"/>
    <cellStyle name="Normal 6 3 5 3 2 4" xfId="9528"/>
    <cellStyle name="Normal 6 3 5 3 2 4 2" xfId="24572"/>
    <cellStyle name="Normal 6 3 5 3 2 4 3" xfId="39615"/>
    <cellStyle name="Normal 6 3 5 3 2 5" xfId="17051"/>
    <cellStyle name="Normal 6 3 5 3 2 6" xfId="32094"/>
    <cellStyle name="Normal 6 3 5 3 3" xfId="2892"/>
    <cellStyle name="Normal 6 3 5 3 3 2" xfId="6687"/>
    <cellStyle name="Normal 6 3 5 3 3 2 2" xfId="14210"/>
    <cellStyle name="Normal 6 3 5 3 3 2 2 2" xfId="29254"/>
    <cellStyle name="Normal 6 3 5 3 3 2 2 3" xfId="44297"/>
    <cellStyle name="Normal 6 3 5 3 3 2 3" xfId="21733"/>
    <cellStyle name="Normal 6 3 5 3 3 2 4" xfId="36776"/>
    <cellStyle name="Normal 6 3 5 3 3 3" xfId="10461"/>
    <cellStyle name="Normal 6 3 5 3 3 3 2" xfId="25505"/>
    <cellStyle name="Normal 6 3 5 3 3 3 3" xfId="40548"/>
    <cellStyle name="Normal 6 3 5 3 3 4" xfId="17984"/>
    <cellStyle name="Normal 6 3 5 3 3 5" xfId="33027"/>
    <cellStyle name="Normal 6 3 5 3 4" xfId="4822"/>
    <cellStyle name="Normal 6 3 5 3 4 2" xfId="12345"/>
    <cellStyle name="Normal 6 3 5 3 4 2 2" xfId="27389"/>
    <cellStyle name="Normal 6 3 5 3 4 2 3" xfId="42432"/>
    <cellStyle name="Normal 6 3 5 3 4 3" xfId="19868"/>
    <cellStyle name="Normal 6 3 5 3 4 4" xfId="34911"/>
    <cellStyle name="Normal 6 3 5 3 5" xfId="8596"/>
    <cellStyle name="Normal 6 3 5 3 5 2" xfId="23640"/>
    <cellStyle name="Normal 6 3 5 3 5 3" xfId="38683"/>
    <cellStyle name="Normal 6 3 5 3 6" xfId="16119"/>
    <cellStyle name="Normal 6 3 5 3 7" xfId="31162"/>
    <cellStyle name="Normal 6 3 5 4" xfId="1501"/>
    <cellStyle name="Normal 6 3 5 4 2" xfId="3372"/>
    <cellStyle name="Normal 6 3 5 4 2 2" xfId="7167"/>
    <cellStyle name="Normal 6 3 5 4 2 2 2" xfId="14690"/>
    <cellStyle name="Normal 6 3 5 4 2 2 2 2" xfId="29734"/>
    <cellStyle name="Normal 6 3 5 4 2 2 2 3" xfId="44777"/>
    <cellStyle name="Normal 6 3 5 4 2 2 3" xfId="22213"/>
    <cellStyle name="Normal 6 3 5 4 2 2 4" xfId="37256"/>
    <cellStyle name="Normal 6 3 5 4 2 3" xfId="10941"/>
    <cellStyle name="Normal 6 3 5 4 2 3 2" xfId="25985"/>
    <cellStyle name="Normal 6 3 5 4 2 3 3" xfId="41028"/>
    <cellStyle name="Normal 6 3 5 4 2 4" xfId="18464"/>
    <cellStyle name="Normal 6 3 5 4 2 5" xfId="33507"/>
    <cellStyle name="Normal 6 3 5 4 3" xfId="5302"/>
    <cellStyle name="Normal 6 3 5 4 3 2" xfId="12825"/>
    <cellStyle name="Normal 6 3 5 4 3 2 2" xfId="27869"/>
    <cellStyle name="Normal 6 3 5 4 3 2 3" xfId="42912"/>
    <cellStyle name="Normal 6 3 5 4 3 3" xfId="20348"/>
    <cellStyle name="Normal 6 3 5 4 3 4" xfId="35391"/>
    <cellStyle name="Normal 6 3 5 4 4" xfId="9076"/>
    <cellStyle name="Normal 6 3 5 4 4 2" xfId="24120"/>
    <cellStyle name="Normal 6 3 5 4 4 3" xfId="39163"/>
    <cellStyle name="Normal 6 3 5 4 5" xfId="16599"/>
    <cellStyle name="Normal 6 3 5 4 6" xfId="31642"/>
    <cellStyle name="Normal 6 3 5 5" xfId="2439"/>
    <cellStyle name="Normal 6 3 5 5 2" xfId="6235"/>
    <cellStyle name="Normal 6 3 5 5 2 2" xfId="13758"/>
    <cellStyle name="Normal 6 3 5 5 2 2 2" xfId="28802"/>
    <cellStyle name="Normal 6 3 5 5 2 2 3" xfId="43845"/>
    <cellStyle name="Normal 6 3 5 5 2 3" xfId="21281"/>
    <cellStyle name="Normal 6 3 5 5 2 4" xfId="36324"/>
    <cellStyle name="Normal 6 3 5 5 3" xfId="10009"/>
    <cellStyle name="Normal 6 3 5 5 3 2" xfId="25053"/>
    <cellStyle name="Normal 6 3 5 5 3 3" xfId="40096"/>
    <cellStyle name="Normal 6 3 5 5 4" xfId="17532"/>
    <cellStyle name="Normal 6 3 5 5 5" xfId="32575"/>
    <cellStyle name="Normal 6 3 5 6" xfId="4367"/>
    <cellStyle name="Normal 6 3 5 6 2" xfId="11891"/>
    <cellStyle name="Normal 6 3 5 6 2 2" xfId="26935"/>
    <cellStyle name="Normal 6 3 5 6 2 3" xfId="41978"/>
    <cellStyle name="Normal 6 3 5 6 3" xfId="19414"/>
    <cellStyle name="Normal 6 3 5 6 4" xfId="34457"/>
    <cellStyle name="Normal 6 3 5 7" xfId="8130"/>
    <cellStyle name="Normal 6 3 5 7 2" xfId="23174"/>
    <cellStyle name="Normal 6 3 5 7 3" xfId="38217"/>
    <cellStyle name="Normal 6 3 5 8" xfId="15653"/>
    <cellStyle name="Normal 6 3 5 9" xfId="30696"/>
    <cellStyle name="Normal 6 3 6" xfId="477"/>
    <cellStyle name="Normal 6 3 6 2" xfId="996"/>
    <cellStyle name="Normal 6 3 6 2 2" xfId="1955"/>
    <cellStyle name="Normal 6 3 6 2 2 2" xfId="3826"/>
    <cellStyle name="Normal 6 3 6 2 2 2 2" xfId="7621"/>
    <cellStyle name="Normal 6 3 6 2 2 2 2 2" xfId="15144"/>
    <cellStyle name="Normal 6 3 6 2 2 2 2 2 2" xfId="30188"/>
    <cellStyle name="Normal 6 3 6 2 2 2 2 2 3" xfId="45231"/>
    <cellStyle name="Normal 6 3 6 2 2 2 2 3" xfId="22667"/>
    <cellStyle name="Normal 6 3 6 2 2 2 2 4" xfId="37710"/>
    <cellStyle name="Normal 6 3 6 2 2 2 3" xfId="11395"/>
    <cellStyle name="Normal 6 3 6 2 2 2 3 2" xfId="26439"/>
    <cellStyle name="Normal 6 3 6 2 2 2 3 3" xfId="41482"/>
    <cellStyle name="Normal 6 3 6 2 2 2 4" xfId="18918"/>
    <cellStyle name="Normal 6 3 6 2 2 2 5" xfId="33961"/>
    <cellStyle name="Normal 6 3 6 2 2 3" xfId="5756"/>
    <cellStyle name="Normal 6 3 6 2 2 3 2" xfId="13279"/>
    <cellStyle name="Normal 6 3 6 2 2 3 2 2" xfId="28323"/>
    <cellStyle name="Normal 6 3 6 2 2 3 2 3" xfId="43366"/>
    <cellStyle name="Normal 6 3 6 2 2 3 3" xfId="20802"/>
    <cellStyle name="Normal 6 3 6 2 2 3 4" xfId="35845"/>
    <cellStyle name="Normal 6 3 6 2 2 4" xfId="9530"/>
    <cellStyle name="Normal 6 3 6 2 2 4 2" xfId="24574"/>
    <cellStyle name="Normal 6 3 6 2 2 4 3" xfId="39617"/>
    <cellStyle name="Normal 6 3 6 2 2 5" xfId="17053"/>
    <cellStyle name="Normal 6 3 6 2 2 6" xfId="32096"/>
    <cellStyle name="Normal 6 3 6 2 3" xfId="2894"/>
    <cellStyle name="Normal 6 3 6 2 3 2" xfId="6689"/>
    <cellStyle name="Normal 6 3 6 2 3 2 2" xfId="14212"/>
    <cellStyle name="Normal 6 3 6 2 3 2 2 2" xfId="29256"/>
    <cellStyle name="Normal 6 3 6 2 3 2 2 3" xfId="44299"/>
    <cellStyle name="Normal 6 3 6 2 3 2 3" xfId="21735"/>
    <cellStyle name="Normal 6 3 6 2 3 2 4" xfId="36778"/>
    <cellStyle name="Normal 6 3 6 2 3 3" xfId="10463"/>
    <cellStyle name="Normal 6 3 6 2 3 3 2" xfId="25507"/>
    <cellStyle name="Normal 6 3 6 2 3 3 3" xfId="40550"/>
    <cellStyle name="Normal 6 3 6 2 3 4" xfId="17986"/>
    <cellStyle name="Normal 6 3 6 2 3 5" xfId="33029"/>
    <cellStyle name="Normal 6 3 6 2 4" xfId="4824"/>
    <cellStyle name="Normal 6 3 6 2 4 2" xfId="12347"/>
    <cellStyle name="Normal 6 3 6 2 4 2 2" xfId="27391"/>
    <cellStyle name="Normal 6 3 6 2 4 2 3" xfId="42434"/>
    <cellStyle name="Normal 6 3 6 2 4 3" xfId="19870"/>
    <cellStyle name="Normal 6 3 6 2 4 4" xfId="34913"/>
    <cellStyle name="Normal 6 3 6 2 5" xfId="8598"/>
    <cellStyle name="Normal 6 3 6 2 5 2" xfId="23642"/>
    <cellStyle name="Normal 6 3 6 2 5 3" xfId="38685"/>
    <cellStyle name="Normal 6 3 6 2 6" xfId="16121"/>
    <cellStyle name="Normal 6 3 6 2 7" xfId="31164"/>
    <cellStyle name="Normal 6 3 6 3" xfId="1503"/>
    <cellStyle name="Normal 6 3 6 3 2" xfId="3374"/>
    <cellStyle name="Normal 6 3 6 3 2 2" xfId="7169"/>
    <cellStyle name="Normal 6 3 6 3 2 2 2" xfId="14692"/>
    <cellStyle name="Normal 6 3 6 3 2 2 2 2" xfId="29736"/>
    <cellStyle name="Normal 6 3 6 3 2 2 2 3" xfId="44779"/>
    <cellStyle name="Normal 6 3 6 3 2 2 3" xfId="22215"/>
    <cellStyle name="Normal 6 3 6 3 2 2 4" xfId="37258"/>
    <cellStyle name="Normal 6 3 6 3 2 3" xfId="10943"/>
    <cellStyle name="Normal 6 3 6 3 2 3 2" xfId="25987"/>
    <cellStyle name="Normal 6 3 6 3 2 3 3" xfId="41030"/>
    <cellStyle name="Normal 6 3 6 3 2 4" xfId="18466"/>
    <cellStyle name="Normal 6 3 6 3 2 5" xfId="33509"/>
    <cellStyle name="Normal 6 3 6 3 3" xfId="5304"/>
    <cellStyle name="Normal 6 3 6 3 3 2" xfId="12827"/>
    <cellStyle name="Normal 6 3 6 3 3 2 2" xfId="27871"/>
    <cellStyle name="Normal 6 3 6 3 3 2 3" xfId="42914"/>
    <cellStyle name="Normal 6 3 6 3 3 3" xfId="20350"/>
    <cellStyle name="Normal 6 3 6 3 3 4" xfId="35393"/>
    <cellStyle name="Normal 6 3 6 3 4" xfId="9078"/>
    <cellStyle name="Normal 6 3 6 3 4 2" xfId="24122"/>
    <cellStyle name="Normal 6 3 6 3 4 3" xfId="39165"/>
    <cellStyle name="Normal 6 3 6 3 5" xfId="16601"/>
    <cellStyle name="Normal 6 3 6 3 6" xfId="31644"/>
    <cellStyle name="Normal 6 3 6 4" xfId="2441"/>
    <cellStyle name="Normal 6 3 6 4 2" xfId="6237"/>
    <cellStyle name="Normal 6 3 6 4 2 2" xfId="13760"/>
    <cellStyle name="Normal 6 3 6 4 2 2 2" xfId="28804"/>
    <cellStyle name="Normal 6 3 6 4 2 2 3" xfId="43847"/>
    <cellStyle name="Normal 6 3 6 4 2 3" xfId="21283"/>
    <cellStyle name="Normal 6 3 6 4 2 4" xfId="36326"/>
    <cellStyle name="Normal 6 3 6 4 3" xfId="10011"/>
    <cellStyle name="Normal 6 3 6 4 3 2" xfId="25055"/>
    <cellStyle name="Normal 6 3 6 4 3 3" xfId="40098"/>
    <cellStyle name="Normal 6 3 6 4 4" xfId="17534"/>
    <cellStyle name="Normal 6 3 6 4 5" xfId="32577"/>
    <cellStyle name="Normal 6 3 6 5" xfId="4369"/>
    <cellStyle name="Normal 6 3 6 5 2" xfId="11893"/>
    <cellStyle name="Normal 6 3 6 5 2 2" xfId="26937"/>
    <cellStyle name="Normal 6 3 6 5 2 3" xfId="41980"/>
    <cellStyle name="Normal 6 3 6 5 3" xfId="19416"/>
    <cellStyle name="Normal 6 3 6 5 4" xfId="34459"/>
    <cellStyle name="Normal 6 3 6 6" xfId="8132"/>
    <cellStyle name="Normal 6 3 6 6 2" xfId="23176"/>
    <cellStyle name="Normal 6 3 6 6 3" xfId="38219"/>
    <cellStyle name="Normal 6 3 6 7" xfId="15655"/>
    <cellStyle name="Normal 6 3 6 8" xfId="30698"/>
    <cellStyle name="Normal 6 3 7" xfId="975"/>
    <cellStyle name="Normal 6 3 7 2" xfId="1934"/>
    <cellStyle name="Normal 6 3 7 2 2" xfId="3805"/>
    <cellStyle name="Normal 6 3 7 2 2 2" xfId="7600"/>
    <cellStyle name="Normal 6 3 7 2 2 2 2" xfId="15123"/>
    <cellStyle name="Normal 6 3 7 2 2 2 2 2" xfId="30167"/>
    <cellStyle name="Normal 6 3 7 2 2 2 2 3" xfId="45210"/>
    <cellStyle name="Normal 6 3 7 2 2 2 3" xfId="22646"/>
    <cellStyle name="Normal 6 3 7 2 2 2 4" xfId="37689"/>
    <cellStyle name="Normal 6 3 7 2 2 3" xfId="11374"/>
    <cellStyle name="Normal 6 3 7 2 2 3 2" xfId="26418"/>
    <cellStyle name="Normal 6 3 7 2 2 3 3" xfId="41461"/>
    <cellStyle name="Normal 6 3 7 2 2 4" xfId="18897"/>
    <cellStyle name="Normal 6 3 7 2 2 5" xfId="33940"/>
    <cellStyle name="Normal 6 3 7 2 3" xfId="5735"/>
    <cellStyle name="Normal 6 3 7 2 3 2" xfId="13258"/>
    <cellStyle name="Normal 6 3 7 2 3 2 2" xfId="28302"/>
    <cellStyle name="Normal 6 3 7 2 3 2 3" xfId="43345"/>
    <cellStyle name="Normal 6 3 7 2 3 3" xfId="20781"/>
    <cellStyle name="Normal 6 3 7 2 3 4" xfId="35824"/>
    <cellStyle name="Normal 6 3 7 2 4" xfId="9509"/>
    <cellStyle name="Normal 6 3 7 2 4 2" xfId="24553"/>
    <cellStyle name="Normal 6 3 7 2 4 3" xfId="39596"/>
    <cellStyle name="Normal 6 3 7 2 5" xfId="17032"/>
    <cellStyle name="Normal 6 3 7 2 6" xfId="32075"/>
    <cellStyle name="Normal 6 3 7 3" xfId="2873"/>
    <cellStyle name="Normal 6 3 7 3 2" xfId="6668"/>
    <cellStyle name="Normal 6 3 7 3 2 2" xfId="14191"/>
    <cellStyle name="Normal 6 3 7 3 2 2 2" xfId="29235"/>
    <cellStyle name="Normal 6 3 7 3 2 2 3" xfId="44278"/>
    <cellStyle name="Normal 6 3 7 3 2 3" xfId="21714"/>
    <cellStyle name="Normal 6 3 7 3 2 4" xfId="36757"/>
    <cellStyle name="Normal 6 3 7 3 3" xfId="10442"/>
    <cellStyle name="Normal 6 3 7 3 3 2" xfId="25486"/>
    <cellStyle name="Normal 6 3 7 3 3 3" xfId="40529"/>
    <cellStyle name="Normal 6 3 7 3 4" xfId="17965"/>
    <cellStyle name="Normal 6 3 7 3 5" xfId="33008"/>
    <cellStyle name="Normal 6 3 7 4" xfId="4803"/>
    <cellStyle name="Normal 6 3 7 4 2" xfId="12326"/>
    <cellStyle name="Normal 6 3 7 4 2 2" xfId="27370"/>
    <cellStyle name="Normal 6 3 7 4 2 3" xfId="42413"/>
    <cellStyle name="Normal 6 3 7 4 3" xfId="19849"/>
    <cellStyle name="Normal 6 3 7 4 4" xfId="34892"/>
    <cellStyle name="Normal 6 3 7 5" xfId="8577"/>
    <cellStyle name="Normal 6 3 7 5 2" xfId="23621"/>
    <cellStyle name="Normal 6 3 7 5 3" xfId="38664"/>
    <cellStyle name="Normal 6 3 7 6" xfId="16100"/>
    <cellStyle name="Normal 6 3 7 7" xfId="31143"/>
    <cellStyle name="Normal 6 3 8" xfId="1482"/>
    <cellStyle name="Normal 6 3 8 2" xfId="3353"/>
    <cellStyle name="Normal 6 3 8 2 2" xfId="7148"/>
    <cellStyle name="Normal 6 3 8 2 2 2" xfId="14671"/>
    <cellStyle name="Normal 6 3 8 2 2 2 2" xfId="29715"/>
    <cellStyle name="Normal 6 3 8 2 2 2 3" xfId="44758"/>
    <cellStyle name="Normal 6 3 8 2 2 3" xfId="22194"/>
    <cellStyle name="Normal 6 3 8 2 2 4" xfId="37237"/>
    <cellStyle name="Normal 6 3 8 2 3" xfId="10922"/>
    <cellStyle name="Normal 6 3 8 2 3 2" xfId="25966"/>
    <cellStyle name="Normal 6 3 8 2 3 3" xfId="41009"/>
    <cellStyle name="Normal 6 3 8 2 4" xfId="18445"/>
    <cellStyle name="Normal 6 3 8 2 5" xfId="33488"/>
    <cellStyle name="Normal 6 3 8 3" xfId="5283"/>
    <cellStyle name="Normal 6 3 8 3 2" xfId="12806"/>
    <cellStyle name="Normal 6 3 8 3 2 2" xfId="27850"/>
    <cellStyle name="Normal 6 3 8 3 2 3" xfId="42893"/>
    <cellStyle name="Normal 6 3 8 3 3" xfId="20329"/>
    <cellStyle name="Normal 6 3 8 3 4" xfId="35372"/>
    <cellStyle name="Normal 6 3 8 4" xfId="9057"/>
    <cellStyle name="Normal 6 3 8 4 2" xfId="24101"/>
    <cellStyle name="Normal 6 3 8 4 3" xfId="39144"/>
    <cellStyle name="Normal 6 3 8 5" xfId="16580"/>
    <cellStyle name="Normal 6 3 8 6" xfId="31623"/>
    <cellStyle name="Normal 6 3 9" xfId="2420"/>
    <cellStyle name="Normal 6 3 9 2" xfId="6216"/>
    <cellStyle name="Normal 6 3 9 2 2" xfId="13739"/>
    <cellStyle name="Normal 6 3 9 2 2 2" xfId="28783"/>
    <cellStyle name="Normal 6 3 9 2 2 3" xfId="43826"/>
    <cellStyle name="Normal 6 3 9 2 3" xfId="21262"/>
    <cellStyle name="Normal 6 3 9 2 4" xfId="36305"/>
    <cellStyle name="Normal 6 3 9 3" xfId="9990"/>
    <cellStyle name="Normal 6 3 9 3 2" xfId="25034"/>
    <cellStyle name="Normal 6 3 9 3 3" xfId="40077"/>
    <cellStyle name="Normal 6 3 9 4" xfId="17513"/>
    <cellStyle name="Normal 6 3 9 5" xfId="32556"/>
    <cellStyle name="Normal 6 4" xfId="478"/>
    <cellStyle name="Normal 6 4 10" xfId="8133"/>
    <cellStyle name="Normal 6 4 10 2" xfId="23177"/>
    <cellStyle name="Normal 6 4 10 3" xfId="38220"/>
    <cellStyle name="Normal 6 4 11" xfId="15656"/>
    <cellStyle name="Normal 6 4 12" xfId="30699"/>
    <cellStyle name="Normal 6 4 2" xfId="479"/>
    <cellStyle name="Normal 6 4 2 10" xfId="15657"/>
    <cellStyle name="Normal 6 4 2 11" xfId="30700"/>
    <cellStyle name="Normal 6 4 2 2" xfId="480"/>
    <cellStyle name="Normal 6 4 2 2 2" xfId="481"/>
    <cellStyle name="Normal 6 4 2 2 2 2" xfId="1000"/>
    <cellStyle name="Normal 6 4 2 2 2 2 2" xfId="1959"/>
    <cellStyle name="Normal 6 4 2 2 2 2 2 2" xfId="3830"/>
    <cellStyle name="Normal 6 4 2 2 2 2 2 2 2" xfId="7625"/>
    <cellStyle name="Normal 6 4 2 2 2 2 2 2 2 2" xfId="15148"/>
    <cellStyle name="Normal 6 4 2 2 2 2 2 2 2 2 2" xfId="30192"/>
    <cellStyle name="Normal 6 4 2 2 2 2 2 2 2 2 3" xfId="45235"/>
    <cellStyle name="Normal 6 4 2 2 2 2 2 2 2 3" xfId="22671"/>
    <cellStyle name="Normal 6 4 2 2 2 2 2 2 2 4" xfId="37714"/>
    <cellStyle name="Normal 6 4 2 2 2 2 2 2 3" xfId="11399"/>
    <cellStyle name="Normal 6 4 2 2 2 2 2 2 3 2" xfId="26443"/>
    <cellStyle name="Normal 6 4 2 2 2 2 2 2 3 3" xfId="41486"/>
    <cellStyle name="Normal 6 4 2 2 2 2 2 2 4" xfId="18922"/>
    <cellStyle name="Normal 6 4 2 2 2 2 2 2 5" xfId="33965"/>
    <cellStyle name="Normal 6 4 2 2 2 2 2 3" xfId="5760"/>
    <cellStyle name="Normal 6 4 2 2 2 2 2 3 2" xfId="13283"/>
    <cellStyle name="Normal 6 4 2 2 2 2 2 3 2 2" xfId="28327"/>
    <cellStyle name="Normal 6 4 2 2 2 2 2 3 2 3" xfId="43370"/>
    <cellStyle name="Normal 6 4 2 2 2 2 2 3 3" xfId="20806"/>
    <cellStyle name="Normal 6 4 2 2 2 2 2 3 4" xfId="35849"/>
    <cellStyle name="Normal 6 4 2 2 2 2 2 4" xfId="9534"/>
    <cellStyle name="Normal 6 4 2 2 2 2 2 4 2" xfId="24578"/>
    <cellStyle name="Normal 6 4 2 2 2 2 2 4 3" xfId="39621"/>
    <cellStyle name="Normal 6 4 2 2 2 2 2 5" xfId="17057"/>
    <cellStyle name="Normal 6 4 2 2 2 2 2 6" xfId="32100"/>
    <cellStyle name="Normal 6 4 2 2 2 2 3" xfId="2898"/>
    <cellStyle name="Normal 6 4 2 2 2 2 3 2" xfId="6693"/>
    <cellStyle name="Normal 6 4 2 2 2 2 3 2 2" xfId="14216"/>
    <cellStyle name="Normal 6 4 2 2 2 2 3 2 2 2" xfId="29260"/>
    <cellStyle name="Normal 6 4 2 2 2 2 3 2 2 3" xfId="44303"/>
    <cellStyle name="Normal 6 4 2 2 2 2 3 2 3" xfId="21739"/>
    <cellStyle name="Normal 6 4 2 2 2 2 3 2 4" xfId="36782"/>
    <cellStyle name="Normal 6 4 2 2 2 2 3 3" xfId="10467"/>
    <cellStyle name="Normal 6 4 2 2 2 2 3 3 2" xfId="25511"/>
    <cellStyle name="Normal 6 4 2 2 2 2 3 3 3" xfId="40554"/>
    <cellStyle name="Normal 6 4 2 2 2 2 3 4" xfId="17990"/>
    <cellStyle name="Normal 6 4 2 2 2 2 3 5" xfId="33033"/>
    <cellStyle name="Normal 6 4 2 2 2 2 4" xfId="4828"/>
    <cellStyle name="Normal 6 4 2 2 2 2 4 2" xfId="12351"/>
    <cellStyle name="Normal 6 4 2 2 2 2 4 2 2" xfId="27395"/>
    <cellStyle name="Normal 6 4 2 2 2 2 4 2 3" xfId="42438"/>
    <cellStyle name="Normal 6 4 2 2 2 2 4 3" xfId="19874"/>
    <cellStyle name="Normal 6 4 2 2 2 2 4 4" xfId="34917"/>
    <cellStyle name="Normal 6 4 2 2 2 2 5" xfId="8602"/>
    <cellStyle name="Normal 6 4 2 2 2 2 5 2" xfId="23646"/>
    <cellStyle name="Normal 6 4 2 2 2 2 5 3" xfId="38689"/>
    <cellStyle name="Normal 6 4 2 2 2 2 6" xfId="16125"/>
    <cellStyle name="Normal 6 4 2 2 2 2 7" xfId="31168"/>
    <cellStyle name="Normal 6 4 2 2 2 3" xfId="1507"/>
    <cellStyle name="Normal 6 4 2 2 2 3 2" xfId="3378"/>
    <cellStyle name="Normal 6 4 2 2 2 3 2 2" xfId="7173"/>
    <cellStyle name="Normal 6 4 2 2 2 3 2 2 2" xfId="14696"/>
    <cellStyle name="Normal 6 4 2 2 2 3 2 2 2 2" xfId="29740"/>
    <cellStyle name="Normal 6 4 2 2 2 3 2 2 2 3" xfId="44783"/>
    <cellStyle name="Normal 6 4 2 2 2 3 2 2 3" xfId="22219"/>
    <cellStyle name="Normal 6 4 2 2 2 3 2 2 4" xfId="37262"/>
    <cellStyle name="Normal 6 4 2 2 2 3 2 3" xfId="10947"/>
    <cellStyle name="Normal 6 4 2 2 2 3 2 3 2" xfId="25991"/>
    <cellStyle name="Normal 6 4 2 2 2 3 2 3 3" xfId="41034"/>
    <cellStyle name="Normal 6 4 2 2 2 3 2 4" xfId="18470"/>
    <cellStyle name="Normal 6 4 2 2 2 3 2 5" xfId="33513"/>
    <cellStyle name="Normal 6 4 2 2 2 3 3" xfId="5308"/>
    <cellStyle name="Normal 6 4 2 2 2 3 3 2" xfId="12831"/>
    <cellStyle name="Normal 6 4 2 2 2 3 3 2 2" xfId="27875"/>
    <cellStyle name="Normal 6 4 2 2 2 3 3 2 3" xfId="42918"/>
    <cellStyle name="Normal 6 4 2 2 2 3 3 3" xfId="20354"/>
    <cellStyle name="Normal 6 4 2 2 2 3 3 4" xfId="35397"/>
    <cellStyle name="Normal 6 4 2 2 2 3 4" xfId="9082"/>
    <cellStyle name="Normal 6 4 2 2 2 3 4 2" xfId="24126"/>
    <cellStyle name="Normal 6 4 2 2 2 3 4 3" xfId="39169"/>
    <cellStyle name="Normal 6 4 2 2 2 3 5" xfId="16605"/>
    <cellStyle name="Normal 6 4 2 2 2 3 6" xfId="31648"/>
    <cellStyle name="Normal 6 4 2 2 2 4" xfId="2445"/>
    <cellStyle name="Normal 6 4 2 2 2 4 2" xfId="6241"/>
    <cellStyle name="Normal 6 4 2 2 2 4 2 2" xfId="13764"/>
    <cellStyle name="Normal 6 4 2 2 2 4 2 2 2" xfId="28808"/>
    <cellStyle name="Normal 6 4 2 2 2 4 2 2 3" xfId="43851"/>
    <cellStyle name="Normal 6 4 2 2 2 4 2 3" xfId="21287"/>
    <cellStyle name="Normal 6 4 2 2 2 4 2 4" xfId="36330"/>
    <cellStyle name="Normal 6 4 2 2 2 4 3" xfId="10015"/>
    <cellStyle name="Normal 6 4 2 2 2 4 3 2" xfId="25059"/>
    <cellStyle name="Normal 6 4 2 2 2 4 3 3" xfId="40102"/>
    <cellStyle name="Normal 6 4 2 2 2 4 4" xfId="17538"/>
    <cellStyle name="Normal 6 4 2 2 2 4 5" xfId="32581"/>
    <cellStyle name="Normal 6 4 2 2 2 5" xfId="4373"/>
    <cellStyle name="Normal 6 4 2 2 2 5 2" xfId="11897"/>
    <cellStyle name="Normal 6 4 2 2 2 5 2 2" xfId="26941"/>
    <cellStyle name="Normal 6 4 2 2 2 5 2 3" xfId="41984"/>
    <cellStyle name="Normal 6 4 2 2 2 5 3" xfId="19420"/>
    <cellStyle name="Normal 6 4 2 2 2 5 4" xfId="34463"/>
    <cellStyle name="Normal 6 4 2 2 2 6" xfId="8136"/>
    <cellStyle name="Normal 6 4 2 2 2 6 2" xfId="23180"/>
    <cellStyle name="Normal 6 4 2 2 2 6 3" xfId="38223"/>
    <cellStyle name="Normal 6 4 2 2 2 7" xfId="15659"/>
    <cellStyle name="Normal 6 4 2 2 2 8" xfId="30702"/>
    <cellStyle name="Normal 6 4 2 2 3" xfId="999"/>
    <cellStyle name="Normal 6 4 2 2 3 2" xfId="1958"/>
    <cellStyle name="Normal 6 4 2 2 3 2 2" xfId="3829"/>
    <cellStyle name="Normal 6 4 2 2 3 2 2 2" xfId="7624"/>
    <cellStyle name="Normal 6 4 2 2 3 2 2 2 2" xfId="15147"/>
    <cellStyle name="Normal 6 4 2 2 3 2 2 2 2 2" xfId="30191"/>
    <cellStyle name="Normal 6 4 2 2 3 2 2 2 2 3" xfId="45234"/>
    <cellStyle name="Normal 6 4 2 2 3 2 2 2 3" xfId="22670"/>
    <cellStyle name="Normal 6 4 2 2 3 2 2 2 4" xfId="37713"/>
    <cellStyle name="Normal 6 4 2 2 3 2 2 3" xfId="11398"/>
    <cellStyle name="Normal 6 4 2 2 3 2 2 3 2" xfId="26442"/>
    <cellStyle name="Normal 6 4 2 2 3 2 2 3 3" xfId="41485"/>
    <cellStyle name="Normal 6 4 2 2 3 2 2 4" xfId="18921"/>
    <cellStyle name="Normal 6 4 2 2 3 2 2 5" xfId="33964"/>
    <cellStyle name="Normal 6 4 2 2 3 2 3" xfId="5759"/>
    <cellStyle name="Normal 6 4 2 2 3 2 3 2" xfId="13282"/>
    <cellStyle name="Normal 6 4 2 2 3 2 3 2 2" xfId="28326"/>
    <cellStyle name="Normal 6 4 2 2 3 2 3 2 3" xfId="43369"/>
    <cellStyle name="Normal 6 4 2 2 3 2 3 3" xfId="20805"/>
    <cellStyle name="Normal 6 4 2 2 3 2 3 4" xfId="35848"/>
    <cellStyle name="Normal 6 4 2 2 3 2 4" xfId="9533"/>
    <cellStyle name="Normal 6 4 2 2 3 2 4 2" xfId="24577"/>
    <cellStyle name="Normal 6 4 2 2 3 2 4 3" xfId="39620"/>
    <cellStyle name="Normal 6 4 2 2 3 2 5" xfId="17056"/>
    <cellStyle name="Normal 6 4 2 2 3 2 6" xfId="32099"/>
    <cellStyle name="Normal 6 4 2 2 3 3" xfId="2897"/>
    <cellStyle name="Normal 6 4 2 2 3 3 2" xfId="6692"/>
    <cellStyle name="Normal 6 4 2 2 3 3 2 2" xfId="14215"/>
    <cellStyle name="Normal 6 4 2 2 3 3 2 2 2" xfId="29259"/>
    <cellStyle name="Normal 6 4 2 2 3 3 2 2 3" xfId="44302"/>
    <cellStyle name="Normal 6 4 2 2 3 3 2 3" xfId="21738"/>
    <cellStyle name="Normal 6 4 2 2 3 3 2 4" xfId="36781"/>
    <cellStyle name="Normal 6 4 2 2 3 3 3" xfId="10466"/>
    <cellStyle name="Normal 6 4 2 2 3 3 3 2" xfId="25510"/>
    <cellStyle name="Normal 6 4 2 2 3 3 3 3" xfId="40553"/>
    <cellStyle name="Normal 6 4 2 2 3 3 4" xfId="17989"/>
    <cellStyle name="Normal 6 4 2 2 3 3 5" xfId="33032"/>
    <cellStyle name="Normal 6 4 2 2 3 4" xfId="4827"/>
    <cellStyle name="Normal 6 4 2 2 3 4 2" xfId="12350"/>
    <cellStyle name="Normal 6 4 2 2 3 4 2 2" xfId="27394"/>
    <cellStyle name="Normal 6 4 2 2 3 4 2 3" xfId="42437"/>
    <cellStyle name="Normal 6 4 2 2 3 4 3" xfId="19873"/>
    <cellStyle name="Normal 6 4 2 2 3 4 4" xfId="34916"/>
    <cellStyle name="Normal 6 4 2 2 3 5" xfId="8601"/>
    <cellStyle name="Normal 6 4 2 2 3 5 2" xfId="23645"/>
    <cellStyle name="Normal 6 4 2 2 3 5 3" xfId="38688"/>
    <cellStyle name="Normal 6 4 2 2 3 6" xfId="16124"/>
    <cellStyle name="Normal 6 4 2 2 3 7" xfId="31167"/>
    <cellStyle name="Normal 6 4 2 2 4" xfId="1506"/>
    <cellStyle name="Normal 6 4 2 2 4 2" xfId="3377"/>
    <cellStyle name="Normal 6 4 2 2 4 2 2" xfId="7172"/>
    <cellStyle name="Normal 6 4 2 2 4 2 2 2" xfId="14695"/>
    <cellStyle name="Normal 6 4 2 2 4 2 2 2 2" xfId="29739"/>
    <cellStyle name="Normal 6 4 2 2 4 2 2 2 3" xfId="44782"/>
    <cellStyle name="Normal 6 4 2 2 4 2 2 3" xfId="22218"/>
    <cellStyle name="Normal 6 4 2 2 4 2 2 4" xfId="37261"/>
    <cellStyle name="Normal 6 4 2 2 4 2 3" xfId="10946"/>
    <cellStyle name="Normal 6 4 2 2 4 2 3 2" xfId="25990"/>
    <cellStyle name="Normal 6 4 2 2 4 2 3 3" xfId="41033"/>
    <cellStyle name="Normal 6 4 2 2 4 2 4" xfId="18469"/>
    <cellStyle name="Normal 6 4 2 2 4 2 5" xfId="33512"/>
    <cellStyle name="Normal 6 4 2 2 4 3" xfId="5307"/>
    <cellStyle name="Normal 6 4 2 2 4 3 2" xfId="12830"/>
    <cellStyle name="Normal 6 4 2 2 4 3 2 2" xfId="27874"/>
    <cellStyle name="Normal 6 4 2 2 4 3 2 3" xfId="42917"/>
    <cellStyle name="Normal 6 4 2 2 4 3 3" xfId="20353"/>
    <cellStyle name="Normal 6 4 2 2 4 3 4" xfId="35396"/>
    <cellStyle name="Normal 6 4 2 2 4 4" xfId="9081"/>
    <cellStyle name="Normal 6 4 2 2 4 4 2" xfId="24125"/>
    <cellStyle name="Normal 6 4 2 2 4 4 3" xfId="39168"/>
    <cellStyle name="Normal 6 4 2 2 4 5" xfId="16604"/>
    <cellStyle name="Normal 6 4 2 2 4 6" xfId="31647"/>
    <cellStyle name="Normal 6 4 2 2 5" xfId="2444"/>
    <cellStyle name="Normal 6 4 2 2 5 2" xfId="6240"/>
    <cellStyle name="Normal 6 4 2 2 5 2 2" xfId="13763"/>
    <cellStyle name="Normal 6 4 2 2 5 2 2 2" xfId="28807"/>
    <cellStyle name="Normal 6 4 2 2 5 2 2 3" xfId="43850"/>
    <cellStyle name="Normal 6 4 2 2 5 2 3" xfId="21286"/>
    <cellStyle name="Normal 6 4 2 2 5 2 4" xfId="36329"/>
    <cellStyle name="Normal 6 4 2 2 5 3" xfId="10014"/>
    <cellStyle name="Normal 6 4 2 2 5 3 2" xfId="25058"/>
    <cellStyle name="Normal 6 4 2 2 5 3 3" xfId="40101"/>
    <cellStyle name="Normal 6 4 2 2 5 4" xfId="17537"/>
    <cellStyle name="Normal 6 4 2 2 5 5" xfId="32580"/>
    <cellStyle name="Normal 6 4 2 2 6" xfId="4372"/>
    <cellStyle name="Normal 6 4 2 2 6 2" xfId="11896"/>
    <cellStyle name="Normal 6 4 2 2 6 2 2" xfId="26940"/>
    <cellStyle name="Normal 6 4 2 2 6 2 3" xfId="41983"/>
    <cellStyle name="Normal 6 4 2 2 6 3" xfId="19419"/>
    <cellStyle name="Normal 6 4 2 2 6 4" xfId="34462"/>
    <cellStyle name="Normal 6 4 2 2 7" xfId="8135"/>
    <cellStyle name="Normal 6 4 2 2 7 2" xfId="23179"/>
    <cellStyle name="Normal 6 4 2 2 7 3" xfId="38222"/>
    <cellStyle name="Normal 6 4 2 2 8" xfId="15658"/>
    <cellStyle name="Normal 6 4 2 2 9" xfId="30701"/>
    <cellStyle name="Normal 6 4 2 3" xfId="482"/>
    <cellStyle name="Normal 6 4 2 3 2" xfId="483"/>
    <cellStyle name="Normal 6 4 2 3 2 2" xfId="1002"/>
    <cellStyle name="Normal 6 4 2 3 2 2 2" xfId="1961"/>
    <cellStyle name="Normal 6 4 2 3 2 2 2 2" xfId="3832"/>
    <cellStyle name="Normal 6 4 2 3 2 2 2 2 2" xfId="7627"/>
    <cellStyle name="Normal 6 4 2 3 2 2 2 2 2 2" xfId="15150"/>
    <cellStyle name="Normal 6 4 2 3 2 2 2 2 2 2 2" xfId="30194"/>
    <cellStyle name="Normal 6 4 2 3 2 2 2 2 2 2 3" xfId="45237"/>
    <cellStyle name="Normal 6 4 2 3 2 2 2 2 2 3" xfId="22673"/>
    <cellStyle name="Normal 6 4 2 3 2 2 2 2 2 4" xfId="37716"/>
    <cellStyle name="Normal 6 4 2 3 2 2 2 2 3" xfId="11401"/>
    <cellStyle name="Normal 6 4 2 3 2 2 2 2 3 2" xfId="26445"/>
    <cellStyle name="Normal 6 4 2 3 2 2 2 2 3 3" xfId="41488"/>
    <cellStyle name="Normal 6 4 2 3 2 2 2 2 4" xfId="18924"/>
    <cellStyle name="Normal 6 4 2 3 2 2 2 2 5" xfId="33967"/>
    <cellStyle name="Normal 6 4 2 3 2 2 2 3" xfId="5762"/>
    <cellStyle name="Normal 6 4 2 3 2 2 2 3 2" xfId="13285"/>
    <cellStyle name="Normal 6 4 2 3 2 2 2 3 2 2" xfId="28329"/>
    <cellStyle name="Normal 6 4 2 3 2 2 2 3 2 3" xfId="43372"/>
    <cellStyle name="Normal 6 4 2 3 2 2 2 3 3" xfId="20808"/>
    <cellStyle name="Normal 6 4 2 3 2 2 2 3 4" xfId="35851"/>
    <cellStyle name="Normal 6 4 2 3 2 2 2 4" xfId="9536"/>
    <cellStyle name="Normal 6 4 2 3 2 2 2 4 2" xfId="24580"/>
    <cellStyle name="Normal 6 4 2 3 2 2 2 4 3" xfId="39623"/>
    <cellStyle name="Normal 6 4 2 3 2 2 2 5" xfId="17059"/>
    <cellStyle name="Normal 6 4 2 3 2 2 2 6" xfId="32102"/>
    <cellStyle name="Normal 6 4 2 3 2 2 3" xfId="2900"/>
    <cellStyle name="Normal 6 4 2 3 2 2 3 2" xfId="6695"/>
    <cellStyle name="Normal 6 4 2 3 2 2 3 2 2" xfId="14218"/>
    <cellStyle name="Normal 6 4 2 3 2 2 3 2 2 2" xfId="29262"/>
    <cellStyle name="Normal 6 4 2 3 2 2 3 2 2 3" xfId="44305"/>
    <cellStyle name="Normal 6 4 2 3 2 2 3 2 3" xfId="21741"/>
    <cellStyle name="Normal 6 4 2 3 2 2 3 2 4" xfId="36784"/>
    <cellStyle name="Normal 6 4 2 3 2 2 3 3" xfId="10469"/>
    <cellStyle name="Normal 6 4 2 3 2 2 3 3 2" xfId="25513"/>
    <cellStyle name="Normal 6 4 2 3 2 2 3 3 3" xfId="40556"/>
    <cellStyle name="Normal 6 4 2 3 2 2 3 4" xfId="17992"/>
    <cellStyle name="Normal 6 4 2 3 2 2 3 5" xfId="33035"/>
    <cellStyle name="Normal 6 4 2 3 2 2 4" xfId="4830"/>
    <cellStyle name="Normal 6 4 2 3 2 2 4 2" xfId="12353"/>
    <cellStyle name="Normal 6 4 2 3 2 2 4 2 2" xfId="27397"/>
    <cellStyle name="Normal 6 4 2 3 2 2 4 2 3" xfId="42440"/>
    <cellStyle name="Normal 6 4 2 3 2 2 4 3" xfId="19876"/>
    <cellStyle name="Normal 6 4 2 3 2 2 4 4" xfId="34919"/>
    <cellStyle name="Normal 6 4 2 3 2 2 5" xfId="8604"/>
    <cellStyle name="Normal 6 4 2 3 2 2 5 2" xfId="23648"/>
    <cellStyle name="Normal 6 4 2 3 2 2 5 3" xfId="38691"/>
    <cellStyle name="Normal 6 4 2 3 2 2 6" xfId="16127"/>
    <cellStyle name="Normal 6 4 2 3 2 2 7" xfId="31170"/>
    <cellStyle name="Normal 6 4 2 3 2 3" xfId="1509"/>
    <cellStyle name="Normal 6 4 2 3 2 3 2" xfId="3380"/>
    <cellStyle name="Normal 6 4 2 3 2 3 2 2" xfId="7175"/>
    <cellStyle name="Normal 6 4 2 3 2 3 2 2 2" xfId="14698"/>
    <cellStyle name="Normal 6 4 2 3 2 3 2 2 2 2" xfId="29742"/>
    <cellStyle name="Normal 6 4 2 3 2 3 2 2 2 3" xfId="44785"/>
    <cellStyle name="Normal 6 4 2 3 2 3 2 2 3" xfId="22221"/>
    <cellStyle name="Normal 6 4 2 3 2 3 2 2 4" xfId="37264"/>
    <cellStyle name="Normal 6 4 2 3 2 3 2 3" xfId="10949"/>
    <cellStyle name="Normal 6 4 2 3 2 3 2 3 2" xfId="25993"/>
    <cellStyle name="Normal 6 4 2 3 2 3 2 3 3" xfId="41036"/>
    <cellStyle name="Normal 6 4 2 3 2 3 2 4" xfId="18472"/>
    <cellStyle name="Normal 6 4 2 3 2 3 2 5" xfId="33515"/>
    <cellStyle name="Normal 6 4 2 3 2 3 3" xfId="5310"/>
    <cellStyle name="Normal 6 4 2 3 2 3 3 2" xfId="12833"/>
    <cellStyle name="Normal 6 4 2 3 2 3 3 2 2" xfId="27877"/>
    <cellStyle name="Normal 6 4 2 3 2 3 3 2 3" xfId="42920"/>
    <cellStyle name="Normal 6 4 2 3 2 3 3 3" xfId="20356"/>
    <cellStyle name="Normal 6 4 2 3 2 3 3 4" xfId="35399"/>
    <cellStyle name="Normal 6 4 2 3 2 3 4" xfId="9084"/>
    <cellStyle name="Normal 6 4 2 3 2 3 4 2" xfId="24128"/>
    <cellStyle name="Normal 6 4 2 3 2 3 4 3" xfId="39171"/>
    <cellStyle name="Normal 6 4 2 3 2 3 5" xfId="16607"/>
    <cellStyle name="Normal 6 4 2 3 2 3 6" xfId="31650"/>
    <cellStyle name="Normal 6 4 2 3 2 4" xfId="2447"/>
    <cellStyle name="Normal 6 4 2 3 2 4 2" xfId="6243"/>
    <cellStyle name="Normal 6 4 2 3 2 4 2 2" xfId="13766"/>
    <cellStyle name="Normal 6 4 2 3 2 4 2 2 2" xfId="28810"/>
    <cellStyle name="Normal 6 4 2 3 2 4 2 2 3" xfId="43853"/>
    <cellStyle name="Normal 6 4 2 3 2 4 2 3" xfId="21289"/>
    <cellStyle name="Normal 6 4 2 3 2 4 2 4" xfId="36332"/>
    <cellStyle name="Normal 6 4 2 3 2 4 3" xfId="10017"/>
    <cellStyle name="Normal 6 4 2 3 2 4 3 2" xfId="25061"/>
    <cellStyle name="Normal 6 4 2 3 2 4 3 3" xfId="40104"/>
    <cellStyle name="Normal 6 4 2 3 2 4 4" xfId="17540"/>
    <cellStyle name="Normal 6 4 2 3 2 4 5" xfId="32583"/>
    <cellStyle name="Normal 6 4 2 3 2 5" xfId="4375"/>
    <cellStyle name="Normal 6 4 2 3 2 5 2" xfId="11899"/>
    <cellStyle name="Normal 6 4 2 3 2 5 2 2" xfId="26943"/>
    <cellStyle name="Normal 6 4 2 3 2 5 2 3" xfId="41986"/>
    <cellStyle name="Normal 6 4 2 3 2 5 3" xfId="19422"/>
    <cellStyle name="Normal 6 4 2 3 2 5 4" xfId="34465"/>
    <cellStyle name="Normal 6 4 2 3 2 6" xfId="8138"/>
    <cellStyle name="Normal 6 4 2 3 2 6 2" xfId="23182"/>
    <cellStyle name="Normal 6 4 2 3 2 6 3" xfId="38225"/>
    <cellStyle name="Normal 6 4 2 3 2 7" xfId="15661"/>
    <cellStyle name="Normal 6 4 2 3 2 8" xfId="30704"/>
    <cellStyle name="Normal 6 4 2 3 3" xfId="1001"/>
    <cellStyle name="Normal 6 4 2 3 3 2" xfId="1960"/>
    <cellStyle name="Normal 6 4 2 3 3 2 2" xfId="3831"/>
    <cellStyle name="Normal 6 4 2 3 3 2 2 2" xfId="7626"/>
    <cellStyle name="Normal 6 4 2 3 3 2 2 2 2" xfId="15149"/>
    <cellStyle name="Normal 6 4 2 3 3 2 2 2 2 2" xfId="30193"/>
    <cellStyle name="Normal 6 4 2 3 3 2 2 2 2 3" xfId="45236"/>
    <cellStyle name="Normal 6 4 2 3 3 2 2 2 3" xfId="22672"/>
    <cellStyle name="Normal 6 4 2 3 3 2 2 2 4" xfId="37715"/>
    <cellStyle name="Normal 6 4 2 3 3 2 2 3" xfId="11400"/>
    <cellStyle name="Normal 6 4 2 3 3 2 2 3 2" xfId="26444"/>
    <cellStyle name="Normal 6 4 2 3 3 2 2 3 3" xfId="41487"/>
    <cellStyle name="Normal 6 4 2 3 3 2 2 4" xfId="18923"/>
    <cellStyle name="Normal 6 4 2 3 3 2 2 5" xfId="33966"/>
    <cellStyle name="Normal 6 4 2 3 3 2 3" xfId="5761"/>
    <cellStyle name="Normal 6 4 2 3 3 2 3 2" xfId="13284"/>
    <cellStyle name="Normal 6 4 2 3 3 2 3 2 2" xfId="28328"/>
    <cellStyle name="Normal 6 4 2 3 3 2 3 2 3" xfId="43371"/>
    <cellStyle name="Normal 6 4 2 3 3 2 3 3" xfId="20807"/>
    <cellStyle name="Normal 6 4 2 3 3 2 3 4" xfId="35850"/>
    <cellStyle name="Normal 6 4 2 3 3 2 4" xfId="9535"/>
    <cellStyle name="Normal 6 4 2 3 3 2 4 2" xfId="24579"/>
    <cellStyle name="Normal 6 4 2 3 3 2 4 3" xfId="39622"/>
    <cellStyle name="Normal 6 4 2 3 3 2 5" xfId="17058"/>
    <cellStyle name="Normal 6 4 2 3 3 2 6" xfId="32101"/>
    <cellStyle name="Normal 6 4 2 3 3 3" xfId="2899"/>
    <cellStyle name="Normal 6 4 2 3 3 3 2" xfId="6694"/>
    <cellStyle name="Normal 6 4 2 3 3 3 2 2" xfId="14217"/>
    <cellStyle name="Normal 6 4 2 3 3 3 2 2 2" xfId="29261"/>
    <cellStyle name="Normal 6 4 2 3 3 3 2 2 3" xfId="44304"/>
    <cellStyle name="Normal 6 4 2 3 3 3 2 3" xfId="21740"/>
    <cellStyle name="Normal 6 4 2 3 3 3 2 4" xfId="36783"/>
    <cellStyle name="Normal 6 4 2 3 3 3 3" xfId="10468"/>
    <cellStyle name="Normal 6 4 2 3 3 3 3 2" xfId="25512"/>
    <cellStyle name="Normal 6 4 2 3 3 3 3 3" xfId="40555"/>
    <cellStyle name="Normal 6 4 2 3 3 3 4" xfId="17991"/>
    <cellStyle name="Normal 6 4 2 3 3 3 5" xfId="33034"/>
    <cellStyle name="Normal 6 4 2 3 3 4" xfId="4829"/>
    <cellStyle name="Normal 6 4 2 3 3 4 2" xfId="12352"/>
    <cellStyle name="Normal 6 4 2 3 3 4 2 2" xfId="27396"/>
    <cellStyle name="Normal 6 4 2 3 3 4 2 3" xfId="42439"/>
    <cellStyle name="Normal 6 4 2 3 3 4 3" xfId="19875"/>
    <cellStyle name="Normal 6 4 2 3 3 4 4" xfId="34918"/>
    <cellStyle name="Normal 6 4 2 3 3 5" xfId="8603"/>
    <cellStyle name="Normal 6 4 2 3 3 5 2" xfId="23647"/>
    <cellStyle name="Normal 6 4 2 3 3 5 3" xfId="38690"/>
    <cellStyle name="Normal 6 4 2 3 3 6" xfId="16126"/>
    <cellStyle name="Normal 6 4 2 3 3 7" xfId="31169"/>
    <cellStyle name="Normal 6 4 2 3 4" xfId="1508"/>
    <cellStyle name="Normal 6 4 2 3 4 2" xfId="3379"/>
    <cellStyle name="Normal 6 4 2 3 4 2 2" xfId="7174"/>
    <cellStyle name="Normal 6 4 2 3 4 2 2 2" xfId="14697"/>
    <cellStyle name="Normal 6 4 2 3 4 2 2 2 2" xfId="29741"/>
    <cellStyle name="Normal 6 4 2 3 4 2 2 2 3" xfId="44784"/>
    <cellStyle name="Normal 6 4 2 3 4 2 2 3" xfId="22220"/>
    <cellStyle name="Normal 6 4 2 3 4 2 2 4" xfId="37263"/>
    <cellStyle name="Normal 6 4 2 3 4 2 3" xfId="10948"/>
    <cellStyle name="Normal 6 4 2 3 4 2 3 2" xfId="25992"/>
    <cellStyle name="Normal 6 4 2 3 4 2 3 3" xfId="41035"/>
    <cellStyle name="Normal 6 4 2 3 4 2 4" xfId="18471"/>
    <cellStyle name="Normal 6 4 2 3 4 2 5" xfId="33514"/>
    <cellStyle name="Normal 6 4 2 3 4 3" xfId="5309"/>
    <cellStyle name="Normal 6 4 2 3 4 3 2" xfId="12832"/>
    <cellStyle name="Normal 6 4 2 3 4 3 2 2" xfId="27876"/>
    <cellStyle name="Normal 6 4 2 3 4 3 2 3" xfId="42919"/>
    <cellStyle name="Normal 6 4 2 3 4 3 3" xfId="20355"/>
    <cellStyle name="Normal 6 4 2 3 4 3 4" xfId="35398"/>
    <cellStyle name="Normal 6 4 2 3 4 4" xfId="9083"/>
    <cellStyle name="Normal 6 4 2 3 4 4 2" xfId="24127"/>
    <cellStyle name="Normal 6 4 2 3 4 4 3" xfId="39170"/>
    <cellStyle name="Normal 6 4 2 3 4 5" xfId="16606"/>
    <cellStyle name="Normal 6 4 2 3 4 6" xfId="31649"/>
    <cellStyle name="Normal 6 4 2 3 5" xfId="2446"/>
    <cellStyle name="Normal 6 4 2 3 5 2" xfId="6242"/>
    <cellStyle name="Normal 6 4 2 3 5 2 2" xfId="13765"/>
    <cellStyle name="Normal 6 4 2 3 5 2 2 2" xfId="28809"/>
    <cellStyle name="Normal 6 4 2 3 5 2 2 3" xfId="43852"/>
    <cellStyle name="Normal 6 4 2 3 5 2 3" xfId="21288"/>
    <cellStyle name="Normal 6 4 2 3 5 2 4" xfId="36331"/>
    <cellStyle name="Normal 6 4 2 3 5 3" xfId="10016"/>
    <cellStyle name="Normal 6 4 2 3 5 3 2" xfId="25060"/>
    <cellStyle name="Normal 6 4 2 3 5 3 3" xfId="40103"/>
    <cellStyle name="Normal 6 4 2 3 5 4" xfId="17539"/>
    <cellStyle name="Normal 6 4 2 3 5 5" xfId="32582"/>
    <cellStyle name="Normal 6 4 2 3 6" xfId="4374"/>
    <cellStyle name="Normal 6 4 2 3 6 2" xfId="11898"/>
    <cellStyle name="Normal 6 4 2 3 6 2 2" xfId="26942"/>
    <cellStyle name="Normal 6 4 2 3 6 2 3" xfId="41985"/>
    <cellStyle name="Normal 6 4 2 3 6 3" xfId="19421"/>
    <cellStyle name="Normal 6 4 2 3 6 4" xfId="34464"/>
    <cellStyle name="Normal 6 4 2 3 7" xfId="8137"/>
    <cellStyle name="Normal 6 4 2 3 7 2" xfId="23181"/>
    <cellStyle name="Normal 6 4 2 3 7 3" xfId="38224"/>
    <cellStyle name="Normal 6 4 2 3 8" xfId="15660"/>
    <cellStyle name="Normal 6 4 2 3 9" xfId="30703"/>
    <cellStyle name="Normal 6 4 2 4" xfId="484"/>
    <cellStyle name="Normal 6 4 2 4 2" xfId="1003"/>
    <cellStyle name="Normal 6 4 2 4 2 2" xfId="1962"/>
    <cellStyle name="Normal 6 4 2 4 2 2 2" xfId="3833"/>
    <cellStyle name="Normal 6 4 2 4 2 2 2 2" xfId="7628"/>
    <cellStyle name="Normal 6 4 2 4 2 2 2 2 2" xfId="15151"/>
    <cellStyle name="Normal 6 4 2 4 2 2 2 2 2 2" xfId="30195"/>
    <cellStyle name="Normal 6 4 2 4 2 2 2 2 2 3" xfId="45238"/>
    <cellStyle name="Normal 6 4 2 4 2 2 2 2 3" xfId="22674"/>
    <cellStyle name="Normal 6 4 2 4 2 2 2 2 4" xfId="37717"/>
    <cellStyle name="Normal 6 4 2 4 2 2 2 3" xfId="11402"/>
    <cellStyle name="Normal 6 4 2 4 2 2 2 3 2" xfId="26446"/>
    <cellStyle name="Normal 6 4 2 4 2 2 2 3 3" xfId="41489"/>
    <cellStyle name="Normal 6 4 2 4 2 2 2 4" xfId="18925"/>
    <cellStyle name="Normal 6 4 2 4 2 2 2 5" xfId="33968"/>
    <cellStyle name="Normal 6 4 2 4 2 2 3" xfId="5763"/>
    <cellStyle name="Normal 6 4 2 4 2 2 3 2" xfId="13286"/>
    <cellStyle name="Normal 6 4 2 4 2 2 3 2 2" xfId="28330"/>
    <cellStyle name="Normal 6 4 2 4 2 2 3 2 3" xfId="43373"/>
    <cellStyle name="Normal 6 4 2 4 2 2 3 3" xfId="20809"/>
    <cellStyle name="Normal 6 4 2 4 2 2 3 4" xfId="35852"/>
    <cellStyle name="Normal 6 4 2 4 2 2 4" xfId="9537"/>
    <cellStyle name="Normal 6 4 2 4 2 2 4 2" xfId="24581"/>
    <cellStyle name="Normal 6 4 2 4 2 2 4 3" xfId="39624"/>
    <cellStyle name="Normal 6 4 2 4 2 2 5" xfId="17060"/>
    <cellStyle name="Normal 6 4 2 4 2 2 6" xfId="32103"/>
    <cellStyle name="Normal 6 4 2 4 2 3" xfId="2901"/>
    <cellStyle name="Normal 6 4 2 4 2 3 2" xfId="6696"/>
    <cellStyle name="Normal 6 4 2 4 2 3 2 2" xfId="14219"/>
    <cellStyle name="Normal 6 4 2 4 2 3 2 2 2" xfId="29263"/>
    <cellStyle name="Normal 6 4 2 4 2 3 2 2 3" xfId="44306"/>
    <cellStyle name="Normal 6 4 2 4 2 3 2 3" xfId="21742"/>
    <cellStyle name="Normal 6 4 2 4 2 3 2 4" xfId="36785"/>
    <cellStyle name="Normal 6 4 2 4 2 3 3" xfId="10470"/>
    <cellStyle name="Normal 6 4 2 4 2 3 3 2" xfId="25514"/>
    <cellStyle name="Normal 6 4 2 4 2 3 3 3" xfId="40557"/>
    <cellStyle name="Normal 6 4 2 4 2 3 4" xfId="17993"/>
    <cellStyle name="Normal 6 4 2 4 2 3 5" xfId="33036"/>
    <cellStyle name="Normal 6 4 2 4 2 4" xfId="4831"/>
    <cellStyle name="Normal 6 4 2 4 2 4 2" xfId="12354"/>
    <cellStyle name="Normal 6 4 2 4 2 4 2 2" xfId="27398"/>
    <cellStyle name="Normal 6 4 2 4 2 4 2 3" xfId="42441"/>
    <cellStyle name="Normal 6 4 2 4 2 4 3" xfId="19877"/>
    <cellStyle name="Normal 6 4 2 4 2 4 4" xfId="34920"/>
    <cellStyle name="Normal 6 4 2 4 2 5" xfId="8605"/>
    <cellStyle name="Normal 6 4 2 4 2 5 2" xfId="23649"/>
    <cellStyle name="Normal 6 4 2 4 2 5 3" xfId="38692"/>
    <cellStyle name="Normal 6 4 2 4 2 6" xfId="16128"/>
    <cellStyle name="Normal 6 4 2 4 2 7" xfId="31171"/>
    <cellStyle name="Normal 6 4 2 4 3" xfId="1510"/>
    <cellStyle name="Normal 6 4 2 4 3 2" xfId="3381"/>
    <cellStyle name="Normal 6 4 2 4 3 2 2" xfId="7176"/>
    <cellStyle name="Normal 6 4 2 4 3 2 2 2" xfId="14699"/>
    <cellStyle name="Normal 6 4 2 4 3 2 2 2 2" xfId="29743"/>
    <cellStyle name="Normal 6 4 2 4 3 2 2 2 3" xfId="44786"/>
    <cellStyle name="Normal 6 4 2 4 3 2 2 3" xfId="22222"/>
    <cellStyle name="Normal 6 4 2 4 3 2 2 4" xfId="37265"/>
    <cellStyle name="Normal 6 4 2 4 3 2 3" xfId="10950"/>
    <cellStyle name="Normal 6 4 2 4 3 2 3 2" xfId="25994"/>
    <cellStyle name="Normal 6 4 2 4 3 2 3 3" xfId="41037"/>
    <cellStyle name="Normal 6 4 2 4 3 2 4" xfId="18473"/>
    <cellStyle name="Normal 6 4 2 4 3 2 5" xfId="33516"/>
    <cellStyle name="Normal 6 4 2 4 3 3" xfId="5311"/>
    <cellStyle name="Normal 6 4 2 4 3 3 2" xfId="12834"/>
    <cellStyle name="Normal 6 4 2 4 3 3 2 2" xfId="27878"/>
    <cellStyle name="Normal 6 4 2 4 3 3 2 3" xfId="42921"/>
    <cellStyle name="Normal 6 4 2 4 3 3 3" xfId="20357"/>
    <cellStyle name="Normal 6 4 2 4 3 3 4" xfId="35400"/>
    <cellStyle name="Normal 6 4 2 4 3 4" xfId="9085"/>
    <cellStyle name="Normal 6 4 2 4 3 4 2" xfId="24129"/>
    <cellStyle name="Normal 6 4 2 4 3 4 3" xfId="39172"/>
    <cellStyle name="Normal 6 4 2 4 3 5" xfId="16608"/>
    <cellStyle name="Normal 6 4 2 4 3 6" xfId="31651"/>
    <cellStyle name="Normal 6 4 2 4 4" xfId="2448"/>
    <cellStyle name="Normal 6 4 2 4 4 2" xfId="6244"/>
    <cellStyle name="Normal 6 4 2 4 4 2 2" xfId="13767"/>
    <cellStyle name="Normal 6 4 2 4 4 2 2 2" xfId="28811"/>
    <cellStyle name="Normal 6 4 2 4 4 2 2 3" xfId="43854"/>
    <cellStyle name="Normal 6 4 2 4 4 2 3" xfId="21290"/>
    <cellStyle name="Normal 6 4 2 4 4 2 4" xfId="36333"/>
    <cellStyle name="Normal 6 4 2 4 4 3" xfId="10018"/>
    <cellStyle name="Normal 6 4 2 4 4 3 2" xfId="25062"/>
    <cellStyle name="Normal 6 4 2 4 4 3 3" xfId="40105"/>
    <cellStyle name="Normal 6 4 2 4 4 4" xfId="17541"/>
    <cellStyle name="Normal 6 4 2 4 4 5" xfId="32584"/>
    <cellStyle name="Normal 6 4 2 4 5" xfId="4376"/>
    <cellStyle name="Normal 6 4 2 4 5 2" xfId="11900"/>
    <cellStyle name="Normal 6 4 2 4 5 2 2" xfId="26944"/>
    <cellStyle name="Normal 6 4 2 4 5 2 3" xfId="41987"/>
    <cellStyle name="Normal 6 4 2 4 5 3" xfId="19423"/>
    <cellStyle name="Normal 6 4 2 4 5 4" xfId="34466"/>
    <cellStyle name="Normal 6 4 2 4 6" xfId="8139"/>
    <cellStyle name="Normal 6 4 2 4 6 2" xfId="23183"/>
    <cellStyle name="Normal 6 4 2 4 6 3" xfId="38226"/>
    <cellStyle name="Normal 6 4 2 4 7" xfId="15662"/>
    <cellStyle name="Normal 6 4 2 4 8" xfId="30705"/>
    <cellStyle name="Normal 6 4 2 5" xfId="998"/>
    <cellStyle name="Normal 6 4 2 5 2" xfId="1957"/>
    <cellStyle name="Normal 6 4 2 5 2 2" xfId="3828"/>
    <cellStyle name="Normal 6 4 2 5 2 2 2" xfId="7623"/>
    <cellStyle name="Normal 6 4 2 5 2 2 2 2" xfId="15146"/>
    <cellStyle name="Normal 6 4 2 5 2 2 2 2 2" xfId="30190"/>
    <cellStyle name="Normal 6 4 2 5 2 2 2 2 3" xfId="45233"/>
    <cellStyle name="Normal 6 4 2 5 2 2 2 3" xfId="22669"/>
    <cellStyle name="Normal 6 4 2 5 2 2 2 4" xfId="37712"/>
    <cellStyle name="Normal 6 4 2 5 2 2 3" xfId="11397"/>
    <cellStyle name="Normal 6 4 2 5 2 2 3 2" xfId="26441"/>
    <cellStyle name="Normal 6 4 2 5 2 2 3 3" xfId="41484"/>
    <cellStyle name="Normal 6 4 2 5 2 2 4" xfId="18920"/>
    <cellStyle name="Normal 6 4 2 5 2 2 5" xfId="33963"/>
    <cellStyle name="Normal 6 4 2 5 2 3" xfId="5758"/>
    <cellStyle name="Normal 6 4 2 5 2 3 2" xfId="13281"/>
    <cellStyle name="Normal 6 4 2 5 2 3 2 2" xfId="28325"/>
    <cellStyle name="Normal 6 4 2 5 2 3 2 3" xfId="43368"/>
    <cellStyle name="Normal 6 4 2 5 2 3 3" xfId="20804"/>
    <cellStyle name="Normal 6 4 2 5 2 3 4" xfId="35847"/>
    <cellStyle name="Normal 6 4 2 5 2 4" xfId="9532"/>
    <cellStyle name="Normal 6 4 2 5 2 4 2" xfId="24576"/>
    <cellStyle name="Normal 6 4 2 5 2 4 3" xfId="39619"/>
    <cellStyle name="Normal 6 4 2 5 2 5" xfId="17055"/>
    <cellStyle name="Normal 6 4 2 5 2 6" xfId="32098"/>
    <cellStyle name="Normal 6 4 2 5 3" xfId="2896"/>
    <cellStyle name="Normal 6 4 2 5 3 2" xfId="6691"/>
    <cellStyle name="Normal 6 4 2 5 3 2 2" xfId="14214"/>
    <cellStyle name="Normal 6 4 2 5 3 2 2 2" xfId="29258"/>
    <cellStyle name="Normal 6 4 2 5 3 2 2 3" xfId="44301"/>
    <cellStyle name="Normal 6 4 2 5 3 2 3" xfId="21737"/>
    <cellStyle name="Normal 6 4 2 5 3 2 4" xfId="36780"/>
    <cellStyle name="Normal 6 4 2 5 3 3" xfId="10465"/>
    <cellStyle name="Normal 6 4 2 5 3 3 2" xfId="25509"/>
    <cellStyle name="Normal 6 4 2 5 3 3 3" xfId="40552"/>
    <cellStyle name="Normal 6 4 2 5 3 4" xfId="17988"/>
    <cellStyle name="Normal 6 4 2 5 3 5" xfId="33031"/>
    <cellStyle name="Normal 6 4 2 5 4" xfId="4826"/>
    <cellStyle name="Normal 6 4 2 5 4 2" xfId="12349"/>
    <cellStyle name="Normal 6 4 2 5 4 2 2" xfId="27393"/>
    <cellStyle name="Normal 6 4 2 5 4 2 3" xfId="42436"/>
    <cellStyle name="Normal 6 4 2 5 4 3" xfId="19872"/>
    <cellStyle name="Normal 6 4 2 5 4 4" xfId="34915"/>
    <cellStyle name="Normal 6 4 2 5 5" xfId="8600"/>
    <cellStyle name="Normal 6 4 2 5 5 2" xfId="23644"/>
    <cellStyle name="Normal 6 4 2 5 5 3" xfId="38687"/>
    <cellStyle name="Normal 6 4 2 5 6" xfId="16123"/>
    <cellStyle name="Normal 6 4 2 5 7" xfId="31166"/>
    <cellStyle name="Normal 6 4 2 6" xfId="1505"/>
    <cellStyle name="Normal 6 4 2 6 2" xfId="3376"/>
    <cellStyle name="Normal 6 4 2 6 2 2" xfId="7171"/>
    <cellStyle name="Normal 6 4 2 6 2 2 2" xfId="14694"/>
    <cellStyle name="Normal 6 4 2 6 2 2 2 2" xfId="29738"/>
    <cellStyle name="Normal 6 4 2 6 2 2 2 3" xfId="44781"/>
    <cellStyle name="Normal 6 4 2 6 2 2 3" xfId="22217"/>
    <cellStyle name="Normal 6 4 2 6 2 2 4" xfId="37260"/>
    <cellStyle name="Normal 6 4 2 6 2 3" xfId="10945"/>
    <cellStyle name="Normal 6 4 2 6 2 3 2" xfId="25989"/>
    <cellStyle name="Normal 6 4 2 6 2 3 3" xfId="41032"/>
    <cellStyle name="Normal 6 4 2 6 2 4" xfId="18468"/>
    <cellStyle name="Normal 6 4 2 6 2 5" xfId="33511"/>
    <cellStyle name="Normal 6 4 2 6 3" xfId="5306"/>
    <cellStyle name="Normal 6 4 2 6 3 2" xfId="12829"/>
    <cellStyle name="Normal 6 4 2 6 3 2 2" xfId="27873"/>
    <cellStyle name="Normal 6 4 2 6 3 2 3" xfId="42916"/>
    <cellStyle name="Normal 6 4 2 6 3 3" xfId="20352"/>
    <cellStyle name="Normal 6 4 2 6 3 4" xfId="35395"/>
    <cellStyle name="Normal 6 4 2 6 4" xfId="9080"/>
    <cellStyle name="Normal 6 4 2 6 4 2" xfId="24124"/>
    <cellStyle name="Normal 6 4 2 6 4 3" xfId="39167"/>
    <cellStyle name="Normal 6 4 2 6 5" xfId="16603"/>
    <cellStyle name="Normal 6 4 2 6 6" xfId="31646"/>
    <cellStyle name="Normal 6 4 2 7" xfId="2443"/>
    <cellStyle name="Normal 6 4 2 7 2" xfId="6239"/>
    <cellStyle name="Normal 6 4 2 7 2 2" xfId="13762"/>
    <cellStyle name="Normal 6 4 2 7 2 2 2" xfId="28806"/>
    <cellStyle name="Normal 6 4 2 7 2 2 3" xfId="43849"/>
    <cellStyle name="Normal 6 4 2 7 2 3" xfId="21285"/>
    <cellStyle name="Normal 6 4 2 7 2 4" xfId="36328"/>
    <cellStyle name="Normal 6 4 2 7 3" xfId="10013"/>
    <cellStyle name="Normal 6 4 2 7 3 2" xfId="25057"/>
    <cellStyle name="Normal 6 4 2 7 3 3" xfId="40100"/>
    <cellStyle name="Normal 6 4 2 7 4" xfId="17536"/>
    <cellStyle name="Normal 6 4 2 7 5" xfId="32579"/>
    <cellStyle name="Normal 6 4 2 8" xfId="4371"/>
    <cellStyle name="Normal 6 4 2 8 2" xfId="11895"/>
    <cellStyle name="Normal 6 4 2 8 2 2" xfId="26939"/>
    <cellStyle name="Normal 6 4 2 8 2 3" xfId="41982"/>
    <cellStyle name="Normal 6 4 2 8 3" xfId="19418"/>
    <cellStyle name="Normal 6 4 2 8 4" xfId="34461"/>
    <cellStyle name="Normal 6 4 2 9" xfId="8134"/>
    <cellStyle name="Normal 6 4 2 9 2" xfId="23178"/>
    <cellStyle name="Normal 6 4 2 9 3" xfId="38221"/>
    <cellStyle name="Normal 6 4 3" xfId="485"/>
    <cellStyle name="Normal 6 4 3 2" xfId="486"/>
    <cellStyle name="Normal 6 4 3 2 2" xfId="1005"/>
    <cellStyle name="Normal 6 4 3 2 2 2" xfId="1964"/>
    <cellStyle name="Normal 6 4 3 2 2 2 2" xfId="3835"/>
    <cellStyle name="Normal 6 4 3 2 2 2 2 2" xfId="7630"/>
    <cellStyle name="Normal 6 4 3 2 2 2 2 2 2" xfId="15153"/>
    <cellStyle name="Normal 6 4 3 2 2 2 2 2 2 2" xfId="30197"/>
    <cellStyle name="Normal 6 4 3 2 2 2 2 2 2 3" xfId="45240"/>
    <cellStyle name="Normal 6 4 3 2 2 2 2 2 3" xfId="22676"/>
    <cellStyle name="Normal 6 4 3 2 2 2 2 2 4" xfId="37719"/>
    <cellStyle name="Normal 6 4 3 2 2 2 2 3" xfId="11404"/>
    <cellStyle name="Normal 6 4 3 2 2 2 2 3 2" xfId="26448"/>
    <cellStyle name="Normal 6 4 3 2 2 2 2 3 3" xfId="41491"/>
    <cellStyle name="Normal 6 4 3 2 2 2 2 4" xfId="18927"/>
    <cellStyle name="Normal 6 4 3 2 2 2 2 5" xfId="33970"/>
    <cellStyle name="Normal 6 4 3 2 2 2 3" xfId="5765"/>
    <cellStyle name="Normal 6 4 3 2 2 2 3 2" xfId="13288"/>
    <cellStyle name="Normal 6 4 3 2 2 2 3 2 2" xfId="28332"/>
    <cellStyle name="Normal 6 4 3 2 2 2 3 2 3" xfId="43375"/>
    <cellStyle name="Normal 6 4 3 2 2 2 3 3" xfId="20811"/>
    <cellStyle name="Normal 6 4 3 2 2 2 3 4" xfId="35854"/>
    <cellStyle name="Normal 6 4 3 2 2 2 4" xfId="9539"/>
    <cellStyle name="Normal 6 4 3 2 2 2 4 2" xfId="24583"/>
    <cellStyle name="Normal 6 4 3 2 2 2 4 3" xfId="39626"/>
    <cellStyle name="Normal 6 4 3 2 2 2 5" xfId="17062"/>
    <cellStyle name="Normal 6 4 3 2 2 2 6" xfId="32105"/>
    <cellStyle name="Normal 6 4 3 2 2 3" xfId="2903"/>
    <cellStyle name="Normal 6 4 3 2 2 3 2" xfId="6698"/>
    <cellStyle name="Normal 6 4 3 2 2 3 2 2" xfId="14221"/>
    <cellStyle name="Normal 6 4 3 2 2 3 2 2 2" xfId="29265"/>
    <cellStyle name="Normal 6 4 3 2 2 3 2 2 3" xfId="44308"/>
    <cellStyle name="Normal 6 4 3 2 2 3 2 3" xfId="21744"/>
    <cellStyle name="Normal 6 4 3 2 2 3 2 4" xfId="36787"/>
    <cellStyle name="Normal 6 4 3 2 2 3 3" xfId="10472"/>
    <cellStyle name="Normal 6 4 3 2 2 3 3 2" xfId="25516"/>
    <cellStyle name="Normal 6 4 3 2 2 3 3 3" xfId="40559"/>
    <cellStyle name="Normal 6 4 3 2 2 3 4" xfId="17995"/>
    <cellStyle name="Normal 6 4 3 2 2 3 5" xfId="33038"/>
    <cellStyle name="Normal 6 4 3 2 2 4" xfId="4833"/>
    <cellStyle name="Normal 6 4 3 2 2 4 2" xfId="12356"/>
    <cellStyle name="Normal 6 4 3 2 2 4 2 2" xfId="27400"/>
    <cellStyle name="Normal 6 4 3 2 2 4 2 3" xfId="42443"/>
    <cellStyle name="Normal 6 4 3 2 2 4 3" xfId="19879"/>
    <cellStyle name="Normal 6 4 3 2 2 4 4" xfId="34922"/>
    <cellStyle name="Normal 6 4 3 2 2 5" xfId="8607"/>
    <cellStyle name="Normal 6 4 3 2 2 5 2" xfId="23651"/>
    <cellStyle name="Normal 6 4 3 2 2 5 3" xfId="38694"/>
    <cellStyle name="Normal 6 4 3 2 2 6" xfId="16130"/>
    <cellStyle name="Normal 6 4 3 2 2 7" xfId="31173"/>
    <cellStyle name="Normal 6 4 3 2 3" xfId="1512"/>
    <cellStyle name="Normal 6 4 3 2 3 2" xfId="3383"/>
    <cellStyle name="Normal 6 4 3 2 3 2 2" xfId="7178"/>
    <cellStyle name="Normal 6 4 3 2 3 2 2 2" xfId="14701"/>
    <cellStyle name="Normal 6 4 3 2 3 2 2 2 2" xfId="29745"/>
    <cellStyle name="Normal 6 4 3 2 3 2 2 2 3" xfId="44788"/>
    <cellStyle name="Normal 6 4 3 2 3 2 2 3" xfId="22224"/>
    <cellStyle name="Normal 6 4 3 2 3 2 2 4" xfId="37267"/>
    <cellStyle name="Normal 6 4 3 2 3 2 3" xfId="10952"/>
    <cellStyle name="Normal 6 4 3 2 3 2 3 2" xfId="25996"/>
    <cellStyle name="Normal 6 4 3 2 3 2 3 3" xfId="41039"/>
    <cellStyle name="Normal 6 4 3 2 3 2 4" xfId="18475"/>
    <cellStyle name="Normal 6 4 3 2 3 2 5" xfId="33518"/>
    <cellStyle name="Normal 6 4 3 2 3 3" xfId="5313"/>
    <cellStyle name="Normal 6 4 3 2 3 3 2" xfId="12836"/>
    <cellStyle name="Normal 6 4 3 2 3 3 2 2" xfId="27880"/>
    <cellStyle name="Normal 6 4 3 2 3 3 2 3" xfId="42923"/>
    <cellStyle name="Normal 6 4 3 2 3 3 3" xfId="20359"/>
    <cellStyle name="Normal 6 4 3 2 3 3 4" xfId="35402"/>
    <cellStyle name="Normal 6 4 3 2 3 4" xfId="9087"/>
    <cellStyle name="Normal 6 4 3 2 3 4 2" xfId="24131"/>
    <cellStyle name="Normal 6 4 3 2 3 4 3" xfId="39174"/>
    <cellStyle name="Normal 6 4 3 2 3 5" xfId="16610"/>
    <cellStyle name="Normal 6 4 3 2 3 6" xfId="31653"/>
    <cellStyle name="Normal 6 4 3 2 4" xfId="2450"/>
    <cellStyle name="Normal 6 4 3 2 4 2" xfId="6246"/>
    <cellStyle name="Normal 6 4 3 2 4 2 2" xfId="13769"/>
    <cellStyle name="Normal 6 4 3 2 4 2 2 2" xfId="28813"/>
    <cellStyle name="Normal 6 4 3 2 4 2 2 3" xfId="43856"/>
    <cellStyle name="Normal 6 4 3 2 4 2 3" xfId="21292"/>
    <cellStyle name="Normal 6 4 3 2 4 2 4" xfId="36335"/>
    <cellStyle name="Normal 6 4 3 2 4 3" xfId="10020"/>
    <cellStyle name="Normal 6 4 3 2 4 3 2" xfId="25064"/>
    <cellStyle name="Normal 6 4 3 2 4 3 3" xfId="40107"/>
    <cellStyle name="Normal 6 4 3 2 4 4" xfId="17543"/>
    <cellStyle name="Normal 6 4 3 2 4 5" xfId="32586"/>
    <cellStyle name="Normal 6 4 3 2 5" xfId="4378"/>
    <cellStyle name="Normal 6 4 3 2 5 2" xfId="11902"/>
    <cellStyle name="Normal 6 4 3 2 5 2 2" xfId="26946"/>
    <cellStyle name="Normal 6 4 3 2 5 2 3" xfId="41989"/>
    <cellStyle name="Normal 6 4 3 2 5 3" xfId="19425"/>
    <cellStyle name="Normal 6 4 3 2 5 4" xfId="34468"/>
    <cellStyle name="Normal 6 4 3 2 6" xfId="8141"/>
    <cellStyle name="Normal 6 4 3 2 6 2" xfId="23185"/>
    <cellStyle name="Normal 6 4 3 2 6 3" xfId="38228"/>
    <cellStyle name="Normal 6 4 3 2 7" xfId="15664"/>
    <cellStyle name="Normal 6 4 3 2 8" xfId="30707"/>
    <cellStyle name="Normal 6 4 3 3" xfId="1004"/>
    <cellStyle name="Normal 6 4 3 3 2" xfId="1963"/>
    <cellStyle name="Normal 6 4 3 3 2 2" xfId="3834"/>
    <cellStyle name="Normal 6 4 3 3 2 2 2" xfId="7629"/>
    <cellStyle name="Normal 6 4 3 3 2 2 2 2" xfId="15152"/>
    <cellStyle name="Normal 6 4 3 3 2 2 2 2 2" xfId="30196"/>
    <cellStyle name="Normal 6 4 3 3 2 2 2 2 3" xfId="45239"/>
    <cellStyle name="Normal 6 4 3 3 2 2 2 3" xfId="22675"/>
    <cellStyle name="Normal 6 4 3 3 2 2 2 4" xfId="37718"/>
    <cellStyle name="Normal 6 4 3 3 2 2 3" xfId="11403"/>
    <cellStyle name="Normal 6 4 3 3 2 2 3 2" xfId="26447"/>
    <cellStyle name="Normal 6 4 3 3 2 2 3 3" xfId="41490"/>
    <cellStyle name="Normal 6 4 3 3 2 2 4" xfId="18926"/>
    <cellStyle name="Normal 6 4 3 3 2 2 5" xfId="33969"/>
    <cellStyle name="Normal 6 4 3 3 2 3" xfId="5764"/>
    <cellStyle name="Normal 6 4 3 3 2 3 2" xfId="13287"/>
    <cellStyle name="Normal 6 4 3 3 2 3 2 2" xfId="28331"/>
    <cellStyle name="Normal 6 4 3 3 2 3 2 3" xfId="43374"/>
    <cellStyle name="Normal 6 4 3 3 2 3 3" xfId="20810"/>
    <cellStyle name="Normal 6 4 3 3 2 3 4" xfId="35853"/>
    <cellStyle name="Normal 6 4 3 3 2 4" xfId="9538"/>
    <cellStyle name="Normal 6 4 3 3 2 4 2" xfId="24582"/>
    <cellStyle name="Normal 6 4 3 3 2 4 3" xfId="39625"/>
    <cellStyle name="Normal 6 4 3 3 2 5" xfId="17061"/>
    <cellStyle name="Normal 6 4 3 3 2 6" xfId="32104"/>
    <cellStyle name="Normal 6 4 3 3 3" xfId="2902"/>
    <cellStyle name="Normal 6 4 3 3 3 2" xfId="6697"/>
    <cellStyle name="Normal 6 4 3 3 3 2 2" xfId="14220"/>
    <cellStyle name="Normal 6 4 3 3 3 2 2 2" xfId="29264"/>
    <cellStyle name="Normal 6 4 3 3 3 2 2 3" xfId="44307"/>
    <cellStyle name="Normal 6 4 3 3 3 2 3" xfId="21743"/>
    <cellStyle name="Normal 6 4 3 3 3 2 4" xfId="36786"/>
    <cellStyle name="Normal 6 4 3 3 3 3" xfId="10471"/>
    <cellStyle name="Normal 6 4 3 3 3 3 2" xfId="25515"/>
    <cellStyle name="Normal 6 4 3 3 3 3 3" xfId="40558"/>
    <cellStyle name="Normal 6 4 3 3 3 4" xfId="17994"/>
    <cellStyle name="Normal 6 4 3 3 3 5" xfId="33037"/>
    <cellStyle name="Normal 6 4 3 3 4" xfId="4832"/>
    <cellStyle name="Normal 6 4 3 3 4 2" xfId="12355"/>
    <cellStyle name="Normal 6 4 3 3 4 2 2" xfId="27399"/>
    <cellStyle name="Normal 6 4 3 3 4 2 3" xfId="42442"/>
    <cellStyle name="Normal 6 4 3 3 4 3" xfId="19878"/>
    <cellStyle name="Normal 6 4 3 3 4 4" xfId="34921"/>
    <cellStyle name="Normal 6 4 3 3 5" xfId="8606"/>
    <cellStyle name="Normal 6 4 3 3 5 2" xfId="23650"/>
    <cellStyle name="Normal 6 4 3 3 5 3" xfId="38693"/>
    <cellStyle name="Normal 6 4 3 3 6" xfId="16129"/>
    <cellStyle name="Normal 6 4 3 3 7" xfId="31172"/>
    <cellStyle name="Normal 6 4 3 4" xfId="1511"/>
    <cellStyle name="Normal 6 4 3 4 2" xfId="3382"/>
    <cellStyle name="Normal 6 4 3 4 2 2" xfId="7177"/>
    <cellStyle name="Normal 6 4 3 4 2 2 2" xfId="14700"/>
    <cellStyle name="Normal 6 4 3 4 2 2 2 2" xfId="29744"/>
    <cellStyle name="Normal 6 4 3 4 2 2 2 3" xfId="44787"/>
    <cellStyle name="Normal 6 4 3 4 2 2 3" xfId="22223"/>
    <cellStyle name="Normal 6 4 3 4 2 2 4" xfId="37266"/>
    <cellStyle name="Normal 6 4 3 4 2 3" xfId="10951"/>
    <cellStyle name="Normal 6 4 3 4 2 3 2" xfId="25995"/>
    <cellStyle name="Normal 6 4 3 4 2 3 3" xfId="41038"/>
    <cellStyle name="Normal 6 4 3 4 2 4" xfId="18474"/>
    <cellStyle name="Normal 6 4 3 4 2 5" xfId="33517"/>
    <cellStyle name="Normal 6 4 3 4 3" xfId="5312"/>
    <cellStyle name="Normal 6 4 3 4 3 2" xfId="12835"/>
    <cellStyle name="Normal 6 4 3 4 3 2 2" xfId="27879"/>
    <cellStyle name="Normal 6 4 3 4 3 2 3" xfId="42922"/>
    <cellStyle name="Normal 6 4 3 4 3 3" xfId="20358"/>
    <cellStyle name="Normal 6 4 3 4 3 4" xfId="35401"/>
    <cellStyle name="Normal 6 4 3 4 4" xfId="9086"/>
    <cellStyle name="Normal 6 4 3 4 4 2" xfId="24130"/>
    <cellStyle name="Normal 6 4 3 4 4 3" xfId="39173"/>
    <cellStyle name="Normal 6 4 3 4 5" xfId="16609"/>
    <cellStyle name="Normal 6 4 3 4 6" xfId="31652"/>
    <cellStyle name="Normal 6 4 3 5" xfId="2449"/>
    <cellStyle name="Normal 6 4 3 5 2" xfId="6245"/>
    <cellStyle name="Normal 6 4 3 5 2 2" xfId="13768"/>
    <cellStyle name="Normal 6 4 3 5 2 2 2" xfId="28812"/>
    <cellStyle name="Normal 6 4 3 5 2 2 3" xfId="43855"/>
    <cellStyle name="Normal 6 4 3 5 2 3" xfId="21291"/>
    <cellStyle name="Normal 6 4 3 5 2 4" xfId="36334"/>
    <cellStyle name="Normal 6 4 3 5 3" xfId="10019"/>
    <cellStyle name="Normal 6 4 3 5 3 2" xfId="25063"/>
    <cellStyle name="Normal 6 4 3 5 3 3" xfId="40106"/>
    <cellStyle name="Normal 6 4 3 5 4" xfId="17542"/>
    <cellStyle name="Normal 6 4 3 5 5" xfId="32585"/>
    <cellStyle name="Normal 6 4 3 6" xfId="4377"/>
    <cellStyle name="Normal 6 4 3 6 2" xfId="11901"/>
    <cellStyle name="Normal 6 4 3 6 2 2" xfId="26945"/>
    <cellStyle name="Normal 6 4 3 6 2 3" xfId="41988"/>
    <cellStyle name="Normal 6 4 3 6 3" xfId="19424"/>
    <cellStyle name="Normal 6 4 3 6 4" xfId="34467"/>
    <cellStyle name="Normal 6 4 3 7" xfId="8140"/>
    <cellStyle name="Normal 6 4 3 7 2" xfId="23184"/>
    <cellStyle name="Normal 6 4 3 7 3" xfId="38227"/>
    <cellStyle name="Normal 6 4 3 8" xfId="15663"/>
    <cellStyle name="Normal 6 4 3 9" xfId="30706"/>
    <cellStyle name="Normal 6 4 4" xfId="487"/>
    <cellStyle name="Normal 6 4 4 2" xfId="488"/>
    <cellStyle name="Normal 6 4 4 2 2" xfId="1007"/>
    <cellStyle name="Normal 6 4 4 2 2 2" xfId="1966"/>
    <cellStyle name="Normal 6 4 4 2 2 2 2" xfId="3837"/>
    <cellStyle name="Normal 6 4 4 2 2 2 2 2" xfId="7632"/>
    <cellStyle name="Normal 6 4 4 2 2 2 2 2 2" xfId="15155"/>
    <cellStyle name="Normal 6 4 4 2 2 2 2 2 2 2" xfId="30199"/>
    <cellStyle name="Normal 6 4 4 2 2 2 2 2 2 3" xfId="45242"/>
    <cellStyle name="Normal 6 4 4 2 2 2 2 2 3" xfId="22678"/>
    <cellStyle name="Normal 6 4 4 2 2 2 2 2 4" xfId="37721"/>
    <cellStyle name="Normal 6 4 4 2 2 2 2 3" xfId="11406"/>
    <cellStyle name="Normal 6 4 4 2 2 2 2 3 2" xfId="26450"/>
    <cellStyle name="Normal 6 4 4 2 2 2 2 3 3" xfId="41493"/>
    <cellStyle name="Normal 6 4 4 2 2 2 2 4" xfId="18929"/>
    <cellStyle name="Normal 6 4 4 2 2 2 2 5" xfId="33972"/>
    <cellStyle name="Normal 6 4 4 2 2 2 3" xfId="5767"/>
    <cellStyle name="Normal 6 4 4 2 2 2 3 2" xfId="13290"/>
    <cellStyle name="Normal 6 4 4 2 2 2 3 2 2" xfId="28334"/>
    <cellStyle name="Normal 6 4 4 2 2 2 3 2 3" xfId="43377"/>
    <cellStyle name="Normal 6 4 4 2 2 2 3 3" xfId="20813"/>
    <cellStyle name="Normal 6 4 4 2 2 2 3 4" xfId="35856"/>
    <cellStyle name="Normal 6 4 4 2 2 2 4" xfId="9541"/>
    <cellStyle name="Normal 6 4 4 2 2 2 4 2" xfId="24585"/>
    <cellStyle name="Normal 6 4 4 2 2 2 4 3" xfId="39628"/>
    <cellStyle name="Normal 6 4 4 2 2 2 5" xfId="17064"/>
    <cellStyle name="Normal 6 4 4 2 2 2 6" xfId="32107"/>
    <cellStyle name="Normal 6 4 4 2 2 3" xfId="2905"/>
    <cellStyle name="Normal 6 4 4 2 2 3 2" xfId="6700"/>
    <cellStyle name="Normal 6 4 4 2 2 3 2 2" xfId="14223"/>
    <cellStyle name="Normal 6 4 4 2 2 3 2 2 2" xfId="29267"/>
    <cellStyle name="Normal 6 4 4 2 2 3 2 2 3" xfId="44310"/>
    <cellStyle name="Normal 6 4 4 2 2 3 2 3" xfId="21746"/>
    <cellStyle name="Normal 6 4 4 2 2 3 2 4" xfId="36789"/>
    <cellStyle name="Normal 6 4 4 2 2 3 3" xfId="10474"/>
    <cellStyle name="Normal 6 4 4 2 2 3 3 2" xfId="25518"/>
    <cellStyle name="Normal 6 4 4 2 2 3 3 3" xfId="40561"/>
    <cellStyle name="Normal 6 4 4 2 2 3 4" xfId="17997"/>
    <cellStyle name="Normal 6 4 4 2 2 3 5" xfId="33040"/>
    <cellStyle name="Normal 6 4 4 2 2 4" xfId="4835"/>
    <cellStyle name="Normal 6 4 4 2 2 4 2" xfId="12358"/>
    <cellStyle name="Normal 6 4 4 2 2 4 2 2" xfId="27402"/>
    <cellStyle name="Normal 6 4 4 2 2 4 2 3" xfId="42445"/>
    <cellStyle name="Normal 6 4 4 2 2 4 3" xfId="19881"/>
    <cellStyle name="Normal 6 4 4 2 2 4 4" xfId="34924"/>
    <cellStyle name="Normal 6 4 4 2 2 5" xfId="8609"/>
    <cellStyle name="Normal 6 4 4 2 2 5 2" xfId="23653"/>
    <cellStyle name="Normal 6 4 4 2 2 5 3" xfId="38696"/>
    <cellStyle name="Normal 6 4 4 2 2 6" xfId="16132"/>
    <cellStyle name="Normal 6 4 4 2 2 7" xfId="31175"/>
    <cellStyle name="Normal 6 4 4 2 3" xfId="1514"/>
    <cellStyle name="Normal 6 4 4 2 3 2" xfId="3385"/>
    <cellStyle name="Normal 6 4 4 2 3 2 2" xfId="7180"/>
    <cellStyle name="Normal 6 4 4 2 3 2 2 2" xfId="14703"/>
    <cellStyle name="Normal 6 4 4 2 3 2 2 2 2" xfId="29747"/>
    <cellStyle name="Normal 6 4 4 2 3 2 2 2 3" xfId="44790"/>
    <cellStyle name="Normal 6 4 4 2 3 2 2 3" xfId="22226"/>
    <cellStyle name="Normal 6 4 4 2 3 2 2 4" xfId="37269"/>
    <cellStyle name="Normal 6 4 4 2 3 2 3" xfId="10954"/>
    <cellStyle name="Normal 6 4 4 2 3 2 3 2" xfId="25998"/>
    <cellStyle name="Normal 6 4 4 2 3 2 3 3" xfId="41041"/>
    <cellStyle name="Normal 6 4 4 2 3 2 4" xfId="18477"/>
    <cellStyle name="Normal 6 4 4 2 3 2 5" xfId="33520"/>
    <cellStyle name="Normal 6 4 4 2 3 3" xfId="5315"/>
    <cellStyle name="Normal 6 4 4 2 3 3 2" xfId="12838"/>
    <cellStyle name="Normal 6 4 4 2 3 3 2 2" xfId="27882"/>
    <cellStyle name="Normal 6 4 4 2 3 3 2 3" xfId="42925"/>
    <cellStyle name="Normal 6 4 4 2 3 3 3" xfId="20361"/>
    <cellStyle name="Normal 6 4 4 2 3 3 4" xfId="35404"/>
    <cellStyle name="Normal 6 4 4 2 3 4" xfId="9089"/>
    <cellStyle name="Normal 6 4 4 2 3 4 2" xfId="24133"/>
    <cellStyle name="Normal 6 4 4 2 3 4 3" xfId="39176"/>
    <cellStyle name="Normal 6 4 4 2 3 5" xfId="16612"/>
    <cellStyle name="Normal 6 4 4 2 3 6" xfId="31655"/>
    <cellStyle name="Normal 6 4 4 2 4" xfId="2452"/>
    <cellStyle name="Normal 6 4 4 2 4 2" xfId="6248"/>
    <cellStyle name="Normal 6 4 4 2 4 2 2" xfId="13771"/>
    <cellStyle name="Normal 6 4 4 2 4 2 2 2" xfId="28815"/>
    <cellStyle name="Normal 6 4 4 2 4 2 2 3" xfId="43858"/>
    <cellStyle name="Normal 6 4 4 2 4 2 3" xfId="21294"/>
    <cellStyle name="Normal 6 4 4 2 4 2 4" xfId="36337"/>
    <cellStyle name="Normal 6 4 4 2 4 3" xfId="10022"/>
    <cellStyle name="Normal 6 4 4 2 4 3 2" xfId="25066"/>
    <cellStyle name="Normal 6 4 4 2 4 3 3" xfId="40109"/>
    <cellStyle name="Normal 6 4 4 2 4 4" xfId="17545"/>
    <cellStyle name="Normal 6 4 4 2 4 5" xfId="32588"/>
    <cellStyle name="Normal 6 4 4 2 5" xfId="4380"/>
    <cellStyle name="Normal 6 4 4 2 5 2" xfId="11904"/>
    <cellStyle name="Normal 6 4 4 2 5 2 2" xfId="26948"/>
    <cellStyle name="Normal 6 4 4 2 5 2 3" xfId="41991"/>
    <cellStyle name="Normal 6 4 4 2 5 3" xfId="19427"/>
    <cellStyle name="Normal 6 4 4 2 5 4" xfId="34470"/>
    <cellStyle name="Normal 6 4 4 2 6" xfId="8143"/>
    <cellStyle name="Normal 6 4 4 2 6 2" xfId="23187"/>
    <cellStyle name="Normal 6 4 4 2 6 3" xfId="38230"/>
    <cellStyle name="Normal 6 4 4 2 7" xfId="15666"/>
    <cellStyle name="Normal 6 4 4 2 8" xfId="30709"/>
    <cellStyle name="Normal 6 4 4 3" xfId="1006"/>
    <cellStyle name="Normal 6 4 4 3 2" xfId="1965"/>
    <cellStyle name="Normal 6 4 4 3 2 2" xfId="3836"/>
    <cellStyle name="Normal 6 4 4 3 2 2 2" xfId="7631"/>
    <cellStyle name="Normal 6 4 4 3 2 2 2 2" xfId="15154"/>
    <cellStyle name="Normal 6 4 4 3 2 2 2 2 2" xfId="30198"/>
    <cellStyle name="Normal 6 4 4 3 2 2 2 2 3" xfId="45241"/>
    <cellStyle name="Normal 6 4 4 3 2 2 2 3" xfId="22677"/>
    <cellStyle name="Normal 6 4 4 3 2 2 2 4" xfId="37720"/>
    <cellStyle name="Normal 6 4 4 3 2 2 3" xfId="11405"/>
    <cellStyle name="Normal 6 4 4 3 2 2 3 2" xfId="26449"/>
    <cellStyle name="Normal 6 4 4 3 2 2 3 3" xfId="41492"/>
    <cellStyle name="Normal 6 4 4 3 2 2 4" xfId="18928"/>
    <cellStyle name="Normal 6 4 4 3 2 2 5" xfId="33971"/>
    <cellStyle name="Normal 6 4 4 3 2 3" xfId="5766"/>
    <cellStyle name="Normal 6 4 4 3 2 3 2" xfId="13289"/>
    <cellStyle name="Normal 6 4 4 3 2 3 2 2" xfId="28333"/>
    <cellStyle name="Normal 6 4 4 3 2 3 2 3" xfId="43376"/>
    <cellStyle name="Normal 6 4 4 3 2 3 3" xfId="20812"/>
    <cellStyle name="Normal 6 4 4 3 2 3 4" xfId="35855"/>
    <cellStyle name="Normal 6 4 4 3 2 4" xfId="9540"/>
    <cellStyle name="Normal 6 4 4 3 2 4 2" xfId="24584"/>
    <cellStyle name="Normal 6 4 4 3 2 4 3" xfId="39627"/>
    <cellStyle name="Normal 6 4 4 3 2 5" xfId="17063"/>
    <cellStyle name="Normal 6 4 4 3 2 6" xfId="32106"/>
    <cellStyle name="Normal 6 4 4 3 3" xfId="2904"/>
    <cellStyle name="Normal 6 4 4 3 3 2" xfId="6699"/>
    <cellStyle name="Normal 6 4 4 3 3 2 2" xfId="14222"/>
    <cellStyle name="Normal 6 4 4 3 3 2 2 2" xfId="29266"/>
    <cellStyle name="Normal 6 4 4 3 3 2 2 3" xfId="44309"/>
    <cellStyle name="Normal 6 4 4 3 3 2 3" xfId="21745"/>
    <cellStyle name="Normal 6 4 4 3 3 2 4" xfId="36788"/>
    <cellStyle name="Normal 6 4 4 3 3 3" xfId="10473"/>
    <cellStyle name="Normal 6 4 4 3 3 3 2" xfId="25517"/>
    <cellStyle name="Normal 6 4 4 3 3 3 3" xfId="40560"/>
    <cellStyle name="Normal 6 4 4 3 3 4" xfId="17996"/>
    <cellStyle name="Normal 6 4 4 3 3 5" xfId="33039"/>
    <cellStyle name="Normal 6 4 4 3 4" xfId="4834"/>
    <cellStyle name="Normal 6 4 4 3 4 2" xfId="12357"/>
    <cellStyle name="Normal 6 4 4 3 4 2 2" xfId="27401"/>
    <cellStyle name="Normal 6 4 4 3 4 2 3" xfId="42444"/>
    <cellStyle name="Normal 6 4 4 3 4 3" xfId="19880"/>
    <cellStyle name="Normal 6 4 4 3 4 4" xfId="34923"/>
    <cellStyle name="Normal 6 4 4 3 5" xfId="8608"/>
    <cellStyle name="Normal 6 4 4 3 5 2" xfId="23652"/>
    <cellStyle name="Normal 6 4 4 3 5 3" xfId="38695"/>
    <cellStyle name="Normal 6 4 4 3 6" xfId="16131"/>
    <cellStyle name="Normal 6 4 4 3 7" xfId="31174"/>
    <cellStyle name="Normal 6 4 4 4" xfId="1513"/>
    <cellStyle name="Normal 6 4 4 4 2" xfId="3384"/>
    <cellStyle name="Normal 6 4 4 4 2 2" xfId="7179"/>
    <cellStyle name="Normal 6 4 4 4 2 2 2" xfId="14702"/>
    <cellStyle name="Normal 6 4 4 4 2 2 2 2" xfId="29746"/>
    <cellStyle name="Normal 6 4 4 4 2 2 2 3" xfId="44789"/>
    <cellStyle name="Normal 6 4 4 4 2 2 3" xfId="22225"/>
    <cellStyle name="Normal 6 4 4 4 2 2 4" xfId="37268"/>
    <cellStyle name="Normal 6 4 4 4 2 3" xfId="10953"/>
    <cellStyle name="Normal 6 4 4 4 2 3 2" xfId="25997"/>
    <cellStyle name="Normal 6 4 4 4 2 3 3" xfId="41040"/>
    <cellStyle name="Normal 6 4 4 4 2 4" xfId="18476"/>
    <cellStyle name="Normal 6 4 4 4 2 5" xfId="33519"/>
    <cellStyle name="Normal 6 4 4 4 3" xfId="5314"/>
    <cellStyle name="Normal 6 4 4 4 3 2" xfId="12837"/>
    <cellStyle name="Normal 6 4 4 4 3 2 2" xfId="27881"/>
    <cellStyle name="Normal 6 4 4 4 3 2 3" xfId="42924"/>
    <cellStyle name="Normal 6 4 4 4 3 3" xfId="20360"/>
    <cellStyle name="Normal 6 4 4 4 3 4" xfId="35403"/>
    <cellStyle name="Normal 6 4 4 4 4" xfId="9088"/>
    <cellStyle name="Normal 6 4 4 4 4 2" xfId="24132"/>
    <cellStyle name="Normal 6 4 4 4 4 3" xfId="39175"/>
    <cellStyle name="Normal 6 4 4 4 5" xfId="16611"/>
    <cellStyle name="Normal 6 4 4 4 6" xfId="31654"/>
    <cellStyle name="Normal 6 4 4 5" xfId="2451"/>
    <cellStyle name="Normal 6 4 4 5 2" xfId="6247"/>
    <cellStyle name="Normal 6 4 4 5 2 2" xfId="13770"/>
    <cellStyle name="Normal 6 4 4 5 2 2 2" xfId="28814"/>
    <cellStyle name="Normal 6 4 4 5 2 2 3" xfId="43857"/>
    <cellStyle name="Normal 6 4 4 5 2 3" xfId="21293"/>
    <cellStyle name="Normal 6 4 4 5 2 4" xfId="36336"/>
    <cellStyle name="Normal 6 4 4 5 3" xfId="10021"/>
    <cellStyle name="Normal 6 4 4 5 3 2" xfId="25065"/>
    <cellStyle name="Normal 6 4 4 5 3 3" xfId="40108"/>
    <cellStyle name="Normal 6 4 4 5 4" xfId="17544"/>
    <cellStyle name="Normal 6 4 4 5 5" xfId="32587"/>
    <cellStyle name="Normal 6 4 4 6" xfId="4379"/>
    <cellStyle name="Normal 6 4 4 6 2" xfId="11903"/>
    <cellStyle name="Normal 6 4 4 6 2 2" xfId="26947"/>
    <cellStyle name="Normal 6 4 4 6 2 3" xfId="41990"/>
    <cellStyle name="Normal 6 4 4 6 3" xfId="19426"/>
    <cellStyle name="Normal 6 4 4 6 4" xfId="34469"/>
    <cellStyle name="Normal 6 4 4 7" xfId="8142"/>
    <cellStyle name="Normal 6 4 4 7 2" xfId="23186"/>
    <cellStyle name="Normal 6 4 4 7 3" xfId="38229"/>
    <cellStyle name="Normal 6 4 4 8" xfId="15665"/>
    <cellStyle name="Normal 6 4 4 9" xfId="30708"/>
    <cellStyle name="Normal 6 4 5" xfId="489"/>
    <cellStyle name="Normal 6 4 5 2" xfId="1008"/>
    <cellStyle name="Normal 6 4 5 2 2" xfId="1967"/>
    <cellStyle name="Normal 6 4 5 2 2 2" xfId="3838"/>
    <cellStyle name="Normal 6 4 5 2 2 2 2" xfId="7633"/>
    <cellStyle name="Normal 6 4 5 2 2 2 2 2" xfId="15156"/>
    <cellStyle name="Normal 6 4 5 2 2 2 2 2 2" xfId="30200"/>
    <cellStyle name="Normal 6 4 5 2 2 2 2 2 3" xfId="45243"/>
    <cellStyle name="Normal 6 4 5 2 2 2 2 3" xfId="22679"/>
    <cellStyle name="Normal 6 4 5 2 2 2 2 4" xfId="37722"/>
    <cellStyle name="Normal 6 4 5 2 2 2 3" xfId="11407"/>
    <cellStyle name="Normal 6 4 5 2 2 2 3 2" xfId="26451"/>
    <cellStyle name="Normal 6 4 5 2 2 2 3 3" xfId="41494"/>
    <cellStyle name="Normal 6 4 5 2 2 2 4" xfId="18930"/>
    <cellStyle name="Normal 6 4 5 2 2 2 5" xfId="33973"/>
    <cellStyle name="Normal 6 4 5 2 2 3" xfId="5768"/>
    <cellStyle name="Normal 6 4 5 2 2 3 2" xfId="13291"/>
    <cellStyle name="Normal 6 4 5 2 2 3 2 2" xfId="28335"/>
    <cellStyle name="Normal 6 4 5 2 2 3 2 3" xfId="43378"/>
    <cellStyle name="Normal 6 4 5 2 2 3 3" xfId="20814"/>
    <cellStyle name="Normal 6 4 5 2 2 3 4" xfId="35857"/>
    <cellStyle name="Normal 6 4 5 2 2 4" xfId="9542"/>
    <cellStyle name="Normal 6 4 5 2 2 4 2" xfId="24586"/>
    <cellStyle name="Normal 6 4 5 2 2 4 3" xfId="39629"/>
    <cellStyle name="Normal 6 4 5 2 2 5" xfId="17065"/>
    <cellStyle name="Normal 6 4 5 2 2 6" xfId="32108"/>
    <cellStyle name="Normal 6 4 5 2 3" xfId="2906"/>
    <cellStyle name="Normal 6 4 5 2 3 2" xfId="6701"/>
    <cellStyle name="Normal 6 4 5 2 3 2 2" xfId="14224"/>
    <cellStyle name="Normal 6 4 5 2 3 2 2 2" xfId="29268"/>
    <cellStyle name="Normal 6 4 5 2 3 2 2 3" xfId="44311"/>
    <cellStyle name="Normal 6 4 5 2 3 2 3" xfId="21747"/>
    <cellStyle name="Normal 6 4 5 2 3 2 4" xfId="36790"/>
    <cellStyle name="Normal 6 4 5 2 3 3" xfId="10475"/>
    <cellStyle name="Normal 6 4 5 2 3 3 2" xfId="25519"/>
    <cellStyle name="Normal 6 4 5 2 3 3 3" xfId="40562"/>
    <cellStyle name="Normal 6 4 5 2 3 4" xfId="17998"/>
    <cellStyle name="Normal 6 4 5 2 3 5" xfId="33041"/>
    <cellStyle name="Normal 6 4 5 2 4" xfId="4836"/>
    <cellStyle name="Normal 6 4 5 2 4 2" xfId="12359"/>
    <cellStyle name="Normal 6 4 5 2 4 2 2" xfId="27403"/>
    <cellStyle name="Normal 6 4 5 2 4 2 3" xfId="42446"/>
    <cellStyle name="Normal 6 4 5 2 4 3" xfId="19882"/>
    <cellStyle name="Normal 6 4 5 2 4 4" xfId="34925"/>
    <cellStyle name="Normal 6 4 5 2 5" xfId="8610"/>
    <cellStyle name="Normal 6 4 5 2 5 2" xfId="23654"/>
    <cellStyle name="Normal 6 4 5 2 5 3" xfId="38697"/>
    <cellStyle name="Normal 6 4 5 2 6" xfId="16133"/>
    <cellStyle name="Normal 6 4 5 2 7" xfId="31176"/>
    <cellStyle name="Normal 6 4 5 3" xfId="1515"/>
    <cellStyle name="Normal 6 4 5 3 2" xfId="3386"/>
    <cellStyle name="Normal 6 4 5 3 2 2" xfId="7181"/>
    <cellStyle name="Normal 6 4 5 3 2 2 2" xfId="14704"/>
    <cellStyle name="Normal 6 4 5 3 2 2 2 2" xfId="29748"/>
    <cellStyle name="Normal 6 4 5 3 2 2 2 3" xfId="44791"/>
    <cellStyle name="Normal 6 4 5 3 2 2 3" xfId="22227"/>
    <cellStyle name="Normal 6 4 5 3 2 2 4" xfId="37270"/>
    <cellStyle name="Normal 6 4 5 3 2 3" xfId="10955"/>
    <cellStyle name="Normal 6 4 5 3 2 3 2" xfId="25999"/>
    <cellStyle name="Normal 6 4 5 3 2 3 3" xfId="41042"/>
    <cellStyle name="Normal 6 4 5 3 2 4" xfId="18478"/>
    <cellStyle name="Normal 6 4 5 3 2 5" xfId="33521"/>
    <cellStyle name="Normal 6 4 5 3 3" xfId="5316"/>
    <cellStyle name="Normal 6 4 5 3 3 2" xfId="12839"/>
    <cellStyle name="Normal 6 4 5 3 3 2 2" xfId="27883"/>
    <cellStyle name="Normal 6 4 5 3 3 2 3" xfId="42926"/>
    <cellStyle name="Normal 6 4 5 3 3 3" xfId="20362"/>
    <cellStyle name="Normal 6 4 5 3 3 4" xfId="35405"/>
    <cellStyle name="Normal 6 4 5 3 4" xfId="9090"/>
    <cellStyle name="Normal 6 4 5 3 4 2" xfId="24134"/>
    <cellStyle name="Normal 6 4 5 3 4 3" xfId="39177"/>
    <cellStyle name="Normal 6 4 5 3 5" xfId="16613"/>
    <cellStyle name="Normal 6 4 5 3 6" xfId="31656"/>
    <cellStyle name="Normal 6 4 5 4" xfId="2453"/>
    <cellStyle name="Normal 6 4 5 4 2" xfId="6249"/>
    <cellStyle name="Normal 6 4 5 4 2 2" xfId="13772"/>
    <cellStyle name="Normal 6 4 5 4 2 2 2" xfId="28816"/>
    <cellStyle name="Normal 6 4 5 4 2 2 3" xfId="43859"/>
    <cellStyle name="Normal 6 4 5 4 2 3" xfId="21295"/>
    <cellStyle name="Normal 6 4 5 4 2 4" xfId="36338"/>
    <cellStyle name="Normal 6 4 5 4 3" xfId="10023"/>
    <cellStyle name="Normal 6 4 5 4 3 2" xfId="25067"/>
    <cellStyle name="Normal 6 4 5 4 3 3" xfId="40110"/>
    <cellStyle name="Normal 6 4 5 4 4" xfId="17546"/>
    <cellStyle name="Normal 6 4 5 4 5" xfId="32589"/>
    <cellStyle name="Normal 6 4 5 5" xfId="4381"/>
    <cellStyle name="Normal 6 4 5 5 2" xfId="11905"/>
    <cellStyle name="Normal 6 4 5 5 2 2" xfId="26949"/>
    <cellStyle name="Normal 6 4 5 5 2 3" xfId="41992"/>
    <cellStyle name="Normal 6 4 5 5 3" xfId="19428"/>
    <cellStyle name="Normal 6 4 5 5 4" xfId="34471"/>
    <cellStyle name="Normal 6 4 5 6" xfId="8144"/>
    <cellStyle name="Normal 6 4 5 6 2" xfId="23188"/>
    <cellStyle name="Normal 6 4 5 6 3" xfId="38231"/>
    <cellStyle name="Normal 6 4 5 7" xfId="15667"/>
    <cellStyle name="Normal 6 4 5 8" xfId="30710"/>
    <cellStyle name="Normal 6 4 6" xfId="997"/>
    <cellStyle name="Normal 6 4 6 2" xfId="1956"/>
    <cellStyle name="Normal 6 4 6 2 2" xfId="3827"/>
    <cellStyle name="Normal 6 4 6 2 2 2" xfId="7622"/>
    <cellStyle name="Normal 6 4 6 2 2 2 2" xfId="15145"/>
    <cellStyle name="Normal 6 4 6 2 2 2 2 2" xfId="30189"/>
    <cellStyle name="Normal 6 4 6 2 2 2 2 3" xfId="45232"/>
    <cellStyle name="Normal 6 4 6 2 2 2 3" xfId="22668"/>
    <cellStyle name="Normal 6 4 6 2 2 2 4" xfId="37711"/>
    <cellStyle name="Normal 6 4 6 2 2 3" xfId="11396"/>
    <cellStyle name="Normal 6 4 6 2 2 3 2" xfId="26440"/>
    <cellStyle name="Normal 6 4 6 2 2 3 3" xfId="41483"/>
    <cellStyle name="Normal 6 4 6 2 2 4" xfId="18919"/>
    <cellStyle name="Normal 6 4 6 2 2 5" xfId="33962"/>
    <cellStyle name="Normal 6 4 6 2 3" xfId="5757"/>
    <cellStyle name="Normal 6 4 6 2 3 2" xfId="13280"/>
    <cellStyle name="Normal 6 4 6 2 3 2 2" xfId="28324"/>
    <cellStyle name="Normal 6 4 6 2 3 2 3" xfId="43367"/>
    <cellStyle name="Normal 6 4 6 2 3 3" xfId="20803"/>
    <cellStyle name="Normal 6 4 6 2 3 4" xfId="35846"/>
    <cellStyle name="Normal 6 4 6 2 4" xfId="9531"/>
    <cellStyle name="Normal 6 4 6 2 4 2" xfId="24575"/>
    <cellStyle name="Normal 6 4 6 2 4 3" xfId="39618"/>
    <cellStyle name="Normal 6 4 6 2 5" xfId="17054"/>
    <cellStyle name="Normal 6 4 6 2 6" xfId="32097"/>
    <cellStyle name="Normal 6 4 6 3" xfId="2895"/>
    <cellStyle name="Normal 6 4 6 3 2" xfId="6690"/>
    <cellStyle name="Normal 6 4 6 3 2 2" xfId="14213"/>
    <cellStyle name="Normal 6 4 6 3 2 2 2" xfId="29257"/>
    <cellStyle name="Normal 6 4 6 3 2 2 3" xfId="44300"/>
    <cellStyle name="Normal 6 4 6 3 2 3" xfId="21736"/>
    <cellStyle name="Normal 6 4 6 3 2 4" xfId="36779"/>
    <cellStyle name="Normal 6 4 6 3 3" xfId="10464"/>
    <cellStyle name="Normal 6 4 6 3 3 2" xfId="25508"/>
    <cellStyle name="Normal 6 4 6 3 3 3" xfId="40551"/>
    <cellStyle name="Normal 6 4 6 3 4" xfId="17987"/>
    <cellStyle name="Normal 6 4 6 3 5" xfId="33030"/>
    <cellStyle name="Normal 6 4 6 4" xfId="4825"/>
    <cellStyle name="Normal 6 4 6 4 2" xfId="12348"/>
    <cellStyle name="Normal 6 4 6 4 2 2" xfId="27392"/>
    <cellStyle name="Normal 6 4 6 4 2 3" xfId="42435"/>
    <cellStyle name="Normal 6 4 6 4 3" xfId="19871"/>
    <cellStyle name="Normal 6 4 6 4 4" xfId="34914"/>
    <cellStyle name="Normal 6 4 6 5" xfId="8599"/>
    <cellStyle name="Normal 6 4 6 5 2" xfId="23643"/>
    <cellStyle name="Normal 6 4 6 5 3" xfId="38686"/>
    <cellStyle name="Normal 6 4 6 6" xfId="16122"/>
    <cellStyle name="Normal 6 4 6 7" xfId="31165"/>
    <cellStyle name="Normal 6 4 7" xfId="1504"/>
    <cellStyle name="Normal 6 4 7 2" xfId="3375"/>
    <cellStyle name="Normal 6 4 7 2 2" xfId="7170"/>
    <cellStyle name="Normal 6 4 7 2 2 2" xfId="14693"/>
    <cellStyle name="Normal 6 4 7 2 2 2 2" xfId="29737"/>
    <cellStyle name="Normal 6 4 7 2 2 2 3" xfId="44780"/>
    <cellStyle name="Normal 6 4 7 2 2 3" xfId="22216"/>
    <cellStyle name="Normal 6 4 7 2 2 4" xfId="37259"/>
    <cellStyle name="Normal 6 4 7 2 3" xfId="10944"/>
    <cellStyle name="Normal 6 4 7 2 3 2" xfId="25988"/>
    <cellStyle name="Normal 6 4 7 2 3 3" xfId="41031"/>
    <cellStyle name="Normal 6 4 7 2 4" xfId="18467"/>
    <cellStyle name="Normal 6 4 7 2 5" xfId="33510"/>
    <cellStyle name="Normal 6 4 7 3" xfId="5305"/>
    <cellStyle name="Normal 6 4 7 3 2" xfId="12828"/>
    <cellStyle name="Normal 6 4 7 3 2 2" xfId="27872"/>
    <cellStyle name="Normal 6 4 7 3 2 3" xfId="42915"/>
    <cellStyle name="Normal 6 4 7 3 3" xfId="20351"/>
    <cellStyle name="Normal 6 4 7 3 4" xfId="35394"/>
    <cellStyle name="Normal 6 4 7 4" xfId="9079"/>
    <cellStyle name="Normal 6 4 7 4 2" xfId="24123"/>
    <cellStyle name="Normal 6 4 7 4 3" xfId="39166"/>
    <cellStyle name="Normal 6 4 7 5" xfId="16602"/>
    <cellStyle name="Normal 6 4 7 6" xfId="31645"/>
    <cellStyle name="Normal 6 4 8" xfId="2442"/>
    <cellStyle name="Normal 6 4 8 2" xfId="6238"/>
    <cellStyle name="Normal 6 4 8 2 2" xfId="13761"/>
    <cellStyle name="Normal 6 4 8 2 2 2" xfId="28805"/>
    <cellStyle name="Normal 6 4 8 2 2 3" xfId="43848"/>
    <cellStyle name="Normal 6 4 8 2 3" xfId="21284"/>
    <cellStyle name="Normal 6 4 8 2 4" xfId="36327"/>
    <cellStyle name="Normal 6 4 8 3" xfId="10012"/>
    <cellStyle name="Normal 6 4 8 3 2" xfId="25056"/>
    <cellStyle name="Normal 6 4 8 3 3" xfId="40099"/>
    <cellStyle name="Normal 6 4 8 4" xfId="17535"/>
    <cellStyle name="Normal 6 4 8 5" xfId="32578"/>
    <cellStyle name="Normal 6 4 9" xfId="4370"/>
    <cellStyle name="Normal 6 4 9 2" xfId="11894"/>
    <cellStyle name="Normal 6 4 9 2 2" xfId="26938"/>
    <cellStyle name="Normal 6 4 9 2 3" xfId="41981"/>
    <cellStyle name="Normal 6 4 9 3" xfId="19417"/>
    <cellStyle name="Normal 6 4 9 4" xfId="34460"/>
    <cellStyle name="Normal 6 5" xfId="490"/>
    <cellStyle name="Normal 6 5 10" xfId="15668"/>
    <cellStyle name="Normal 6 5 11" xfId="30711"/>
    <cellStyle name="Normal 6 5 2" xfId="491"/>
    <cellStyle name="Normal 6 5 2 2" xfId="492"/>
    <cellStyle name="Normal 6 5 2 2 2" xfId="1011"/>
    <cellStyle name="Normal 6 5 2 2 2 2" xfId="1970"/>
    <cellStyle name="Normal 6 5 2 2 2 2 2" xfId="3841"/>
    <cellStyle name="Normal 6 5 2 2 2 2 2 2" xfId="7636"/>
    <cellStyle name="Normal 6 5 2 2 2 2 2 2 2" xfId="15159"/>
    <cellStyle name="Normal 6 5 2 2 2 2 2 2 2 2" xfId="30203"/>
    <cellStyle name="Normal 6 5 2 2 2 2 2 2 2 3" xfId="45246"/>
    <cellStyle name="Normal 6 5 2 2 2 2 2 2 3" xfId="22682"/>
    <cellStyle name="Normal 6 5 2 2 2 2 2 2 4" xfId="37725"/>
    <cellStyle name="Normal 6 5 2 2 2 2 2 3" xfId="11410"/>
    <cellStyle name="Normal 6 5 2 2 2 2 2 3 2" xfId="26454"/>
    <cellStyle name="Normal 6 5 2 2 2 2 2 3 3" xfId="41497"/>
    <cellStyle name="Normal 6 5 2 2 2 2 2 4" xfId="18933"/>
    <cellStyle name="Normal 6 5 2 2 2 2 2 5" xfId="33976"/>
    <cellStyle name="Normal 6 5 2 2 2 2 3" xfId="5771"/>
    <cellStyle name="Normal 6 5 2 2 2 2 3 2" xfId="13294"/>
    <cellStyle name="Normal 6 5 2 2 2 2 3 2 2" xfId="28338"/>
    <cellStyle name="Normal 6 5 2 2 2 2 3 2 3" xfId="43381"/>
    <cellStyle name="Normal 6 5 2 2 2 2 3 3" xfId="20817"/>
    <cellStyle name="Normal 6 5 2 2 2 2 3 4" xfId="35860"/>
    <cellStyle name="Normal 6 5 2 2 2 2 4" xfId="9545"/>
    <cellStyle name="Normal 6 5 2 2 2 2 4 2" xfId="24589"/>
    <cellStyle name="Normal 6 5 2 2 2 2 4 3" xfId="39632"/>
    <cellStyle name="Normal 6 5 2 2 2 2 5" xfId="17068"/>
    <cellStyle name="Normal 6 5 2 2 2 2 6" xfId="32111"/>
    <cellStyle name="Normal 6 5 2 2 2 3" xfId="2909"/>
    <cellStyle name="Normal 6 5 2 2 2 3 2" xfId="6704"/>
    <cellStyle name="Normal 6 5 2 2 2 3 2 2" xfId="14227"/>
    <cellStyle name="Normal 6 5 2 2 2 3 2 2 2" xfId="29271"/>
    <cellStyle name="Normal 6 5 2 2 2 3 2 2 3" xfId="44314"/>
    <cellStyle name="Normal 6 5 2 2 2 3 2 3" xfId="21750"/>
    <cellStyle name="Normal 6 5 2 2 2 3 2 4" xfId="36793"/>
    <cellStyle name="Normal 6 5 2 2 2 3 3" xfId="10478"/>
    <cellStyle name="Normal 6 5 2 2 2 3 3 2" xfId="25522"/>
    <cellStyle name="Normal 6 5 2 2 2 3 3 3" xfId="40565"/>
    <cellStyle name="Normal 6 5 2 2 2 3 4" xfId="18001"/>
    <cellStyle name="Normal 6 5 2 2 2 3 5" xfId="33044"/>
    <cellStyle name="Normal 6 5 2 2 2 4" xfId="4839"/>
    <cellStyle name="Normal 6 5 2 2 2 4 2" xfId="12362"/>
    <cellStyle name="Normal 6 5 2 2 2 4 2 2" xfId="27406"/>
    <cellStyle name="Normal 6 5 2 2 2 4 2 3" xfId="42449"/>
    <cellStyle name="Normal 6 5 2 2 2 4 3" xfId="19885"/>
    <cellStyle name="Normal 6 5 2 2 2 4 4" xfId="34928"/>
    <cellStyle name="Normal 6 5 2 2 2 5" xfId="8613"/>
    <cellStyle name="Normal 6 5 2 2 2 5 2" xfId="23657"/>
    <cellStyle name="Normal 6 5 2 2 2 5 3" xfId="38700"/>
    <cellStyle name="Normal 6 5 2 2 2 6" xfId="16136"/>
    <cellStyle name="Normal 6 5 2 2 2 7" xfId="31179"/>
    <cellStyle name="Normal 6 5 2 2 3" xfId="1518"/>
    <cellStyle name="Normal 6 5 2 2 3 2" xfId="3389"/>
    <cellStyle name="Normal 6 5 2 2 3 2 2" xfId="7184"/>
    <cellStyle name="Normal 6 5 2 2 3 2 2 2" xfId="14707"/>
    <cellStyle name="Normal 6 5 2 2 3 2 2 2 2" xfId="29751"/>
    <cellStyle name="Normal 6 5 2 2 3 2 2 2 3" xfId="44794"/>
    <cellStyle name="Normal 6 5 2 2 3 2 2 3" xfId="22230"/>
    <cellStyle name="Normal 6 5 2 2 3 2 2 4" xfId="37273"/>
    <cellStyle name="Normal 6 5 2 2 3 2 3" xfId="10958"/>
    <cellStyle name="Normal 6 5 2 2 3 2 3 2" xfId="26002"/>
    <cellStyle name="Normal 6 5 2 2 3 2 3 3" xfId="41045"/>
    <cellStyle name="Normal 6 5 2 2 3 2 4" xfId="18481"/>
    <cellStyle name="Normal 6 5 2 2 3 2 5" xfId="33524"/>
    <cellStyle name="Normal 6 5 2 2 3 3" xfId="5319"/>
    <cellStyle name="Normal 6 5 2 2 3 3 2" xfId="12842"/>
    <cellStyle name="Normal 6 5 2 2 3 3 2 2" xfId="27886"/>
    <cellStyle name="Normal 6 5 2 2 3 3 2 3" xfId="42929"/>
    <cellStyle name="Normal 6 5 2 2 3 3 3" xfId="20365"/>
    <cellStyle name="Normal 6 5 2 2 3 3 4" xfId="35408"/>
    <cellStyle name="Normal 6 5 2 2 3 4" xfId="9093"/>
    <cellStyle name="Normal 6 5 2 2 3 4 2" xfId="24137"/>
    <cellStyle name="Normal 6 5 2 2 3 4 3" xfId="39180"/>
    <cellStyle name="Normal 6 5 2 2 3 5" xfId="16616"/>
    <cellStyle name="Normal 6 5 2 2 3 6" xfId="31659"/>
    <cellStyle name="Normal 6 5 2 2 4" xfId="2456"/>
    <cellStyle name="Normal 6 5 2 2 4 2" xfId="6252"/>
    <cellStyle name="Normal 6 5 2 2 4 2 2" xfId="13775"/>
    <cellStyle name="Normal 6 5 2 2 4 2 2 2" xfId="28819"/>
    <cellStyle name="Normal 6 5 2 2 4 2 2 3" xfId="43862"/>
    <cellStyle name="Normal 6 5 2 2 4 2 3" xfId="21298"/>
    <cellStyle name="Normal 6 5 2 2 4 2 4" xfId="36341"/>
    <cellStyle name="Normal 6 5 2 2 4 3" xfId="10026"/>
    <cellStyle name="Normal 6 5 2 2 4 3 2" xfId="25070"/>
    <cellStyle name="Normal 6 5 2 2 4 3 3" xfId="40113"/>
    <cellStyle name="Normal 6 5 2 2 4 4" xfId="17549"/>
    <cellStyle name="Normal 6 5 2 2 4 5" xfId="32592"/>
    <cellStyle name="Normal 6 5 2 2 5" xfId="4384"/>
    <cellStyle name="Normal 6 5 2 2 5 2" xfId="11908"/>
    <cellStyle name="Normal 6 5 2 2 5 2 2" xfId="26952"/>
    <cellStyle name="Normal 6 5 2 2 5 2 3" xfId="41995"/>
    <cellStyle name="Normal 6 5 2 2 5 3" xfId="19431"/>
    <cellStyle name="Normal 6 5 2 2 5 4" xfId="34474"/>
    <cellStyle name="Normal 6 5 2 2 6" xfId="8147"/>
    <cellStyle name="Normal 6 5 2 2 6 2" xfId="23191"/>
    <cellStyle name="Normal 6 5 2 2 6 3" xfId="38234"/>
    <cellStyle name="Normal 6 5 2 2 7" xfId="15670"/>
    <cellStyle name="Normal 6 5 2 2 8" xfId="30713"/>
    <cellStyle name="Normal 6 5 2 3" xfId="1010"/>
    <cellStyle name="Normal 6 5 2 3 2" xfId="1969"/>
    <cellStyle name="Normal 6 5 2 3 2 2" xfId="3840"/>
    <cellStyle name="Normal 6 5 2 3 2 2 2" xfId="7635"/>
    <cellStyle name="Normal 6 5 2 3 2 2 2 2" xfId="15158"/>
    <cellStyle name="Normal 6 5 2 3 2 2 2 2 2" xfId="30202"/>
    <cellStyle name="Normal 6 5 2 3 2 2 2 2 3" xfId="45245"/>
    <cellStyle name="Normal 6 5 2 3 2 2 2 3" xfId="22681"/>
    <cellStyle name="Normal 6 5 2 3 2 2 2 4" xfId="37724"/>
    <cellStyle name="Normal 6 5 2 3 2 2 3" xfId="11409"/>
    <cellStyle name="Normal 6 5 2 3 2 2 3 2" xfId="26453"/>
    <cellStyle name="Normal 6 5 2 3 2 2 3 3" xfId="41496"/>
    <cellStyle name="Normal 6 5 2 3 2 2 4" xfId="18932"/>
    <cellStyle name="Normal 6 5 2 3 2 2 5" xfId="33975"/>
    <cellStyle name="Normal 6 5 2 3 2 3" xfId="5770"/>
    <cellStyle name="Normal 6 5 2 3 2 3 2" xfId="13293"/>
    <cellStyle name="Normal 6 5 2 3 2 3 2 2" xfId="28337"/>
    <cellStyle name="Normal 6 5 2 3 2 3 2 3" xfId="43380"/>
    <cellStyle name="Normal 6 5 2 3 2 3 3" xfId="20816"/>
    <cellStyle name="Normal 6 5 2 3 2 3 4" xfId="35859"/>
    <cellStyle name="Normal 6 5 2 3 2 4" xfId="9544"/>
    <cellStyle name="Normal 6 5 2 3 2 4 2" xfId="24588"/>
    <cellStyle name="Normal 6 5 2 3 2 4 3" xfId="39631"/>
    <cellStyle name="Normal 6 5 2 3 2 5" xfId="17067"/>
    <cellStyle name="Normal 6 5 2 3 2 6" xfId="32110"/>
    <cellStyle name="Normal 6 5 2 3 3" xfId="2908"/>
    <cellStyle name="Normal 6 5 2 3 3 2" xfId="6703"/>
    <cellStyle name="Normal 6 5 2 3 3 2 2" xfId="14226"/>
    <cellStyle name="Normal 6 5 2 3 3 2 2 2" xfId="29270"/>
    <cellStyle name="Normal 6 5 2 3 3 2 2 3" xfId="44313"/>
    <cellStyle name="Normal 6 5 2 3 3 2 3" xfId="21749"/>
    <cellStyle name="Normal 6 5 2 3 3 2 4" xfId="36792"/>
    <cellStyle name="Normal 6 5 2 3 3 3" xfId="10477"/>
    <cellStyle name="Normal 6 5 2 3 3 3 2" xfId="25521"/>
    <cellStyle name="Normal 6 5 2 3 3 3 3" xfId="40564"/>
    <cellStyle name="Normal 6 5 2 3 3 4" xfId="18000"/>
    <cellStyle name="Normal 6 5 2 3 3 5" xfId="33043"/>
    <cellStyle name="Normal 6 5 2 3 4" xfId="4838"/>
    <cellStyle name="Normal 6 5 2 3 4 2" xfId="12361"/>
    <cellStyle name="Normal 6 5 2 3 4 2 2" xfId="27405"/>
    <cellStyle name="Normal 6 5 2 3 4 2 3" xfId="42448"/>
    <cellStyle name="Normal 6 5 2 3 4 3" xfId="19884"/>
    <cellStyle name="Normal 6 5 2 3 4 4" xfId="34927"/>
    <cellStyle name="Normal 6 5 2 3 5" xfId="8612"/>
    <cellStyle name="Normal 6 5 2 3 5 2" xfId="23656"/>
    <cellStyle name="Normal 6 5 2 3 5 3" xfId="38699"/>
    <cellStyle name="Normal 6 5 2 3 6" xfId="16135"/>
    <cellStyle name="Normal 6 5 2 3 7" xfId="31178"/>
    <cellStyle name="Normal 6 5 2 4" xfId="1517"/>
    <cellStyle name="Normal 6 5 2 4 2" xfId="3388"/>
    <cellStyle name="Normal 6 5 2 4 2 2" xfId="7183"/>
    <cellStyle name="Normal 6 5 2 4 2 2 2" xfId="14706"/>
    <cellStyle name="Normal 6 5 2 4 2 2 2 2" xfId="29750"/>
    <cellStyle name="Normal 6 5 2 4 2 2 2 3" xfId="44793"/>
    <cellStyle name="Normal 6 5 2 4 2 2 3" xfId="22229"/>
    <cellStyle name="Normal 6 5 2 4 2 2 4" xfId="37272"/>
    <cellStyle name="Normal 6 5 2 4 2 3" xfId="10957"/>
    <cellStyle name="Normal 6 5 2 4 2 3 2" xfId="26001"/>
    <cellStyle name="Normal 6 5 2 4 2 3 3" xfId="41044"/>
    <cellStyle name="Normal 6 5 2 4 2 4" xfId="18480"/>
    <cellStyle name="Normal 6 5 2 4 2 5" xfId="33523"/>
    <cellStyle name="Normal 6 5 2 4 3" xfId="5318"/>
    <cellStyle name="Normal 6 5 2 4 3 2" xfId="12841"/>
    <cellStyle name="Normal 6 5 2 4 3 2 2" xfId="27885"/>
    <cellStyle name="Normal 6 5 2 4 3 2 3" xfId="42928"/>
    <cellStyle name="Normal 6 5 2 4 3 3" xfId="20364"/>
    <cellStyle name="Normal 6 5 2 4 3 4" xfId="35407"/>
    <cellStyle name="Normal 6 5 2 4 4" xfId="9092"/>
    <cellStyle name="Normal 6 5 2 4 4 2" xfId="24136"/>
    <cellStyle name="Normal 6 5 2 4 4 3" xfId="39179"/>
    <cellStyle name="Normal 6 5 2 4 5" xfId="16615"/>
    <cellStyle name="Normal 6 5 2 4 6" xfId="31658"/>
    <cellStyle name="Normal 6 5 2 5" xfId="2455"/>
    <cellStyle name="Normal 6 5 2 5 2" xfId="6251"/>
    <cellStyle name="Normal 6 5 2 5 2 2" xfId="13774"/>
    <cellStyle name="Normal 6 5 2 5 2 2 2" xfId="28818"/>
    <cellStyle name="Normal 6 5 2 5 2 2 3" xfId="43861"/>
    <cellStyle name="Normal 6 5 2 5 2 3" xfId="21297"/>
    <cellStyle name="Normal 6 5 2 5 2 4" xfId="36340"/>
    <cellStyle name="Normal 6 5 2 5 3" xfId="10025"/>
    <cellStyle name="Normal 6 5 2 5 3 2" xfId="25069"/>
    <cellStyle name="Normal 6 5 2 5 3 3" xfId="40112"/>
    <cellStyle name="Normal 6 5 2 5 4" xfId="17548"/>
    <cellStyle name="Normal 6 5 2 5 5" xfId="32591"/>
    <cellStyle name="Normal 6 5 2 6" xfId="4383"/>
    <cellStyle name="Normal 6 5 2 6 2" xfId="11907"/>
    <cellStyle name="Normal 6 5 2 6 2 2" xfId="26951"/>
    <cellStyle name="Normal 6 5 2 6 2 3" xfId="41994"/>
    <cellStyle name="Normal 6 5 2 6 3" xfId="19430"/>
    <cellStyle name="Normal 6 5 2 6 4" xfId="34473"/>
    <cellStyle name="Normal 6 5 2 7" xfId="8146"/>
    <cellStyle name="Normal 6 5 2 7 2" xfId="23190"/>
    <cellStyle name="Normal 6 5 2 7 3" xfId="38233"/>
    <cellStyle name="Normal 6 5 2 8" xfId="15669"/>
    <cellStyle name="Normal 6 5 2 9" xfId="30712"/>
    <cellStyle name="Normal 6 5 3" xfId="493"/>
    <cellStyle name="Normal 6 5 3 2" xfId="494"/>
    <cellStyle name="Normal 6 5 3 2 2" xfId="1013"/>
    <cellStyle name="Normal 6 5 3 2 2 2" xfId="1972"/>
    <cellStyle name="Normal 6 5 3 2 2 2 2" xfId="3843"/>
    <cellStyle name="Normal 6 5 3 2 2 2 2 2" xfId="7638"/>
    <cellStyle name="Normal 6 5 3 2 2 2 2 2 2" xfId="15161"/>
    <cellStyle name="Normal 6 5 3 2 2 2 2 2 2 2" xfId="30205"/>
    <cellStyle name="Normal 6 5 3 2 2 2 2 2 2 3" xfId="45248"/>
    <cellStyle name="Normal 6 5 3 2 2 2 2 2 3" xfId="22684"/>
    <cellStyle name="Normal 6 5 3 2 2 2 2 2 4" xfId="37727"/>
    <cellStyle name="Normal 6 5 3 2 2 2 2 3" xfId="11412"/>
    <cellStyle name="Normal 6 5 3 2 2 2 2 3 2" xfId="26456"/>
    <cellStyle name="Normal 6 5 3 2 2 2 2 3 3" xfId="41499"/>
    <cellStyle name="Normal 6 5 3 2 2 2 2 4" xfId="18935"/>
    <cellStyle name="Normal 6 5 3 2 2 2 2 5" xfId="33978"/>
    <cellStyle name="Normal 6 5 3 2 2 2 3" xfId="5773"/>
    <cellStyle name="Normal 6 5 3 2 2 2 3 2" xfId="13296"/>
    <cellStyle name="Normal 6 5 3 2 2 2 3 2 2" xfId="28340"/>
    <cellStyle name="Normal 6 5 3 2 2 2 3 2 3" xfId="43383"/>
    <cellStyle name="Normal 6 5 3 2 2 2 3 3" xfId="20819"/>
    <cellStyle name="Normal 6 5 3 2 2 2 3 4" xfId="35862"/>
    <cellStyle name="Normal 6 5 3 2 2 2 4" xfId="9547"/>
    <cellStyle name="Normal 6 5 3 2 2 2 4 2" xfId="24591"/>
    <cellStyle name="Normal 6 5 3 2 2 2 4 3" xfId="39634"/>
    <cellStyle name="Normal 6 5 3 2 2 2 5" xfId="17070"/>
    <cellStyle name="Normal 6 5 3 2 2 2 6" xfId="32113"/>
    <cellStyle name="Normal 6 5 3 2 2 3" xfId="2911"/>
    <cellStyle name="Normal 6 5 3 2 2 3 2" xfId="6706"/>
    <cellStyle name="Normal 6 5 3 2 2 3 2 2" xfId="14229"/>
    <cellStyle name="Normal 6 5 3 2 2 3 2 2 2" xfId="29273"/>
    <cellStyle name="Normal 6 5 3 2 2 3 2 2 3" xfId="44316"/>
    <cellStyle name="Normal 6 5 3 2 2 3 2 3" xfId="21752"/>
    <cellStyle name="Normal 6 5 3 2 2 3 2 4" xfId="36795"/>
    <cellStyle name="Normal 6 5 3 2 2 3 3" xfId="10480"/>
    <cellStyle name="Normal 6 5 3 2 2 3 3 2" xfId="25524"/>
    <cellStyle name="Normal 6 5 3 2 2 3 3 3" xfId="40567"/>
    <cellStyle name="Normal 6 5 3 2 2 3 4" xfId="18003"/>
    <cellStyle name="Normal 6 5 3 2 2 3 5" xfId="33046"/>
    <cellStyle name="Normal 6 5 3 2 2 4" xfId="4841"/>
    <cellStyle name="Normal 6 5 3 2 2 4 2" xfId="12364"/>
    <cellStyle name="Normal 6 5 3 2 2 4 2 2" xfId="27408"/>
    <cellStyle name="Normal 6 5 3 2 2 4 2 3" xfId="42451"/>
    <cellStyle name="Normal 6 5 3 2 2 4 3" xfId="19887"/>
    <cellStyle name="Normal 6 5 3 2 2 4 4" xfId="34930"/>
    <cellStyle name="Normal 6 5 3 2 2 5" xfId="8615"/>
    <cellStyle name="Normal 6 5 3 2 2 5 2" xfId="23659"/>
    <cellStyle name="Normal 6 5 3 2 2 5 3" xfId="38702"/>
    <cellStyle name="Normal 6 5 3 2 2 6" xfId="16138"/>
    <cellStyle name="Normal 6 5 3 2 2 7" xfId="31181"/>
    <cellStyle name="Normal 6 5 3 2 3" xfId="1520"/>
    <cellStyle name="Normal 6 5 3 2 3 2" xfId="3391"/>
    <cellStyle name="Normal 6 5 3 2 3 2 2" xfId="7186"/>
    <cellStyle name="Normal 6 5 3 2 3 2 2 2" xfId="14709"/>
    <cellStyle name="Normal 6 5 3 2 3 2 2 2 2" xfId="29753"/>
    <cellStyle name="Normal 6 5 3 2 3 2 2 2 3" xfId="44796"/>
    <cellStyle name="Normal 6 5 3 2 3 2 2 3" xfId="22232"/>
    <cellStyle name="Normal 6 5 3 2 3 2 2 4" xfId="37275"/>
    <cellStyle name="Normal 6 5 3 2 3 2 3" xfId="10960"/>
    <cellStyle name="Normal 6 5 3 2 3 2 3 2" xfId="26004"/>
    <cellStyle name="Normal 6 5 3 2 3 2 3 3" xfId="41047"/>
    <cellStyle name="Normal 6 5 3 2 3 2 4" xfId="18483"/>
    <cellStyle name="Normal 6 5 3 2 3 2 5" xfId="33526"/>
    <cellStyle name="Normal 6 5 3 2 3 3" xfId="5321"/>
    <cellStyle name="Normal 6 5 3 2 3 3 2" xfId="12844"/>
    <cellStyle name="Normal 6 5 3 2 3 3 2 2" xfId="27888"/>
    <cellStyle name="Normal 6 5 3 2 3 3 2 3" xfId="42931"/>
    <cellStyle name="Normal 6 5 3 2 3 3 3" xfId="20367"/>
    <cellStyle name="Normal 6 5 3 2 3 3 4" xfId="35410"/>
    <cellStyle name="Normal 6 5 3 2 3 4" xfId="9095"/>
    <cellStyle name="Normal 6 5 3 2 3 4 2" xfId="24139"/>
    <cellStyle name="Normal 6 5 3 2 3 4 3" xfId="39182"/>
    <cellStyle name="Normal 6 5 3 2 3 5" xfId="16618"/>
    <cellStyle name="Normal 6 5 3 2 3 6" xfId="31661"/>
    <cellStyle name="Normal 6 5 3 2 4" xfId="2458"/>
    <cellStyle name="Normal 6 5 3 2 4 2" xfId="6254"/>
    <cellStyle name="Normal 6 5 3 2 4 2 2" xfId="13777"/>
    <cellStyle name="Normal 6 5 3 2 4 2 2 2" xfId="28821"/>
    <cellStyle name="Normal 6 5 3 2 4 2 2 3" xfId="43864"/>
    <cellStyle name="Normal 6 5 3 2 4 2 3" xfId="21300"/>
    <cellStyle name="Normal 6 5 3 2 4 2 4" xfId="36343"/>
    <cellStyle name="Normal 6 5 3 2 4 3" xfId="10028"/>
    <cellStyle name="Normal 6 5 3 2 4 3 2" xfId="25072"/>
    <cellStyle name="Normal 6 5 3 2 4 3 3" xfId="40115"/>
    <cellStyle name="Normal 6 5 3 2 4 4" xfId="17551"/>
    <cellStyle name="Normal 6 5 3 2 4 5" xfId="32594"/>
    <cellStyle name="Normal 6 5 3 2 5" xfId="4386"/>
    <cellStyle name="Normal 6 5 3 2 5 2" xfId="11910"/>
    <cellStyle name="Normal 6 5 3 2 5 2 2" xfId="26954"/>
    <cellStyle name="Normal 6 5 3 2 5 2 3" xfId="41997"/>
    <cellStyle name="Normal 6 5 3 2 5 3" xfId="19433"/>
    <cellStyle name="Normal 6 5 3 2 5 4" xfId="34476"/>
    <cellStyle name="Normal 6 5 3 2 6" xfId="8149"/>
    <cellStyle name="Normal 6 5 3 2 6 2" xfId="23193"/>
    <cellStyle name="Normal 6 5 3 2 6 3" xfId="38236"/>
    <cellStyle name="Normal 6 5 3 2 7" xfId="15672"/>
    <cellStyle name="Normal 6 5 3 2 8" xfId="30715"/>
    <cellStyle name="Normal 6 5 3 3" xfId="1012"/>
    <cellStyle name="Normal 6 5 3 3 2" xfId="1971"/>
    <cellStyle name="Normal 6 5 3 3 2 2" xfId="3842"/>
    <cellStyle name="Normal 6 5 3 3 2 2 2" xfId="7637"/>
    <cellStyle name="Normal 6 5 3 3 2 2 2 2" xfId="15160"/>
    <cellStyle name="Normal 6 5 3 3 2 2 2 2 2" xfId="30204"/>
    <cellStyle name="Normal 6 5 3 3 2 2 2 2 3" xfId="45247"/>
    <cellStyle name="Normal 6 5 3 3 2 2 2 3" xfId="22683"/>
    <cellStyle name="Normal 6 5 3 3 2 2 2 4" xfId="37726"/>
    <cellStyle name="Normal 6 5 3 3 2 2 3" xfId="11411"/>
    <cellStyle name="Normal 6 5 3 3 2 2 3 2" xfId="26455"/>
    <cellStyle name="Normal 6 5 3 3 2 2 3 3" xfId="41498"/>
    <cellStyle name="Normal 6 5 3 3 2 2 4" xfId="18934"/>
    <cellStyle name="Normal 6 5 3 3 2 2 5" xfId="33977"/>
    <cellStyle name="Normal 6 5 3 3 2 3" xfId="5772"/>
    <cellStyle name="Normal 6 5 3 3 2 3 2" xfId="13295"/>
    <cellStyle name="Normal 6 5 3 3 2 3 2 2" xfId="28339"/>
    <cellStyle name="Normal 6 5 3 3 2 3 2 3" xfId="43382"/>
    <cellStyle name="Normal 6 5 3 3 2 3 3" xfId="20818"/>
    <cellStyle name="Normal 6 5 3 3 2 3 4" xfId="35861"/>
    <cellStyle name="Normal 6 5 3 3 2 4" xfId="9546"/>
    <cellStyle name="Normal 6 5 3 3 2 4 2" xfId="24590"/>
    <cellStyle name="Normal 6 5 3 3 2 4 3" xfId="39633"/>
    <cellStyle name="Normal 6 5 3 3 2 5" xfId="17069"/>
    <cellStyle name="Normal 6 5 3 3 2 6" xfId="32112"/>
    <cellStyle name="Normal 6 5 3 3 3" xfId="2910"/>
    <cellStyle name="Normal 6 5 3 3 3 2" xfId="6705"/>
    <cellStyle name="Normal 6 5 3 3 3 2 2" xfId="14228"/>
    <cellStyle name="Normal 6 5 3 3 3 2 2 2" xfId="29272"/>
    <cellStyle name="Normal 6 5 3 3 3 2 2 3" xfId="44315"/>
    <cellStyle name="Normal 6 5 3 3 3 2 3" xfId="21751"/>
    <cellStyle name="Normal 6 5 3 3 3 2 4" xfId="36794"/>
    <cellStyle name="Normal 6 5 3 3 3 3" xfId="10479"/>
    <cellStyle name="Normal 6 5 3 3 3 3 2" xfId="25523"/>
    <cellStyle name="Normal 6 5 3 3 3 3 3" xfId="40566"/>
    <cellStyle name="Normal 6 5 3 3 3 4" xfId="18002"/>
    <cellStyle name="Normal 6 5 3 3 3 5" xfId="33045"/>
    <cellStyle name="Normal 6 5 3 3 4" xfId="4840"/>
    <cellStyle name="Normal 6 5 3 3 4 2" xfId="12363"/>
    <cellStyle name="Normal 6 5 3 3 4 2 2" xfId="27407"/>
    <cellStyle name="Normal 6 5 3 3 4 2 3" xfId="42450"/>
    <cellStyle name="Normal 6 5 3 3 4 3" xfId="19886"/>
    <cellStyle name="Normal 6 5 3 3 4 4" xfId="34929"/>
    <cellStyle name="Normal 6 5 3 3 5" xfId="8614"/>
    <cellStyle name="Normal 6 5 3 3 5 2" xfId="23658"/>
    <cellStyle name="Normal 6 5 3 3 5 3" xfId="38701"/>
    <cellStyle name="Normal 6 5 3 3 6" xfId="16137"/>
    <cellStyle name="Normal 6 5 3 3 7" xfId="31180"/>
    <cellStyle name="Normal 6 5 3 4" xfId="1519"/>
    <cellStyle name="Normal 6 5 3 4 2" xfId="3390"/>
    <cellStyle name="Normal 6 5 3 4 2 2" xfId="7185"/>
    <cellStyle name="Normal 6 5 3 4 2 2 2" xfId="14708"/>
    <cellStyle name="Normal 6 5 3 4 2 2 2 2" xfId="29752"/>
    <cellStyle name="Normal 6 5 3 4 2 2 2 3" xfId="44795"/>
    <cellStyle name="Normal 6 5 3 4 2 2 3" xfId="22231"/>
    <cellStyle name="Normal 6 5 3 4 2 2 4" xfId="37274"/>
    <cellStyle name="Normal 6 5 3 4 2 3" xfId="10959"/>
    <cellStyle name="Normal 6 5 3 4 2 3 2" xfId="26003"/>
    <cellStyle name="Normal 6 5 3 4 2 3 3" xfId="41046"/>
    <cellStyle name="Normal 6 5 3 4 2 4" xfId="18482"/>
    <cellStyle name="Normal 6 5 3 4 2 5" xfId="33525"/>
    <cellStyle name="Normal 6 5 3 4 3" xfId="5320"/>
    <cellStyle name="Normal 6 5 3 4 3 2" xfId="12843"/>
    <cellStyle name="Normal 6 5 3 4 3 2 2" xfId="27887"/>
    <cellStyle name="Normal 6 5 3 4 3 2 3" xfId="42930"/>
    <cellStyle name="Normal 6 5 3 4 3 3" xfId="20366"/>
    <cellStyle name="Normal 6 5 3 4 3 4" xfId="35409"/>
    <cellStyle name="Normal 6 5 3 4 4" xfId="9094"/>
    <cellStyle name="Normal 6 5 3 4 4 2" xfId="24138"/>
    <cellStyle name="Normal 6 5 3 4 4 3" xfId="39181"/>
    <cellStyle name="Normal 6 5 3 4 5" xfId="16617"/>
    <cellStyle name="Normal 6 5 3 4 6" xfId="31660"/>
    <cellStyle name="Normal 6 5 3 5" xfId="2457"/>
    <cellStyle name="Normal 6 5 3 5 2" xfId="6253"/>
    <cellStyle name="Normal 6 5 3 5 2 2" xfId="13776"/>
    <cellStyle name="Normal 6 5 3 5 2 2 2" xfId="28820"/>
    <cellStyle name="Normal 6 5 3 5 2 2 3" xfId="43863"/>
    <cellStyle name="Normal 6 5 3 5 2 3" xfId="21299"/>
    <cellStyle name="Normal 6 5 3 5 2 4" xfId="36342"/>
    <cellStyle name="Normal 6 5 3 5 3" xfId="10027"/>
    <cellStyle name="Normal 6 5 3 5 3 2" xfId="25071"/>
    <cellStyle name="Normal 6 5 3 5 3 3" xfId="40114"/>
    <cellStyle name="Normal 6 5 3 5 4" xfId="17550"/>
    <cellStyle name="Normal 6 5 3 5 5" xfId="32593"/>
    <cellStyle name="Normal 6 5 3 6" xfId="4385"/>
    <cellStyle name="Normal 6 5 3 6 2" xfId="11909"/>
    <cellStyle name="Normal 6 5 3 6 2 2" xfId="26953"/>
    <cellStyle name="Normal 6 5 3 6 2 3" xfId="41996"/>
    <cellStyle name="Normal 6 5 3 6 3" xfId="19432"/>
    <cellStyle name="Normal 6 5 3 6 4" xfId="34475"/>
    <cellStyle name="Normal 6 5 3 7" xfId="8148"/>
    <cellStyle name="Normal 6 5 3 7 2" xfId="23192"/>
    <cellStyle name="Normal 6 5 3 7 3" xfId="38235"/>
    <cellStyle name="Normal 6 5 3 8" xfId="15671"/>
    <cellStyle name="Normal 6 5 3 9" xfId="30714"/>
    <cellStyle name="Normal 6 5 4" xfId="495"/>
    <cellStyle name="Normal 6 5 4 2" xfId="1014"/>
    <cellStyle name="Normal 6 5 4 2 2" xfId="1973"/>
    <cellStyle name="Normal 6 5 4 2 2 2" xfId="3844"/>
    <cellStyle name="Normal 6 5 4 2 2 2 2" xfId="7639"/>
    <cellStyle name="Normal 6 5 4 2 2 2 2 2" xfId="15162"/>
    <cellStyle name="Normal 6 5 4 2 2 2 2 2 2" xfId="30206"/>
    <cellStyle name="Normal 6 5 4 2 2 2 2 2 3" xfId="45249"/>
    <cellStyle name="Normal 6 5 4 2 2 2 2 3" xfId="22685"/>
    <cellStyle name="Normal 6 5 4 2 2 2 2 4" xfId="37728"/>
    <cellStyle name="Normal 6 5 4 2 2 2 3" xfId="11413"/>
    <cellStyle name="Normal 6 5 4 2 2 2 3 2" xfId="26457"/>
    <cellStyle name="Normal 6 5 4 2 2 2 3 3" xfId="41500"/>
    <cellStyle name="Normal 6 5 4 2 2 2 4" xfId="18936"/>
    <cellStyle name="Normal 6 5 4 2 2 2 5" xfId="33979"/>
    <cellStyle name="Normal 6 5 4 2 2 3" xfId="5774"/>
    <cellStyle name="Normal 6 5 4 2 2 3 2" xfId="13297"/>
    <cellStyle name="Normal 6 5 4 2 2 3 2 2" xfId="28341"/>
    <cellStyle name="Normal 6 5 4 2 2 3 2 3" xfId="43384"/>
    <cellStyle name="Normal 6 5 4 2 2 3 3" xfId="20820"/>
    <cellStyle name="Normal 6 5 4 2 2 3 4" xfId="35863"/>
    <cellStyle name="Normal 6 5 4 2 2 4" xfId="9548"/>
    <cellStyle name="Normal 6 5 4 2 2 4 2" xfId="24592"/>
    <cellStyle name="Normal 6 5 4 2 2 4 3" xfId="39635"/>
    <cellStyle name="Normal 6 5 4 2 2 5" xfId="17071"/>
    <cellStyle name="Normal 6 5 4 2 2 6" xfId="32114"/>
    <cellStyle name="Normal 6 5 4 2 3" xfId="2912"/>
    <cellStyle name="Normal 6 5 4 2 3 2" xfId="6707"/>
    <cellStyle name="Normal 6 5 4 2 3 2 2" xfId="14230"/>
    <cellStyle name="Normal 6 5 4 2 3 2 2 2" xfId="29274"/>
    <cellStyle name="Normal 6 5 4 2 3 2 2 3" xfId="44317"/>
    <cellStyle name="Normal 6 5 4 2 3 2 3" xfId="21753"/>
    <cellStyle name="Normal 6 5 4 2 3 2 4" xfId="36796"/>
    <cellStyle name="Normal 6 5 4 2 3 3" xfId="10481"/>
    <cellStyle name="Normal 6 5 4 2 3 3 2" xfId="25525"/>
    <cellStyle name="Normal 6 5 4 2 3 3 3" xfId="40568"/>
    <cellStyle name="Normal 6 5 4 2 3 4" xfId="18004"/>
    <cellStyle name="Normal 6 5 4 2 3 5" xfId="33047"/>
    <cellStyle name="Normal 6 5 4 2 4" xfId="4842"/>
    <cellStyle name="Normal 6 5 4 2 4 2" xfId="12365"/>
    <cellStyle name="Normal 6 5 4 2 4 2 2" xfId="27409"/>
    <cellStyle name="Normal 6 5 4 2 4 2 3" xfId="42452"/>
    <cellStyle name="Normal 6 5 4 2 4 3" xfId="19888"/>
    <cellStyle name="Normal 6 5 4 2 4 4" xfId="34931"/>
    <cellStyle name="Normal 6 5 4 2 5" xfId="8616"/>
    <cellStyle name="Normal 6 5 4 2 5 2" xfId="23660"/>
    <cellStyle name="Normal 6 5 4 2 5 3" xfId="38703"/>
    <cellStyle name="Normal 6 5 4 2 6" xfId="16139"/>
    <cellStyle name="Normal 6 5 4 2 7" xfId="31182"/>
    <cellStyle name="Normal 6 5 4 3" xfId="1521"/>
    <cellStyle name="Normal 6 5 4 3 2" xfId="3392"/>
    <cellStyle name="Normal 6 5 4 3 2 2" xfId="7187"/>
    <cellStyle name="Normal 6 5 4 3 2 2 2" xfId="14710"/>
    <cellStyle name="Normal 6 5 4 3 2 2 2 2" xfId="29754"/>
    <cellStyle name="Normal 6 5 4 3 2 2 2 3" xfId="44797"/>
    <cellStyle name="Normal 6 5 4 3 2 2 3" xfId="22233"/>
    <cellStyle name="Normal 6 5 4 3 2 2 4" xfId="37276"/>
    <cellStyle name="Normal 6 5 4 3 2 3" xfId="10961"/>
    <cellStyle name="Normal 6 5 4 3 2 3 2" xfId="26005"/>
    <cellStyle name="Normal 6 5 4 3 2 3 3" xfId="41048"/>
    <cellStyle name="Normal 6 5 4 3 2 4" xfId="18484"/>
    <cellStyle name="Normal 6 5 4 3 2 5" xfId="33527"/>
    <cellStyle name="Normal 6 5 4 3 3" xfId="5322"/>
    <cellStyle name="Normal 6 5 4 3 3 2" xfId="12845"/>
    <cellStyle name="Normal 6 5 4 3 3 2 2" xfId="27889"/>
    <cellStyle name="Normal 6 5 4 3 3 2 3" xfId="42932"/>
    <cellStyle name="Normal 6 5 4 3 3 3" xfId="20368"/>
    <cellStyle name="Normal 6 5 4 3 3 4" xfId="35411"/>
    <cellStyle name="Normal 6 5 4 3 4" xfId="9096"/>
    <cellStyle name="Normal 6 5 4 3 4 2" xfId="24140"/>
    <cellStyle name="Normal 6 5 4 3 4 3" xfId="39183"/>
    <cellStyle name="Normal 6 5 4 3 5" xfId="16619"/>
    <cellStyle name="Normal 6 5 4 3 6" xfId="31662"/>
    <cellStyle name="Normal 6 5 4 4" xfId="2459"/>
    <cellStyle name="Normal 6 5 4 4 2" xfId="6255"/>
    <cellStyle name="Normal 6 5 4 4 2 2" xfId="13778"/>
    <cellStyle name="Normal 6 5 4 4 2 2 2" xfId="28822"/>
    <cellStyle name="Normal 6 5 4 4 2 2 3" xfId="43865"/>
    <cellStyle name="Normal 6 5 4 4 2 3" xfId="21301"/>
    <cellStyle name="Normal 6 5 4 4 2 4" xfId="36344"/>
    <cellStyle name="Normal 6 5 4 4 3" xfId="10029"/>
    <cellStyle name="Normal 6 5 4 4 3 2" xfId="25073"/>
    <cellStyle name="Normal 6 5 4 4 3 3" xfId="40116"/>
    <cellStyle name="Normal 6 5 4 4 4" xfId="17552"/>
    <cellStyle name="Normal 6 5 4 4 5" xfId="32595"/>
    <cellStyle name="Normal 6 5 4 5" xfId="4387"/>
    <cellStyle name="Normal 6 5 4 5 2" xfId="11911"/>
    <cellStyle name="Normal 6 5 4 5 2 2" xfId="26955"/>
    <cellStyle name="Normal 6 5 4 5 2 3" xfId="41998"/>
    <cellStyle name="Normal 6 5 4 5 3" xfId="19434"/>
    <cellStyle name="Normal 6 5 4 5 4" xfId="34477"/>
    <cellStyle name="Normal 6 5 4 6" xfId="8150"/>
    <cellStyle name="Normal 6 5 4 6 2" xfId="23194"/>
    <cellStyle name="Normal 6 5 4 6 3" xfId="38237"/>
    <cellStyle name="Normal 6 5 4 7" xfId="15673"/>
    <cellStyle name="Normal 6 5 4 8" xfId="30716"/>
    <cellStyle name="Normal 6 5 5" xfId="1009"/>
    <cellStyle name="Normal 6 5 5 2" xfId="1968"/>
    <cellStyle name="Normal 6 5 5 2 2" xfId="3839"/>
    <cellStyle name="Normal 6 5 5 2 2 2" xfId="7634"/>
    <cellStyle name="Normal 6 5 5 2 2 2 2" xfId="15157"/>
    <cellStyle name="Normal 6 5 5 2 2 2 2 2" xfId="30201"/>
    <cellStyle name="Normal 6 5 5 2 2 2 2 3" xfId="45244"/>
    <cellStyle name="Normal 6 5 5 2 2 2 3" xfId="22680"/>
    <cellStyle name="Normal 6 5 5 2 2 2 4" xfId="37723"/>
    <cellStyle name="Normal 6 5 5 2 2 3" xfId="11408"/>
    <cellStyle name="Normal 6 5 5 2 2 3 2" xfId="26452"/>
    <cellStyle name="Normal 6 5 5 2 2 3 3" xfId="41495"/>
    <cellStyle name="Normal 6 5 5 2 2 4" xfId="18931"/>
    <cellStyle name="Normal 6 5 5 2 2 5" xfId="33974"/>
    <cellStyle name="Normal 6 5 5 2 3" xfId="5769"/>
    <cellStyle name="Normal 6 5 5 2 3 2" xfId="13292"/>
    <cellStyle name="Normal 6 5 5 2 3 2 2" xfId="28336"/>
    <cellStyle name="Normal 6 5 5 2 3 2 3" xfId="43379"/>
    <cellStyle name="Normal 6 5 5 2 3 3" xfId="20815"/>
    <cellStyle name="Normal 6 5 5 2 3 4" xfId="35858"/>
    <cellStyle name="Normal 6 5 5 2 4" xfId="9543"/>
    <cellStyle name="Normal 6 5 5 2 4 2" xfId="24587"/>
    <cellStyle name="Normal 6 5 5 2 4 3" xfId="39630"/>
    <cellStyle name="Normal 6 5 5 2 5" xfId="17066"/>
    <cellStyle name="Normal 6 5 5 2 6" xfId="32109"/>
    <cellStyle name="Normal 6 5 5 3" xfId="2907"/>
    <cellStyle name="Normal 6 5 5 3 2" xfId="6702"/>
    <cellStyle name="Normal 6 5 5 3 2 2" xfId="14225"/>
    <cellStyle name="Normal 6 5 5 3 2 2 2" xfId="29269"/>
    <cellStyle name="Normal 6 5 5 3 2 2 3" xfId="44312"/>
    <cellStyle name="Normal 6 5 5 3 2 3" xfId="21748"/>
    <cellStyle name="Normal 6 5 5 3 2 4" xfId="36791"/>
    <cellStyle name="Normal 6 5 5 3 3" xfId="10476"/>
    <cellStyle name="Normal 6 5 5 3 3 2" xfId="25520"/>
    <cellStyle name="Normal 6 5 5 3 3 3" xfId="40563"/>
    <cellStyle name="Normal 6 5 5 3 4" xfId="17999"/>
    <cellStyle name="Normal 6 5 5 3 5" xfId="33042"/>
    <cellStyle name="Normal 6 5 5 4" xfId="4837"/>
    <cellStyle name="Normal 6 5 5 4 2" xfId="12360"/>
    <cellStyle name="Normal 6 5 5 4 2 2" xfId="27404"/>
    <cellStyle name="Normal 6 5 5 4 2 3" xfId="42447"/>
    <cellStyle name="Normal 6 5 5 4 3" xfId="19883"/>
    <cellStyle name="Normal 6 5 5 4 4" xfId="34926"/>
    <cellStyle name="Normal 6 5 5 5" xfId="8611"/>
    <cellStyle name="Normal 6 5 5 5 2" xfId="23655"/>
    <cellStyle name="Normal 6 5 5 5 3" xfId="38698"/>
    <cellStyle name="Normal 6 5 5 6" xfId="16134"/>
    <cellStyle name="Normal 6 5 5 7" xfId="31177"/>
    <cellStyle name="Normal 6 5 6" xfId="1516"/>
    <cellStyle name="Normal 6 5 6 2" xfId="3387"/>
    <cellStyle name="Normal 6 5 6 2 2" xfId="7182"/>
    <cellStyle name="Normal 6 5 6 2 2 2" xfId="14705"/>
    <cellStyle name="Normal 6 5 6 2 2 2 2" xfId="29749"/>
    <cellStyle name="Normal 6 5 6 2 2 2 3" xfId="44792"/>
    <cellStyle name="Normal 6 5 6 2 2 3" xfId="22228"/>
    <cellStyle name="Normal 6 5 6 2 2 4" xfId="37271"/>
    <cellStyle name="Normal 6 5 6 2 3" xfId="10956"/>
    <cellStyle name="Normal 6 5 6 2 3 2" xfId="26000"/>
    <cellStyle name="Normal 6 5 6 2 3 3" xfId="41043"/>
    <cellStyle name="Normal 6 5 6 2 4" xfId="18479"/>
    <cellStyle name="Normal 6 5 6 2 5" xfId="33522"/>
    <cellStyle name="Normal 6 5 6 3" xfId="5317"/>
    <cellStyle name="Normal 6 5 6 3 2" xfId="12840"/>
    <cellStyle name="Normal 6 5 6 3 2 2" xfId="27884"/>
    <cellStyle name="Normal 6 5 6 3 2 3" xfId="42927"/>
    <cellStyle name="Normal 6 5 6 3 3" xfId="20363"/>
    <cellStyle name="Normal 6 5 6 3 4" xfId="35406"/>
    <cellStyle name="Normal 6 5 6 4" xfId="9091"/>
    <cellStyle name="Normal 6 5 6 4 2" xfId="24135"/>
    <cellStyle name="Normal 6 5 6 4 3" xfId="39178"/>
    <cellStyle name="Normal 6 5 6 5" xfId="16614"/>
    <cellStyle name="Normal 6 5 6 6" xfId="31657"/>
    <cellStyle name="Normal 6 5 7" xfId="2454"/>
    <cellStyle name="Normal 6 5 7 2" xfId="6250"/>
    <cellStyle name="Normal 6 5 7 2 2" xfId="13773"/>
    <cellStyle name="Normal 6 5 7 2 2 2" xfId="28817"/>
    <cellStyle name="Normal 6 5 7 2 2 3" xfId="43860"/>
    <cellStyle name="Normal 6 5 7 2 3" xfId="21296"/>
    <cellStyle name="Normal 6 5 7 2 4" xfId="36339"/>
    <cellStyle name="Normal 6 5 7 3" xfId="10024"/>
    <cellStyle name="Normal 6 5 7 3 2" xfId="25068"/>
    <cellStyle name="Normal 6 5 7 3 3" xfId="40111"/>
    <cellStyle name="Normal 6 5 7 4" xfId="17547"/>
    <cellStyle name="Normal 6 5 7 5" xfId="32590"/>
    <cellStyle name="Normal 6 5 8" xfId="4382"/>
    <cellStyle name="Normal 6 5 8 2" xfId="11906"/>
    <cellStyle name="Normal 6 5 8 2 2" xfId="26950"/>
    <cellStyle name="Normal 6 5 8 2 3" xfId="41993"/>
    <cellStyle name="Normal 6 5 8 3" xfId="19429"/>
    <cellStyle name="Normal 6 5 8 4" xfId="34472"/>
    <cellStyle name="Normal 6 5 9" xfId="8145"/>
    <cellStyle name="Normal 6 5 9 2" xfId="23189"/>
    <cellStyle name="Normal 6 5 9 3" xfId="38232"/>
    <cellStyle name="Normal 6 6" xfId="496"/>
    <cellStyle name="Normal 6 6 2" xfId="497"/>
    <cellStyle name="Normal 6 6 2 2" xfId="1016"/>
    <cellStyle name="Normal 6 6 2 2 2" xfId="1975"/>
    <cellStyle name="Normal 6 6 2 2 2 2" xfId="3846"/>
    <cellStyle name="Normal 6 6 2 2 2 2 2" xfId="7641"/>
    <cellStyle name="Normal 6 6 2 2 2 2 2 2" xfId="15164"/>
    <cellStyle name="Normal 6 6 2 2 2 2 2 2 2" xfId="30208"/>
    <cellStyle name="Normal 6 6 2 2 2 2 2 2 3" xfId="45251"/>
    <cellStyle name="Normal 6 6 2 2 2 2 2 3" xfId="22687"/>
    <cellStyle name="Normal 6 6 2 2 2 2 2 4" xfId="37730"/>
    <cellStyle name="Normal 6 6 2 2 2 2 3" xfId="11415"/>
    <cellStyle name="Normal 6 6 2 2 2 2 3 2" xfId="26459"/>
    <cellStyle name="Normal 6 6 2 2 2 2 3 3" xfId="41502"/>
    <cellStyle name="Normal 6 6 2 2 2 2 4" xfId="18938"/>
    <cellStyle name="Normal 6 6 2 2 2 2 5" xfId="33981"/>
    <cellStyle name="Normal 6 6 2 2 2 3" xfId="5776"/>
    <cellStyle name="Normal 6 6 2 2 2 3 2" xfId="13299"/>
    <cellStyle name="Normal 6 6 2 2 2 3 2 2" xfId="28343"/>
    <cellStyle name="Normal 6 6 2 2 2 3 2 3" xfId="43386"/>
    <cellStyle name="Normal 6 6 2 2 2 3 3" xfId="20822"/>
    <cellStyle name="Normal 6 6 2 2 2 3 4" xfId="35865"/>
    <cellStyle name="Normal 6 6 2 2 2 4" xfId="9550"/>
    <cellStyle name="Normal 6 6 2 2 2 4 2" xfId="24594"/>
    <cellStyle name="Normal 6 6 2 2 2 4 3" xfId="39637"/>
    <cellStyle name="Normal 6 6 2 2 2 5" xfId="17073"/>
    <cellStyle name="Normal 6 6 2 2 2 6" xfId="32116"/>
    <cellStyle name="Normal 6 6 2 2 3" xfId="2914"/>
    <cellStyle name="Normal 6 6 2 2 3 2" xfId="6709"/>
    <cellStyle name="Normal 6 6 2 2 3 2 2" xfId="14232"/>
    <cellStyle name="Normal 6 6 2 2 3 2 2 2" xfId="29276"/>
    <cellStyle name="Normal 6 6 2 2 3 2 2 3" xfId="44319"/>
    <cellStyle name="Normal 6 6 2 2 3 2 3" xfId="21755"/>
    <cellStyle name="Normal 6 6 2 2 3 2 4" xfId="36798"/>
    <cellStyle name="Normal 6 6 2 2 3 3" xfId="10483"/>
    <cellStyle name="Normal 6 6 2 2 3 3 2" xfId="25527"/>
    <cellStyle name="Normal 6 6 2 2 3 3 3" xfId="40570"/>
    <cellStyle name="Normal 6 6 2 2 3 4" xfId="18006"/>
    <cellStyle name="Normal 6 6 2 2 3 5" xfId="33049"/>
    <cellStyle name="Normal 6 6 2 2 4" xfId="4844"/>
    <cellStyle name="Normal 6 6 2 2 4 2" xfId="12367"/>
    <cellStyle name="Normal 6 6 2 2 4 2 2" xfId="27411"/>
    <cellStyle name="Normal 6 6 2 2 4 2 3" xfId="42454"/>
    <cellStyle name="Normal 6 6 2 2 4 3" xfId="19890"/>
    <cellStyle name="Normal 6 6 2 2 4 4" xfId="34933"/>
    <cellStyle name="Normal 6 6 2 2 5" xfId="8618"/>
    <cellStyle name="Normal 6 6 2 2 5 2" xfId="23662"/>
    <cellStyle name="Normal 6 6 2 2 5 3" xfId="38705"/>
    <cellStyle name="Normal 6 6 2 2 6" xfId="16141"/>
    <cellStyle name="Normal 6 6 2 2 7" xfId="31184"/>
    <cellStyle name="Normal 6 6 2 3" xfId="1523"/>
    <cellStyle name="Normal 6 6 2 3 2" xfId="3394"/>
    <cellStyle name="Normal 6 6 2 3 2 2" xfId="7189"/>
    <cellStyle name="Normal 6 6 2 3 2 2 2" xfId="14712"/>
    <cellStyle name="Normal 6 6 2 3 2 2 2 2" xfId="29756"/>
    <cellStyle name="Normal 6 6 2 3 2 2 2 3" xfId="44799"/>
    <cellStyle name="Normal 6 6 2 3 2 2 3" xfId="22235"/>
    <cellStyle name="Normal 6 6 2 3 2 2 4" xfId="37278"/>
    <cellStyle name="Normal 6 6 2 3 2 3" xfId="10963"/>
    <cellStyle name="Normal 6 6 2 3 2 3 2" xfId="26007"/>
    <cellStyle name="Normal 6 6 2 3 2 3 3" xfId="41050"/>
    <cellStyle name="Normal 6 6 2 3 2 4" xfId="18486"/>
    <cellStyle name="Normal 6 6 2 3 2 5" xfId="33529"/>
    <cellStyle name="Normal 6 6 2 3 3" xfId="5324"/>
    <cellStyle name="Normal 6 6 2 3 3 2" xfId="12847"/>
    <cellStyle name="Normal 6 6 2 3 3 2 2" xfId="27891"/>
    <cellStyle name="Normal 6 6 2 3 3 2 3" xfId="42934"/>
    <cellStyle name="Normal 6 6 2 3 3 3" xfId="20370"/>
    <cellStyle name="Normal 6 6 2 3 3 4" xfId="35413"/>
    <cellStyle name="Normal 6 6 2 3 4" xfId="9098"/>
    <cellStyle name="Normal 6 6 2 3 4 2" xfId="24142"/>
    <cellStyle name="Normal 6 6 2 3 4 3" xfId="39185"/>
    <cellStyle name="Normal 6 6 2 3 5" xfId="16621"/>
    <cellStyle name="Normal 6 6 2 3 6" xfId="31664"/>
    <cellStyle name="Normal 6 6 2 4" xfId="2461"/>
    <cellStyle name="Normal 6 6 2 4 2" xfId="6257"/>
    <cellStyle name="Normal 6 6 2 4 2 2" xfId="13780"/>
    <cellStyle name="Normal 6 6 2 4 2 2 2" xfId="28824"/>
    <cellStyle name="Normal 6 6 2 4 2 2 3" xfId="43867"/>
    <cellStyle name="Normal 6 6 2 4 2 3" xfId="21303"/>
    <cellStyle name="Normal 6 6 2 4 2 4" xfId="36346"/>
    <cellStyle name="Normal 6 6 2 4 3" xfId="10031"/>
    <cellStyle name="Normal 6 6 2 4 3 2" xfId="25075"/>
    <cellStyle name="Normal 6 6 2 4 3 3" xfId="40118"/>
    <cellStyle name="Normal 6 6 2 4 4" xfId="17554"/>
    <cellStyle name="Normal 6 6 2 4 5" xfId="32597"/>
    <cellStyle name="Normal 6 6 2 5" xfId="4389"/>
    <cellStyle name="Normal 6 6 2 5 2" xfId="11913"/>
    <cellStyle name="Normal 6 6 2 5 2 2" xfId="26957"/>
    <cellStyle name="Normal 6 6 2 5 2 3" xfId="42000"/>
    <cellStyle name="Normal 6 6 2 5 3" xfId="19436"/>
    <cellStyle name="Normal 6 6 2 5 4" xfId="34479"/>
    <cellStyle name="Normal 6 6 2 6" xfId="8152"/>
    <cellStyle name="Normal 6 6 2 6 2" xfId="23196"/>
    <cellStyle name="Normal 6 6 2 6 3" xfId="38239"/>
    <cellStyle name="Normal 6 6 2 7" xfId="15675"/>
    <cellStyle name="Normal 6 6 2 8" xfId="30718"/>
    <cellStyle name="Normal 6 6 3" xfId="1015"/>
    <cellStyle name="Normal 6 6 3 2" xfId="1974"/>
    <cellStyle name="Normal 6 6 3 2 2" xfId="3845"/>
    <cellStyle name="Normal 6 6 3 2 2 2" xfId="7640"/>
    <cellStyle name="Normal 6 6 3 2 2 2 2" xfId="15163"/>
    <cellStyle name="Normal 6 6 3 2 2 2 2 2" xfId="30207"/>
    <cellStyle name="Normal 6 6 3 2 2 2 2 3" xfId="45250"/>
    <cellStyle name="Normal 6 6 3 2 2 2 3" xfId="22686"/>
    <cellStyle name="Normal 6 6 3 2 2 2 4" xfId="37729"/>
    <cellStyle name="Normal 6 6 3 2 2 3" xfId="11414"/>
    <cellStyle name="Normal 6 6 3 2 2 3 2" xfId="26458"/>
    <cellStyle name="Normal 6 6 3 2 2 3 3" xfId="41501"/>
    <cellStyle name="Normal 6 6 3 2 2 4" xfId="18937"/>
    <cellStyle name="Normal 6 6 3 2 2 5" xfId="33980"/>
    <cellStyle name="Normal 6 6 3 2 3" xfId="5775"/>
    <cellStyle name="Normal 6 6 3 2 3 2" xfId="13298"/>
    <cellStyle name="Normal 6 6 3 2 3 2 2" xfId="28342"/>
    <cellStyle name="Normal 6 6 3 2 3 2 3" xfId="43385"/>
    <cellStyle name="Normal 6 6 3 2 3 3" xfId="20821"/>
    <cellStyle name="Normal 6 6 3 2 3 4" xfId="35864"/>
    <cellStyle name="Normal 6 6 3 2 4" xfId="9549"/>
    <cellStyle name="Normal 6 6 3 2 4 2" xfId="24593"/>
    <cellStyle name="Normal 6 6 3 2 4 3" xfId="39636"/>
    <cellStyle name="Normal 6 6 3 2 5" xfId="17072"/>
    <cellStyle name="Normal 6 6 3 2 6" xfId="32115"/>
    <cellStyle name="Normal 6 6 3 3" xfId="2913"/>
    <cellStyle name="Normal 6 6 3 3 2" xfId="6708"/>
    <cellStyle name="Normal 6 6 3 3 2 2" xfId="14231"/>
    <cellStyle name="Normal 6 6 3 3 2 2 2" xfId="29275"/>
    <cellStyle name="Normal 6 6 3 3 2 2 3" xfId="44318"/>
    <cellStyle name="Normal 6 6 3 3 2 3" xfId="21754"/>
    <cellStyle name="Normal 6 6 3 3 2 4" xfId="36797"/>
    <cellStyle name="Normal 6 6 3 3 3" xfId="10482"/>
    <cellStyle name="Normal 6 6 3 3 3 2" xfId="25526"/>
    <cellStyle name="Normal 6 6 3 3 3 3" xfId="40569"/>
    <cellStyle name="Normal 6 6 3 3 4" xfId="18005"/>
    <cellStyle name="Normal 6 6 3 3 5" xfId="33048"/>
    <cellStyle name="Normal 6 6 3 4" xfId="4843"/>
    <cellStyle name="Normal 6 6 3 4 2" xfId="12366"/>
    <cellStyle name="Normal 6 6 3 4 2 2" xfId="27410"/>
    <cellStyle name="Normal 6 6 3 4 2 3" xfId="42453"/>
    <cellStyle name="Normal 6 6 3 4 3" xfId="19889"/>
    <cellStyle name="Normal 6 6 3 4 4" xfId="34932"/>
    <cellStyle name="Normal 6 6 3 5" xfId="8617"/>
    <cellStyle name="Normal 6 6 3 5 2" xfId="23661"/>
    <cellStyle name="Normal 6 6 3 5 3" xfId="38704"/>
    <cellStyle name="Normal 6 6 3 6" xfId="16140"/>
    <cellStyle name="Normal 6 6 3 7" xfId="31183"/>
    <cellStyle name="Normal 6 6 4" xfId="1522"/>
    <cellStyle name="Normal 6 6 4 2" xfId="3393"/>
    <cellStyle name="Normal 6 6 4 2 2" xfId="7188"/>
    <cellStyle name="Normal 6 6 4 2 2 2" xfId="14711"/>
    <cellStyle name="Normal 6 6 4 2 2 2 2" xfId="29755"/>
    <cellStyle name="Normal 6 6 4 2 2 2 3" xfId="44798"/>
    <cellStyle name="Normal 6 6 4 2 2 3" xfId="22234"/>
    <cellStyle name="Normal 6 6 4 2 2 4" xfId="37277"/>
    <cellStyle name="Normal 6 6 4 2 3" xfId="10962"/>
    <cellStyle name="Normal 6 6 4 2 3 2" xfId="26006"/>
    <cellStyle name="Normal 6 6 4 2 3 3" xfId="41049"/>
    <cellStyle name="Normal 6 6 4 2 4" xfId="18485"/>
    <cellStyle name="Normal 6 6 4 2 5" xfId="33528"/>
    <cellStyle name="Normal 6 6 4 3" xfId="5323"/>
    <cellStyle name="Normal 6 6 4 3 2" xfId="12846"/>
    <cellStyle name="Normal 6 6 4 3 2 2" xfId="27890"/>
    <cellStyle name="Normal 6 6 4 3 2 3" xfId="42933"/>
    <cellStyle name="Normal 6 6 4 3 3" xfId="20369"/>
    <cellStyle name="Normal 6 6 4 3 4" xfId="35412"/>
    <cellStyle name="Normal 6 6 4 4" xfId="9097"/>
    <cellStyle name="Normal 6 6 4 4 2" xfId="24141"/>
    <cellStyle name="Normal 6 6 4 4 3" xfId="39184"/>
    <cellStyle name="Normal 6 6 4 5" xfId="16620"/>
    <cellStyle name="Normal 6 6 4 6" xfId="31663"/>
    <cellStyle name="Normal 6 6 5" xfId="2460"/>
    <cellStyle name="Normal 6 6 5 2" xfId="6256"/>
    <cellStyle name="Normal 6 6 5 2 2" xfId="13779"/>
    <cellStyle name="Normal 6 6 5 2 2 2" xfId="28823"/>
    <cellStyle name="Normal 6 6 5 2 2 3" xfId="43866"/>
    <cellStyle name="Normal 6 6 5 2 3" xfId="21302"/>
    <cellStyle name="Normal 6 6 5 2 4" xfId="36345"/>
    <cellStyle name="Normal 6 6 5 3" xfId="10030"/>
    <cellStyle name="Normal 6 6 5 3 2" xfId="25074"/>
    <cellStyle name="Normal 6 6 5 3 3" xfId="40117"/>
    <cellStyle name="Normal 6 6 5 4" xfId="17553"/>
    <cellStyle name="Normal 6 6 5 5" xfId="32596"/>
    <cellStyle name="Normal 6 6 6" xfId="4388"/>
    <cellStyle name="Normal 6 6 6 2" xfId="11912"/>
    <cellStyle name="Normal 6 6 6 2 2" xfId="26956"/>
    <cellStyle name="Normal 6 6 6 2 3" xfId="41999"/>
    <cellStyle name="Normal 6 6 6 3" xfId="19435"/>
    <cellStyle name="Normal 6 6 6 4" xfId="34478"/>
    <cellStyle name="Normal 6 6 7" xfId="8151"/>
    <cellStyle name="Normal 6 6 7 2" xfId="23195"/>
    <cellStyle name="Normal 6 6 7 3" xfId="38238"/>
    <cellStyle name="Normal 6 6 8" xfId="15674"/>
    <cellStyle name="Normal 6 6 9" xfId="30717"/>
    <cellStyle name="Normal 6 7" xfId="498"/>
    <cellStyle name="Normal 6 7 2" xfId="499"/>
    <cellStyle name="Normal 6 7 2 2" xfId="1018"/>
    <cellStyle name="Normal 6 7 2 2 2" xfId="1977"/>
    <cellStyle name="Normal 6 7 2 2 2 2" xfId="3848"/>
    <cellStyle name="Normal 6 7 2 2 2 2 2" xfId="7643"/>
    <cellStyle name="Normal 6 7 2 2 2 2 2 2" xfId="15166"/>
    <cellStyle name="Normal 6 7 2 2 2 2 2 2 2" xfId="30210"/>
    <cellStyle name="Normal 6 7 2 2 2 2 2 2 3" xfId="45253"/>
    <cellStyle name="Normal 6 7 2 2 2 2 2 3" xfId="22689"/>
    <cellStyle name="Normal 6 7 2 2 2 2 2 4" xfId="37732"/>
    <cellStyle name="Normal 6 7 2 2 2 2 3" xfId="11417"/>
    <cellStyle name="Normal 6 7 2 2 2 2 3 2" xfId="26461"/>
    <cellStyle name="Normal 6 7 2 2 2 2 3 3" xfId="41504"/>
    <cellStyle name="Normal 6 7 2 2 2 2 4" xfId="18940"/>
    <cellStyle name="Normal 6 7 2 2 2 2 5" xfId="33983"/>
    <cellStyle name="Normal 6 7 2 2 2 3" xfId="5778"/>
    <cellStyle name="Normal 6 7 2 2 2 3 2" xfId="13301"/>
    <cellStyle name="Normal 6 7 2 2 2 3 2 2" xfId="28345"/>
    <cellStyle name="Normal 6 7 2 2 2 3 2 3" xfId="43388"/>
    <cellStyle name="Normal 6 7 2 2 2 3 3" xfId="20824"/>
    <cellStyle name="Normal 6 7 2 2 2 3 4" xfId="35867"/>
    <cellStyle name="Normal 6 7 2 2 2 4" xfId="9552"/>
    <cellStyle name="Normal 6 7 2 2 2 4 2" xfId="24596"/>
    <cellStyle name="Normal 6 7 2 2 2 4 3" xfId="39639"/>
    <cellStyle name="Normal 6 7 2 2 2 5" xfId="17075"/>
    <cellStyle name="Normal 6 7 2 2 2 6" xfId="32118"/>
    <cellStyle name="Normal 6 7 2 2 3" xfId="2916"/>
    <cellStyle name="Normal 6 7 2 2 3 2" xfId="6711"/>
    <cellStyle name="Normal 6 7 2 2 3 2 2" xfId="14234"/>
    <cellStyle name="Normal 6 7 2 2 3 2 2 2" xfId="29278"/>
    <cellStyle name="Normal 6 7 2 2 3 2 2 3" xfId="44321"/>
    <cellStyle name="Normal 6 7 2 2 3 2 3" xfId="21757"/>
    <cellStyle name="Normal 6 7 2 2 3 2 4" xfId="36800"/>
    <cellStyle name="Normal 6 7 2 2 3 3" xfId="10485"/>
    <cellStyle name="Normal 6 7 2 2 3 3 2" xfId="25529"/>
    <cellStyle name="Normal 6 7 2 2 3 3 3" xfId="40572"/>
    <cellStyle name="Normal 6 7 2 2 3 4" xfId="18008"/>
    <cellStyle name="Normal 6 7 2 2 3 5" xfId="33051"/>
    <cellStyle name="Normal 6 7 2 2 4" xfId="4846"/>
    <cellStyle name="Normal 6 7 2 2 4 2" xfId="12369"/>
    <cellStyle name="Normal 6 7 2 2 4 2 2" xfId="27413"/>
    <cellStyle name="Normal 6 7 2 2 4 2 3" xfId="42456"/>
    <cellStyle name="Normal 6 7 2 2 4 3" xfId="19892"/>
    <cellStyle name="Normal 6 7 2 2 4 4" xfId="34935"/>
    <cellStyle name="Normal 6 7 2 2 5" xfId="8620"/>
    <cellStyle name="Normal 6 7 2 2 5 2" xfId="23664"/>
    <cellStyle name="Normal 6 7 2 2 5 3" xfId="38707"/>
    <cellStyle name="Normal 6 7 2 2 6" xfId="16143"/>
    <cellStyle name="Normal 6 7 2 2 7" xfId="31186"/>
    <cellStyle name="Normal 6 7 2 3" xfId="1525"/>
    <cellStyle name="Normal 6 7 2 3 2" xfId="3396"/>
    <cellStyle name="Normal 6 7 2 3 2 2" xfId="7191"/>
    <cellStyle name="Normal 6 7 2 3 2 2 2" xfId="14714"/>
    <cellStyle name="Normal 6 7 2 3 2 2 2 2" xfId="29758"/>
    <cellStyle name="Normal 6 7 2 3 2 2 2 3" xfId="44801"/>
    <cellStyle name="Normal 6 7 2 3 2 2 3" xfId="22237"/>
    <cellStyle name="Normal 6 7 2 3 2 2 4" xfId="37280"/>
    <cellStyle name="Normal 6 7 2 3 2 3" xfId="10965"/>
    <cellStyle name="Normal 6 7 2 3 2 3 2" xfId="26009"/>
    <cellStyle name="Normal 6 7 2 3 2 3 3" xfId="41052"/>
    <cellStyle name="Normal 6 7 2 3 2 4" xfId="18488"/>
    <cellStyle name="Normal 6 7 2 3 2 5" xfId="33531"/>
    <cellStyle name="Normal 6 7 2 3 3" xfId="5326"/>
    <cellStyle name="Normal 6 7 2 3 3 2" xfId="12849"/>
    <cellStyle name="Normal 6 7 2 3 3 2 2" xfId="27893"/>
    <cellStyle name="Normal 6 7 2 3 3 2 3" xfId="42936"/>
    <cellStyle name="Normal 6 7 2 3 3 3" xfId="20372"/>
    <cellStyle name="Normal 6 7 2 3 3 4" xfId="35415"/>
    <cellStyle name="Normal 6 7 2 3 4" xfId="9100"/>
    <cellStyle name="Normal 6 7 2 3 4 2" xfId="24144"/>
    <cellStyle name="Normal 6 7 2 3 4 3" xfId="39187"/>
    <cellStyle name="Normal 6 7 2 3 5" xfId="16623"/>
    <cellStyle name="Normal 6 7 2 3 6" xfId="31666"/>
    <cellStyle name="Normal 6 7 2 4" xfId="2463"/>
    <cellStyle name="Normal 6 7 2 4 2" xfId="6259"/>
    <cellStyle name="Normal 6 7 2 4 2 2" xfId="13782"/>
    <cellStyle name="Normal 6 7 2 4 2 2 2" xfId="28826"/>
    <cellStyle name="Normal 6 7 2 4 2 2 3" xfId="43869"/>
    <cellStyle name="Normal 6 7 2 4 2 3" xfId="21305"/>
    <cellStyle name="Normal 6 7 2 4 2 4" xfId="36348"/>
    <cellStyle name="Normal 6 7 2 4 3" xfId="10033"/>
    <cellStyle name="Normal 6 7 2 4 3 2" xfId="25077"/>
    <cellStyle name="Normal 6 7 2 4 3 3" xfId="40120"/>
    <cellStyle name="Normal 6 7 2 4 4" xfId="17556"/>
    <cellStyle name="Normal 6 7 2 4 5" xfId="32599"/>
    <cellStyle name="Normal 6 7 2 5" xfId="4391"/>
    <cellStyle name="Normal 6 7 2 5 2" xfId="11915"/>
    <cellStyle name="Normal 6 7 2 5 2 2" xfId="26959"/>
    <cellStyle name="Normal 6 7 2 5 2 3" xfId="42002"/>
    <cellStyle name="Normal 6 7 2 5 3" xfId="19438"/>
    <cellStyle name="Normal 6 7 2 5 4" xfId="34481"/>
    <cellStyle name="Normal 6 7 2 6" xfId="8154"/>
    <cellStyle name="Normal 6 7 2 6 2" xfId="23198"/>
    <cellStyle name="Normal 6 7 2 6 3" xfId="38241"/>
    <cellStyle name="Normal 6 7 2 7" xfId="15677"/>
    <cellStyle name="Normal 6 7 2 8" xfId="30720"/>
    <cellStyle name="Normal 6 7 3" xfId="1017"/>
    <cellStyle name="Normal 6 7 3 2" xfId="1976"/>
    <cellStyle name="Normal 6 7 3 2 2" xfId="3847"/>
    <cellStyle name="Normal 6 7 3 2 2 2" xfId="7642"/>
    <cellStyle name="Normal 6 7 3 2 2 2 2" xfId="15165"/>
    <cellStyle name="Normal 6 7 3 2 2 2 2 2" xfId="30209"/>
    <cellStyle name="Normal 6 7 3 2 2 2 2 3" xfId="45252"/>
    <cellStyle name="Normal 6 7 3 2 2 2 3" xfId="22688"/>
    <cellStyle name="Normal 6 7 3 2 2 2 4" xfId="37731"/>
    <cellStyle name="Normal 6 7 3 2 2 3" xfId="11416"/>
    <cellStyle name="Normal 6 7 3 2 2 3 2" xfId="26460"/>
    <cellStyle name="Normal 6 7 3 2 2 3 3" xfId="41503"/>
    <cellStyle name="Normal 6 7 3 2 2 4" xfId="18939"/>
    <cellStyle name="Normal 6 7 3 2 2 5" xfId="33982"/>
    <cellStyle name="Normal 6 7 3 2 3" xfId="5777"/>
    <cellStyle name="Normal 6 7 3 2 3 2" xfId="13300"/>
    <cellStyle name="Normal 6 7 3 2 3 2 2" xfId="28344"/>
    <cellStyle name="Normal 6 7 3 2 3 2 3" xfId="43387"/>
    <cellStyle name="Normal 6 7 3 2 3 3" xfId="20823"/>
    <cellStyle name="Normal 6 7 3 2 3 4" xfId="35866"/>
    <cellStyle name="Normal 6 7 3 2 4" xfId="9551"/>
    <cellStyle name="Normal 6 7 3 2 4 2" xfId="24595"/>
    <cellStyle name="Normal 6 7 3 2 4 3" xfId="39638"/>
    <cellStyle name="Normal 6 7 3 2 5" xfId="17074"/>
    <cellStyle name="Normal 6 7 3 2 6" xfId="32117"/>
    <cellStyle name="Normal 6 7 3 3" xfId="2915"/>
    <cellStyle name="Normal 6 7 3 3 2" xfId="6710"/>
    <cellStyle name="Normal 6 7 3 3 2 2" xfId="14233"/>
    <cellStyle name="Normal 6 7 3 3 2 2 2" xfId="29277"/>
    <cellStyle name="Normal 6 7 3 3 2 2 3" xfId="44320"/>
    <cellStyle name="Normal 6 7 3 3 2 3" xfId="21756"/>
    <cellStyle name="Normal 6 7 3 3 2 4" xfId="36799"/>
    <cellStyle name="Normal 6 7 3 3 3" xfId="10484"/>
    <cellStyle name="Normal 6 7 3 3 3 2" xfId="25528"/>
    <cellStyle name="Normal 6 7 3 3 3 3" xfId="40571"/>
    <cellStyle name="Normal 6 7 3 3 4" xfId="18007"/>
    <cellStyle name="Normal 6 7 3 3 5" xfId="33050"/>
    <cellStyle name="Normal 6 7 3 4" xfId="4845"/>
    <cellStyle name="Normal 6 7 3 4 2" xfId="12368"/>
    <cellStyle name="Normal 6 7 3 4 2 2" xfId="27412"/>
    <cellStyle name="Normal 6 7 3 4 2 3" xfId="42455"/>
    <cellStyle name="Normal 6 7 3 4 3" xfId="19891"/>
    <cellStyle name="Normal 6 7 3 4 4" xfId="34934"/>
    <cellStyle name="Normal 6 7 3 5" xfId="8619"/>
    <cellStyle name="Normal 6 7 3 5 2" xfId="23663"/>
    <cellStyle name="Normal 6 7 3 5 3" xfId="38706"/>
    <cellStyle name="Normal 6 7 3 6" xfId="16142"/>
    <cellStyle name="Normal 6 7 3 7" xfId="31185"/>
    <cellStyle name="Normal 6 7 4" xfId="1524"/>
    <cellStyle name="Normal 6 7 4 2" xfId="3395"/>
    <cellStyle name="Normal 6 7 4 2 2" xfId="7190"/>
    <cellStyle name="Normal 6 7 4 2 2 2" xfId="14713"/>
    <cellStyle name="Normal 6 7 4 2 2 2 2" xfId="29757"/>
    <cellStyle name="Normal 6 7 4 2 2 2 3" xfId="44800"/>
    <cellStyle name="Normal 6 7 4 2 2 3" xfId="22236"/>
    <cellStyle name="Normal 6 7 4 2 2 4" xfId="37279"/>
    <cellStyle name="Normal 6 7 4 2 3" xfId="10964"/>
    <cellStyle name="Normal 6 7 4 2 3 2" xfId="26008"/>
    <cellStyle name="Normal 6 7 4 2 3 3" xfId="41051"/>
    <cellStyle name="Normal 6 7 4 2 4" xfId="18487"/>
    <cellStyle name="Normal 6 7 4 2 5" xfId="33530"/>
    <cellStyle name="Normal 6 7 4 3" xfId="5325"/>
    <cellStyle name="Normal 6 7 4 3 2" xfId="12848"/>
    <cellStyle name="Normal 6 7 4 3 2 2" xfId="27892"/>
    <cellStyle name="Normal 6 7 4 3 2 3" xfId="42935"/>
    <cellStyle name="Normal 6 7 4 3 3" xfId="20371"/>
    <cellStyle name="Normal 6 7 4 3 4" xfId="35414"/>
    <cellStyle name="Normal 6 7 4 4" xfId="9099"/>
    <cellStyle name="Normal 6 7 4 4 2" xfId="24143"/>
    <cellStyle name="Normal 6 7 4 4 3" xfId="39186"/>
    <cellStyle name="Normal 6 7 4 5" xfId="16622"/>
    <cellStyle name="Normal 6 7 4 6" xfId="31665"/>
    <cellStyle name="Normal 6 7 5" xfId="2462"/>
    <cellStyle name="Normal 6 7 5 2" xfId="6258"/>
    <cellStyle name="Normal 6 7 5 2 2" xfId="13781"/>
    <cellStyle name="Normal 6 7 5 2 2 2" xfId="28825"/>
    <cellStyle name="Normal 6 7 5 2 2 3" xfId="43868"/>
    <cellStyle name="Normal 6 7 5 2 3" xfId="21304"/>
    <cellStyle name="Normal 6 7 5 2 4" xfId="36347"/>
    <cellStyle name="Normal 6 7 5 3" xfId="10032"/>
    <cellStyle name="Normal 6 7 5 3 2" xfId="25076"/>
    <cellStyle name="Normal 6 7 5 3 3" xfId="40119"/>
    <cellStyle name="Normal 6 7 5 4" xfId="17555"/>
    <cellStyle name="Normal 6 7 5 5" xfId="32598"/>
    <cellStyle name="Normal 6 7 6" xfId="4390"/>
    <cellStyle name="Normal 6 7 6 2" xfId="11914"/>
    <cellStyle name="Normal 6 7 6 2 2" xfId="26958"/>
    <cellStyle name="Normal 6 7 6 2 3" xfId="42001"/>
    <cellStyle name="Normal 6 7 6 3" xfId="19437"/>
    <cellStyle name="Normal 6 7 6 4" xfId="34480"/>
    <cellStyle name="Normal 6 7 7" xfId="8153"/>
    <cellStyle name="Normal 6 7 7 2" xfId="23197"/>
    <cellStyle name="Normal 6 7 7 3" xfId="38240"/>
    <cellStyle name="Normal 6 7 8" xfId="15676"/>
    <cellStyle name="Normal 6 7 9" xfId="30719"/>
    <cellStyle name="Normal 6 8" xfId="500"/>
    <cellStyle name="Normal 6 9" xfId="501"/>
    <cellStyle name="Normal 6 9 2" xfId="1019"/>
    <cellStyle name="Normal 6 9 2 2" xfId="1978"/>
    <cellStyle name="Normal 6 9 2 2 2" xfId="3849"/>
    <cellStyle name="Normal 6 9 2 2 2 2" xfId="7644"/>
    <cellStyle name="Normal 6 9 2 2 2 2 2" xfId="15167"/>
    <cellStyle name="Normal 6 9 2 2 2 2 2 2" xfId="30211"/>
    <cellStyle name="Normal 6 9 2 2 2 2 2 3" xfId="45254"/>
    <cellStyle name="Normal 6 9 2 2 2 2 3" xfId="22690"/>
    <cellStyle name="Normal 6 9 2 2 2 2 4" xfId="37733"/>
    <cellStyle name="Normal 6 9 2 2 2 3" xfId="11418"/>
    <cellStyle name="Normal 6 9 2 2 2 3 2" xfId="26462"/>
    <cellStyle name="Normal 6 9 2 2 2 3 3" xfId="41505"/>
    <cellStyle name="Normal 6 9 2 2 2 4" xfId="18941"/>
    <cellStyle name="Normal 6 9 2 2 2 5" xfId="33984"/>
    <cellStyle name="Normal 6 9 2 2 3" xfId="5779"/>
    <cellStyle name="Normal 6 9 2 2 3 2" xfId="13302"/>
    <cellStyle name="Normal 6 9 2 2 3 2 2" xfId="28346"/>
    <cellStyle name="Normal 6 9 2 2 3 2 3" xfId="43389"/>
    <cellStyle name="Normal 6 9 2 2 3 3" xfId="20825"/>
    <cellStyle name="Normal 6 9 2 2 3 4" xfId="35868"/>
    <cellStyle name="Normal 6 9 2 2 4" xfId="9553"/>
    <cellStyle name="Normal 6 9 2 2 4 2" xfId="24597"/>
    <cellStyle name="Normal 6 9 2 2 4 3" xfId="39640"/>
    <cellStyle name="Normal 6 9 2 2 5" xfId="17076"/>
    <cellStyle name="Normal 6 9 2 2 6" xfId="32119"/>
    <cellStyle name="Normal 6 9 2 3" xfId="2917"/>
    <cellStyle name="Normal 6 9 2 3 2" xfId="6712"/>
    <cellStyle name="Normal 6 9 2 3 2 2" xfId="14235"/>
    <cellStyle name="Normal 6 9 2 3 2 2 2" xfId="29279"/>
    <cellStyle name="Normal 6 9 2 3 2 2 3" xfId="44322"/>
    <cellStyle name="Normal 6 9 2 3 2 3" xfId="21758"/>
    <cellStyle name="Normal 6 9 2 3 2 4" xfId="36801"/>
    <cellStyle name="Normal 6 9 2 3 3" xfId="10486"/>
    <cellStyle name="Normal 6 9 2 3 3 2" xfId="25530"/>
    <cellStyle name="Normal 6 9 2 3 3 3" xfId="40573"/>
    <cellStyle name="Normal 6 9 2 3 4" xfId="18009"/>
    <cellStyle name="Normal 6 9 2 3 5" xfId="33052"/>
    <cellStyle name="Normal 6 9 2 4" xfId="4847"/>
    <cellStyle name="Normal 6 9 2 4 2" xfId="12370"/>
    <cellStyle name="Normal 6 9 2 4 2 2" xfId="27414"/>
    <cellStyle name="Normal 6 9 2 4 2 3" xfId="42457"/>
    <cellStyle name="Normal 6 9 2 4 3" xfId="19893"/>
    <cellStyle name="Normal 6 9 2 4 4" xfId="34936"/>
    <cellStyle name="Normal 6 9 2 5" xfId="8621"/>
    <cellStyle name="Normal 6 9 2 5 2" xfId="23665"/>
    <cellStyle name="Normal 6 9 2 5 3" xfId="38708"/>
    <cellStyle name="Normal 6 9 2 6" xfId="16144"/>
    <cellStyle name="Normal 6 9 2 7" xfId="31187"/>
    <cellStyle name="Normal 6 9 3" xfId="1526"/>
    <cellStyle name="Normal 6 9 3 2" xfId="3397"/>
    <cellStyle name="Normal 6 9 3 2 2" xfId="7192"/>
    <cellStyle name="Normal 6 9 3 2 2 2" xfId="14715"/>
    <cellStyle name="Normal 6 9 3 2 2 2 2" xfId="29759"/>
    <cellStyle name="Normal 6 9 3 2 2 2 3" xfId="44802"/>
    <cellStyle name="Normal 6 9 3 2 2 3" xfId="22238"/>
    <cellStyle name="Normal 6 9 3 2 2 4" xfId="37281"/>
    <cellStyle name="Normal 6 9 3 2 3" xfId="10966"/>
    <cellStyle name="Normal 6 9 3 2 3 2" xfId="26010"/>
    <cellStyle name="Normal 6 9 3 2 3 3" xfId="41053"/>
    <cellStyle name="Normal 6 9 3 2 4" xfId="18489"/>
    <cellStyle name="Normal 6 9 3 2 5" xfId="33532"/>
    <cellStyle name="Normal 6 9 3 3" xfId="5327"/>
    <cellStyle name="Normal 6 9 3 3 2" xfId="12850"/>
    <cellStyle name="Normal 6 9 3 3 2 2" xfId="27894"/>
    <cellStyle name="Normal 6 9 3 3 2 3" xfId="42937"/>
    <cellStyle name="Normal 6 9 3 3 3" xfId="20373"/>
    <cellStyle name="Normal 6 9 3 3 4" xfId="35416"/>
    <cellStyle name="Normal 6 9 3 4" xfId="9101"/>
    <cellStyle name="Normal 6 9 3 4 2" xfId="24145"/>
    <cellStyle name="Normal 6 9 3 4 3" xfId="39188"/>
    <cellStyle name="Normal 6 9 3 5" xfId="16624"/>
    <cellStyle name="Normal 6 9 3 6" xfId="31667"/>
    <cellStyle name="Normal 6 9 4" xfId="2464"/>
    <cellStyle name="Normal 6 9 4 2" xfId="6260"/>
    <cellStyle name="Normal 6 9 4 2 2" xfId="13783"/>
    <cellStyle name="Normal 6 9 4 2 2 2" xfId="28827"/>
    <cellStyle name="Normal 6 9 4 2 2 3" xfId="43870"/>
    <cellStyle name="Normal 6 9 4 2 3" xfId="21306"/>
    <cellStyle name="Normal 6 9 4 2 4" xfId="36349"/>
    <cellStyle name="Normal 6 9 4 3" xfId="10034"/>
    <cellStyle name="Normal 6 9 4 3 2" xfId="25078"/>
    <cellStyle name="Normal 6 9 4 3 3" xfId="40121"/>
    <cellStyle name="Normal 6 9 4 4" xfId="17557"/>
    <cellStyle name="Normal 6 9 4 5" xfId="32600"/>
    <cellStyle name="Normal 6 9 5" xfId="4392"/>
    <cellStyle name="Normal 6 9 5 2" xfId="11916"/>
    <cellStyle name="Normal 6 9 5 2 2" xfId="26960"/>
    <cellStyle name="Normal 6 9 5 2 3" xfId="42003"/>
    <cellStyle name="Normal 6 9 5 3" xfId="19439"/>
    <cellStyle name="Normal 6 9 5 4" xfId="34482"/>
    <cellStyle name="Normal 6 9 6" xfId="8155"/>
    <cellStyle name="Normal 6 9 6 2" xfId="23199"/>
    <cellStyle name="Normal 6 9 6 3" xfId="38242"/>
    <cellStyle name="Normal 6 9 7" xfId="15678"/>
    <cellStyle name="Normal 6 9 8" xfId="30721"/>
    <cellStyle name="Normal 60" xfId="45401"/>
    <cellStyle name="Normal 60 2" xfId="45412"/>
    <cellStyle name="Normal 60 3" xfId="45423"/>
    <cellStyle name="Normal 60 4" xfId="45433"/>
    <cellStyle name="Normal 60 5" xfId="45443"/>
    <cellStyle name="Normal 60 6" xfId="45453"/>
    <cellStyle name="Normal 60 7" xfId="45465"/>
    <cellStyle name="Normal 60 8" xfId="45479"/>
    <cellStyle name="Normal 61" xfId="15304"/>
    <cellStyle name="Normal 62" xfId="45395"/>
    <cellStyle name="Normal 62 2" xfId="45408"/>
    <cellStyle name="Normal 62 3" xfId="45419"/>
    <cellStyle name="Normal 62 4" xfId="45429"/>
    <cellStyle name="Normal 62 5" xfId="45439"/>
    <cellStyle name="Normal 62 6" xfId="45449"/>
    <cellStyle name="Normal 62 7" xfId="45461"/>
    <cellStyle name="Normal 62 8" xfId="45475"/>
    <cellStyle name="Normal 63" xfId="45459"/>
    <cellStyle name="Normal 64" xfId="45472"/>
    <cellStyle name="Normal 64 2" xfId="45487"/>
    <cellStyle name="Normal 65" xfId="45473"/>
    <cellStyle name="Normal 66" xfId="45488"/>
    <cellStyle name="Normal 67" xfId="45489"/>
    <cellStyle name="Normal 68" xfId="45490"/>
    <cellStyle name="Normal 69" xfId="45491"/>
    <cellStyle name="Normal 7" xfId="27"/>
    <cellStyle name="Normal 7 2" xfId="502"/>
    <cellStyle name="Normal 7 2 10" xfId="4393"/>
    <cellStyle name="Normal 7 2 10 2" xfId="11917"/>
    <cellStyle name="Normal 7 2 10 2 2" xfId="26961"/>
    <cellStyle name="Normal 7 2 10 2 3" xfId="42004"/>
    <cellStyle name="Normal 7 2 10 3" xfId="19440"/>
    <cellStyle name="Normal 7 2 10 4" xfId="34483"/>
    <cellStyle name="Normal 7 2 11" xfId="8156"/>
    <cellStyle name="Normal 7 2 11 2" xfId="23200"/>
    <cellStyle name="Normal 7 2 11 3" xfId="38243"/>
    <cellStyle name="Normal 7 2 12" xfId="15679"/>
    <cellStyle name="Normal 7 2 13" xfId="30722"/>
    <cellStyle name="Normal 7 2 2" xfId="503"/>
    <cellStyle name="Normal 7 2 2 10" xfId="8157"/>
    <cellStyle name="Normal 7 2 2 10 2" xfId="23201"/>
    <cellStyle name="Normal 7 2 2 10 3" xfId="38244"/>
    <cellStyle name="Normal 7 2 2 11" xfId="15680"/>
    <cellStyle name="Normal 7 2 2 12" xfId="30723"/>
    <cellStyle name="Normal 7 2 2 2" xfId="504"/>
    <cellStyle name="Normal 7 2 2 2 10" xfId="30724"/>
    <cellStyle name="Normal 7 2 2 2 2" xfId="505"/>
    <cellStyle name="Normal 7 2 2 2 2 2" xfId="506"/>
    <cellStyle name="Normal 7 2 2 2 2 2 2" xfId="1024"/>
    <cellStyle name="Normal 7 2 2 2 2 2 2 2" xfId="1983"/>
    <cellStyle name="Normal 7 2 2 2 2 2 2 2 2" xfId="3854"/>
    <cellStyle name="Normal 7 2 2 2 2 2 2 2 2 2" xfId="7649"/>
    <cellStyle name="Normal 7 2 2 2 2 2 2 2 2 2 2" xfId="15172"/>
    <cellStyle name="Normal 7 2 2 2 2 2 2 2 2 2 2 2" xfId="30216"/>
    <cellStyle name="Normal 7 2 2 2 2 2 2 2 2 2 2 3" xfId="45259"/>
    <cellStyle name="Normal 7 2 2 2 2 2 2 2 2 2 3" xfId="22695"/>
    <cellStyle name="Normal 7 2 2 2 2 2 2 2 2 2 4" xfId="37738"/>
    <cellStyle name="Normal 7 2 2 2 2 2 2 2 2 3" xfId="11423"/>
    <cellStyle name="Normal 7 2 2 2 2 2 2 2 2 3 2" xfId="26467"/>
    <cellStyle name="Normal 7 2 2 2 2 2 2 2 2 3 3" xfId="41510"/>
    <cellStyle name="Normal 7 2 2 2 2 2 2 2 2 4" xfId="18946"/>
    <cellStyle name="Normal 7 2 2 2 2 2 2 2 2 5" xfId="33989"/>
    <cellStyle name="Normal 7 2 2 2 2 2 2 2 3" xfId="5784"/>
    <cellStyle name="Normal 7 2 2 2 2 2 2 2 3 2" xfId="13307"/>
    <cellStyle name="Normal 7 2 2 2 2 2 2 2 3 2 2" xfId="28351"/>
    <cellStyle name="Normal 7 2 2 2 2 2 2 2 3 2 3" xfId="43394"/>
    <cellStyle name="Normal 7 2 2 2 2 2 2 2 3 3" xfId="20830"/>
    <cellStyle name="Normal 7 2 2 2 2 2 2 2 3 4" xfId="35873"/>
    <cellStyle name="Normal 7 2 2 2 2 2 2 2 4" xfId="9558"/>
    <cellStyle name="Normal 7 2 2 2 2 2 2 2 4 2" xfId="24602"/>
    <cellStyle name="Normal 7 2 2 2 2 2 2 2 4 3" xfId="39645"/>
    <cellStyle name="Normal 7 2 2 2 2 2 2 2 5" xfId="17081"/>
    <cellStyle name="Normal 7 2 2 2 2 2 2 2 6" xfId="32124"/>
    <cellStyle name="Normal 7 2 2 2 2 2 2 3" xfId="2922"/>
    <cellStyle name="Normal 7 2 2 2 2 2 2 3 2" xfId="6717"/>
    <cellStyle name="Normal 7 2 2 2 2 2 2 3 2 2" xfId="14240"/>
    <cellStyle name="Normal 7 2 2 2 2 2 2 3 2 2 2" xfId="29284"/>
    <cellStyle name="Normal 7 2 2 2 2 2 2 3 2 2 3" xfId="44327"/>
    <cellStyle name="Normal 7 2 2 2 2 2 2 3 2 3" xfId="21763"/>
    <cellStyle name="Normal 7 2 2 2 2 2 2 3 2 4" xfId="36806"/>
    <cellStyle name="Normal 7 2 2 2 2 2 2 3 3" xfId="10491"/>
    <cellStyle name="Normal 7 2 2 2 2 2 2 3 3 2" xfId="25535"/>
    <cellStyle name="Normal 7 2 2 2 2 2 2 3 3 3" xfId="40578"/>
    <cellStyle name="Normal 7 2 2 2 2 2 2 3 4" xfId="18014"/>
    <cellStyle name="Normal 7 2 2 2 2 2 2 3 5" xfId="33057"/>
    <cellStyle name="Normal 7 2 2 2 2 2 2 4" xfId="4852"/>
    <cellStyle name="Normal 7 2 2 2 2 2 2 4 2" xfId="12375"/>
    <cellStyle name="Normal 7 2 2 2 2 2 2 4 2 2" xfId="27419"/>
    <cellStyle name="Normal 7 2 2 2 2 2 2 4 2 3" xfId="42462"/>
    <cellStyle name="Normal 7 2 2 2 2 2 2 4 3" xfId="19898"/>
    <cellStyle name="Normal 7 2 2 2 2 2 2 4 4" xfId="34941"/>
    <cellStyle name="Normal 7 2 2 2 2 2 2 5" xfId="8626"/>
    <cellStyle name="Normal 7 2 2 2 2 2 2 5 2" xfId="23670"/>
    <cellStyle name="Normal 7 2 2 2 2 2 2 5 3" xfId="38713"/>
    <cellStyle name="Normal 7 2 2 2 2 2 2 6" xfId="16149"/>
    <cellStyle name="Normal 7 2 2 2 2 2 2 7" xfId="31192"/>
    <cellStyle name="Normal 7 2 2 2 2 2 3" xfId="1531"/>
    <cellStyle name="Normal 7 2 2 2 2 2 3 2" xfId="3402"/>
    <cellStyle name="Normal 7 2 2 2 2 2 3 2 2" xfId="7197"/>
    <cellStyle name="Normal 7 2 2 2 2 2 3 2 2 2" xfId="14720"/>
    <cellStyle name="Normal 7 2 2 2 2 2 3 2 2 2 2" xfId="29764"/>
    <cellStyle name="Normal 7 2 2 2 2 2 3 2 2 2 3" xfId="44807"/>
    <cellStyle name="Normal 7 2 2 2 2 2 3 2 2 3" xfId="22243"/>
    <cellStyle name="Normal 7 2 2 2 2 2 3 2 2 4" xfId="37286"/>
    <cellStyle name="Normal 7 2 2 2 2 2 3 2 3" xfId="10971"/>
    <cellStyle name="Normal 7 2 2 2 2 2 3 2 3 2" xfId="26015"/>
    <cellStyle name="Normal 7 2 2 2 2 2 3 2 3 3" xfId="41058"/>
    <cellStyle name="Normal 7 2 2 2 2 2 3 2 4" xfId="18494"/>
    <cellStyle name="Normal 7 2 2 2 2 2 3 2 5" xfId="33537"/>
    <cellStyle name="Normal 7 2 2 2 2 2 3 3" xfId="5332"/>
    <cellStyle name="Normal 7 2 2 2 2 2 3 3 2" xfId="12855"/>
    <cellStyle name="Normal 7 2 2 2 2 2 3 3 2 2" xfId="27899"/>
    <cellStyle name="Normal 7 2 2 2 2 2 3 3 2 3" xfId="42942"/>
    <cellStyle name="Normal 7 2 2 2 2 2 3 3 3" xfId="20378"/>
    <cellStyle name="Normal 7 2 2 2 2 2 3 3 4" xfId="35421"/>
    <cellStyle name="Normal 7 2 2 2 2 2 3 4" xfId="9106"/>
    <cellStyle name="Normal 7 2 2 2 2 2 3 4 2" xfId="24150"/>
    <cellStyle name="Normal 7 2 2 2 2 2 3 4 3" xfId="39193"/>
    <cellStyle name="Normal 7 2 2 2 2 2 3 5" xfId="16629"/>
    <cellStyle name="Normal 7 2 2 2 2 2 3 6" xfId="31672"/>
    <cellStyle name="Normal 7 2 2 2 2 2 4" xfId="2469"/>
    <cellStyle name="Normal 7 2 2 2 2 2 4 2" xfId="6265"/>
    <cellStyle name="Normal 7 2 2 2 2 2 4 2 2" xfId="13788"/>
    <cellStyle name="Normal 7 2 2 2 2 2 4 2 2 2" xfId="28832"/>
    <cellStyle name="Normal 7 2 2 2 2 2 4 2 2 3" xfId="43875"/>
    <cellStyle name="Normal 7 2 2 2 2 2 4 2 3" xfId="21311"/>
    <cellStyle name="Normal 7 2 2 2 2 2 4 2 4" xfId="36354"/>
    <cellStyle name="Normal 7 2 2 2 2 2 4 3" xfId="10039"/>
    <cellStyle name="Normal 7 2 2 2 2 2 4 3 2" xfId="25083"/>
    <cellStyle name="Normal 7 2 2 2 2 2 4 3 3" xfId="40126"/>
    <cellStyle name="Normal 7 2 2 2 2 2 4 4" xfId="17562"/>
    <cellStyle name="Normal 7 2 2 2 2 2 4 5" xfId="32605"/>
    <cellStyle name="Normal 7 2 2 2 2 2 5" xfId="4397"/>
    <cellStyle name="Normal 7 2 2 2 2 2 5 2" xfId="11921"/>
    <cellStyle name="Normal 7 2 2 2 2 2 5 2 2" xfId="26965"/>
    <cellStyle name="Normal 7 2 2 2 2 2 5 2 3" xfId="42008"/>
    <cellStyle name="Normal 7 2 2 2 2 2 5 3" xfId="19444"/>
    <cellStyle name="Normal 7 2 2 2 2 2 5 4" xfId="34487"/>
    <cellStyle name="Normal 7 2 2 2 2 2 6" xfId="8160"/>
    <cellStyle name="Normal 7 2 2 2 2 2 6 2" xfId="23204"/>
    <cellStyle name="Normal 7 2 2 2 2 2 6 3" xfId="38247"/>
    <cellStyle name="Normal 7 2 2 2 2 2 7" xfId="15683"/>
    <cellStyle name="Normal 7 2 2 2 2 2 8" xfId="30726"/>
    <cellStyle name="Normal 7 2 2 2 2 3" xfId="1023"/>
    <cellStyle name="Normal 7 2 2 2 2 3 2" xfId="1982"/>
    <cellStyle name="Normal 7 2 2 2 2 3 2 2" xfId="3853"/>
    <cellStyle name="Normal 7 2 2 2 2 3 2 2 2" xfId="7648"/>
    <cellStyle name="Normal 7 2 2 2 2 3 2 2 2 2" xfId="15171"/>
    <cellStyle name="Normal 7 2 2 2 2 3 2 2 2 2 2" xfId="30215"/>
    <cellStyle name="Normal 7 2 2 2 2 3 2 2 2 2 3" xfId="45258"/>
    <cellStyle name="Normal 7 2 2 2 2 3 2 2 2 3" xfId="22694"/>
    <cellStyle name="Normal 7 2 2 2 2 3 2 2 2 4" xfId="37737"/>
    <cellStyle name="Normal 7 2 2 2 2 3 2 2 3" xfId="11422"/>
    <cellStyle name="Normal 7 2 2 2 2 3 2 2 3 2" xfId="26466"/>
    <cellStyle name="Normal 7 2 2 2 2 3 2 2 3 3" xfId="41509"/>
    <cellStyle name="Normal 7 2 2 2 2 3 2 2 4" xfId="18945"/>
    <cellStyle name="Normal 7 2 2 2 2 3 2 2 5" xfId="33988"/>
    <cellStyle name="Normal 7 2 2 2 2 3 2 3" xfId="5783"/>
    <cellStyle name="Normal 7 2 2 2 2 3 2 3 2" xfId="13306"/>
    <cellStyle name="Normal 7 2 2 2 2 3 2 3 2 2" xfId="28350"/>
    <cellStyle name="Normal 7 2 2 2 2 3 2 3 2 3" xfId="43393"/>
    <cellStyle name="Normal 7 2 2 2 2 3 2 3 3" xfId="20829"/>
    <cellStyle name="Normal 7 2 2 2 2 3 2 3 4" xfId="35872"/>
    <cellStyle name="Normal 7 2 2 2 2 3 2 4" xfId="9557"/>
    <cellStyle name="Normal 7 2 2 2 2 3 2 4 2" xfId="24601"/>
    <cellStyle name="Normal 7 2 2 2 2 3 2 4 3" xfId="39644"/>
    <cellStyle name="Normal 7 2 2 2 2 3 2 5" xfId="17080"/>
    <cellStyle name="Normal 7 2 2 2 2 3 2 6" xfId="32123"/>
    <cellStyle name="Normal 7 2 2 2 2 3 3" xfId="2921"/>
    <cellStyle name="Normal 7 2 2 2 2 3 3 2" xfId="6716"/>
    <cellStyle name="Normal 7 2 2 2 2 3 3 2 2" xfId="14239"/>
    <cellStyle name="Normal 7 2 2 2 2 3 3 2 2 2" xfId="29283"/>
    <cellStyle name="Normal 7 2 2 2 2 3 3 2 2 3" xfId="44326"/>
    <cellStyle name="Normal 7 2 2 2 2 3 3 2 3" xfId="21762"/>
    <cellStyle name="Normal 7 2 2 2 2 3 3 2 4" xfId="36805"/>
    <cellStyle name="Normal 7 2 2 2 2 3 3 3" xfId="10490"/>
    <cellStyle name="Normal 7 2 2 2 2 3 3 3 2" xfId="25534"/>
    <cellStyle name="Normal 7 2 2 2 2 3 3 3 3" xfId="40577"/>
    <cellStyle name="Normal 7 2 2 2 2 3 3 4" xfId="18013"/>
    <cellStyle name="Normal 7 2 2 2 2 3 3 5" xfId="33056"/>
    <cellStyle name="Normal 7 2 2 2 2 3 4" xfId="4851"/>
    <cellStyle name="Normal 7 2 2 2 2 3 4 2" xfId="12374"/>
    <cellStyle name="Normal 7 2 2 2 2 3 4 2 2" xfId="27418"/>
    <cellStyle name="Normal 7 2 2 2 2 3 4 2 3" xfId="42461"/>
    <cellStyle name="Normal 7 2 2 2 2 3 4 3" xfId="19897"/>
    <cellStyle name="Normal 7 2 2 2 2 3 4 4" xfId="34940"/>
    <cellStyle name="Normal 7 2 2 2 2 3 5" xfId="8625"/>
    <cellStyle name="Normal 7 2 2 2 2 3 5 2" xfId="23669"/>
    <cellStyle name="Normal 7 2 2 2 2 3 5 3" xfId="38712"/>
    <cellStyle name="Normal 7 2 2 2 2 3 6" xfId="16148"/>
    <cellStyle name="Normal 7 2 2 2 2 3 7" xfId="31191"/>
    <cellStyle name="Normal 7 2 2 2 2 4" xfId="1530"/>
    <cellStyle name="Normal 7 2 2 2 2 4 2" xfId="3401"/>
    <cellStyle name="Normal 7 2 2 2 2 4 2 2" xfId="7196"/>
    <cellStyle name="Normal 7 2 2 2 2 4 2 2 2" xfId="14719"/>
    <cellStyle name="Normal 7 2 2 2 2 4 2 2 2 2" xfId="29763"/>
    <cellStyle name="Normal 7 2 2 2 2 4 2 2 2 3" xfId="44806"/>
    <cellStyle name="Normal 7 2 2 2 2 4 2 2 3" xfId="22242"/>
    <cellStyle name="Normal 7 2 2 2 2 4 2 2 4" xfId="37285"/>
    <cellStyle name="Normal 7 2 2 2 2 4 2 3" xfId="10970"/>
    <cellStyle name="Normal 7 2 2 2 2 4 2 3 2" xfId="26014"/>
    <cellStyle name="Normal 7 2 2 2 2 4 2 3 3" xfId="41057"/>
    <cellStyle name="Normal 7 2 2 2 2 4 2 4" xfId="18493"/>
    <cellStyle name="Normal 7 2 2 2 2 4 2 5" xfId="33536"/>
    <cellStyle name="Normal 7 2 2 2 2 4 3" xfId="5331"/>
    <cellStyle name="Normal 7 2 2 2 2 4 3 2" xfId="12854"/>
    <cellStyle name="Normal 7 2 2 2 2 4 3 2 2" xfId="27898"/>
    <cellStyle name="Normal 7 2 2 2 2 4 3 2 3" xfId="42941"/>
    <cellStyle name="Normal 7 2 2 2 2 4 3 3" xfId="20377"/>
    <cellStyle name="Normal 7 2 2 2 2 4 3 4" xfId="35420"/>
    <cellStyle name="Normal 7 2 2 2 2 4 4" xfId="9105"/>
    <cellStyle name="Normal 7 2 2 2 2 4 4 2" xfId="24149"/>
    <cellStyle name="Normal 7 2 2 2 2 4 4 3" xfId="39192"/>
    <cellStyle name="Normal 7 2 2 2 2 4 5" xfId="16628"/>
    <cellStyle name="Normal 7 2 2 2 2 4 6" xfId="31671"/>
    <cellStyle name="Normal 7 2 2 2 2 5" xfId="2468"/>
    <cellStyle name="Normal 7 2 2 2 2 5 2" xfId="6264"/>
    <cellStyle name="Normal 7 2 2 2 2 5 2 2" xfId="13787"/>
    <cellStyle name="Normal 7 2 2 2 2 5 2 2 2" xfId="28831"/>
    <cellStyle name="Normal 7 2 2 2 2 5 2 2 3" xfId="43874"/>
    <cellStyle name="Normal 7 2 2 2 2 5 2 3" xfId="21310"/>
    <cellStyle name="Normal 7 2 2 2 2 5 2 4" xfId="36353"/>
    <cellStyle name="Normal 7 2 2 2 2 5 3" xfId="10038"/>
    <cellStyle name="Normal 7 2 2 2 2 5 3 2" xfId="25082"/>
    <cellStyle name="Normal 7 2 2 2 2 5 3 3" xfId="40125"/>
    <cellStyle name="Normal 7 2 2 2 2 5 4" xfId="17561"/>
    <cellStyle name="Normal 7 2 2 2 2 5 5" xfId="32604"/>
    <cellStyle name="Normal 7 2 2 2 2 6" xfId="4396"/>
    <cellStyle name="Normal 7 2 2 2 2 6 2" xfId="11920"/>
    <cellStyle name="Normal 7 2 2 2 2 6 2 2" xfId="26964"/>
    <cellStyle name="Normal 7 2 2 2 2 6 2 3" xfId="42007"/>
    <cellStyle name="Normal 7 2 2 2 2 6 3" xfId="19443"/>
    <cellStyle name="Normal 7 2 2 2 2 6 4" xfId="34486"/>
    <cellStyle name="Normal 7 2 2 2 2 7" xfId="8159"/>
    <cellStyle name="Normal 7 2 2 2 2 7 2" xfId="23203"/>
    <cellStyle name="Normal 7 2 2 2 2 7 3" xfId="38246"/>
    <cellStyle name="Normal 7 2 2 2 2 8" xfId="15682"/>
    <cellStyle name="Normal 7 2 2 2 2 9" xfId="30725"/>
    <cellStyle name="Normal 7 2 2 2 3" xfId="507"/>
    <cellStyle name="Normal 7 2 2 2 3 2" xfId="1025"/>
    <cellStyle name="Normal 7 2 2 2 3 2 2" xfId="1984"/>
    <cellStyle name="Normal 7 2 2 2 3 2 2 2" xfId="3855"/>
    <cellStyle name="Normal 7 2 2 2 3 2 2 2 2" xfId="7650"/>
    <cellStyle name="Normal 7 2 2 2 3 2 2 2 2 2" xfId="15173"/>
    <cellStyle name="Normal 7 2 2 2 3 2 2 2 2 2 2" xfId="30217"/>
    <cellStyle name="Normal 7 2 2 2 3 2 2 2 2 2 3" xfId="45260"/>
    <cellStyle name="Normal 7 2 2 2 3 2 2 2 2 3" xfId="22696"/>
    <cellStyle name="Normal 7 2 2 2 3 2 2 2 2 4" xfId="37739"/>
    <cellStyle name="Normal 7 2 2 2 3 2 2 2 3" xfId="11424"/>
    <cellStyle name="Normal 7 2 2 2 3 2 2 2 3 2" xfId="26468"/>
    <cellStyle name="Normal 7 2 2 2 3 2 2 2 3 3" xfId="41511"/>
    <cellStyle name="Normal 7 2 2 2 3 2 2 2 4" xfId="18947"/>
    <cellStyle name="Normal 7 2 2 2 3 2 2 2 5" xfId="33990"/>
    <cellStyle name="Normal 7 2 2 2 3 2 2 3" xfId="5785"/>
    <cellStyle name="Normal 7 2 2 2 3 2 2 3 2" xfId="13308"/>
    <cellStyle name="Normal 7 2 2 2 3 2 2 3 2 2" xfId="28352"/>
    <cellStyle name="Normal 7 2 2 2 3 2 2 3 2 3" xfId="43395"/>
    <cellStyle name="Normal 7 2 2 2 3 2 2 3 3" xfId="20831"/>
    <cellStyle name="Normal 7 2 2 2 3 2 2 3 4" xfId="35874"/>
    <cellStyle name="Normal 7 2 2 2 3 2 2 4" xfId="9559"/>
    <cellStyle name="Normal 7 2 2 2 3 2 2 4 2" xfId="24603"/>
    <cellStyle name="Normal 7 2 2 2 3 2 2 4 3" xfId="39646"/>
    <cellStyle name="Normal 7 2 2 2 3 2 2 5" xfId="17082"/>
    <cellStyle name="Normal 7 2 2 2 3 2 2 6" xfId="32125"/>
    <cellStyle name="Normal 7 2 2 2 3 2 3" xfId="2923"/>
    <cellStyle name="Normal 7 2 2 2 3 2 3 2" xfId="6718"/>
    <cellStyle name="Normal 7 2 2 2 3 2 3 2 2" xfId="14241"/>
    <cellStyle name="Normal 7 2 2 2 3 2 3 2 2 2" xfId="29285"/>
    <cellStyle name="Normal 7 2 2 2 3 2 3 2 2 3" xfId="44328"/>
    <cellStyle name="Normal 7 2 2 2 3 2 3 2 3" xfId="21764"/>
    <cellStyle name="Normal 7 2 2 2 3 2 3 2 4" xfId="36807"/>
    <cellStyle name="Normal 7 2 2 2 3 2 3 3" xfId="10492"/>
    <cellStyle name="Normal 7 2 2 2 3 2 3 3 2" xfId="25536"/>
    <cellStyle name="Normal 7 2 2 2 3 2 3 3 3" xfId="40579"/>
    <cellStyle name="Normal 7 2 2 2 3 2 3 4" xfId="18015"/>
    <cellStyle name="Normal 7 2 2 2 3 2 3 5" xfId="33058"/>
    <cellStyle name="Normal 7 2 2 2 3 2 4" xfId="4853"/>
    <cellStyle name="Normal 7 2 2 2 3 2 4 2" xfId="12376"/>
    <cellStyle name="Normal 7 2 2 2 3 2 4 2 2" xfId="27420"/>
    <cellStyle name="Normal 7 2 2 2 3 2 4 2 3" xfId="42463"/>
    <cellStyle name="Normal 7 2 2 2 3 2 4 3" xfId="19899"/>
    <cellStyle name="Normal 7 2 2 2 3 2 4 4" xfId="34942"/>
    <cellStyle name="Normal 7 2 2 2 3 2 5" xfId="8627"/>
    <cellStyle name="Normal 7 2 2 2 3 2 5 2" xfId="23671"/>
    <cellStyle name="Normal 7 2 2 2 3 2 5 3" xfId="38714"/>
    <cellStyle name="Normal 7 2 2 2 3 2 6" xfId="16150"/>
    <cellStyle name="Normal 7 2 2 2 3 2 7" xfId="31193"/>
    <cellStyle name="Normal 7 2 2 2 3 3" xfId="1532"/>
    <cellStyle name="Normal 7 2 2 2 3 3 2" xfId="3403"/>
    <cellStyle name="Normal 7 2 2 2 3 3 2 2" xfId="7198"/>
    <cellStyle name="Normal 7 2 2 2 3 3 2 2 2" xfId="14721"/>
    <cellStyle name="Normal 7 2 2 2 3 3 2 2 2 2" xfId="29765"/>
    <cellStyle name="Normal 7 2 2 2 3 3 2 2 2 3" xfId="44808"/>
    <cellStyle name="Normal 7 2 2 2 3 3 2 2 3" xfId="22244"/>
    <cellStyle name="Normal 7 2 2 2 3 3 2 2 4" xfId="37287"/>
    <cellStyle name="Normal 7 2 2 2 3 3 2 3" xfId="10972"/>
    <cellStyle name="Normal 7 2 2 2 3 3 2 3 2" xfId="26016"/>
    <cellStyle name="Normal 7 2 2 2 3 3 2 3 3" xfId="41059"/>
    <cellStyle name="Normal 7 2 2 2 3 3 2 4" xfId="18495"/>
    <cellStyle name="Normal 7 2 2 2 3 3 2 5" xfId="33538"/>
    <cellStyle name="Normal 7 2 2 2 3 3 3" xfId="5333"/>
    <cellStyle name="Normal 7 2 2 2 3 3 3 2" xfId="12856"/>
    <cellStyle name="Normal 7 2 2 2 3 3 3 2 2" xfId="27900"/>
    <cellStyle name="Normal 7 2 2 2 3 3 3 2 3" xfId="42943"/>
    <cellStyle name="Normal 7 2 2 2 3 3 3 3" xfId="20379"/>
    <cellStyle name="Normal 7 2 2 2 3 3 3 4" xfId="35422"/>
    <cellStyle name="Normal 7 2 2 2 3 3 4" xfId="9107"/>
    <cellStyle name="Normal 7 2 2 2 3 3 4 2" xfId="24151"/>
    <cellStyle name="Normal 7 2 2 2 3 3 4 3" xfId="39194"/>
    <cellStyle name="Normal 7 2 2 2 3 3 5" xfId="16630"/>
    <cellStyle name="Normal 7 2 2 2 3 3 6" xfId="31673"/>
    <cellStyle name="Normal 7 2 2 2 3 4" xfId="2470"/>
    <cellStyle name="Normal 7 2 2 2 3 4 2" xfId="6266"/>
    <cellStyle name="Normal 7 2 2 2 3 4 2 2" xfId="13789"/>
    <cellStyle name="Normal 7 2 2 2 3 4 2 2 2" xfId="28833"/>
    <cellStyle name="Normal 7 2 2 2 3 4 2 2 3" xfId="43876"/>
    <cellStyle name="Normal 7 2 2 2 3 4 2 3" xfId="21312"/>
    <cellStyle name="Normal 7 2 2 2 3 4 2 4" xfId="36355"/>
    <cellStyle name="Normal 7 2 2 2 3 4 3" xfId="10040"/>
    <cellStyle name="Normal 7 2 2 2 3 4 3 2" xfId="25084"/>
    <cellStyle name="Normal 7 2 2 2 3 4 3 3" xfId="40127"/>
    <cellStyle name="Normal 7 2 2 2 3 4 4" xfId="17563"/>
    <cellStyle name="Normal 7 2 2 2 3 4 5" xfId="32606"/>
    <cellStyle name="Normal 7 2 2 2 3 5" xfId="4398"/>
    <cellStyle name="Normal 7 2 2 2 3 5 2" xfId="11922"/>
    <cellStyle name="Normal 7 2 2 2 3 5 2 2" xfId="26966"/>
    <cellStyle name="Normal 7 2 2 2 3 5 2 3" xfId="42009"/>
    <cellStyle name="Normal 7 2 2 2 3 5 3" xfId="19445"/>
    <cellStyle name="Normal 7 2 2 2 3 5 4" xfId="34488"/>
    <cellStyle name="Normal 7 2 2 2 3 6" xfId="8161"/>
    <cellStyle name="Normal 7 2 2 2 3 6 2" xfId="23205"/>
    <cellStyle name="Normal 7 2 2 2 3 6 3" xfId="38248"/>
    <cellStyle name="Normal 7 2 2 2 3 7" xfId="15684"/>
    <cellStyle name="Normal 7 2 2 2 3 8" xfId="30727"/>
    <cellStyle name="Normal 7 2 2 2 4" xfId="1022"/>
    <cellStyle name="Normal 7 2 2 2 4 2" xfId="1981"/>
    <cellStyle name="Normal 7 2 2 2 4 2 2" xfId="3852"/>
    <cellStyle name="Normal 7 2 2 2 4 2 2 2" xfId="7647"/>
    <cellStyle name="Normal 7 2 2 2 4 2 2 2 2" xfId="15170"/>
    <cellStyle name="Normal 7 2 2 2 4 2 2 2 2 2" xfId="30214"/>
    <cellStyle name="Normal 7 2 2 2 4 2 2 2 2 3" xfId="45257"/>
    <cellStyle name="Normal 7 2 2 2 4 2 2 2 3" xfId="22693"/>
    <cellStyle name="Normal 7 2 2 2 4 2 2 2 4" xfId="37736"/>
    <cellStyle name="Normal 7 2 2 2 4 2 2 3" xfId="11421"/>
    <cellStyle name="Normal 7 2 2 2 4 2 2 3 2" xfId="26465"/>
    <cellStyle name="Normal 7 2 2 2 4 2 2 3 3" xfId="41508"/>
    <cellStyle name="Normal 7 2 2 2 4 2 2 4" xfId="18944"/>
    <cellStyle name="Normal 7 2 2 2 4 2 2 5" xfId="33987"/>
    <cellStyle name="Normal 7 2 2 2 4 2 3" xfId="5782"/>
    <cellStyle name="Normal 7 2 2 2 4 2 3 2" xfId="13305"/>
    <cellStyle name="Normal 7 2 2 2 4 2 3 2 2" xfId="28349"/>
    <cellStyle name="Normal 7 2 2 2 4 2 3 2 3" xfId="43392"/>
    <cellStyle name="Normal 7 2 2 2 4 2 3 3" xfId="20828"/>
    <cellStyle name="Normal 7 2 2 2 4 2 3 4" xfId="35871"/>
    <cellStyle name="Normal 7 2 2 2 4 2 4" xfId="9556"/>
    <cellStyle name="Normal 7 2 2 2 4 2 4 2" xfId="24600"/>
    <cellStyle name="Normal 7 2 2 2 4 2 4 3" xfId="39643"/>
    <cellStyle name="Normal 7 2 2 2 4 2 5" xfId="17079"/>
    <cellStyle name="Normal 7 2 2 2 4 2 6" xfId="32122"/>
    <cellStyle name="Normal 7 2 2 2 4 3" xfId="2920"/>
    <cellStyle name="Normal 7 2 2 2 4 3 2" xfId="6715"/>
    <cellStyle name="Normal 7 2 2 2 4 3 2 2" xfId="14238"/>
    <cellStyle name="Normal 7 2 2 2 4 3 2 2 2" xfId="29282"/>
    <cellStyle name="Normal 7 2 2 2 4 3 2 2 3" xfId="44325"/>
    <cellStyle name="Normal 7 2 2 2 4 3 2 3" xfId="21761"/>
    <cellStyle name="Normal 7 2 2 2 4 3 2 4" xfId="36804"/>
    <cellStyle name="Normal 7 2 2 2 4 3 3" xfId="10489"/>
    <cellStyle name="Normal 7 2 2 2 4 3 3 2" xfId="25533"/>
    <cellStyle name="Normal 7 2 2 2 4 3 3 3" xfId="40576"/>
    <cellStyle name="Normal 7 2 2 2 4 3 4" xfId="18012"/>
    <cellStyle name="Normal 7 2 2 2 4 3 5" xfId="33055"/>
    <cellStyle name="Normal 7 2 2 2 4 4" xfId="4850"/>
    <cellStyle name="Normal 7 2 2 2 4 4 2" xfId="12373"/>
    <cellStyle name="Normal 7 2 2 2 4 4 2 2" xfId="27417"/>
    <cellStyle name="Normal 7 2 2 2 4 4 2 3" xfId="42460"/>
    <cellStyle name="Normal 7 2 2 2 4 4 3" xfId="19896"/>
    <cellStyle name="Normal 7 2 2 2 4 4 4" xfId="34939"/>
    <cellStyle name="Normal 7 2 2 2 4 5" xfId="8624"/>
    <cellStyle name="Normal 7 2 2 2 4 5 2" xfId="23668"/>
    <cellStyle name="Normal 7 2 2 2 4 5 3" xfId="38711"/>
    <cellStyle name="Normal 7 2 2 2 4 6" xfId="16147"/>
    <cellStyle name="Normal 7 2 2 2 4 7" xfId="31190"/>
    <cellStyle name="Normal 7 2 2 2 5" xfId="1529"/>
    <cellStyle name="Normal 7 2 2 2 5 2" xfId="3400"/>
    <cellStyle name="Normal 7 2 2 2 5 2 2" xfId="7195"/>
    <cellStyle name="Normal 7 2 2 2 5 2 2 2" xfId="14718"/>
    <cellStyle name="Normal 7 2 2 2 5 2 2 2 2" xfId="29762"/>
    <cellStyle name="Normal 7 2 2 2 5 2 2 2 3" xfId="44805"/>
    <cellStyle name="Normal 7 2 2 2 5 2 2 3" xfId="22241"/>
    <cellStyle name="Normal 7 2 2 2 5 2 2 4" xfId="37284"/>
    <cellStyle name="Normal 7 2 2 2 5 2 3" xfId="10969"/>
    <cellStyle name="Normal 7 2 2 2 5 2 3 2" xfId="26013"/>
    <cellStyle name="Normal 7 2 2 2 5 2 3 3" xfId="41056"/>
    <cellStyle name="Normal 7 2 2 2 5 2 4" xfId="18492"/>
    <cellStyle name="Normal 7 2 2 2 5 2 5" xfId="33535"/>
    <cellStyle name="Normal 7 2 2 2 5 3" xfId="5330"/>
    <cellStyle name="Normal 7 2 2 2 5 3 2" xfId="12853"/>
    <cellStyle name="Normal 7 2 2 2 5 3 2 2" xfId="27897"/>
    <cellStyle name="Normal 7 2 2 2 5 3 2 3" xfId="42940"/>
    <cellStyle name="Normal 7 2 2 2 5 3 3" xfId="20376"/>
    <cellStyle name="Normal 7 2 2 2 5 3 4" xfId="35419"/>
    <cellStyle name="Normal 7 2 2 2 5 4" xfId="9104"/>
    <cellStyle name="Normal 7 2 2 2 5 4 2" xfId="24148"/>
    <cellStyle name="Normal 7 2 2 2 5 4 3" xfId="39191"/>
    <cellStyle name="Normal 7 2 2 2 5 5" xfId="16627"/>
    <cellStyle name="Normal 7 2 2 2 5 6" xfId="31670"/>
    <cellStyle name="Normal 7 2 2 2 6" xfId="2467"/>
    <cellStyle name="Normal 7 2 2 2 6 2" xfId="6263"/>
    <cellStyle name="Normal 7 2 2 2 6 2 2" xfId="13786"/>
    <cellStyle name="Normal 7 2 2 2 6 2 2 2" xfId="28830"/>
    <cellStyle name="Normal 7 2 2 2 6 2 2 3" xfId="43873"/>
    <cellStyle name="Normal 7 2 2 2 6 2 3" xfId="21309"/>
    <cellStyle name="Normal 7 2 2 2 6 2 4" xfId="36352"/>
    <cellStyle name="Normal 7 2 2 2 6 3" xfId="10037"/>
    <cellStyle name="Normal 7 2 2 2 6 3 2" xfId="25081"/>
    <cellStyle name="Normal 7 2 2 2 6 3 3" xfId="40124"/>
    <cellStyle name="Normal 7 2 2 2 6 4" xfId="17560"/>
    <cellStyle name="Normal 7 2 2 2 6 5" xfId="32603"/>
    <cellStyle name="Normal 7 2 2 2 7" xfId="4395"/>
    <cellStyle name="Normal 7 2 2 2 7 2" xfId="11919"/>
    <cellStyle name="Normal 7 2 2 2 7 2 2" xfId="26963"/>
    <cellStyle name="Normal 7 2 2 2 7 2 3" xfId="42006"/>
    <cellStyle name="Normal 7 2 2 2 7 3" xfId="19442"/>
    <cellStyle name="Normal 7 2 2 2 7 4" xfId="34485"/>
    <cellStyle name="Normal 7 2 2 2 8" xfId="8158"/>
    <cellStyle name="Normal 7 2 2 2 8 2" xfId="23202"/>
    <cellStyle name="Normal 7 2 2 2 8 3" xfId="38245"/>
    <cellStyle name="Normal 7 2 2 2 9" xfId="15681"/>
    <cellStyle name="Normal 7 2 2 3" xfId="508"/>
    <cellStyle name="Normal 7 2 2 3 2" xfId="509"/>
    <cellStyle name="Normal 7 2 2 3 2 2" xfId="1027"/>
    <cellStyle name="Normal 7 2 2 3 2 2 2" xfId="1986"/>
    <cellStyle name="Normal 7 2 2 3 2 2 2 2" xfId="3857"/>
    <cellStyle name="Normal 7 2 2 3 2 2 2 2 2" xfId="7652"/>
    <cellStyle name="Normal 7 2 2 3 2 2 2 2 2 2" xfId="15175"/>
    <cellStyle name="Normal 7 2 2 3 2 2 2 2 2 2 2" xfId="30219"/>
    <cellStyle name="Normal 7 2 2 3 2 2 2 2 2 2 3" xfId="45262"/>
    <cellStyle name="Normal 7 2 2 3 2 2 2 2 2 3" xfId="22698"/>
    <cellStyle name="Normal 7 2 2 3 2 2 2 2 2 4" xfId="37741"/>
    <cellStyle name="Normal 7 2 2 3 2 2 2 2 3" xfId="11426"/>
    <cellStyle name="Normal 7 2 2 3 2 2 2 2 3 2" xfId="26470"/>
    <cellStyle name="Normal 7 2 2 3 2 2 2 2 3 3" xfId="41513"/>
    <cellStyle name="Normal 7 2 2 3 2 2 2 2 4" xfId="18949"/>
    <cellStyle name="Normal 7 2 2 3 2 2 2 2 5" xfId="33992"/>
    <cellStyle name="Normal 7 2 2 3 2 2 2 3" xfId="5787"/>
    <cellStyle name="Normal 7 2 2 3 2 2 2 3 2" xfId="13310"/>
    <cellStyle name="Normal 7 2 2 3 2 2 2 3 2 2" xfId="28354"/>
    <cellStyle name="Normal 7 2 2 3 2 2 2 3 2 3" xfId="43397"/>
    <cellStyle name="Normal 7 2 2 3 2 2 2 3 3" xfId="20833"/>
    <cellStyle name="Normal 7 2 2 3 2 2 2 3 4" xfId="35876"/>
    <cellStyle name="Normal 7 2 2 3 2 2 2 4" xfId="9561"/>
    <cellStyle name="Normal 7 2 2 3 2 2 2 4 2" xfId="24605"/>
    <cellStyle name="Normal 7 2 2 3 2 2 2 4 3" xfId="39648"/>
    <cellStyle name="Normal 7 2 2 3 2 2 2 5" xfId="17084"/>
    <cellStyle name="Normal 7 2 2 3 2 2 2 6" xfId="32127"/>
    <cellStyle name="Normal 7 2 2 3 2 2 3" xfId="2925"/>
    <cellStyle name="Normal 7 2 2 3 2 2 3 2" xfId="6720"/>
    <cellStyle name="Normal 7 2 2 3 2 2 3 2 2" xfId="14243"/>
    <cellStyle name="Normal 7 2 2 3 2 2 3 2 2 2" xfId="29287"/>
    <cellStyle name="Normal 7 2 2 3 2 2 3 2 2 3" xfId="44330"/>
    <cellStyle name="Normal 7 2 2 3 2 2 3 2 3" xfId="21766"/>
    <cellStyle name="Normal 7 2 2 3 2 2 3 2 4" xfId="36809"/>
    <cellStyle name="Normal 7 2 2 3 2 2 3 3" xfId="10494"/>
    <cellStyle name="Normal 7 2 2 3 2 2 3 3 2" xfId="25538"/>
    <cellStyle name="Normal 7 2 2 3 2 2 3 3 3" xfId="40581"/>
    <cellStyle name="Normal 7 2 2 3 2 2 3 4" xfId="18017"/>
    <cellStyle name="Normal 7 2 2 3 2 2 3 5" xfId="33060"/>
    <cellStyle name="Normal 7 2 2 3 2 2 4" xfId="4855"/>
    <cellStyle name="Normal 7 2 2 3 2 2 4 2" xfId="12378"/>
    <cellStyle name="Normal 7 2 2 3 2 2 4 2 2" xfId="27422"/>
    <cellStyle name="Normal 7 2 2 3 2 2 4 2 3" xfId="42465"/>
    <cellStyle name="Normal 7 2 2 3 2 2 4 3" xfId="19901"/>
    <cellStyle name="Normal 7 2 2 3 2 2 4 4" xfId="34944"/>
    <cellStyle name="Normal 7 2 2 3 2 2 5" xfId="8629"/>
    <cellStyle name="Normal 7 2 2 3 2 2 5 2" xfId="23673"/>
    <cellStyle name="Normal 7 2 2 3 2 2 5 3" xfId="38716"/>
    <cellStyle name="Normal 7 2 2 3 2 2 6" xfId="16152"/>
    <cellStyle name="Normal 7 2 2 3 2 2 7" xfId="31195"/>
    <cellStyle name="Normal 7 2 2 3 2 3" xfId="1534"/>
    <cellStyle name="Normal 7 2 2 3 2 3 2" xfId="3405"/>
    <cellStyle name="Normal 7 2 2 3 2 3 2 2" xfId="7200"/>
    <cellStyle name="Normal 7 2 2 3 2 3 2 2 2" xfId="14723"/>
    <cellStyle name="Normal 7 2 2 3 2 3 2 2 2 2" xfId="29767"/>
    <cellStyle name="Normal 7 2 2 3 2 3 2 2 2 3" xfId="44810"/>
    <cellStyle name="Normal 7 2 2 3 2 3 2 2 3" xfId="22246"/>
    <cellStyle name="Normal 7 2 2 3 2 3 2 2 4" xfId="37289"/>
    <cellStyle name="Normal 7 2 2 3 2 3 2 3" xfId="10974"/>
    <cellStyle name="Normal 7 2 2 3 2 3 2 3 2" xfId="26018"/>
    <cellStyle name="Normal 7 2 2 3 2 3 2 3 3" xfId="41061"/>
    <cellStyle name="Normal 7 2 2 3 2 3 2 4" xfId="18497"/>
    <cellStyle name="Normal 7 2 2 3 2 3 2 5" xfId="33540"/>
    <cellStyle name="Normal 7 2 2 3 2 3 3" xfId="5335"/>
    <cellStyle name="Normal 7 2 2 3 2 3 3 2" xfId="12858"/>
    <cellStyle name="Normal 7 2 2 3 2 3 3 2 2" xfId="27902"/>
    <cellStyle name="Normal 7 2 2 3 2 3 3 2 3" xfId="42945"/>
    <cellStyle name="Normal 7 2 2 3 2 3 3 3" xfId="20381"/>
    <cellStyle name="Normal 7 2 2 3 2 3 3 4" xfId="35424"/>
    <cellStyle name="Normal 7 2 2 3 2 3 4" xfId="9109"/>
    <cellStyle name="Normal 7 2 2 3 2 3 4 2" xfId="24153"/>
    <cellStyle name="Normal 7 2 2 3 2 3 4 3" xfId="39196"/>
    <cellStyle name="Normal 7 2 2 3 2 3 5" xfId="16632"/>
    <cellStyle name="Normal 7 2 2 3 2 3 6" xfId="31675"/>
    <cellStyle name="Normal 7 2 2 3 2 4" xfId="2472"/>
    <cellStyle name="Normal 7 2 2 3 2 4 2" xfId="6268"/>
    <cellStyle name="Normal 7 2 2 3 2 4 2 2" xfId="13791"/>
    <cellStyle name="Normal 7 2 2 3 2 4 2 2 2" xfId="28835"/>
    <cellStyle name="Normal 7 2 2 3 2 4 2 2 3" xfId="43878"/>
    <cellStyle name="Normal 7 2 2 3 2 4 2 3" xfId="21314"/>
    <cellStyle name="Normal 7 2 2 3 2 4 2 4" xfId="36357"/>
    <cellStyle name="Normal 7 2 2 3 2 4 3" xfId="10042"/>
    <cellStyle name="Normal 7 2 2 3 2 4 3 2" xfId="25086"/>
    <cellStyle name="Normal 7 2 2 3 2 4 3 3" xfId="40129"/>
    <cellStyle name="Normal 7 2 2 3 2 4 4" xfId="17565"/>
    <cellStyle name="Normal 7 2 2 3 2 4 5" xfId="32608"/>
    <cellStyle name="Normal 7 2 2 3 2 5" xfId="4400"/>
    <cellStyle name="Normal 7 2 2 3 2 5 2" xfId="11924"/>
    <cellStyle name="Normal 7 2 2 3 2 5 2 2" xfId="26968"/>
    <cellStyle name="Normal 7 2 2 3 2 5 2 3" xfId="42011"/>
    <cellStyle name="Normal 7 2 2 3 2 5 3" xfId="19447"/>
    <cellStyle name="Normal 7 2 2 3 2 5 4" xfId="34490"/>
    <cellStyle name="Normal 7 2 2 3 2 6" xfId="8163"/>
    <cellStyle name="Normal 7 2 2 3 2 6 2" xfId="23207"/>
    <cellStyle name="Normal 7 2 2 3 2 6 3" xfId="38250"/>
    <cellStyle name="Normal 7 2 2 3 2 7" xfId="15686"/>
    <cellStyle name="Normal 7 2 2 3 2 8" xfId="30729"/>
    <cellStyle name="Normal 7 2 2 3 3" xfId="1026"/>
    <cellStyle name="Normal 7 2 2 3 3 2" xfId="1985"/>
    <cellStyle name="Normal 7 2 2 3 3 2 2" xfId="3856"/>
    <cellStyle name="Normal 7 2 2 3 3 2 2 2" xfId="7651"/>
    <cellStyle name="Normal 7 2 2 3 3 2 2 2 2" xfId="15174"/>
    <cellStyle name="Normal 7 2 2 3 3 2 2 2 2 2" xfId="30218"/>
    <cellStyle name="Normal 7 2 2 3 3 2 2 2 2 3" xfId="45261"/>
    <cellStyle name="Normal 7 2 2 3 3 2 2 2 3" xfId="22697"/>
    <cellStyle name="Normal 7 2 2 3 3 2 2 2 4" xfId="37740"/>
    <cellStyle name="Normal 7 2 2 3 3 2 2 3" xfId="11425"/>
    <cellStyle name="Normal 7 2 2 3 3 2 2 3 2" xfId="26469"/>
    <cellStyle name="Normal 7 2 2 3 3 2 2 3 3" xfId="41512"/>
    <cellStyle name="Normal 7 2 2 3 3 2 2 4" xfId="18948"/>
    <cellStyle name="Normal 7 2 2 3 3 2 2 5" xfId="33991"/>
    <cellStyle name="Normal 7 2 2 3 3 2 3" xfId="5786"/>
    <cellStyle name="Normal 7 2 2 3 3 2 3 2" xfId="13309"/>
    <cellStyle name="Normal 7 2 2 3 3 2 3 2 2" xfId="28353"/>
    <cellStyle name="Normal 7 2 2 3 3 2 3 2 3" xfId="43396"/>
    <cellStyle name="Normal 7 2 2 3 3 2 3 3" xfId="20832"/>
    <cellStyle name="Normal 7 2 2 3 3 2 3 4" xfId="35875"/>
    <cellStyle name="Normal 7 2 2 3 3 2 4" xfId="9560"/>
    <cellStyle name="Normal 7 2 2 3 3 2 4 2" xfId="24604"/>
    <cellStyle name="Normal 7 2 2 3 3 2 4 3" xfId="39647"/>
    <cellStyle name="Normal 7 2 2 3 3 2 5" xfId="17083"/>
    <cellStyle name="Normal 7 2 2 3 3 2 6" xfId="32126"/>
    <cellStyle name="Normal 7 2 2 3 3 3" xfId="2924"/>
    <cellStyle name="Normal 7 2 2 3 3 3 2" xfId="6719"/>
    <cellStyle name="Normal 7 2 2 3 3 3 2 2" xfId="14242"/>
    <cellStyle name="Normal 7 2 2 3 3 3 2 2 2" xfId="29286"/>
    <cellStyle name="Normal 7 2 2 3 3 3 2 2 3" xfId="44329"/>
    <cellStyle name="Normal 7 2 2 3 3 3 2 3" xfId="21765"/>
    <cellStyle name="Normal 7 2 2 3 3 3 2 4" xfId="36808"/>
    <cellStyle name="Normal 7 2 2 3 3 3 3" xfId="10493"/>
    <cellStyle name="Normal 7 2 2 3 3 3 3 2" xfId="25537"/>
    <cellStyle name="Normal 7 2 2 3 3 3 3 3" xfId="40580"/>
    <cellStyle name="Normal 7 2 2 3 3 3 4" xfId="18016"/>
    <cellStyle name="Normal 7 2 2 3 3 3 5" xfId="33059"/>
    <cellStyle name="Normal 7 2 2 3 3 4" xfId="4854"/>
    <cellStyle name="Normal 7 2 2 3 3 4 2" xfId="12377"/>
    <cellStyle name="Normal 7 2 2 3 3 4 2 2" xfId="27421"/>
    <cellStyle name="Normal 7 2 2 3 3 4 2 3" xfId="42464"/>
    <cellStyle name="Normal 7 2 2 3 3 4 3" xfId="19900"/>
    <cellStyle name="Normal 7 2 2 3 3 4 4" xfId="34943"/>
    <cellStyle name="Normal 7 2 2 3 3 5" xfId="8628"/>
    <cellStyle name="Normal 7 2 2 3 3 5 2" xfId="23672"/>
    <cellStyle name="Normal 7 2 2 3 3 5 3" xfId="38715"/>
    <cellStyle name="Normal 7 2 2 3 3 6" xfId="16151"/>
    <cellStyle name="Normal 7 2 2 3 3 7" xfId="31194"/>
    <cellStyle name="Normal 7 2 2 3 4" xfId="1533"/>
    <cellStyle name="Normal 7 2 2 3 4 2" xfId="3404"/>
    <cellStyle name="Normal 7 2 2 3 4 2 2" xfId="7199"/>
    <cellStyle name="Normal 7 2 2 3 4 2 2 2" xfId="14722"/>
    <cellStyle name="Normal 7 2 2 3 4 2 2 2 2" xfId="29766"/>
    <cellStyle name="Normal 7 2 2 3 4 2 2 2 3" xfId="44809"/>
    <cellStyle name="Normal 7 2 2 3 4 2 2 3" xfId="22245"/>
    <cellStyle name="Normal 7 2 2 3 4 2 2 4" xfId="37288"/>
    <cellStyle name="Normal 7 2 2 3 4 2 3" xfId="10973"/>
    <cellStyle name="Normal 7 2 2 3 4 2 3 2" xfId="26017"/>
    <cellStyle name="Normal 7 2 2 3 4 2 3 3" xfId="41060"/>
    <cellStyle name="Normal 7 2 2 3 4 2 4" xfId="18496"/>
    <cellStyle name="Normal 7 2 2 3 4 2 5" xfId="33539"/>
    <cellStyle name="Normal 7 2 2 3 4 3" xfId="5334"/>
    <cellStyle name="Normal 7 2 2 3 4 3 2" xfId="12857"/>
    <cellStyle name="Normal 7 2 2 3 4 3 2 2" xfId="27901"/>
    <cellStyle name="Normal 7 2 2 3 4 3 2 3" xfId="42944"/>
    <cellStyle name="Normal 7 2 2 3 4 3 3" xfId="20380"/>
    <cellStyle name="Normal 7 2 2 3 4 3 4" xfId="35423"/>
    <cellStyle name="Normal 7 2 2 3 4 4" xfId="9108"/>
    <cellStyle name="Normal 7 2 2 3 4 4 2" xfId="24152"/>
    <cellStyle name="Normal 7 2 2 3 4 4 3" xfId="39195"/>
    <cellStyle name="Normal 7 2 2 3 4 5" xfId="16631"/>
    <cellStyle name="Normal 7 2 2 3 4 6" xfId="31674"/>
    <cellStyle name="Normal 7 2 2 3 5" xfId="2471"/>
    <cellStyle name="Normal 7 2 2 3 5 2" xfId="6267"/>
    <cellStyle name="Normal 7 2 2 3 5 2 2" xfId="13790"/>
    <cellStyle name="Normal 7 2 2 3 5 2 2 2" xfId="28834"/>
    <cellStyle name="Normal 7 2 2 3 5 2 2 3" xfId="43877"/>
    <cellStyle name="Normal 7 2 2 3 5 2 3" xfId="21313"/>
    <cellStyle name="Normal 7 2 2 3 5 2 4" xfId="36356"/>
    <cellStyle name="Normal 7 2 2 3 5 3" xfId="10041"/>
    <cellStyle name="Normal 7 2 2 3 5 3 2" xfId="25085"/>
    <cellStyle name="Normal 7 2 2 3 5 3 3" xfId="40128"/>
    <cellStyle name="Normal 7 2 2 3 5 4" xfId="17564"/>
    <cellStyle name="Normal 7 2 2 3 5 5" xfId="32607"/>
    <cellStyle name="Normal 7 2 2 3 6" xfId="4399"/>
    <cellStyle name="Normal 7 2 2 3 6 2" xfId="11923"/>
    <cellStyle name="Normal 7 2 2 3 6 2 2" xfId="26967"/>
    <cellStyle name="Normal 7 2 2 3 6 2 3" xfId="42010"/>
    <cellStyle name="Normal 7 2 2 3 6 3" xfId="19446"/>
    <cellStyle name="Normal 7 2 2 3 6 4" xfId="34489"/>
    <cellStyle name="Normal 7 2 2 3 7" xfId="8162"/>
    <cellStyle name="Normal 7 2 2 3 7 2" xfId="23206"/>
    <cellStyle name="Normal 7 2 2 3 7 3" xfId="38249"/>
    <cellStyle name="Normal 7 2 2 3 8" xfId="15685"/>
    <cellStyle name="Normal 7 2 2 3 9" xfId="30728"/>
    <cellStyle name="Normal 7 2 2 4" xfId="510"/>
    <cellStyle name="Normal 7 2 2 4 2" xfId="511"/>
    <cellStyle name="Normal 7 2 2 4 2 2" xfId="1029"/>
    <cellStyle name="Normal 7 2 2 4 2 2 2" xfId="1988"/>
    <cellStyle name="Normal 7 2 2 4 2 2 2 2" xfId="3859"/>
    <cellStyle name="Normal 7 2 2 4 2 2 2 2 2" xfId="7654"/>
    <cellStyle name="Normal 7 2 2 4 2 2 2 2 2 2" xfId="15177"/>
    <cellStyle name="Normal 7 2 2 4 2 2 2 2 2 2 2" xfId="30221"/>
    <cellStyle name="Normal 7 2 2 4 2 2 2 2 2 2 3" xfId="45264"/>
    <cellStyle name="Normal 7 2 2 4 2 2 2 2 2 3" xfId="22700"/>
    <cellStyle name="Normal 7 2 2 4 2 2 2 2 2 4" xfId="37743"/>
    <cellStyle name="Normal 7 2 2 4 2 2 2 2 3" xfId="11428"/>
    <cellStyle name="Normal 7 2 2 4 2 2 2 2 3 2" xfId="26472"/>
    <cellStyle name="Normal 7 2 2 4 2 2 2 2 3 3" xfId="41515"/>
    <cellStyle name="Normal 7 2 2 4 2 2 2 2 4" xfId="18951"/>
    <cellStyle name="Normal 7 2 2 4 2 2 2 2 5" xfId="33994"/>
    <cellStyle name="Normal 7 2 2 4 2 2 2 3" xfId="5789"/>
    <cellStyle name="Normal 7 2 2 4 2 2 2 3 2" xfId="13312"/>
    <cellStyle name="Normal 7 2 2 4 2 2 2 3 2 2" xfId="28356"/>
    <cellStyle name="Normal 7 2 2 4 2 2 2 3 2 3" xfId="43399"/>
    <cellStyle name="Normal 7 2 2 4 2 2 2 3 3" xfId="20835"/>
    <cellStyle name="Normal 7 2 2 4 2 2 2 3 4" xfId="35878"/>
    <cellStyle name="Normal 7 2 2 4 2 2 2 4" xfId="9563"/>
    <cellStyle name="Normal 7 2 2 4 2 2 2 4 2" xfId="24607"/>
    <cellStyle name="Normal 7 2 2 4 2 2 2 4 3" xfId="39650"/>
    <cellStyle name="Normal 7 2 2 4 2 2 2 5" xfId="17086"/>
    <cellStyle name="Normal 7 2 2 4 2 2 2 6" xfId="32129"/>
    <cellStyle name="Normal 7 2 2 4 2 2 3" xfId="2927"/>
    <cellStyle name="Normal 7 2 2 4 2 2 3 2" xfId="6722"/>
    <cellStyle name="Normal 7 2 2 4 2 2 3 2 2" xfId="14245"/>
    <cellStyle name="Normal 7 2 2 4 2 2 3 2 2 2" xfId="29289"/>
    <cellStyle name="Normal 7 2 2 4 2 2 3 2 2 3" xfId="44332"/>
    <cellStyle name="Normal 7 2 2 4 2 2 3 2 3" xfId="21768"/>
    <cellStyle name="Normal 7 2 2 4 2 2 3 2 4" xfId="36811"/>
    <cellStyle name="Normal 7 2 2 4 2 2 3 3" xfId="10496"/>
    <cellStyle name="Normal 7 2 2 4 2 2 3 3 2" xfId="25540"/>
    <cellStyle name="Normal 7 2 2 4 2 2 3 3 3" xfId="40583"/>
    <cellStyle name="Normal 7 2 2 4 2 2 3 4" xfId="18019"/>
    <cellStyle name="Normal 7 2 2 4 2 2 3 5" xfId="33062"/>
    <cellStyle name="Normal 7 2 2 4 2 2 4" xfId="4857"/>
    <cellStyle name="Normal 7 2 2 4 2 2 4 2" xfId="12380"/>
    <cellStyle name="Normal 7 2 2 4 2 2 4 2 2" xfId="27424"/>
    <cellStyle name="Normal 7 2 2 4 2 2 4 2 3" xfId="42467"/>
    <cellStyle name="Normal 7 2 2 4 2 2 4 3" xfId="19903"/>
    <cellStyle name="Normal 7 2 2 4 2 2 4 4" xfId="34946"/>
    <cellStyle name="Normal 7 2 2 4 2 2 5" xfId="8631"/>
    <cellStyle name="Normal 7 2 2 4 2 2 5 2" xfId="23675"/>
    <cellStyle name="Normal 7 2 2 4 2 2 5 3" xfId="38718"/>
    <cellStyle name="Normal 7 2 2 4 2 2 6" xfId="16154"/>
    <cellStyle name="Normal 7 2 2 4 2 2 7" xfId="31197"/>
    <cellStyle name="Normal 7 2 2 4 2 3" xfId="1536"/>
    <cellStyle name="Normal 7 2 2 4 2 3 2" xfId="3407"/>
    <cellStyle name="Normal 7 2 2 4 2 3 2 2" xfId="7202"/>
    <cellStyle name="Normal 7 2 2 4 2 3 2 2 2" xfId="14725"/>
    <cellStyle name="Normal 7 2 2 4 2 3 2 2 2 2" xfId="29769"/>
    <cellStyle name="Normal 7 2 2 4 2 3 2 2 2 3" xfId="44812"/>
    <cellStyle name="Normal 7 2 2 4 2 3 2 2 3" xfId="22248"/>
    <cellStyle name="Normal 7 2 2 4 2 3 2 2 4" xfId="37291"/>
    <cellStyle name="Normal 7 2 2 4 2 3 2 3" xfId="10976"/>
    <cellStyle name="Normal 7 2 2 4 2 3 2 3 2" xfId="26020"/>
    <cellStyle name="Normal 7 2 2 4 2 3 2 3 3" xfId="41063"/>
    <cellStyle name="Normal 7 2 2 4 2 3 2 4" xfId="18499"/>
    <cellStyle name="Normal 7 2 2 4 2 3 2 5" xfId="33542"/>
    <cellStyle name="Normal 7 2 2 4 2 3 3" xfId="5337"/>
    <cellStyle name="Normal 7 2 2 4 2 3 3 2" xfId="12860"/>
    <cellStyle name="Normal 7 2 2 4 2 3 3 2 2" xfId="27904"/>
    <cellStyle name="Normal 7 2 2 4 2 3 3 2 3" xfId="42947"/>
    <cellStyle name="Normal 7 2 2 4 2 3 3 3" xfId="20383"/>
    <cellStyle name="Normal 7 2 2 4 2 3 3 4" xfId="35426"/>
    <cellStyle name="Normal 7 2 2 4 2 3 4" xfId="9111"/>
    <cellStyle name="Normal 7 2 2 4 2 3 4 2" xfId="24155"/>
    <cellStyle name="Normal 7 2 2 4 2 3 4 3" xfId="39198"/>
    <cellStyle name="Normal 7 2 2 4 2 3 5" xfId="16634"/>
    <cellStyle name="Normal 7 2 2 4 2 3 6" xfId="31677"/>
    <cellStyle name="Normal 7 2 2 4 2 4" xfId="2474"/>
    <cellStyle name="Normal 7 2 2 4 2 4 2" xfId="6270"/>
    <cellStyle name="Normal 7 2 2 4 2 4 2 2" xfId="13793"/>
    <cellStyle name="Normal 7 2 2 4 2 4 2 2 2" xfId="28837"/>
    <cellStyle name="Normal 7 2 2 4 2 4 2 2 3" xfId="43880"/>
    <cellStyle name="Normal 7 2 2 4 2 4 2 3" xfId="21316"/>
    <cellStyle name="Normal 7 2 2 4 2 4 2 4" xfId="36359"/>
    <cellStyle name="Normal 7 2 2 4 2 4 3" xfId="10044"/>
    <cellStyle name="Normal 7 2 2 4 2 4 3 2" xfId="25088"/>
    <cellStyle name="Normal 7 2 2 4 2 4 3 3" xfId="40131"/>
    <cellStyle name="Normal 7 2 2 4 2 4 4" xfId="17567"/>
    <cellStyle name="Normal 7 2 2 4 2 4 5" xfId="32610"/>
    <cellStyle name="Normal 7 2 2 4 2 5" xfId="4402"/>
    <cellStyle name="Normal 7 2 2 4 2 5 2" xfId="11926"/>
    <cellStyle name="Normal 7 2 2 4 2 5 2 2" xfId="26970"/>
    <cellStyle name="Normal 7 2 2 4 2 5 2 3" xfId="42013"/>
    <cellStyle name="Normal 7 2 2 4 2 5 3" xfId="19449"/>
    <cellStyle name="Normal 7 2 2 4 2 5 4" xfId="34492"/>
    <cellStyle name="Normal 7 2 2 4 2 6" xfId="8165"/>
    <cellStyle name="Normal 7 2 2 4 2 6 2" xfId="23209"/>
    <cellStyle name="Normal 7 2 2 4 2 6 3" xfId="38252"/>
    <cellStyle name="Normal 7 2 2 4 2 7" xfId="15688"/>
    <cellStyle name="Normal 7 2 2 4 2 8" xfId="30731"/>
    <cellStyle name="Normal 7 2 2 4 3" xfId="1028"/>
    <cellStyle name="Normal 7 2 2 4 3 2" xfId="1987"/>
    <cellStyle name="Normal 7 2 2 4 3 2 2" xfId="3858"/>
    <cellStyle name="Normal 7 2 2 4 3 2 2 2" xfId="7653"/>
    <cellStyle name="Normal 7 2 2 4 3 2 2 2 2" xfId="15176"/>
    <cellStyle name="Normal 7 2 2 4 3 2 2 2 2 2" xfId="30220"/>
    <cellStyle name="Normal 7 2 2 4 3 2 2 2 2 3" xfId="45263"/>
    <cellStyle name="Normal 7 2 2 4 3 2 2 2 3" xfId="22699"/>
    <cellStyle name="Normal 7 2 2 4 3 2 2 2 4" xfId="37742"/>
    <cellStyle name="Normal 7 2 2 4 3 2 2 3" xfId="11427"/>
    <cellStyle name="Normal 7 2 2 4 3 2 2 3 2" xfId="26471"/>
    <cellStyle name="Normal 7 2 2 4 3 2 2 3 3" xfId="41514"/>
    <cellStyle name="Normal 7 2 2 4 3 2 2 4" xfId="18950"/>
    <cellStyle name="Normal 7 2 2 4 3 2 2 5" xfId="33993"/>
    <cellStyle name="Normal 7 2 2 4 3 2 3" xfId="5788"/>
    <cellStyle name="Normal 7 2 2 4 3 2 3 2" xfId="13311"/>
    <cellStyle name="Normal 7 2 2 4 3 2 3 2 2" xfId="28355"/>
    <cellStyle name="Normal 7 2 2 4 3 2 3 2 3" xfId="43398"/>
    <cellStyle name="Normal 7 2 2 4 3 2 3 3" xfId="20834"/>
    <cellStyle name="Normal 7 2 2 4 3 2 3 4" xfId="35877"/>
    <cellStyle name="Normal 7 2 2 4 3 2 4" xfId="9562"/>
    <cellStyle name="Normal 7 2 2 4 3 2 4 2" xfId="24606"/>
    <cellStyle name="Normal 7 2 2 4 3 2 4 3" xfId="39649"/>
    <cellStyle name="Normal 7 2 2 4 3 2 5" xfId="17085"/>
    <cellStyle name="Normal 7 2 2 4 3 2 6" xfId="32128"/>
    <cellStyle name="Normal 7 2 2 4 3 3" xfId="2926"/>
    <cellStyle name="Normal 7 2 2 4 3 3 2" xfId="6721"/>
    <cellStyle name="Normal 7 2 2 4 3 3 2 2" xfId="14244"/>
    <cellStyle name="Normal 7 2 2 4 3 3 2 2 2" xfId="29288"/>
    <cellStyle name="Normal 7 2 2 4 3 3 2 2 3" xfId="44331"/>
    <cellStyle name="Normal 7 2 2 4 3 3 2 3" xfId="21767"/>
    <cellStyle name="Normal 7 2 2 4 3 3 2 4" xfId="36810"/>
    <cellStyle name="Normal 7 2 2 4 3 3 3" xfId="10495"/>
    <cellStyle name="Normal 7 2 2 4 3 3 3 2" xfId="25539"/>
    <cellStyle name="Normal 7 2 2 4 3 3 3 3" xfId="40582"/>
    <cellStyle name="Normal 7 2 2 4 3 3 4" xfId="18018"/>
    <cellStyle name="Normal 7 2 2 4 3 3 5" xfId="33061"/>
    <cellStyle name="Normal 7 2 2 4 3 4" xfId="4856"/>
    <cellStyle name="Normal 7 2 2 4 3 4 2" xfId="12379"/>
    <cellStyle name="Normal 7 2 2 4 3 4 2 2" xfId="27423"/>
    <cellStyle name="Normal 7 2 2 4 3 4 2 3" xfId="42466"/>
    <cellStyle name="Normal 7 2 2 4 3 4 3" xfId="19902"/>
    <cellStyle name="Normal 7 2 2 4 3 4 4" xfId="34945"/>
    <cellStyle name="Normal 7 2 2 4 3 5" xfId="8630"/>
    <cellStyle name="Normal 7 2 2 4 3 5 2" xfId="23674"/>
    <cellStyle name="Normal 7 2 2 4 3 5 3" xfId="38717"/>
    <cellStyle name="Normal 7 2 2 4 3 6" xfId="16153"/>
    <cellStyle name="Normal 7 2 2 4 3 7" xfId="31196"/>
    <cellStyle name="Normal 7 2 2 4 4" xfId="1535"/>
    <cellStyle name="Normal 7 2 2 4 4 2" xfId="3406"/>
    <cellStyle name="Normal 7 2 2 4 4 2 2" xfId="7201"/>
    <cellStyle name="Normal 7 2 2 4 4 2 2 2" xfId="14724"/>
    <cellStyle name="Normal 7 2 2 4 4 2 2 2 2" xfId="29768"/>
    <cellStyle name="Normal 7 2 2 4 4 2 2 2 3" xfId="44811"/>
    <cellStyle name="Normal 7 2 2 4 4 2 2 3" xfId="22247"/>
    <cellStyle name="Normal 7 2 2 4 4 2 2 4" xfId="37290"/>
    <cellStyle name="Normal 7 2 2 4 4 2 3" xfId="10975"/>
    <cellStyle name="Normal 7 2 2 4 4 2 3 2" xfId="26019"/>
    <cellStyle name="Normal 7 2 2 4 4 2 3 3" xfId="41062"/>
    <cellStyle name="Normal 7 2 2 4 4 2 4" xfId="18498"/>
    <cellStyle name="Normal 7 2 2 4 4 2 5" xfId="33541"/>
    <cellStyle name="Normal 7 2 2 4 4 3" xfId="5336"/>
    <cellStyle name="Normal 7 2 2 4 4 3 2" xfId="12859"/>
    <cellStyle name="Normal 7 2 2 4 4 3 2 2" xfId="27903"/>
    <cellStyle name="Normal 7 2 2 4 4 3 2 3" xfId="42946"/>
    <cellStyle name="Normal 7 2 2 4 4 3 3" xfId="20382"/>
    <cellStyle name="Normal 7 2 2 4 4 3 4" xfId="35425"/>
    <cellStyle name="Normal 7 2 2 4 4 4" xfId="9110"/>
    <cellStyle name="Normal 7 2 2 4 4 4 2" xfId="24154"/>
    <cellStyle name="Normal 7 2 2 4 4 4 3" xfId="39197"/>
    <cellStyle name="Normal 7 2 2 4 4 5" xfId="16633"/>
    <cellStyle name="Normal 7 2 2 4 4 6" xfId="31676"/>
    <cellStyle name="Normal 7 2 2 4 5" xfId="2473"/>
    <cellStyle name="Normal 7 2 2 4 5 2" xfId="6269"/>
    <cellStyle name="Normal 7 2 2 4 5 2 2" xfId="13792"/>
    <cellStyle name="Normal 7 2 2 4 5 2 2 2" xfId="28836"/>
    <cellStyle name="Normal 7 2 2 4 5 2 2 3" xfId="43879"/>
    <cellStyle name="Normal 7 2 2 4 5 2 3" xfId="21315"/>
    <cellStyle name="Normal 7 2 2 4 5 2 4" xfId="36358"/>
    <cellStyle name="Normal 7 2 2 4 5 3" xfId="10043"/>
    <cellStyle name="Normal 7 2 2 4 5 3 2" xfId="25087"/>
    <cellStyle name="Normal 7 2 2 4 5 3 3" xfId="40130"/>
    <cellStyle name="Normal 7 2 2 4 5 4" xfId="17566"/>
    <cellStyle name="Normal 7 2 2 4 5 5" xfId="32609"/>
    <cellStyle name="Normal 7 2 2 4 6" xfId="4401"/>
    <cellStyle name="Normal 7 2 2 4 6 2" xfId="11925"/>
    <cellStyle name="Normal 7 2 2 4 6 2 2" xfId="26969"/>
    <cellStyle name="Normal 7 2 2 4 6 2 3" xfId="42012"/>
    <cellStyle name="Normal 7 2 2 4 6 3" xfId="19448"/>
    <cellStyle name="Normal 7 2 2 4 6 4" xfId="34491"/>
    <cellStyle name="Normal 7 2 2 4 7" xfId="8164"/>
    <cellStyle name="Normal 7 2 2 4 7 2" xfId="23208"/>
    <cellStyle name="Normal 7 2 2 4 7 3" xfId="38251"/>
    <cellStyle name="Normal 7 2 2 4 8" xfId="15687"/>
    <cellStyle name="Normal 7 2 2 4 9" xfId="30730"/>
    <cellStyle name="Normal 7 2 2 5" xfId="512"/>
    <cellStyle name="Normal 7 2 2 5 2" xfId="1030"/>
    <cellStyle name="Normal 7 2 2 5 2 2" xfId="1989"/>
    <cellStyle name="Normal 7 2 2 5 2 2 2" xfId="3860"/>
    <cellStyle name="Normal 7 2 2 5 2 2 2 2" xfId="7655"/>
    <cellStyle name="Normal 7 2 2 5 2 2 2 2 2" xfId="15178"/>
    <cellStyle name="Normal 7 2 2 5 2 2 2 2 2 2" xfId="30222"/>
    <cellStyle name="Normal 7 2 2 5 2 2 2 2 2 3" xfId="45265"/>
    <cellStyle name="Normal 7 2 2 5 2 2 2 2 3" xfId="22701"/>
    <cellStyle name="Normal 7 2 2 5 2 2 2 2 4" xfId="37744"/>
    <cellStyle name="Normal 7 2 2 5 2 2 2 3" xfId="11429"/>
    <cellStyle name="Normal 7 2 2 5 2 2 2 3 2" xfId="26473"/>
    <cellStyle name="Normal 7 2 2 5 2 2 2 3 3" xfId="41516"/>
    <cellStyle name="Normal 7 2 2 5 2 2 2 4" xfId="18952"/>
    <cellStyle name="Normal 7 2 2 5 2 2 2 5" xfId="33995"/>
    <cellStyle name="Normal 7 2 2 5 2 2 3" xfId="5790"/>
    <cellStyle name="Normal 7 2 2 5 2 2 3 2" xfId="13313"/>
    <cellStyle name="Normal 7 2 2 5 2 2 3 2 2" xfId="28357"/>
    <cellStyle name="Normal 7 2 2 5 2 2 3 2 3" xfId="43400"/>
    <cellStyle name="Normal 7 2 2 5 2 2 3 3" xfId="20836"/>
    <cellStyle name="Normal 7 2 2 5 2 2 3 4" xfId="35879"/>
    <cellStyle name="Normal 7 2 2 5 2 2 4" xfId="9564"/>
    <cellStyle name="Normal 7 2 2 5 2 2 4 2" xfId="24608"/>
    <cellStyle name="Normal 7 2 2 5 2 2 4 3" xfId="39651"/>
    <cellStyle name="Normal 7 2 2 5 2 2 5" xfId="17087"/>
    <cellStyle name="Normal 7 2 2 5 2 2 6" xfId="32130"/>
    <cellStyle name="Normal 7 2 2 5 2 3" xfId="2928"/>
    <cellStyle name="Normal 7 2 2 5 2 3 2" xfId="6723"/>
    <cellStyle name="Normal 7 2 2 5 2 3 2 2" xfId="14246"/>
    <cellStyle name="Normal 7 2 2 5 2 3 2 2 2" xfId="29290"/>
    <cellStyle name="Normal 7 2 2 5 2 3 2 2 3" xfId="44333"/>
    <cellStyle name="Normal 7 2 2 5 2 3 2 3" xfId="21769"/>
    <cellStyle name="Normal 7 2 2 5 2 3 2 4" xfId="36812"/>
    <cellStyle name="Normal 7 2 2 5 2 3 3" xfId="10497"/>
    <cellStyle name="Normal 7 2 2 5 2 3 3 2" xfId="25541"/>
    <cellStyle name="Normal 7 2 2 5 2 3 3 3" xfId="40584"/>
    <cellStyle name="Normal 7 2 2 5 2 3 4" xfId="18020"/>
    <cellStyle name="Normal 7 2 2 5 2 3 5" xfId="33063"/>
    <cellStyle name="Normal 7 2 2 5 2 4" xfId="4858"/>
    <cellStyle name="Normal 7 2 2 5 2 4 2" xfId="12381"/>
    <cellStyle name="Normal 7 2 2 5 2 4 2 2" xfId="27425"/>
    <cellStyle name="Normal 7 2 2 5 2 4 2 3" xfId="42468"/>
    <cellStyle name="Normal 7 2 2 5 2 4 3" xfId="19904"/>
    <cellStyle name="Normal 7 2 2 5 2 4 4" xfId="34947"/>
    <cellStyle name="Normal 7 2 2 5 2 5" xfId="8632"/>
    <cellStyle name="Normal 7 2 2 5 2 5 2" xfId="23676"/>
    <cellStyle name="Normal 7 2 2 5 2 5 3" xfId="38719"/>
    <cellStyle name="Normal 7 2 2 5 2 6" xfId="16155"/>
    <cellStyle name="Normal 7 2 2 5 2 7" xfId="31198"/>
    <cellStyle name="Normal 7 2 2 5 3" xfId="1537"/>
    <cellStyle name="Normal 7 2 2 5 3 2" xfId="3408"/>
    <cellStyle name="Normal 7 2 2 5 3 2 2" xfId="7203"/>
    <cellStyle name="Normal 7 2 2 5 3 2 2 2" xfId="14726"/>
    <cellStyle name="Normal 7 2 2 5 3 2 2 2 2" xfId="29770"/>
    <cellStyle name="Normal 7 2 2 5 3 2 2 2 3" xfId="44813"/>
    <cellStyle name="Normal 7 2 2 5 3 2 2 3" xfId="22249"/>
    <cellStyle name="Normal 7 2 2 5 3 2 2 4" xfId="37292"/>
    <cellStyle name="Normal 7 2 2 5 3 2 3" xfId="10977"/>
    <cellStyle name="Normal 7 2 2 5 3 2 3 2" xfId="26021"/>
    <cellStyle name="Normal 7 2 2 5 3 2 3 3" xfId="41064"/>
    <cellStyle name="Normal 7 2 2 5 3 2 4" xfId="18500"/>
    <cellStyle name="Normal 7 2 2 5 3 2 5" xfId="33543"/>
    <cellStyle name="Normal 7 2 2 5 3 3" xfId="5338"/>
    <cellStyle name="Normal 7 2 2 5 3 3 2" xfId="12861"/>
    <cellStyle name="Normal 7 2 2 5 3 3 2 2" xfId="27905"/>
    <cellStyle name="Normal 7 2 2 5 3 3 2 3" xfId="42948"/>
    <cellStyle name="Normal 7 2 2 5 3 3 3" xfId="20384"/>
    <cellStyle name="Normal 7 2 2 5 3 3 4" xfId="35427"/>
    <cellStyle name="Normal 7 2 2 5 3 4" xfId="9112"/>
    <cellStyle name="Normal 7 2 2 5 3 4 2" xfId="24156"/>
    <cellStyle name="Normal 7 2 2 5 3 4 3" xfId="39199"/>
    <cellStyle name="Normal 7 2 2 5 3 5" xfId="16635"/>
    <cellStyle name="Normal 7 2 2 5 3 6" xfId="31678"/>
    <cellStyle name="Normal 7 2 2 5 4" xfId="2475"/>
    <cellStyle name="Normal 7 2 2 5 4 2" xfId="6271"/>
    <cellStyle name="Normal 7 2 2 5 4 2 2" xfId="13794"/>
    <cellStyle name="Normal 7 2 2 5 4 2 2 2" xfId="28838"/>
    <cellStyle name="Normal 7 2 2 5 4 2 2 3" xfId="43881"/>
    <cellStyle name="Normal 7 2 2 5 4 2 3" xfId="21317"/>
    <cellStyle name="Normal 7 2 2 5 4 2 4" xfId="36360"/>
    <cellStyle name="Normal 7 2 2 5 4 3" xfId="10045"/>
    <cellStyle name="Normal 7 2 2 5 4 3 2" xfId="25089"/>
    <cellStyle name="Normal 7 2 2 5 4 3 3" xfId="40132"/>
    <cellStyle name="Normal 7 2 2 5 4 4" xfId="17568"/>
    <cellStyle name="Normal 7 2 2 5 4 5" xfId="32611"/>
    <cellStyle name="Normal 7 2 2 5 5" xfId="4403"/>
    <cellStyle name="Normal 7 2 2 5 5 2" xfId="11927"/>
    <cellStyle name="Normal 7 2 2 5 5 2 2" xfId="26971"/>
    <cellStyle name="Normal 7 2 2 5 5 2 3" xfId="42014"/>
    <cellStyle name="Normal 7 2 2 5 5 3" xfId="19450"/>
    <cellStyle name="Normal 7 2 2 5 5 4" xfId="34493"/>
    <cellStyle name="Normal 7 2 2 5 6" xfId="8166"/>
    <cellStyle name="Normal 7 2 2 5 6 2" xfId="23210"/>
    <cellStyle name="Normal 7 2 2 5 6 3" xfId="38253"/>
    <cellStyle name="Normal 7 2 2 5 7" xfId="15689"/>
    <cellStyle name="Normal 7 2 2 5 8" xfId="30732"/>
    <cellStyle name="Normal 7 2 2 6" xfId="1021"/>
    <cellStyle name="Normal 7 2 2 6 2" xfId="1980"/>
    <cellStyle name="Normal 7 2 2 6 2 2" xfId="3851"/>
    <cellStyle name="Normal 7 2 2 6 2 2 2" xfId="7646"/>
    <cellStyle name="Normal 7 2 2 6 2 2 2 2" xfId="15169"/>
    <cellStyle name="Normal 7 2 2 6 2 2 2 2 2" xfId="30213"/>
    <cellStyle name="Normal 7 2 2 6 2 2 2 2 3" xfId="45256"/>
    <cellStyle name="Normal 7 2 2 6 2 2 2 3" xfId="22692"/>
    <cellStyle name="Normal 7 2 2 6 2 2 2 4" xfId="37735"/>
    <cellStyle name="Normal 7 2 2 6 2 2 3" xfId="11420"/>
    <cellStyle name="Normal 7 2 2 6 2 2 3 2" xfId="26464"/>
    <cellStyle name="Normal 7 2 2 6 2 2 3 3" xfId="41507"/>
    <cellStyle name="Normal 7 2 2 6 2 2 4" xfId="18943"/>
    <cellStyle name="Normal 7 2 2 6 2 2 5" xfId="33986"/>
    <cellStyle name="Normal 7 2 2 6 2 3" xfId="5781"/>
    <cellStyle name="Normal 7 2 2 6 2 3 2" xfId="13304"/>
    <cellStyle name="Normal 7 2 2 6 2 3 2 2" xfId="28348"/>
    <cellStyle name="Normal 7 2 2 6 2 3 2 3" xfId="43391"/>
    <cellStyle name="Normal 7 2 2 6 2 3 3" xfId="20827"/>
    <cellStyle name="Normal 7 2 2 6 2 3 4" xfId="35870"/>
    <cellStyle name="Normal 7 2 2 6 2 4" xfId="9555"/>
    <cellStyle name="Normal 7 2 2 6 2 4 2" xfId="24599"/>
    <cellStyle name="Normal 7 2 2 6 2 4 3" xfId="39642"/>
    <cellStyle name="Normal 7 2 2 6 2 5" xfId="17078"/>
    <cellStyle name="Normal 7 2 2 6 2 6" xfId="32121"/>
    <cellStyle name="Normal 7 2 2 6 3" xfId="2919"/>
    <cellStyle name="Normal 7 2 2 6 3 2" xfId="6714"/>
    <cellStyle name="Normal 7 2 2 6 3 2 2" xfId="14237"/>
    <cellStyle name="Normal 7 2 2 6 3 2 2 2" xfId="29281"/>
    <cellStyle name="Normal 7 2 2 6 3 2 2 3" xfId="44324"/>
    <cellStyle name="Normal 7 2 2 6 3 2 3" xfId="21760"/>
    <cellStyle name="Normal 7 2 2 6 3 2 4" xfId="36803"/>
    <cellStyle name="Normal 7 2 2 6 3 3" xfId="10488"/>
    <cellStyle name="Normal 7 2 2 6 3 3 2" xfId="25532"/>
    <cellStyle name="Normal 7 2 2 6 3 3 3" xfId="40575"/>
    <cellStyle name="Normal 7 2 2 6 3 4" xfId="18011"/>
    <cellStyle name="Normal 7 2 2 6 3 5" xfId="33054"/>
    <cellStyle name="Normal 7 2 2 6 4" xfId="4849"/>
    <cellStyle name="Normal 7 2 2 6 4 2" xfId="12372"/>
    <cellStyle name="Normal 7 2 2 6 4 2 2" xfId="27416"/>
    <cellStyle name="Normal 7 2 2 6 4 2 3" xfId="42459"/>
    <cellStyle name="Normal 7 2 2 6 4 3" xfId="19895"/>
    <cellStyle name="Normal 7 2 2 6 4 4" xfId="34938"/>
    <cellStyle name="Normal 7 2 2 6 5" xfId="8623"/>
    <cellStyle name="Normal 7 2 2 6 5 2" xfId="23667"/>
    <cellStyle name="Normal 7 2 2 6 5 3" xfId="38710"/>
    <cellStyle name="Normal 7 2 2 6 6" xfId="16146"/>
    <cellStyle name="Normal 7 2 2 6 7" xfId="31189"/>
    <cellStyle name="Normal 7 2 2 7" xfId="1528"/>
    <cellStyle name="Normal 7 2 2 7 2" xfId="3399"/>
    <cellStyle name="Normal 7 2 2 7 2 2" xfId="7194"/>
    <cellStyle name="Normal 7 2 2 7 2 2 2" xfId="14717"/>
    <cellStyle name="Normal 7 2 2 7 2 2 2 2" xfId="29761"/>
    <cellStyle name="Normal 7 2 2 7 2 2 2 3" xfId="44804"/>
    <cellStyle name="Normal 7 2 2 7 2 2 3" xfId="22240"/>
    <cellStyle name="Normal 7 2 2 7 2 2 4" xfId="37283"/>
    <cellStyle name="Normal 7 2 2 7 2 3" xfId="10968"/>
    <cellStyle name="Normal 7 2 2 7 2 3 2" xfId="26012"/>
    <cellStyle name="Normal 7 2 2 7 2 3 3" xfId="41055"/>
    <cellStyle name="Normal 7 2 2 7 2 4" xfId="18491"/>
    <cellStyle name="Normal 7 2 2 7 2 5" xfId="33534"/>
    <cellStyle name="Normal 7 2 2 7 3" xfId="5329"/>
    <cellStyle name="Normal 7 2 2 7 3 2" xfId="12852"/>
    <cellStyle name="Normal 7 2 2 7 3 2 2" xfId="27896"/>
    <cellStyle name="Normal 7 2 2 7 3 2 3" xfId="42939"/>
    <cellStyle name="Normal 7 2 2 7 3 3" xfId="20375"/>
    <cellStyle name="Normal 7 2 2 7 3 4" xfId="35418"/>
    <cellStyle name="Normal 7 2 2 7 4" xfId="9103"/>
    <cellStyle name="Normal 7 2 2 7 4 2" xfId="24147"/>
    <cellStyle name="Normal 7 2 2 7 4 3" xfId="39190"/>
    <cellStyle name="Normal 7 2 2 7 5" xfId="16626"/>
    <cellStyle name="Normal 7 2 2 7 6" xfId="31669"/>
    <cellStyle name="Normal 7 2 2 8" xfId="2466"/>
    <cellStyle name="Normal 7 2 2 8 2" xfId="6262"/>
    <cellStyle name="Normal 7 2 2 8 2 2" xfId="13785"/>
    <cellStyle name="Normal 7 2 2 8 2 2 2" xfId="28829"/>
    <cellStyle name="Normal 7 2 2 8 2 2 3" xfId="43872"/>
    <cellStyle name="Normal 7 2 2 8 2 3" xfId="21308"/>
    <cellStyle name="Normal 7 2 2 8 2 4" xfId="36351"/>
    <cellStyle name="Normal 7 2 2 8 3" xfId="10036"/>
    <cellStyle name="Normal 7 2 2 8 3 2" xfId="25080"/>
    <cellStyle name="Normal 7 2 2 8 3 3" xfId="40123"/>
    <cellStyle name="Normal 7 2 2 8 4" xfId="17559"/>
    <cellStyle name="Normal 7 2 2 8 5" xfId="32602"/>
    <cellStyle name="Normal 7 2 2 9" xfId="4394"/>
    <cellStyle name="Normal 7 2 2 9 2" xfId="11918"/>
    <cellStyle name="Normal 7 2 2 9 2 2" xfId="26962"/>
    <cellStyle name="Normal 7 2 2 9 2 3" xfId="42005"/>
    <cellStyle name="Normal 7 2 2 9 3" xfId="19441"/>
    <cellStyle name="Normal 7 2 2 9 4" xfId="34484"/>
    <cellStyle name="Normal 7 2 3" xfId="513"/>
    <cellStyle name="Normal 7 2 3 10" xfId="15690"/>
    <cellStyle name="Normal 7 2 3 11" xfId="30733"/>
    <cellStyle name="Normal 7 2 3 2" xfId="514"/>
    <cellStyle name="Normal 7 2 3 2 2" xfId="515"/>
    <cellStyle name="Normal 7 2 3 2 2 2" xfId="1033"/>
    <cellStyle name="Normal 7 2 3 2 2 2 2" xfId="1992"/>
    <cellStyle name="Normal 7 2 3 2 2 2 2 2" xfId="3863"/>
    <cellStyle name="Normal 7 2 3 2 2 2 2 2 2" xfId="7658"/>
    <cellStyle name="Normal 7 2 3 2 2 2 2 2 2 2" xfId="15181"/>
    <cellStyle name="Normal 7 2 3 2 2 2 2 2 2 2 2" xfId="30225"/>
    <cellStyle name="Normal 7 2 3 2 2 2 2 2 2 2 3" xfId="45268"/>
    <cellStyle name="Normal 7 2 3 2 2 2 2 2 2 3" xfId="22704"/>
    <cellStyle name="Normal 7 2 3 2 2 2 2 2 2 4" xfId="37747"/>
    <cellStyle name="Normal 7 2 3 2 2 2 2 2 3" xfId="11432"/>
    <cellStyle name="Normal 7 2 3 2 2 2 2 2 3 2" xfId="26476"/>
    <cellStyle name="Normal 7 2 3 2 2 2 2 2 3 3" xfId="41519"/>
    <cellStyle name="Normal 7 2 3 2 2 2 2 2 4" xfId="18955"/>
    <cellStyle name="Normal 7 2 3 2 2 2 2 2 5" xfId="33998"/>
    <cellStyle name="Normal 7 2 3 2 2 2 2 3" xfId="5793"/>
    <cellStyle name="Normal 7 2 3 2 2 2 2 3 2" xfId="13316"/>
    <cellStyle name="Normal 7 2 3 2 2 2 2 3 2 2" xfId="28360"/>
    <cellStyle name="Normal 7 2 3 2 2 2 2 3 2 3" xfId="43403"/>
    <cellStyle name="Normal 7 2 3 2 2 2 2 3 3" xfId="20839"/>
    <cellStyle name="Normal 7 2 3 2 2 2 2 3 4" xfId="35882"/>
    <cellStyle name="Normal 7 2 3 2 2 2 2 4" xfId="9567"/>
    <cellStyle name="Normal 7 2 3 2 2 2 2 4 2" xfId="24611"/>
    <cellStyle name="Normal 7 2 3 2 2 2 2 4 3" xfId="39654"/>
    <cellStyle name="Normal 7 2 3 2 2 2 2 5" xfId="17090"/>
    <cellStyle name="Normal 7 2 3 2 2 2 2 6" xfId="32133"/>
    <cellStyle name="Normal 7 2 3 2 2 2 3" xfId="2931"/>
    <cellStyle name="Normal 7 2 3 2 2 2 3 2" xfId="6726"/>
    <cellStyle name="Normal 7 2 3 2 2 2 3 2 2" xfId="14249"/>
    <cellStyle name="Normal 7 2 3 2 2 2 3 2 2 2" xfId="29293"/>
    <cellStyle name="Normal 7 2 3 2 2 2 3 2 2 3" xfId="44336"/>
    <cellStyle name="Normal 7 2 3 2 2 2 3 2 3" xfId="21772"/>
    <cellStyle name="Normal 7 2 3 2 2 2 3 2 4" xfId="36815"/>
    <cellStyle name="Normal 7 2 3 2 2 2 3 3" xfId="10500"/>
    <cellStyle name="Normal 7 2 3 2 2 2 3 3 2" xfId="25544"/>
    <cellStyle name="Normal 7 2 3 2 2 2 3 3 3" xfId="40587"/>
    <cellStyle name="Normal 7 2 3 2 2 2 3 4" xfId="18023"/>
    <cellStyle name="Normal 7 2 3 2 2 2 3 5" xfId="33066"/>
    <cellStyle name="Normal 7 2 3 2 2 2 4" xfId="4861"/>
    <cellStyle name="Normal 7 2 3 2 2 2 4 2" xfId="12384"/>
    <cellStyle name="Normal 7 2 3 2 2 2 4 2 2" xfId="27428"/>
    <cellStyle name="Normal 7 2 3 2 2 2 4 2 3" xfId="42471"/>
    <cellStyle name="Normal 7 2 3 2 2 2 4 3" xfId="19907"/>
    <cellStyle name="Normal 7 2 3 2 2 2 4 4" xfId="34950"/>
    <cellStyle name="Normal 7 2 3 2 2 2 5" xfId="8635"/>
    <cellStyle name="Normal 7 2 3 2 2 2 5 2" xfId="23679"/>
    <cellStyle name="Normal 7 2 3 2 2 2 5 3" xfId="38722"/>
    <cellStyle name="Normal 7 2 3 2 2 2 6" xfId="16158"/>
    <cellStyle name="Normal 7 2 3 2 2 2 7" xfId="31201"/>
    <cellStyle name="Normal 7 2 3 2 2 3" xfId="1540"/>
    <cellStyle name="Normal 7 2 3 2 2 3 2" xfId="3411"/>
    <cellStyle name="Normal 7 2 3 2 2 3 2 2" xfId="7206"/>
    <cellStyle name="Normal 7 2 3 2 2 3 2 2 2" xfId="14729"/>
    <cellStyle name="Normal 7 2 3 2 2 3 2 2 2 2" xfId="29773"/>
    <cellStyle name="Normal 7 2 3 2 2 3 2 2 2 3" xfId="44816"/>
    <cellStyle name="Normal 7 2 3 2 2 3 2 2 3" xfId="22252"/>
    <cellStyle name="Normal 7 2 3 2 2 3 2 2 4" xfId="37295"/>
    <cellStyle name="Normal 7 2 3 2 2 3 2 3" xfId="10980"/>
    <cellStyle name="Normal 7 2 3 2 2 3 2 3 2" xfId="26024"/>
    <cellStyle name="Normal 7 2 3 2 2 3 2 3 3" xfId="41067"/>
    <cellStyle name="Normal 7 2 3 2 2 3 2 4" xfId="18503"/>
    <cellStyle name="Normal 7 2 3 2 2 3 2 5" xfId="33546"/>
    <cellStyle name="Normal 7 2 3 2 2 3 3" xfId="5341"/>
    <cellStyle name="Normal 7 2 3 2 2 3 3 2" xfId="12864"/>
    <cellStyle name="Normal 7 2 3 2 2 3 3 2 2" xfId="27908"/>
    <cellStyle name="Normal 7 2 3 2 2 3 3 2 3" xfId="42951"/>
    <cellStyle name="Normal 7 2 3 2 2 3 3 3" xfId="20387"/>
    <cellStyle name="Normal 7 2 3 2 2 3 3 4" xfId="35430"/>
    <cellStyle name="Normal 7 2 3 2 2 3 4" xfId="9115"/>
    <cellStyle name="Normal 7 2 3 2 2 3 4 2" xfId="24159"/>
    <cellStyle name="Normal 7 2 3 2 2 3 4 3" xfId="39202"/>
    <cellStyle name="Normal 7 2 3 2 2 3 5" xfId="16638"/>
    <cellStyle name="Normal 7 2 3 2 2 3 6" xfId="31681"/>
    <cellStyle name="Normal 7 2 3 2 2 4" xfId="2478"/>
    <cellStyle name="Normal 7 2 3 2 2 4 2" xfId="6274"/>
    <cellStyle name="Normal 7 2 3 2 2 4 2 2" xfId="13797"/>
    <cellStyle name="Normal 7 2 3 2 2 4 2 2 2" xfId="28841"/>
    <cellStyle name="Normal 7 2 3 2 2 4 2 2 3" xfId="43884"/>
    <cellStyle name="Normal 7 2 3 2 2 4 2 3" xfId="21320"/>
    <cellStyle name="Normal 7 2 3 2 2 4 2 4" xfId="36363"/>
    <cellStyle name="Normal 7 2 3 2 2 4 3" xfId="10048"/>
    <cellStyle name="Normal 7 2 3 2 2 4 3 2" xfId="25092"/>
    <cellStyle name="Normal 7 2 3 2 2 4 3 3" xfId="40135"/>
    <cellStyle name="Normal 7 2 3 2 2 4 4" xfId="17571"/>
    <cellStyle name="Normal 7 2 3 2 2 4 5" xfId="32614"/>
    <cellStyle name="Normal 7 2 3 2 2 5" xfId="4406"/>
    <cellStyle name="Normal 7 2 3 2 2 5 2" xfId="11930"/>
    <cellStyle name="Normal 7 2 3 2 2 5 2 2" xfId="26974"/>
    <cellStyle name="Normal 7 2 3 2 2 5 2 3" xfId="42017"/>
    <cellStyle name="Normal 7 2 3 2 2 5 3" xfId="19453"/>
    <cellStyle name="Normal 7 2 3 2 2 5 4" xfId="34496"/>
    <cellStyle name="Normal 7 2 3 2 2 6" xfId="8169"/>
    <cellStyle name="Normal 7 2 3 2 2 6 2" xfId="23213"/>
    <cellStyle name="Normal 7 2 3 2 2 6 3" xfId="38256"/>
    <cellStyle name="Normal 7 2 3 2 2 7" xfId="15692"/>
    <cellStyle name="Normal 7 2 3 2 2 8" xfId="30735"/>
    <cellStyle name="Normal 7 2 3 2 3" xfId="1032"/>
    <cellStyle name="Normal 7 2 3 2 3 2" xfId="1991"/>
    <cellStyle name="Normal 7 2 3 2 3 2 2" xfId="3862"/>
    <cellStyle name="Normal 7 2 3 2 3 2 2 2" xfId="7657"/>
    <cellStyle name="Normal 7 2 3 2 3 2 2 2 2" xfId="15180"/>
    <cellStyle name="Normal 7 2 3 2 3 2 2 2 2 2" xfId="30224"/>
    <cellStyle name="Normal 7 2 3 2 3 2 2 2 2 3" xfId="45267"/>
    <cellStyle name="Normal 7 2 3 2 3 2 2 2 3" xfId="22703"/>
    <cellStyle name="Normal 7 2 3 2 3 2 2 2 4" xfId="37746"/>
    <cellStyle name="Normal 7 2 3 2 3 2 2 3" xfId="11431"/>
    <cellStyle name="Normal 7 2 3 2 3 2 2 3 2" xfId="26475"/>
    <cellStyle name="Normal 7 2 3 2 3 2 2 3 3" xfId="41518"/>
    <cellStyle name="Normal 7 2 3 2 3 2 2 4" xfId="18954"/>
    <cellStyle name="Normal 7 2 3 2 3 2 2 5" xfId="33997"/>
    <cellStyle name="Normal 7 2 3 2 3 2 3" xfId="5792"/>
    <cellStyle name="Normal 7 2 3 2 3 2 3 2" xfId="13315"/>
    <cellStyle name="Normal 7 2 3 2 3 2 3 2 2" xfId="28359"/>
    <cellStyle name="Normal 7 2 3 2 3 2 3 2 3" xfId="43402"/>
    <cellStyle name="Normal 7 2 3 2 3 2 3 3" xfId="20838"/>
    <cellStyle name="Normal 7 2 3 2 3 2 3 4" xfId="35881"/>
    <cellStyle name="Normal 7 2 3 2 3 2 4" xfId="9566"/>
    <cellStyle name="Normal 7 2 3 2 3 2 4 2" xfId="24610"/>
    <cellStyle name="Normal 7 2 3 2 3 2 4 3" xfId="39653"/>
    <cellStyle name="Normal 7 2 3 2 3 2 5" xfId="17089"/>
    <cellStyle name="Normal 7 2 3 2 3 2 6" xfId="32132"/>
    <cellStyle name="Normal 7 2 3 2 3 3" xfId="2930"/>
    <cellStyle name="Normal 7 2 3 2 3 3 2" xfId="6725"/>
    <cellStyle name="Normal 7 2 3 2 3 3 2 2" xfId="14248"/>
    <cellStyle name="Normal 7 2 3 2 3 3 2 2 2" xfId="29292"/>
    <cellStyle name="Normal 7 2 3 2 3 3 2 2 3" xfId="44335"/>
    <cellStyle name="Normal 7 2 3 2 3 3 2 3" xfId="21771"/>
    <cellStyle name="Normal 7 2 3 2 3 3 2 4" xfId="36814"/>
    <cellStyle name="Normal 7 2 3 2 3 3 3" xfId="10499"/>
    <cellStyle name="Normal 7 2 3 2 3 3 3 2" xfId="25543"/>
    <cellStyle name="Normal 7 2 3 2 3 3 3 3" xfId="40586"/>
    <cellStyle name="Normal 7 2 3 2 3 3 4" xfId="18022"/>
    <cellStyle name="Normal 7 2 3 2 3 3 5" xfId="33065"/>
    <cellStyle name="Normal 7 2 3 2 3 4" xfId="4860"/>
    <cellStyle name="Normal 7 2 3 2 3 4 2" xfId="12383"/>
    <cellStyle name="Normal 7 2 3 2 3 4 2 2" xfId="27427"/>
    <cellStyle name="Normal 7 2 3 2 3 4 2 3" xfId="42470"/>
    <cellStyle name="Normal 7 2 3 2 3 4 3" xfId="19906"/>
    <cellStyle name="Normal 7 2 3 2 3 4 4" xfId="34949"/>
    <cellStyle name="Normal 7 2 3 2 3 5" xfId="8634"/>
    <cellStyle name="Normal 7 2 3 2 3 5 2" xfId="23678"/>
    <cellStyle name="Normal 7 2 3 2 3 5 3" xfId="38721"/>
    <cellStyle name="Normal 7 2 3 2 3 6" xfId="16157"/>
    <cellStyle name="Normal 7 2 3 2 3 7" xfId="31200"/>
    <cellStyle name="Normal 7 2 3 2 4" xfId="1539"/>
    <cellStyle name="Normal 7 2 3 2 4 2" xfId="3410"/>
    <cellStyle name="Normal 7 2 3 2 4 2 2" xfId="7205"/>
    <cellStyle name="Normal 7 2 3 2 4 2 2 2" xfId="14728"/>
    <cellStyle name="Normal 7 2 3 2 4 2 2 2 2" xfId="29772"/>
    <cellStyle name="Normal 7 2 3 2 4 2 2 2 3" xfId="44815"/>
    <cellStyle name="Normal 7 2 3 2 4 2 2 3" xfId="22251"/>
    <cellStyle name="Normal 7 2 3 2 4 2 2 4" xfId="37294"/>
    <cellStyle name="Normal 7 2 3 2 4 2 3" xfId="10979"/>
    <cellStyle name="Normal 7 2 3 2 4 2 3 2" xfId="26023"/>
    <cellStyle name="Normal 7 2 3 2 4 2 3 3" xfId="41066"/>
    <cellStyle name="Normal 7 2 3 2 4 2 4" xfId="18502"/>
    <cellStyle name="Normal 7 2 3 2 4 2 5" xfId="33545"/>
    <cellStyle name="Normal 7 2 3 2 4 3" xfId="5340"/>
    <cellStyle name="Normal 7 2 3 2 4 3 2" xfId="12863"/>
    <cellStyle name="Normal 7 2 3 2 4 3 2 2" xfId="27907"/>
    <cellStyle name="Normal 7 2 3 2 4 3 2 3" xfId="42950"/>
    <cellStyle name="Normal 7 2 3 2 4 3 3" xfId="20386"/>
    <cellStyle name="Normal 7 2 3 2 4 3 4" xfId="35429"/>
    <cellStyle name="Normal 7 2 3 2 4 4" xfId="9114"/>
    <cellStyle name="Normal 7 2 3 2 4 4 2" xfId="24158"/>
    <cellStyle name="Normal 7 2 3 2 4 4 3" xfId="39201"/>
    <cellStyle name="Normal 7 2 3 2 4 5" xfId="16637"/>
    <cellStyle name="Normal 7 2 3 2 4 6" xfId="31680"/>
    <cellStyle name="Normal 7 2 3 2 5" xfId="2477"/>
    <cellStyle name="Normal 7 2 3 2 5 2" xfId="6273"/>
    <cellStyle name="Normal 7 2 3 2 5 2 2" xfId="13796"/>
    <cellStyle name="Normal 7 2 3 2 5 2 2 2" xfId="28840"/>
    <cellStyle name="Normal 7 2 3 2 5 2 2 3" xfId="43883"/>
    <cellStyle name="Normal 7 2 3 2 5 2 3" xfId="21319"/>
    <cellStyle name="Normal 7 2 3 2 5 2 4" xfId="36362"/>
    <cellStyle name="Normal 7 2 3 2 5 3" xfId="10047"/>
    <cellStyle name="Normal 7 2 3 2 5 3 2" xfId="25091"/>
    <cellStyle name="Normal 7 2 3 2 5 3 3" xfId="40134"/>
    <cellStyle name="Normal 7 2 3 2 5 4" xfId="17570"/>
    <cellStyle name="Normal 7 2 3 2 5 5" xfId="32613"/>
    <cellStyle name="Normal 7 2 3 2 6" xfId="4405"/>
    <cellStyle name="Normal 7 2 3 2 6 2" xfId="11929"/>
    <cellStyle name="Normal 7 2 3 2 6 2 2" xfId="26973"/>
    <cellStyle name="Normal 7 2 3 2 6 2 3" xfId="42016"/>
    <cellStyle name="Normal 7 2 3 2 6 3" xfId="19452"/>
    <cellStyle name="Normal 7 2 3 2 6 4" xfId="34495"/>
    <cellStyle name="Normal 7 2 3 2 7" xfId="8168"/>
    <cellStyle name="Normal 7 2 3 2 7 2" xfId="23212"/>
    <cellStyle name="Normal 7 2 3 2 7 3" xfId="38255"/>
    <cellStyle name="Normal 7 2 3 2 8" xfId="15691"/>
    <cellStyle name="Normal 7 2 3 2 9" xfId="30734"/>
    <cellStyle name="Normal 7 2 3 3" xfId="516"/>
    <cellStyle name="Normal 7 2 3 3 2" xfId="517"/>
    <cellStyle name="Normal 7 2 3 3 2 2" xfId="1035"/>
    <cellStyle name="Normal 7 2 3 3 2 2 2" xfId="1994"/>
    <cellStyle name="Normal 7 2 3 3 2 2 2 2" xfId="3865"/>
    <cellStyle name="Normal 7 2 3 3 2 2 2 2 2" xfId="7660"/>
    <cellStyle name="Normal 7 2 3 3 2 2 2 2 2 2" xfId="15183"/>
    <cellStyle name="Normal 7 2 3 3 2 2 2 2 2 2 2" xfId="30227"/>
    <cellStyle name="Normal 7 2 3 3 2 2 2 2 2 2 3" xfId="45270"/>
    <cellStyle name="Normal 7 2 3 3 2 2 2 2 2 3" xfId="22706"/>
    <cellStyle name="Normal 7 2 3 3 2 2 2 2 2 4" xfId="37749"/>
    <cellStyle name="Normal 7 2 3 3 2 2 2 2 3" xfId="11434"/>
    <cellStyle name="Normal 7 2 3 3 2 2 2 2 3 2" xfId="26478"/>
    <cellStyle name="Normal 7 2 3 3 2 2 2 2 3 3" xfId="41521"/>
    <cellStyle name="Normal 7 2 3 3 2 2 2 2 4" xfId="18957"/>
    <cellStyle name="Normal 7 2 3 3 2 2 2 2 5" xfId="34000"/>
    <cellStyle name="Normal 7 2 3 3 2 2 2 3" xfId="5795"/>
    <cellStyle name="Normal 7 2 3 3 2 2 2 3 2" xfId="13318"/>
    <cellStyle name="Normal 7 2 3 3 2 2 2 3 2 2" xfId="28362"/>
    <cellStyle name="Normal 7 2 3 3 2 2 2 3 2 3" xfId="43405"/>
    <cellStyle name="Normal 7 2 3 3 2 2 2 3 3" xfId="20841"/>
    <cellStyle name="Normal 7 2 3 3 2 2 2 3 4" xfId="35884"/>
    <cellStyle name="Normal 7 2 3 3 2 2 2 4" xfId="9569"/>
    <cellStyle name="Normal 7 2 3 3 2 2 2 4 2" xfId="24613"/>
    <cellStyle name="Normal 7 2 3 3 2 2 2 4 3" xfId="39656"/>
    <cellStyle name="Normal 7 2 3 3 2 2 2 5" xfId="17092"/>
    <cellStyle name="Normal 7 2 3 3 2 2 2 6" xfId="32135"/>
    <cellStyle name="Normal 7 2 3 3 2 2 3" xfId="2933"/>
    <cellStyle name="Normal 7 2 3 3 2 2 3 2" xfId="6728"/>
    <cellStyle name="Normal 7 2 3 3 2 2 3 2 2" xfId="14251"/>
    <cellStyle name="Normal 7 2 3 3 2 2 3 2 2 2" xfId="29295"/>
    <cellStyle name="Normal 7 2 3 3 2 2 3 2 2 3" xfId="44338"/>
    <cellStyle name="Normal 7 2 3 3 2 2 3 2 3" xfId="21774"/>
    <cellStyle name="Normal 7 2 3 3 2 2 3 2 4" xfId="36817"/>
    <cellStyle name="Normal 7 2 3 3 2 2 3 3" xfId="10502"/>
    <cellStyle name="Normal 7 2 3 3 2 2 3 3 2" xfId="25546"/>
    <cellStyle name="Normal 7 2 3 3 2 2 3 3 3" xfId="40589"/>
    <cellStyle name="Normal 7 2 3 3 2 2 3 4" xfId="18025"/>
    <cellStyle name="Normal 7 2 3 3 2 2 3 5" xfId="33068"/>
    <cellStyle name="Normal 7 2 3 3 2 2 4" xfId="4863"/>
    <cellStyle name="Normal 7 2 3 3 2 2 4 2" xfId="12386"/>
    <cellStyle name="Normal 7 2 3 3 2 2 4 2 2" xfId="27430"/>
    <cellStyle name="Normal 7 2 3 3 2 2 4 2 3" xfId="42473"/>
    <cellStyle name="Normal 7 2 3 3 2 2 4 3" xfId="19909"/>
    <cellStyle name="Normal 7 2 3 3 2 2 4 4" xfId="34952"/>
    <cellStyle name="Normal 7 2 3 3 2 2 5" xfId="8637"/>
    <cellStyle name="Normal 7 2 3 3 2 2 5 2" xfId="23681"/>
    <cellStyle name="Normal 7 2 3 3 2 2 5 3" xfId="38724"/>
    <cellStyle name="Normal 7 2 3 3 2 2 6" xfId="16160"/>
    <cellStyle name="Normal 7 2 3 3 2 2 7" xfId="31203"/>
    <cellStyle name="Normal 7 2 3 3 2 3" xfId="1542"/>
    <cellStyle name="Normal 7 2 3 3 2 3 2" xfId="3413"/>
    <cellStyle name="Normal 7 2 3 3 2 3 2 2" xfId="7208"/>
    <cellStyle name="Normal 7 2 3 3 2 3 2 2 2" xfId="14731"/>
    <cellStyle name="Normal 7 2 3 3 2 3 2 2 2 2" xfId="29775"/>
    <cellStyle name="Normal 7 2 3 3 2 3 2 2 2 3" xfId="44818"/>
    <cellStyle name="Normal 7 2 3 3 2 3 2 2 3" xfId="22254"/>
    <cellStyle name="Normal 7 2 3 3 2 3 2 2 4" xfId="37297"/>
    <cellStyle name="Normal 7 2 3 3 2 3 2 3" xfId="10982"/>
    <cellStyle name="Normal 7 2 3 3 2 3 2 3 2" xfId="26026"/>
    <cellStyle name="Normal 7 2 3 3 2 3 2 3 3" xfId="41069"/>
    <cellStyle name="Normal 7 2 3 3 2 3 2 4" xfId="18505"/>
    <cellStyle name="Normal 7 2 3 3 2 3 2 5" xfId="33548"/>
    <cellStyle name="Normal 7 2 3 3 2 3 3" xfId="5343"/>
    <cellStyle name="Normal 7 2 3 3 2 3 3 2" xfId="12866"/>
    <cellStyle name="Normal 7 2 3 3 2 3 3 2 2" xfId="27910"/>
    <cellStyle name="Normal 7 2 3 3 2 3 3 2 3" xfId="42953"/>
    <cellStyle name="Normal 7 2 3 3 2 3 3 3" xfId="20389"/>
    <cellStyle name="Normal 7 2 3 3 2 3 3 4" xfId="35432"/>
    <cellStyle name="Normal 7 2 3 3 2 3 4" xfId="9117"/>
    <cellStyle name="Normal 7 2 3 3 2 3 4 2" xfId="24161"/>
    <cellStyle name="Normal 7 2 3 3 2 3 4 3" xfId="39204"/>
    <cellStyle name="Normal 7 2 3 3 2 3 5" xfId="16640"/>
    <cellStyle name="Normal 7 2 3 3 2 3 6" xfId="31683"/>
    <cellStyle name="Normal 7 2 3 3 2 4" xfId="2480"/>
    <cellStyle name="Normal 7 2 3 3 2 4 2" xfId="6276"/>
    <cellStyle name="Normal 7 2 3 3 2 4 2 2" xfId="13799"/>
    <cellStyle name="Normal 7 2 3 3 2 4 2 2 2" xfId="28843"/>
    <cellStyle name="Normal 7 2 3 3 2 4 2 2 3" xfId="43886"/>
    <cellStyle name="Normal 7 2 3 3 2 4 2 3" xfId="21322"/>
    <cellStyle name="Normal 7 2 3 3 2 4 2 4" xfId="36365"/>
    <cellStyle name="Normal 7 2 3 3 2 4 3" xfId="10050"/>
    <cellStyle name="Normal 7 2 3 3 2 4 3 2" xfId="25094"/>
    <cellStyle name="Normal 7 2 3 3 2 4 3 3" xfId="40137"/>
    <cellStyle name="Normal 7 2 3 3 2 4 4" xfId="17573"/>
    <cellStyle name="Normal 7 2 3 3 2 4 5" xfId="32616"/>
    <cellStyle name="Normal 7 2 3 3 2 5" xfId="4408"/>
    <cellStyle name="Normal 7 2 3 3 2 5 2" xfId="11932"/>
    <cellStyle name="Normal 7 2 3 3 2 5 2 2" xfId="26976"/>
    <cellStyle name="Normal 7 2 3 3 2 5 2 3" xfId="42019"/>
    <cellStyle name="Normal 7 2 3 3 2 5 3" xfId="19455"/>
    <cellStyle name="Normal 7 2 3 3 2 5 4" xfId="34498"/>
    <cellStyle name="Normal 7 2 3 3 2 6" xfId="8171"/>
    <cellStyle name="Normal 7 2 3 3 2 6 2" xfId="23215"/>
    <cellStyle name="Normal 7 2 3 3 2 6 3" xfId="38258"/>
    <cellStyle name="Normal 7 2 3 3 2 7" xfId="15694"/>
    <cellStyle name="Normal 7 2 3 3 2 8" xfId="30737"/>
    <cellStyle name="Normal 7 2 3 3 3" xfId="1034"/>
    <cellStyle name="Normal 7 2 3 3 3 2" xfId="1993"/>
    <cellStyle name="Normal 7 2 3 3 3 2 2" xfId="3864"/>
    <cellStyle name="Normal 7 2 3 3 3 2 2 2" xfId="7659"/>
    <cellStyle name="Normal 7 2 3 3 3 2 2 2 2" xfId="15182"/>
    <cellStyle name="Normal 7 2 3 3 3 2 2 2 2 2" xfId="30226"/>
    <cellStyle name="Normal 7 2 3 3 3 2 2 2 2 3" xfId="45269"/>
    <cellStyle name="Normal 7 2 3 3 3 2 2 2 3" xfId="22705"/>
    <cellStyle name="Normal 7 2 3 3 3 2 2 2 4" xfId="37748"/>
    <cellStyle name="Normal 7 2 3 3 3 2 2 3" xfId="11433"/>
    <cellStyle name="Normal 7 2 3 3 3 2 2 3 2" xfId="26477"/>
    <cellStyle name="Normal 7 2 3 3 3 2 2 3 3" xfId="41520"/>
    <cellStyle name="Normal 7 2 3 3 3 2 2 4" xfId="18956"/>
    <cellStyle name="Normal 7 2 3 3 3 2 2 5" xfId="33999"/>
    <cellStyle name="Normal 7 2 3 3 3 2 3" xfId="5794"/>
    <cellStyle name="Normal 7 2 3 3 3 2 3 2" xfId="13317"/>
    <cellStyle name="Normal 7 2 3 3 3 2 3 2 2" xfId="28361"/>
    <cellStyle name="Normal 7 2 3 3 3 2 3 2 3" xfId="43404"/>
    <cellStyle name="Normal 7 2 3 3 3 2 3 3" xfId="20840"/>
    <cellStyle name="Normal 7 2 3 3 3 2 3 4" xfId="35883"/>
    <cellStyle name="Normal 7 2 3 3 3 2 4" xfId="9568"/>
    <cellStyle name="Normal 7 2 3 3 3 2 4 2" xfId="24612"/>
    <cellStyle name="Normal 7 2 3 3 3 2 4 3" xfId="39655"/>
    <cellStyle name="Normal 7 2 3 3 3 2 5" xfId="17091"/>
    <cellStyle name="Normal 7 2 3 3 3 2 6" xfId="32134"/>
    <cellStyle name="Normal 7 2 3 3 3 3" xfId="2932"/>
    <cellStyle name="Normal 7 2 3 3 3 3 2" xfId="6727"/>
    <cellStyle name="Normal 7 2 3 3 3 3 2 2" xfId="14250"/>
    <cellStyle name="Normal 7 2 3 3 3 3 2 2 2" xfId="29294"/>
    <cellStyle name="Normal 7 2 3 3 3 3 2 2 3" xfId="44337"/>
    <cellStyle name="Normal 7 2 3 3 3 3 2 3" xfId="21773"/>
    <cellStyle name="Normal 7 2 3 3 3 3 2 4" xfId="36816"/>
    <cellStyle name="Normal 7 2 3 3 3 3 3" xfId="10501"/>
    <cellStyle name="Normal 7 2 3 3 3 3 3 2" xfId="25545"/>
    <cellStyle name="Normal 7 2 3 3 3 3 3 3" xfId="40588"/>
    <cellStyle name="Normal 7 2 3 3 3 3 4" xfId="18024"/>
    <cellStyle name="Normal 7 2 3 3 3 3 5" xfId="33067"/>
    <cellStyle name="Normal 7 2 3 3 3 4" xfId="4862"/>
    <cellStyle name="Normal 7 2 3 3 3 4 2" xfId="12385"/>
    <cellStyle name="Normal 7 2 3 3 3 4 2 2" xfId="27429"/>
    <cellStyle name="Normal 7 2 3 3 3 4 2 3" xfId="42472"/>
    <cellStyle name="Normal 7 2 3 3 3 4 3" xfId="19908"/>
    <cellStyle name="Normal 7 2 3 3 3 4 4" xfId="34951"/>
    <cellStyle name="Normal 7 2 3 3 3 5" xfId="8636"/>
    <cellStyle name="Normal 7 2 3 3 3 5 2" xfId="23680"/>
    <cellStyle name="Normal 7 2 3 3 3 5 3" xfId="38723"/>
    <cellStyle name="Normal 7 2 3 3 3 6" xfId="16159"/>
    <cellStyle name="Normal 7 2 3 3 3 7" xfId="31202"/>
    <cellStyle name="Normal 7 2 3 3 4" xfId="1541"/>
    <cellStyle name="Normal 7 2 3 3 4 2" xfId="3412"/>
    <cellStyle name="Normal 7 2 3 3 4 2 2" xfId="7207"/>
    <cellStyle name="Normal 7 2 3 3 4 2 2 2" xfId="14730"/>
    <cellStyle name="Normal 7 2 3 3 4 2 2 2 2" xfId="29774"/>
    <cellStyle name="Normal 7 2 3 3 4 2 2 2 3" xfId="44817"/>
    <cellStyle name="Normal 7 2 3 3 4 2 2 3" xfId="22253"/>
    <cellStyle name="Normal 7 2 3 3 4 2 2 4" xfId="37296"/>
    <cellStyle name="Normal 7 2 3 3 4 2 3" xfId="10981"/>
    <cellStyle name="Normal 7 2 3 3 4 2 3 2" xfId="26025"/>
    <cellStyle name="Normal 7 2 3 3 4 2 3 3" xfId="41068"/>
    <cellStyle name="Normal 7 2 3 3 4 2 4" xfId="18504"/>
    <cellStyle name="Normal 7 2 3 3 4 2 5" xfId="33547"/>
    <cellStyle name="Normal 7 2 3 3 4 3" xfId="5342"/>
    <cellStyle name="Normal 7 2 3 3 4 3 2" xfId="12865"/>
    <cellStyle name="Normal 7 2 3 3 4 3 2 2" xfId="27909"/>
    <cellStyle name="Normal 7 2 3 3 4 3 2 3" xfId="42952"/>
    <cellStyle name="Normal 7 2 3 3 4 3 3" xfId="20388"/>
    <cellStyle name="Normal 7 2 3 3 4 3 4" xfId="35431"/>
    <cellStyle name="Normal 7 2 3 3 4 4" xfId="9116"/>
    <cellStyle name="Normal 7 2 3 3 4 4 2" xfId="24160"/>
    <cellStyle name="Normal 7 2 3 3 4 4 3" xfId="39203"/>
    <cellStyle name="Normal 7 2 3 3 4 5" xfId="16639"/>
    <cellStyle name="Normal 7 2 3 3 4 6" xfId="31682"/>
    <cellStyle name="Normal 7 2 3 3 5" xfId="2479"/>
    <cellStyle name="Normal 7 2 3 3 5 2" xfId="6275"/>
    <cellStyle name="Normal 7 2 3 3 5 2 2" xfId="13798"/>
    <cellStyle name="Normal 7 2 3 3 5 2 2 2" xfId="28842"/>
    <cellStyle name="Normal 7 2 3 3 5 2 2 3" xfId="43885"/>
    <cellStyle name="Normal 7 2 3 3 5 2 3" xfId="21321"/>
    <cellStyle name="Normal 7 2 3 3 5 2 4" xfId="36364"/>
    <cellStyle name="Normal 7 2 3 3 5 3" xfId="10049"/>
    <cellStyle name="Normal 7 2 3 3 5 3 2" xfId="25093"/>
    <cellStyle name="Normal 7 2 3 3 5 3 3" xfId="40136"/>
    <cellStyle name="Normal 7 2 3 3 5 4" xfId="17572"/>
    <cellStyle name="Normal 7 2 3 3 5 5" xfId="32615"/>
    <cellStyle name="Normal 7 2 3 3 6" xfId="4407"/>
    <cellStyle name="Normal 7 2 3 3 6 2" xfId="11931"/>
    <cellStyle name="Normal 7 2 3 3 6 2 2" xfId="26975"/>
    <cellStyle name="Normal 7 2 3 3 6 2 3" xfId="42018"/>
    <cellStyle name="Normal 7 2 3 3 6 3" xfId="19454"/>
    <cellStyle name="Normal 7 2 3 3 6 4" xfId="34497"/>
    <cellStyle name="Normal 7 2 3 3 7" xfId="8170"/>
    <cellStyle name="Normal 7 2 3 3 7 2" xfId="23214"/>
    <cellStyle name="Normal 7 2 3 3 7 3" xfId="38257"/>
    <cellStyle name="Normal 7 2 3 3 8" xfId="15693"/>
    <cellStyle name="Normal 7 2 3 3 9" xfId="30736"/>
    <cellStyle name="Normal 7 2 3 4" xfId="518"/>
    <cellStyle name="Normal 7 2 3 4 2" xfId="1036"/>
    <cellStyle name="Normal 7 2 3 4 2 2" xfId="1995"/>
    <cellStyle name="Normal 7 2 3 4 2 2 2" xfId="3866"/>
    <cellStyle name="Normal 7 2 3 4 2 2 2 2" xfId="7661"/>
    <cellStyle name="Normal 7 2 3 4 2 2 2 2 2" xfId="15184"/>
    <cellStyle name="Normal 7 2 3 4 2 2 2 2 2 2" xfId="30228"/>
    <cellStyle name="Normal 7 2 3 4 2 2 2 2 2 3" xfId="45271"/>
    <cellStyle name="Normal 7 2 3 4 2 2 2 2 3" xfId="22707"/>
    <cellStyle name="Normal 7 2 3 4 2 2 2 2 4" xfId="37750"/>
    <cellStyle name="Normal 7 2 3 4 2 2 2 3" xfId="11435"/>
    <cellStyle name="Normal 7 2 3 4 2 2 2 3 2" xfId="26479"/>
    <cellStyle name="Normal 7 2 3 4 2 2 2 3 3" xfId="41522"/>
    <cellStyle name="Normal 7 2 3 4 2 2 2 4" xfId="18958"/>
    <cellStyle name="Normal 7 2 3 4 2 2 2 5" xfId="34001"/>
    <cellStyle name="Normal 7 2 3 4 2 2 3" xfId="5796"/>
    <cellStyle name="Normal 7 2 3 4 2 2 3 2" xfId="13319"/>
    <cellStyle name="Normal 7 2 3 4 2 2 3 2 2" xfId="28363"/>
    <cellStyle name="Normal 7 2 3 4 2 2 3 2 3" xfId="43406"/>
    <cellStyle name="Normal 7 2 3 4 2 2 3 3" xfId="20842"/>
    <cellStyle name="Normal 7 2 3 4 2 2 3 4" xfId="35885"/>
    <cellStyle name="Normal 7 2 3 4 2 2 4" xfId="9570"/>
    <cellStyle name="Normal 7 2 3 4 2 2 4 2" xfId="24614"/>
    <cellStyle name="Normal 7 2 3 4 2 2 4 3" xfId="39657"/>
    <cellStyle name="Normal 7 2 3 4 2 2 5" xfId="17093"/>
    <cellStyle name="Normal 7 2 3 4 2 2 6" xfId="32136"/>
    <cellStyle name="Normal 7 2 3 4 2 3" xfId="2934"/>
    <cellStyle name="Normal 7 2 3 4 2 3 2" xfId="6729"/>
    <cellStyle name="Normal 7 2 3 4 2 3 2 2" xfId="14252"/>
    <cellStyle name="Normal 7 2 3 4 2 3 2 2 2" xfId="29296"/>
    <cellStyle name="Normal 7 2 3 4 2 3 2 2 3" xfId="44339"/>
    <cellStyle name="Normal 7 2 3 4 2 3 2 3" xfId="21775"/>
    <cellStyle name="Normal 7 2 3 4 2 3 2 4" xfId="36818"/>
    <cellStyle name="Normal 7 2 3 4 2 3 3" xfId="10503"/>
    <cellStyle name="Normal 7 2 3 4 2 3 3 2" xfId="25547"/>
    <cellStyle name="Normal 7 2 3 4 2 3 3 3" xfId="40590"/>
    <cellStyle name="Normal 7 2 3 4 2 3 4" xfId="18026"/>
    <cellStyle name="Normal 7 2 3 4 2 3 5" xfId="33069"/>
    <cellStyle name="Normal 7 2 3 4 2 4" xfId="4864"/>
    <cellStyle name="Normal 7 2 3 4 2 4 2" xfId="12387"/>
    <cellStyle name="Normal 7 2 3 4 2 4 2 2" xfId="27431"/>
    <cellStyle name="Normal 7 2 3 4 2 4 2 3" xfId="42474"/>
    <cellStyle name="Normal 7 2 3 4 2 4 3" xfId="19910"/>
    <cellStyle name="Normal 7 2 3 4 2 4 4" xfId="34953"/>
    <cellStyle name="Normal 7 2 3 4 2 5" xfId="8638"/>
    <cellStyle name="Normal 7 2 3 4 2 5 2" xfId="23682"/>
    <cellStyle name="Normal 7 2 3 4 2 5 3" xfId="38725"/>
    <cellStyle name="Normal 7 2 3 4 2 6" xfId="16161"/>
    <cellStyle name="Normal 7 2 3 4 2 7" xfId="31204"/>
    <cellStyle name="Normal 7 2 3 4 3" xfId="1543"/>
    <cellStyle name="Normal 7 2 3 4 3 2" xfId="3414"/>
    <cellStyle name="Normal 7 2 3 4 3 2 2" xfId="7209"/>
    <cellStyle name="Normal 7 2 3 4 3 2 2 2" xfId="14732"/>
    <cellStyle name="Normal 7 2 3 4 3 2 2 2 2" xfId="29776"/>
    <cellStyle name="Normal 7 2 3 4 3 2 2 2 3" xfId="44819"/>
    <cellStyle name="Normal 7 2 3 4 3 2 2 3" xfId="22255"/>
    <cellStyle name="Normal 7 2 3 4 3 2 2 4" xfId="37298"/>
    <cellStyle name="Normal 7 2 3 4 3 2 3" xfId="10983"/>
    <cellStyle name="Normal 7 2 3 4 3 2 3 2" xfId="26027"/>
    <cellStyle name="Normal 7 2 3 4 3 2 3 3" xfId="41070"/>
    <cellStyle name="Normal 7 2 3 4 3 2 4" xfId="18506"/>
    <cellStyle name="Normal 7 2 3 4 3 2 5" xfId="33549"/>
    <cellStyle name="Normal 7 2 3 4 3 3" xfId="5344"/>
    <cellStyle name="Normal 7 2 3 4 3 3 2" xfId="12867"/>
    <cellStyle name="Normal 7 2 3 4 3 3 2 2" xfId="27911"/>
    <cellStyle name="Normal 7 2 3 4 3 3 2 3" xfId="42954"/>
    <cellStyle name="Normal 7 2 3 4 3 3 3" xfId="20390"/>
    <cellStyle name="Normal 7 2 3 4 3 3 4" xfId="35433"/>
    <cellStyle name="Normal 7 2 3 4 3 4" xfId="9118"/>
    <cellStyle name="Normal 7 2 3 4 3 4 2" xfId="24162"/>
    <cellStyle name="Normal 7 2 3 4 3 4 3" xfId="39205"/>
    <cellStyle name="Normal 7 2 3 4 3 5" xfId="16641"/>
    <cellStyle name="Normal 7 2 3 4 3 6" xfId="31684"/>
    <cellStyle name="Normal 7 2 3 4 4" xfId="2481"/>
    <cellStyle name="Normal 7 2 3 4 4 2" xfId="6277"/>
    <cellStyle name="Normal 7 2 3 4 4 2 2" xfId="13800"/>
    <cellStyle name="Normal 7 2 3 4 4 2 2 2" xfId="28844"/>
    <cellStyle name="Normal 7 2 3 4 4 2 2 3" xfId="43887"/>
    <cellStyle name="Normal 7 2 3 4 4 2 3" xfId="21323"/>
    <cellStyle name="Normal 7 2 3 4 4 2 4" xfId="36366"/>
    <cellStyle name="Normal 7 2 3 4 4 3" xfId="10051"/>
    <cellStyle name="Normal 7 2 3 4 4 3 2" xfId="25095"/>
    <cellStyle name="Normal 7 2 3 4 4 3 3" xfId="40138"/>
    <cellStyle name="Normal 7 2 3 4 4 4" xfId="17574"/>
    <cellStyle name="Normal 7 2 3 4 4 5" xfId="32617"/>
    <cellStyle name="Normal 7 2 3 4 5" xfId="4409"/>
    <cellStyle name="Normal 7 2 3 4 5 2" xfId="11933"/>
    <cellStyle name="Normal 7 2 3 4 5 2 2" xfId="26977"/>
    <cellStyle name="Normal 7 2 3 4 5 2 3" xfId="42020"/>
    <cellStyle name="Normal 7 2 3 4 5 3" xfId="19456"/>
    <cellStyle name="Normal 7 2 3 4 5 4" xfId="34499"/>
    <cellStyle name="Normal 7 2 3 4 6" xfId="8172"/>
    <cellStyle name="Normal 7 2 3 4 6 2" xfId="23216"/>
    <cellStyle name="Normal 7 2 3 4 6 3" xfId="38259"/>
    <cellStyle name="Normal 7 2 3 4 7" xfId="15695"/>
    <cellStyle name="Normal 7 2 3 4 8" xfId="30738"/>
    <cellStyle name="Normal 7 2 3 5" xfId="1031"/>
    <cellStyle name="Normal 7 2 3 5 2" xfId="1990"/>
    <cellStyle name="Normal 7 2 3 5 2 2" xfId="3861"/>
    <cellStyle name="Normal 7 2 3 5 2 2 2" xfId="7656"/>
    <cellStyle name="Normal 7 2 3 5 2 2 2 2" xfId="15179"/>
    <cellStyle name="Normal 7 2 3 5 2 2 2 2 2" xfId="30223"/>
    <cellStyle name="Normal 7 2 3 5 2 2 2 2 3" xfId="45266"/>
    <cellStyle name="Normal 7 2 3 5 2 2 2 3" xfId="22702"/>
    <cellStyle name="Normal 7 2 3 5 2 2 2 4" xfId="37745"/>
    <cellStyle name="Normal 7 2 3 5 2 2 3" xfId="11430"/>
    <cellStyle name="Normal 7 2 3 5 2 2 3 2" xfId="26474"/>
    <cellStyle name="Normal 7 2 3 5 2 2 3 3" xfId="41517"/>
    <cellStyle name="Normal 7 2 3 5 2 2 4" xfId="18953"/>
    <cellStyle name="Normal 7 2 3 5 2 2 5" xfId="33996"/>
    <cellStyle name="Normal 7 2 3 5 2 3" xfId="5791"/>
    <cellStyle name="Normal 7 2 3 5 2 3 2" xfId="13314"/>
    <cellStyle name="Normal 7 2 3 5 2 3 2 2" xfId="28358"/>
    <cellStyle name="Normal 7 2 3 5 2 3 2 3" xfId="43401"/>
    <cellStyle name="Normal 7 2 3 5 2 3 3" xfId="20837"/>
    <cellStyle name="Normal 7 2 3 5 2 3 4" xfId="35880"/>
    <cellStyle name="Normal 7 2 3 5 2 4" xfId="9565"/>
    <cellStyle name="Normal 7 2 3 5 2 4 2" xfId="24609"/>
    <cellStyle name="Normal 7 2 3 5 2 4 3" xfId="39652"/>
    <cellStyle name="Normal 7 2 3 5 2 5" xfId="17088"/>
    <cellStyle name="Normal 7 2 3 5 2 6" xfId="32131"/>
    <cellStyle name="Normal 7 2 3 5 3" xfId="2929"/>
    <cellStyle name="Normal 7 2 3 5 3 2" xfId="6724"/>
    <cellStyle name="Normal 7 2 3 5 3 2 2" xfId="14247"/>
    <cellStyle name="Normal 7 2 3 5 3 2 2 2" xfId="29291"/>
    <cellStyle name="Normal 7 2 3 5 3 2 2 3" xfId="44334"/>
    <cellStyle name="Normal 7 2 3 5 3 2 3" xfId="21770"/>
    <cellStyle name="Normal 7 2 3 5 3 2 4" xfId="36813"/>
    <cellStyle name="Normal 7 2 3 5 3 3" xfId="10498"/>
    <cellStyle name="Normal 7 2 3 5 3 3 2" xfId="25542"/>
    <cellStyle name="Normal 7 2 3 5 3 3 3" xfId="40585"/>
    <cellStyle name="Normal 7 2 3 5 3 4" xfId="18021"/>
    <cellStyle name="Normal 7 2 3 5 3 5" xfId="33064"/>
    <cellStyle name="Normal 7 2 3 5 4" xfId="4859"/>
    <cellStyle name="Normal 7 2 3 5 4 2" xfId="12382"/>
    <cellStyle name="Normal 7 2 3 5 4 2 2" xfId="27426"/>
    <cellStyle name="Normal 7 2 3 5 4 2 3" xfId="42469"/>
    <cellStyle name="Normal 7 2 3 5 4 3" xfId="19905"/>
    <cellStyle name="Normal 7 2 3 5 4 4" xfId="34948"/>
    <cellStyle name="Normal 7 2 3 5 5" xfId="8633"/>
    <cellStyle name="Normal 7 2 3 5 5 2" xfId="23677"/>
    <cellStyle name="Normal 7 2 3 5 5 3" xfId="38720"/>
    <cellStyle name="Normal 7 2 3 5 6" xfId="16156"/>
    <cellStyle name="Normal 7 2 3 5 7" xfId="31199"/>
    <cellStyle name="Normal 7 2 3 6" xfId="1538"/>
    <cellStyle name="Normal 7 2 3 6 2" xfId="3409"/>
    <cellStyle name="Normal 7 2 3 6 2 2" xfId="7204"/>
    <cellStyle name="Normal 7 2 3 6 2 2 2" xfId="14727"/>
    <cellStyle name="Normal 7 2 3 6 2 2 2 2" xfId="29771"/>
    <cellStyle name="Normal 7 2 3 6 2 2 2 3" xfId="44814"/>
    <cellStyle name="Normal 7 2 3 6 2 2 3" xfId="22250"/>
    <cellStyle name="Normal 7 2 3 6 2 2 4" xfId="37293"/>
    <cellStyle name="Normal 7 2 3 6 2 3" xfId="10978"/>
    <cellStyle name="Normal 7 2 3 6 2 3 2" xfId="26022"/>
    <cellStyle name="Normal 7 2 3 6 2 3 3" xfId="41065"/>
    <cellStyle name="Normal 7 2 3 6 2 4" xfId="18501"/>
    <cellStyle name="Normal 7 2 3 6 2 5" xfId="33544"/>
    <cellStyle name="Normal 7 2 3 6 3" xfId="5339"/>
    <cellStyle name="Normal 7 2 3 6 3 2" xfId="12862"/>
    <cellStyle name="Normal 7 2 3 6 3 2 2" xfId="27906"/>
    <cellStyle name="Normal 7 2 3 6 3 2 3" xfId="42949"/>
    <cellStyle name="Normal 7 2 3 6 3 3" xfId="20385"/>
    <cellStyle name="Normal 7 2 3 6 3 4" xfId="35428"/>
    <cellStyle name="Normal 7 2 3 6 4" xfId="9113"/>
    <cellStyle name="Normal 7 2 3 6 4 2" xfId="24157"/>
    <cellStyle name="Normal 7 2 3 6 4 3" xfId="39200"/>
    <cellStyle name="Normal 7 2 3 6 5" xfId="16636"/>
    <cellStyle name="Normal 7 2 3 6 6" xfId="31679"/>
    <cellStyle name="Normal 7 2 3 7" xfId="2476"/>
    <cellStyle name="Normal 7 2 3 7 2" xfId="6272"/>
    <cellStyle name="Normal 7 2 3 7 2 2" xfId="13795"/>
    <cellStyle name="Normal 7 2 3 7 2 2 2" xfId="28839"/>
    <cellStyle name="Normal 7 2 3 7 2 2 3" xfId="43882"/>
    <cellStyle name="Normal 7 2 3 7 2 3" xfId="21318"/>
    <cellStyle name="Normal 7 2 3 7 2 4" xfId="36361"/>
    <cellStyle name="Normal 7 2 3 7 3" xfId="10046"/>
    <cellStyle name="Normal 7 2 3 7 3 2" xfId="25090"/>
    <cellStyle name="Normal 7 2 3 7 3 3" xfId="40133"/>
    <cellStyle name="Normal 7 2 3 7 4" xfId="17569"/>
    <cellStyle name="Normal 7 2 3 7 5" xfId="32612"/>
    <cellStyle name="Normal 7 2 3 8" xfId="4404"/>
    <cellStyle name="Normal 7 2 3 8 2" xfId="11928"/>
    <cellStyle name="Normal 7 2 3 8 2 2" xfId="26972"/>
    <cellStyle name="Normal 7 2 3 8 2 3" xfId="42015"/>
    <cellStyle name="Normal 7 2 3 8 3" xfId="19451"/>
    <cellStyle name="Normal 7 2 3 8 4" xfId="34494"/>
    <cellStyle name="Normal 7 2 3 9" xfId="8167"/>
    <cellStyle name="Normal 7 2 3 9 2" xfId="23211"/>
    <cellStyle name="Normal 7 2 3 9 3" xfId="38254"/>
    <cellStyle name="Normal 7 2 4" xfId="519"/>
    <cellStyle name="Normal 7 2 4 2" xfId="520"/>
    <cellStyle name="Normal 7 2 4 2 2" xfId="1038"/>
    <cellStyle name="Normal 7 2 4 2 2 2" xfId="1997"/>
    <cellStyle name="Normal 7 2 4 2 2 2 2" xfId="3868"/>
    <cellStyle name="Normal 7 2 4 2 2 2 2 2" xfId="7663"/>
    <cellStyle name="Normal 7 2 4 2 2 2 2 2 2" xfId="15186"/>
    <cellStyle name="Normal 7 2 4 2 2 2 2 2 2 2" xfId="30230"/>
    <cellStyle name="Normal 7 2 4 2 2 2 2 2 2 3" xfId="45273"/>
    <cellStyle name="Normal 7 2 4 2 2 2 2 2 3" xfId="22709"/>
    <cellStyle name="Normal 7 2 4 2 2 2 2 2 4" xfId="37752"/>
    <cellStyle name="Normal 7 2 4 2 2 2 2 3" xfId="11437"/>
    <cellStyle name="Normal 7 2 4 2 2 2 2 3 2" xfId="26481"/>
    <cellStyle name="Normal 7 2 4 2 2 2 2 3 3" xfId="41524"/>
    <cellStyle name="Normal 7 2 4 2 2 2 2 4" xfId="18960"/>
    <cellStyle name="Normal 7 2 4 2 2 2 2 5" xfId="34003"/>
    <cellStyle name="Normal 7 2 4 2 2 2 3" xfId="5798"/>
    <cellStyle name="Normal 7 2 4 2 2 2 3 2" xfId="13321"/>
    <cellStyle name="Normal 7 2 4 2 2 2 3 2 2" xfId="28365"/>
    <cellStyle name="Normal 7 2 4 2 2 2 3 2 3" xfId="43408"/>
    <cellStyle name="Normal 7 2 4 2 2 2 3 3" xfId="20844"/>
    <cellStyle name="Normal 7 2 4 2 2 2 3 4" xfId="35887"/>
    <cellStyle name="Normal 7 2 4 2 2 2 4" xfId="9572"/>
    <cellStyle name="Normal 7 2 4 2 2 2 4 2" xfId="24616"/>
    <cellStyle name="Normal 7 2 4 2 2 2 4 3" xfId="39659"/>
    <cellStyle name="Normal 7 2 4 2 2 2 5" xfId="17095"/>
    <cellStyle name="Normal 7 2 4 2 2 2 6" xfId="32138"/>
    <cellStyle name="Normal 7 2 4 2 2 3" xfId="2936"/>
    <cellStyle name="Normal 7 2 4 2 2 3 2" xfId="6731"/>
    <cellStyle name="Normal 7 2 4 2 2 3 2 2" xfId="14254"/>
    <cellStyle name="Normal 7 2 4 2 2 3 2 2 2" xfId="29298"/>
    <cellStyle name="Normal 7 2 4 2 2 3 2 2 3" xfId="44341"/>
    <cellStyle name="Normal 7 2 4 2 2 3 2 3" xfId="21777"/>
    <cellStyle name="Normal 7 2 4 2 2 3 2 4" xfId="36820"/>
    <cellStyle name="Normal 7 2 4 2 2 3 3" xfId="10505"/>
    <cellStyle name="Normal 7 2 4 2 2 3 3 2" xfId="25549"/>
    <cellStyle name="Normal 7 2 4 2 2 3 3 3" xfId="40592"/>
    <cellStyle name="Normal 7 2 4 2 2 3 4" xfId="18028"/>
    <cellStyle name="Normal 7 2 4 2 2 3 5" xfId="33071"/>
    <cellStyle name="Normal 7 2 4 2 2 4" xfId="4866"/>
    <cellStyle name="Normal 7 2 4 2 2 4 2" xfId="12389"/>
    <cellStyle name="Normal 7 2 4 2 2 4 2 2" xfId="27433"/>
    <cellStyle name="Normal 7 2 4 2 2 4 2 3" xfId="42476"/>
    <cellStyle name="Normal 7 2 4 2 2 4 3" xfId="19912"/>
    <cellStyle name="Normal 7 2 4 2 2 4 4" xfId="34955"/>
    <cellStyle name="Normal 7 2 4 2 2 5" xfId="8640"/>
    <cellStyle name="Normal 7 2 4 2 2 5 2" xfId="23684"/>
    <cellStyle name="Normal 7 2 4 2 2 5 3" xfId="38727"/>
    <cellStyle name="Normal 7 2 4 2 2 6" xfId="16163"/>
    <cellStyle name="Normal 7 2 4 2 2 7" xfId="31206"/>
    <cellStyle name="Normal 7 2 4 2 3" xfId="1545"/>
    <cellStyle name="Normal 7 2 4 2 3 2" xfId="3416"/>
    <cellStyle name="Normal 7 2 4 2 3 2 2" xfId="7211"/>
    <cellStyle name="Normal 7 2 4 2 3 2 2 2" xfId="14734"/>
    <cellStyle name="Normal 7 2 4 2 3 2 2 2 2" xfId="29778"/>
    <cellStyle name="Normal 7 2 4 2 3 2 2 2 3" xfId="44821"/>
    <cellStyle name="Normal 7 2 4 2 3 2 2 3" xfId="22257"/>
    <cellStyle name="Normal 7 2 4 2 3 2 2 4" xfId="37300"/>
    <cellStyle name="Normal 7 2 4 2 3 2 3" xfId="10985"/>
    <cellStyle name="Normal 7 2 4 2 3 2 3 2" xfId="26029"/>
    <cellStyle name="Normal 7 2 4 2 3 2 3 3" xfId="41072"/>
    <cellStyle name="Normal 7 2 4 2 3 2 4" xfId="18508"/>
    <cellStyle name="Normal 7 2 4 2 3 2 5" xfId="33551"/>
    <cellStyle name="Normal 7 2 4 2 3 3" xfId="5346"/>
    <cellStyle name="Normal 7 2 4 2 3 3 2" xfId="12869"/>
    <cellStyle name="Normal 7 2 4 2 3 3 2 2" xfId="27913"/>
    <cellStyle name="Normal 7 2 4 2 3 3 2 3" xfId="42956"/>
    <cellStyle name="Normal 7 2 4 2 3 3 3" xfId="20392"/>
    <cellStyle name="Normal 7 2 4 2 3 3 4" xfId="35435"/>
    <cellStyle name="Normal 7 2 4 2 3 4" xfId="9120"/>
    <cellStyle name="Normal 7 2 4 2 3 4 2" xfId="24164"/>
    <cellStyle name="Normal 7 2 4 2 3 4 3" xfId="39207"/>
    <cellStyle name="Normal 7 2 4 2 3 5" xfId="16643"/>
    <cellStyle name="Normal 7 2 4 2 3 6" xfId="31686"/>
    <cellStyle name="Normal 7 2 4 2 4" xfId="2483"/>
    <cellStyle name="Normal 7 2 4 2 4 2" xfId="6279"/>
    <cellStyle name="Normal 7 2 4 2 4 2 2" xfId="13802"/>
    <cellStyle name="Normal 7 2 4 2 4 2 2 2" xfId="28846"/>
    <cellStyle name="Normal 7 2 4 2 4 2 2 3" xfId="43889"/>
    <cellStyle name="Normal 7 2 4 2 4 2 3" xfId="21325"/>
    <cellStyle name="Normal 7 2 4 2 4 2 4" xfId="36368"/>
    <cellStyle name="Normal 7 2 4 2 4 3" xfId="10053"/>
    <cellStyle name="Normal 7 2 4 2 4 3 2" xfId="25097"/>
    <cellStyle name="Normal 7 2 4 2 4 3 3" xfId="40140"/>
    <cellStyle name="Normal 7 2 4 2 4 4" xfId="17576"/>
    <cellStyle name="Normal 7 2 4 2 4 5" xfId="32619"/>
    <cellStyle name="Normal 7 2 4 2 5" xfId="4411"/>
    <cellStyle name="Normal 7 2 4 2 5 2" xfId="11935"/>
    <cellStyle name="Normal 7 2 4 2 5 2 2" xfId="26979"/>
    <cellStyle name="Normal 7 2 4 2 5 2 3" xfId="42022"/>
    <cellStyle name="Normal 7 2 4 2 5 3" xfId="19458"/>
    <cellStyle name="Normal 7 2 4 2 5 4" xfId="34501"/>
    <cellStyle name="Normal 7 2 4 2 6" xfId="8174"/>
    <cellStyle name="Normal 7 2 4 2 6 2" xfId="23218"/>
    <cellStyle name="Normal 7 2 4 2 6 3" xfId="38261"/>
    <cellStyle name="Normal 7 2 4 2 7" xfId="15697"/>
    <cellStyle name="Normal 7 2 4 2 8" xfId="30740"/>
    <cellStyle name="Normal 7 2 4 3" xfId="1037"/>
    <cellStyle name="Normal 7 2 4 3 2" xfId="1996"/>
    <cellStyle name="Normal 7 2 4 3 2 2" xfId="3867"/>
    <cellStyle name="Normal 7 2 4 3 2 2 2" xfId="7662"/>
    <cellStyle name="Normal 7 2 4 3 2 2 2 2" xfId="15185"/>
    <cellStyle name="Normal 7 2 4 3 2 2 2 2 2" xfId="30229"/>
    <cellStyle name="Normal 7 2 4 3 2 2 2 2 3" xfId="45272"/>
    <cellStyle name="Normal 7 2 4 3 2 2 2 3" xfId="22708"/>
    <cellStyle name="Normal 7 2 4 3 2 2 2 4" xfId="37751"/>
    <cellStyle name="Normal 7 2 4 3 2 2 3" xfId="11436"/>
    <cellStyle name="Normal 7 2 4 3 2 2 3 2" xfId="26480"/>
    <cellStyle name="Normal 7 2 4 3 2 2 3 3" xfId="41523"/>
    <cellStyle name="Normal 7 2 4 3 2 2 4" xfId="18959"/>
    <cellStyle name="Normal 7 2 4 3 2 2 5" xfId="34002"/>
    <cellStyle name="Normal 7 2 4 3 2 3" xfId="5797"/>
    <cellStyle name="Normal 7 2 4 3 2 3 2" xfId="13320"/>
    <cellStyle name="Normal 7 2 4 3 2 3 2 2" xfId="28364"/>
    <cellStyle name="Normal 7 2 4 3 2 3 2 3" xfId="43407"/>
    <cellStyle name="Normal 7 2 4 3 2 3 3" xfId="20843"/>
    <cellStyle name="Normal 7 2 4 3 2 3 4" xfId="35886"/>
    <cellStyle name="Normal 7 2 4 3 2 4" xfId="9571"/>
    <cellStyle name="Normal 7 2 4 3 2 4 2" xfId="24615"/>
    <cellStyle name="Normal 7 2 4 3 2 4 3" xfId="39658"/>
    <cellStyle name="Normal 7 2 4 3 2 5" xfId="17094"/>
    <cellStyle name="Normal 7 2 4 3 2 6" xfId="32137"/>
    <cellStyle name="Normal 7 2 4 3 3" xfId="2935"/>
    <cellStyle name="Normal 7 2 4 3 3 2" xfId="6730"/>
    <cellStyle name="Normal 7 2 4 3 3 2 2" xfId="14253"/>
    <cellStyle name="Normal 7 2 4 3 3 2 2 2" xfId="29297"/>
    <cellStyle name="Normal 7 2 4 3 3 2 2 3" xfId="44340"/>
    <cellStyle name="Normal 7 2 4 3 3 2 3" xfId="21776"/>
    <cellStyle name="Normal 7 2 4 3 3 2 4" xfId="36819"/>
    <cellStyle name="Normal 7 2 4 3 3 3" xfId="10504"/>
    <cellStyle name="Normal 7 2 4 3 3 3 2" xfId="25548"/>
    <cellStyle name="Normal 7 2 4 3 3 3 3" xfId="40591"/>
    <cellStyle name="Normal 7 2 4 3 3 4" xfId="18027"/>
    <cellStyle name="Normal 7 2 4 3 3 5" xfId="33070"/>
    <cellStyle name="Normal 7 2 4 3 4" xfId="4865"/>
    <cellStyle name="Normal 7 2 4 3 4 2" xfId="12388"/>
    <cellStyle name="Normal 7 2 4 3 4 2 2" xfId="27432"/>
    <cellStyle name="Normal 7 2 4 3 4 2 3" xfId="42475"/>
    <cellStyle name="Normal 7 2 4 3 4 3" xfId="19911"/>
    <cellStyle name="Normal 7 2 4 3 4 4" xfId="34954"/>
    <cellStyle name="Normal 7 2 4 3 5" xfId="8639"/>
    <cellStyle name="Normal 7 2 4 3 5 2" xfId="23683"/>
    <cellStyle name="Normal 7 2 4 3 5 3" xfId="38726"/>
    <cellStyle name="Normal 7 2 4 3 6" xfId="16162"/>
    <cellStyle name="Normal 7 2 4 3 7" xfId="31205"/>
    <cellStyle name="Normal 7 2 4 4" xfId="1544"/>
    <cellStyle name="Normal 7 2 4 4 2" xfId="3415"/>
    <cellStyle name="Normal 7 2 4 4 2 2" xfId="7210"/>
    <cellStyle name="Normal 7 2 4 4 2 2 2" xfId="14733"/>
    <cellStyle name="Normal 7 2 4 4 2 2 2 2" xfId="29777"/>
    <cellStyle name="Normal 7 2 4 4 2 2 2 3" xfId="44820"/>
    <cellStyle name="Normal 7 2 4 4 2 2 3" xfId="22256"/>
    <cellStyle name="Normal 7 2 4 4 2 2 4" xfId="37299"/>
    <cellStyle name="Normal 7 2 4 4 2 3" xfId="10984"/>
    <cellStyle name="Normal 7 2 4 4 2 3 2" xfId="26028"/>
    <cellStyle name="Normal 7 2 4 4 2 3 3" xfId="41071"/>
    <cellStyle name="Normal 7 2 4 4 2 4" xfId="18507"/>
    <cellStyle name="Normal 7 2 4 4 2 5" xfId="33550"/>
    <cellStyle name="Normal 7 2 4 4 3" xfId="5345"/>
    <cellStyle name="Normal 7 2 4 4 3 2" xfId="12868"/>
    <cellStyle name="Normal 7 2 4 4 3 2 2" xfId="27912"/>
    <cellStyle name="Normal 7 2 4 4 3 2 3" xfId="42955"/>
    <cellStyle name="Normal 7 2 4 4 3 3" xfId="20391"/>
    <cellStyle name="Normal 7 2 4 4 3 4" xfId="35434"/>
    <cellStyle name="Normal 7 2 4 4 4" xfId="9119"/>
    <cellStyle name="Normal 7 2 4 4 4 2" xfId="24163"/>
    <cellStyle name="Normal 7 2 4 4 4 3" xfId="39206"/>
    <cellStyle name="Normal 7 2 4 4 5" xfId="16642"/>
    <cellStyle name="Normal 7 2 4 4 6" xfId="31685"/>
    <cellStyle name="Normal 7 2 4 5" xfId="2482"/>
    <cellStyle name="Normal 7 2 4 5 2" xfId="6278"/>
    <cellStyle name="Normal 7 2 4 5 2 2" xfId="13801"/>
    <cellStyle name="Normal 7 2 4 5 2 2 2" xfId="28845"/>
    <cellStyle name="Normal 7 2 4 5 2 2 3" xfId="43888"/>
    <cellStyle name="Normal 7 2 4 5 2 3" xfId="21324"/>
    <cellStyle name="Normal 7 2 4 5 2 4" xfId="36367"/>
    <cellStyle name="Normal 7 2 4 5 3" xfId="10052"/>
    <cellStyle name="Normal 7 2 4 5 3 2" xfId="25096"/>
    <cellStyle name="Normal 7 2 4 5 3 3" xfId="40139"/>
    <cellStyle name="Normal 7 2 4 5 4" xfId="17575"/>
    <cellStyle name="Normal 7 2 4 5 5" xfId="32618"/>
    <cellStyle name="Normal 7 2 4 6" xfId="4410"/>
    <cellStyle name="Normal 7 2 4 6 2" xfId="11934"/>
    <cellStyle name="Normal 7 2 4 6 2 2" xfId="26978"/>
    <cellStyle name="Normal 7 2 4 6 2 3" xfId="42021"/>
    <cellStyle name="Normal 7 2 4 6 3" xfId="19457"/>
    <cellStyle name="Normal 7 2 4 6 4" xfId="34500"/>
    <cellStyle name="Normal 7 2 4 7" xfId="8173"/>
    <cellStyle name="Normal 7 2 4 7 2" xfId="23217"/>
    <cellStyle name="Normal 7 2 4 7 3" xfId="38260"/>
    <cellStyle name="Normal 7 2 4 8" xfId="15696"/>
    <cellStyle name="Normal 7 2 4 9" xfId="30739"/>
    <cellStyle name="Normal 7 2 5" xfId="521"/>
    <cellStyle name="Normal 7 2 5 2" xfId="522"/>
    <cellStyle name="Normal 7 2 5 2 2" xfId="1040"/>
    <cellStyle name="Normal 7 2 5 2 2 2" xfId="1999"/>
    <cellStyle name="Normal 7 2 5 2 2 2 2" xfId="3870"/>
    <cellStyle name="Normal 7 2 5 2 2 2 2 2" xfId="7665"/>
    <cellStyle name="Normal 7 2 5 2 2 2 2 2 2" xfId="15188"/>
    <cellStyle name="Normal 7 2 5 2 2 2 2 2 2 2" xfId="30232"/>
    <cellStyle name="Normal 7 2 5 2 2 2 2 2 2 3" xfId="45275"/>
    <cellStyle name="Normal 7 2 5 2 2 2 2 2 3" xfId="22711"/>
    <cellStyle name="Normal 7 2 5 2 2 2 2 2 4" xfId="37754"/>
    <cellStyle name="Normal 7 2 5 2 2 2 2 3" xfId="11439"/>
    <cellStyle name="Normal 7 2 5 2 2 2 2 3 2" xfId="26483"/>
    <cellStyle name="Normal 7 2 5 2 2 2 2 3 3" xfId="41526"/>
    <cellStyle name="Normal 7 2 5 2 2 2 2 4" xfId="18962"/>
    <cellStyle name="Normal 7 2 5 2 2 2 2 5" xfId="34005"/>
    <cellStyle name="Normal 7 2 5 2 2 2 3" xfId="5800"/>
    <cellStyle name="Normal 7 2 5 2 2 2 3 2" xfId="13323"/>
    <cellStyle name="Normal 7 2 5 2 2 2 3 2 2" xfId="28367"/>
    <cellStyle name="Normal 7 2 5 2 2 2 3 2 3" xfId="43410"/>
    <cellStyle name="Normal 7 2 5 2 2 2 3 3" xfId="20846"/>
    <cellStyle name="Normal 7 2 5 2 2 2 3 4" xfId="35889"/>
    <cellStyle name="Normal 7 2 5 2 2 2 4" xfId="9574"/>
    <cellStyle name="Normal 7 2 5 2 2 2 4 2" xfId="24618"/>
    <cellStyle name="Normal 7 2 5 2 2 2 4 3" xfId="39661"/>
    <cellStyle name="Normal 7 2 5 2 2 2 5" xfId="17097"/>
    <cellStyle name="Normal 7 2 5 2 2 2 6" xfId="32140"/>
    <cellStyle name="Normal 7 2 5 2 2 3" xfId="2938"/>
    <cellStyle name="Normal 7 2 5 2 2 3 2" xfId="6733"/>
    <cellStyle name="Normal 7 2 5 2 2 3 2 2" xfId="14256"/>
    <cellStyle name="Normal 7 2 5 2 2 3 2 2 2" xfId="29300"/>
    <cellStyle name="Normal 7 2 5 2 2 3 2 2 3" xfId="44343"/>
    <cellStyle name="Normal 7 2 5 2 2 3 2 3" xfId="21779"/>
    <cellStyle name="Normal 7 2 5 2 2 3 2 4" xfId="36822"/>
    <cellStyle name="Normal 7 2 5 2 2 3 3" xfId="10507"/>
    <cellStyle name="Normal 7 2 5 2 2 3 3 2" xfId="25551"/>
    <cellStyle name="Normal 7 2 5 2 2 3 3 3" xfId="40594"/>
    <cellStyle name="Normal 7 2 5 2 2 3 4" xfId="18030"/>
    <cellStyle name="Normal 7 2 5 2 2 3 5" xfId="33073"/>
    <cellStyle name="Normal 7 2 5 2 2 4" xfId="4868"/>
    <cellStyle name="Normal 7 2 5 2 2 4 2" xfId="12391"/>
    <cellStyle name="Normal 7 2 5 2 2 4 2 2" xfId="27435"/>
    <cellStyle name="Normal 7 2 5 2 2 4 2 3" xfId="42478"/>
    <cellStyle name="Normal 7 2 5 2 2 4 3" xfId="19914"/>
    <cellStyle name="Normal 7 2 5 2 2 4 4" xfId="34957"/>
    <cellStyle name="Normal 7 2 5 2 2 5" xfId="8642"/>
    <cellStyle name="Normal 7 2 5 2 2 5 2" xfId="23686"/>
    <cellStyle name="Normal 7 2 5 2 2 5 3" xfId="38729"/>
    <cellStyle name="Normal 7 2 5 2 2 6" xfId="16165"/>
    <cellStyle name="Normal 7 2 5 2 2 7" xfId="31208"/>
    <cellStyle name="Normal 7 2 5 2 3" xfId="1547"/>
    <cellStyle name="Normal 7 2 5 2 3 2" xfId="3418"/>
    <cellStyle name="Normal 7 2 5 2 3 2 2" xfId="7213"/>
    <cellStyle name="Normal 7 2 5 2 3 2 2 2" xfId="14736"/>
    <cellStyle name="Normal 7 2 5 2 3 2 2 2 2" xfId="29780"/>
    <cellStyle name="Normal 7 2 5 2 3 2 2 2 3" xfId="44823"/>
    <cellStyle name="Normal 7 2 5 2 3 2 2 3" xfId="22259"/>
    <cellStyle name="Normal 7 2 5 2 3 2 2 4" xfId="37302"/>
    <cellStyle name="Normal 7 2 5 2 3 2 3" xfId="10987"/>
    <cellStyle name="Normal 7 2 5 2 3 2 3 2" xfId="26031"/>
    <cellStyle name="Normal 7 2 5 2 3 2 3 3" xfId="41074"/>
    <cellStyle name="Normal 7 2 5 2 3 2 4" xfId="18510"/>
    <cellStyle name="Normal 7 2 5 2 3 2 5" xfId="33553"/>
    <cellStyle name="Normal 7 2 5 2 3 3" xfId="5348"/>
    <cellStyle name="Normal 7 2 5 2 3 3 2" xfId="12871"/>
    <cellStyle name="Normal 7 2 5 2 3 3 2 2" xfId="27915"/>
    <cellStyle name="Normal 7 2 5 2 3 3 2 3" xfId="42958"/>
    <cellStyle name="Normal 7 2 5 2 3 3 3" xfId="20394"/>
    <cellStyle name="Normal 7 2 5 2 3 3 4" xfId="35437"/>
    <cellStyle name="Normal 7 2 5 2 3 4" xfId="9122"/>
    <cellStyle name="Normal 7 2 5 2 3 4 2" xfId="24166"/>
    <cellStyle name="Normal 7 2 5 2 3 4 3" xfId="39209"/>
    <cellStyle name="Normal 7 2 5 2 3 5" xfId="16645"/>
    <cellStyle name="Normal 7 2 5 2 3 6" xfId="31688"/>
    <cellStyle name="Normal 7 2 5 2 4" xfId="2485"/>
    <cellStyle name="Normal 7 2 5 2 4 2" xfId="6281"/>
    <cellStyle name="Normal 7 2 5 2 4 2 2" xfId="13804"/>
    <cellStyle name="Normal 7 2 5 2 4 2 2 2" xfId="28848"/>
    <cellStyle name="Normal 7 2 5 2 4 2 2 3" xfId="43891"/>
    <cellStyle name="Normal 7 2 5 2 4 2 3" xfId="21327"/>
    <cellStyle name="Normal 7 2 5 2 4 2 4" xfId="36370"/>
    <cellStyle name="Normal 7 2 5 2 4 3" xfId="10055"/>
    <cellStyle name="Normal 7 2 5 2 4 3 2" xfId="25099"/>
    <cellStyle name="Normal 7 2 5 2 4 3 3" xfId="40142"/>
    <cellStyle name="Normal 7 2 5 2 4 4" xfId="17578"/>
    <cellStyle name="Normal 7 2 5 2 4 5" xfId="32621"/>
    <cellStyle name="Normal 7 2 5 2 5" xfId="4413"/>
    <cellStyle name="Normal 7 2 5 2 5 2" xfId="11937"/>
    <cellStyle name="Normal 7 2 5 2 5 2 2" xfId="26981"/>
    <cellStyle name="Normal 7 2 5 2 5 2 3" xfId="42024"/>
    <cellStyle name="Normal 7 2 5 2 5 3" xfId="19460"/>
    <cellStyle name="Normal 7 2 5 2 5 4" xfId="34503"/>
    <cellStyle name="Normal 7 2 5 2 6" xfId="8176"/>
    <cellStyle name="Normal 7 2 5 2 6 2" xfId="23220"/>
    <cellStyle name="Normal 7 2 5 2 6 3" xfId="38263"/>
    <cellStyle name="Normal 7 2 5 2 7" xfId="15699"/>
    <cellStyle name="Normal 7 2 5 2 8" xfId="30742"/>
    <cellStyle name="Normal 7 2 5 3" xfId="1039"/>
    <cellStyle name="Normal 7 2 5 3 2" xfId="1998"/>
    <cellStyle name="Normal 7 2 5 3 2 2" xfId="3869"/>
    <cellStyle name="Normal 7 2 5 3 2 2 2" xfId="7664"/>
    <cellStyle name="Normal 7 2 5 3 2 2 2 2" xfId="15187"/>
    <cellStyle name="Normal 7 2 5 3 2 2 2 2 2" xfId="30231"/>
    <cellStyle name="Normal 7 2 5 3 2 2 2 2 3" xfId="45274"/>
    <cellStyle name="Normal 7 2 5 3 2 2 2 3" xfId="22710"/>
    <cellStyle name="Normal 7 2 5 3 2 2 2 4" xfId="37753"/>
    <cellStyle name="Normal 7 2 5 3 2 2 3" xfId="11438"/>
    <cellStyle name="Normal 7 2 5 3 2 2 3 2" xfId="26482"/>
    <cellStyle name="Normal 7 2 5 3 2 2 3 3" xfId="41525"/>
    <cellStyle name="Normal 7 2 5 3 2 2 4" xfId="18961"/>
    <cellStyle name="Normal 7 2 5 3 2 2 5" xfId="34004"/>
    <cellStyle name="Normal 7 2 5 3 2 3" xfId="5799"/>
    <cellStyle name="Normal 7 2 5 3 2 3 2" xfId="13322"/>
    <cellStyle name="Normal 7 2 5 3 2 3 2 2" xfId="28366"/>
    <cellStyle name="Normal 7 2 5 3 2 3 2 3" xfId="43409"/>
    <cellStyle name="Normal 7 2 5 3 2 3 3" xfId="20845"/>
    <cellStyle name="Normal 7 2 5 3 2 3 4" xfId="35888"/>
    <cellStyle name="Normal 7 2 5 3 2 4" xfId="9573"/>
    <cellStyle name="Normal 7 2 5 3 2 4 2" xfId="24617"/>
    <cellStyle name="Normal 7 2 5 3 2 4 3" xfId="39660"/>
    <cellStyle name="Normal 7 2 5 3 2 5" xfId="17096"/>
    <cellStyle name="Normal 7 2 5 3 2 6" xfId="32139"/>
    <cellStyle name="Normal 7 2 5 3 3" xfId="2937"/>
    <cellStyle name="Normal 7 2 5 3 3 2" xfId="6732"/>
    <cellStyle name="Normal 7 2 5 3 3 2 2" xfId="14255"/>
    <cellStyle name="Normal 7 2 5 3 3 2 2 2" xfId="29299"/>
    <cellStyle name="Normal 7 2 5 3 3 2 2 3" xfId="44342"/>
    <cellStyle name="Normal 7 2 5 3 3 2 3" xfId="21778"/>
    <cellStyle name="Normal 7 2 5 3 3 2 4" xfId="36821"/>
    <cellStyle name="Normal 7 2 5 3 3 3" xfId="10506"/>
    <cellStyle name="Normal 7 2 5 3 3 3 2" xfId="25550"/>
    <cellStyle name="Normal 7 2 5 3 3 3 3" xfId="40593"/>
    <cellStyle name="Normal 7 2 5 3 3 4" xfId="18029"/>
    <cellStyle name="Normal 7 2 5 3 3 5" xfId="33072"/>
    <cellStyle name="Normal 7 2 5 3 4" xfId="4867"/>
    <cellStyle name="Normal 7 2 5 3 4 2" xfId="12390"/>
    <cellStyle name="Normal 7 2 5 3 4 2 2" xfId="27434"/>
    <cellStyle name="Normal 7 2 5 3 4 2 3" xfId="42477"/>
    <cellStyle name="Normal 7 2 5 3 4 3" xfId="19913"/>
    <cellStyle name="Normal 7 2 5 3 4 4" xfId="34956"/>
    <cellStyle name="Normal 7 2 5 3 5" xfId="8641"/>
    <cellStyle name="Normal 7 2 5 3 5 2" xfId="23685"/>
    <cellStyle name="Normal 7 2 5 3 5 3" xfId="38728"/>
    <cellStyle name="Normal 7 2 5 3 6" xfId="16164"/>
    <cellStyle name="Normal 7 2 5 3 7" xfId="31207"/>
    <cellStyle name="Normal 7 2 5 4" xfId="1546"/>
    <cellStyle name="Normal 7 2 5 4 2" xfId="3417"/>
    <cellStyle name="Normal 7 2 5 4 2 2" xfId="7212"/>
    <cellStyle name="Normal 7 2 5 4 2 2 2" xfId="14735"/>
    <cellStyle name="Normal 7 2 5 4 2 2 2 2" xfId="29779"/>
    <cellStyle name="Normal 7 2 5 4 2 2 2 3" xfId="44822"/>
    <cellStyle name="Normal 7 2 5 4 2 2 3" xfId="22258"/>
    <cellStyle name="Normal 7 2 5 4 2 2 4" xfId="37301"/>
    <cellStyle name="Normal 7 2 5 4 2 3" xfId="10986"/>
    <cellStyle name="Normal 7 2 5 4 2 3 2" xfId="26030"/>
    <cellStyle name="Normal 7 2 5 4 2 3 3" xfId="41073"/>
    <cellStyle name="Normal 7 2 5 4 2 4" xfId="18509"/>
    <cellStyle name="Normal 7 2 5 4 2 5" xfId="33552"/>
    <cellStyle name="Normal 7 2 5 4 3" xfId="5347"/>
    <cellStyle name="Normal 7 2 5 4 3 2" xfId="12870"/>
    <cellStyle name="Normal 7 2 5 4 3 2 2" xfId="27914"/>
    <cellStyle name="Normal 7 2 5 4 3 2 3" xfId="42957"/>
    <cellStyle name="Normal 7 2 5 4 3 3" xfId="20393"/>
    <cellStyle name="Normal 7 2 5 4 3 4" xfId="35436"/>
    <cellStyle name="Normal 7 2 5 4 4" xfId="9121"/>
    <cellStyle name="Normal 7 2 5 4 4 2" xfId="24165"/>
    <cellStyle name="Normal 7 2 5 4 4 3" xfId="39208"/>
    <cellStyle name="Normal 7 2 5 4 5" xfId="16644"/>
    <cellStyle name="Normal 7 2 5 4 6" xfId="31687"/>
    <cellStyle name="Normal 7 2 5 5" xfId="2484"/>
    <cellStyle name="Normal 7 2 5 5 2" xfId="6280"/>
    <cellStyle name="Normal 7 2 5 5 2 2" xfId="13803"/>
    <cellStyle name="Normal 7 2 5 5 2 2 2" xfId="28847"/>
    <cellStyle name="Normal 7 2 5 5 2 2 3" xfId="43890"/>
    <cellStyle name="Normal 7 2 5 5 2 3" xfId="21326"/>
    <cellStyle name="Normal 7 2 5 5 2 4" xfId="36369"/>
    <cellStyle name="Normal 7 2 5 5 3" xfId="10054"/>
    <cellStyle name="Normal 7 2 5 5 3 2" xfId="25098"/>
    <cellStyle name="Normal 7 2 5 5 3 3" xfId="40141"/>
    <cellStyle name="Normal 7 2 5 5 4" xfId="17577"/>
    <cellStyle name="Normal 7 2 5 5 5" xfId="32620"/>
    <cellStyle name="Normal 7 2 5 6" xfId="4412"/>
    <cellStyle name="Normal 7 2 5 6 2" xfId="11936"/>
    <cellStyle name="Normal 7 2 5 6 2 2" xfId="26980"/>
    <cellStyle name="Normal 7 2 5 6 2 3" xfId="42023"/>
    <cellStyle name="Normal 7 2 5 6 3" xfId="19459"/>
    <cellStyle name="Normal 7 2 5 6 4" xfId="34502"/>
    <cellStyle name="Normal 7 2 5 7" xfId="8175"/>
    <cellStyle name="Normal 7 2 5 7 2" xfId="23219"/>
    <cellStyle name="Normal 7 2 5 7 3" xfId="38262"/>
    <cellStyle name="Normal 7 2 5 8" xfId="15698"/>
    <cellStyle name="Normal 7 2 5 9" xfId="30741"/>
    <cellStyle name="Normal 7 2 6" xfId="523"/>
    <cellStyle name="Normal 7 2 6 2" xfId="1041"/>
    <cellStyle name="Normal 7 2 6 2 2" xfId="2000"/>
    <cellStyle name="Normal 7 2 6 2 2 2" xfId="3871"/>
    <cellStyle name="Normal 7 2 6 2 2 2 2" xfId="7666"/>
    <cellStyle name="Normal 7 2 6 2 2 2 2 2" xfId="15189"/>
    <cellStyle name="Normal 7 2 6 2 2 2 2 2 2" xfId="30233"/>
    <cellStyle name="Normal 7 2 6 2 2 2 2 2 3" xfId="45276"/>
    <cellStyle name="Normal 7 2 6 2 2 2 2 3" xfId="22712"/>
    <cellStyle name="Normal 7 2 6 2 2 2 2 4" xfId="37755"/>
    <cellStyle name="Normal 7 2 6 2 2 2 3" xfId="11440"/>
    <cellStyle name="Normal 7 2 6 2 2 2 3 2" xfId="26484"/>
    <cellStyle name="Normal 7 2 6 2 2 2 3 3" xfId="41527"/>
    <cellStyle name="Normal 7 2 6 2 2 2 4" xfId="18963"/>
    <cellStyle name="Normal 7 2 6 2 2 2 5" xfId="34006"/>
    <cellStyle name="Normal 7 2 6 2 2 3" xfId="5801"/>
    <cellStyle name="Normal 7 2 6 2 2 3 2" xfId="13324"/>
    <cellStyle name="Normal 7 2 6 2 2 3 2 2" xfId="28368"/>
    <cellStyle name="Normal 7 2 6 2 2 3 2 3" xfId="43411"/>
    <cellStyle name="Normal 7 2 6 2 2 3 3" xfId="20847"/>
    <cellStyle name="Normal 7 2 6 2 2 3 4" xfId="35890"/>
    <cellStyle name="Normal 7 2 6 2 2 4" xfId="9575"/>
    <cellStyle name="Normal 7 2 6 2 2 4 2" xfId="24619"/>
    <cellStyle name="Normal 7 2 6 2 2 4 3" xfId="39662"/>
    <cellStyle name="Normal 7 2 6 2 2 5" xfId="17098"/>
    <cellStyle name="Normal 7 2 6 2 2 6" xfId="32141"/>
    <cellStyle name="Normal 7 2 6 2 3" xfId="2939"/>
    <cellStyle name="Normal 7 2 6 2 3 2" xfId="6734"/>
    <cellStyle name="Normal 7 2 6 2 3 2 2" xfId="14257"/>
    <cellStyle name="Normal 7 2 6 2 3 2 2 2" xfId="29301"/>
    <cellStyle name="Normal 7 2 6 2 3 2 2 3" xfId="44344"/>
    <cellStyle name="Normal 7 2 6 2 3 2 3" xfId="21780"/>
    <cellStyle name="Normal 7 2 6 2 3 2 4" xfId="36823"/>
    <cellStyle name="Normal 7 2 6 2 3 3" xfId="10508"/>
    <cellStyle name="Normal 7 2 6 2 3 3 2" xfId="25552"/>
    <cellStyle name="Normal 7 2 6 2 3 3 3" xfId="40595"/>
    <cellStyle name="Normal 7 2 6 2 3 4" xfId="18031"/>
    <cellStyle name="Normal 7 2 6 2 3 5" xfId="33074"/>
    <cellStyle name="Normal 7 2 6 2 4" xfId="4869"/>
    <cellStyle name="Normal 7 2 6 2 4 2" xfId="12392"/>
    <cellStyle name="Normal 7 2 6 2 4 2 2" xfId="27436"/>
    <cellStyle name="Normal 7 2 6 2 4 2 3" xfId="42479"/>
    <cellStyle name="Normal 7 2 6 2 4 3" xfId="19915"/>
    <cellStyle name="Normal 7 2 6 2 4 4" xfId="34958"/>
    <cellStyle name="Normal 7 2 6 2 5" xfId="8643"/>
    <cellStyle name="Normal 7 2 6 2 5 2" xfId="23687"/>
    <cellStyle name="Normal 7 2 6 2 5 3" xfId="38730"/>
    <cellStyle name="Normal 7 2 6 2 6" xfId="16166"/>
    <cellStyle name="Normal 7 2 6 2 7" xfId="31209"/>
    <cellStyle name="Normal 7 2 6 3" xfId="1548"/>
    <cellStyle name="Normal 7 2 6 3 2" xfId="3419"/>
    <cellStyle name="Normal 7 2 6 3 2 2" xfId="7214"/>
    <cellStyle name="Normal 7 2 6 3 2 2 2" xfId="14737"/>
    <cellStyle name="Normal 7 2 6 3 2 2 2 2" xfId="29781"/>
    <cellStyle name="Normal 7 2 6 3 2 2 2 3" xfId="44824"/>
    <cellStyle name="Normal 7 2 6 3 2 2 3" xfId="22260"/>
    <cellStyle name="Normal 7 2 6 3 2 2 4" xfId="37303"/>
    <cellStyle name="Normal 7 2 6 3 2 3" xfId="10988"/>
    <cellStyle name="Normal 7 2 6 3 2 3 2" xfId="26032"/>
    <cellStyle name="Normal 7 2 6 3 2 3 3" xfId="41075"/>
    <cellStyle name="Normal 7 2 6 3 2 4" xfId="18511"/>
    <cellStyle name="Normal 7 2 6 3 2 5" xfId="33554"/>
    <cellStyle name="Normal 7 2 6 3 3" xfId="5349"/>
    <cellStyle name="Normal 7 2 6 3 3 2" xfId="12872"/>
    <cellStyle name="Normal 7 2 6 3 3 2 2" xfId="27916"/>
    <cellStyle name="Normal 7 2 6 3 3 2 3" xfId="42959"/>
    <cellStyle name="Normal 7 2 6 3 3 3" xfId="20395"/>
    <cellStyle name="Normal 7 2 6 3 3 4" xfId="35438"/>
    <cellStyle name="Normal 7 2 6 3 4" xfId="9123"/>
    <cellStyle name="Normal 7 2 6 3 4 2" xfId="24167"/>
    <cellStyle name="Normal 7 2 6 3 4 3" xfId="39210"/>
    <cellStyle name="Normal 7 2 6 3 5" xfId="16646"/>
    <cellStyle name="Normal 7 2 6 3 6" xfId="31689"/>
    <cellStyle name="Normal 7 2 6 4" xfId="2486"/>
    <cellStyle name="Normal 7 2 6 4 2" xfId="6282"/>
    <cellStyle name="Normal 7 2 6 4 2 2" xfId="13805"/>
    <cellStyle name="Normal 7 2 6 4 2 2 2" xfId="28849"/>
    <cellStyle name="Normal 7 2 6 4 2 2 3" xfId="43892"/>
    <cellStyle name="Normal 7 2 6 4 2 3" xfId="21328"/>
    <cellStyle name="Normal 7 2 6 4 2 4" xfId="36371"/>
    <cellStyle name="Normal 7 2 6 4 3" xfId="10056"/>
    <cellStyle name="Normal 7 2 6 4 3 2" xfId="25100"/>
    <cellStyle name="Normal 7 2 6 4 3 3" xfId="40143"/>
    <cellStyle name="Normal 7 2 6 4 4" xfId="17579"/>
    <cellStyle name="Normal 7 2 6 4 5" xfId="32622"/>
    <cellStyle name="Normal 7 2 6 5" xfId="4414"/>
    <cellStyle name="Normal 7 2 6 5 2" xfId="11938"/>
    <cellStyle name="Normal 7 2 6 5 2 2" xfId="26982"/>
    <cellStyle name="Normal 7 2 6 5 2 3" xfId="42025"/>
    <cellStyle name="Normal 7 2 6 5 3" xfId="19461"/>
    <cellStyle name="Normal 7 2 6 5 4" xfId="34504"/>
    <cellStyle name="Normal 7 2 6 6" xfId="8177"/>
    <cellStyle name="Normal 7 2 6 6 2" xfId="23221"/>
    <cellStyle name="Normal 7 2 6 6 3" xfId="38264"/>
    <cellStyle name="Normal 7 2 6 7" xfId="15700"/>
    <cellStyle name="Normal 7 2 6 8" xfId="30743"/>
    <cellStyle name="Normal 7 2 7" xfId="1020"/>
    <cellStyle name="Normal 7 2 7 2" xfId="1979"/>
    <cellStyle name="Normal 7 2 7 2 2" xfId="3850"/>
    <cellStyle name="Normal 7 2 7 2 2 2" xfId="7645"/>
    <cellStyle name="Normal 7 2 7 2 2 2 2" xfId="15168"/>
    <cellStyle name="Normal 7 2 7 2 2 2 2 2" xfId="30212"/>
    <cellStyle name="Normal 7 2 7 2 2 2 2 3" xfId="45255"/>
    <cellStyle name="Normal 7 2 7 2 2 2 3" xfId="22691"/>
    <cellStyle name="Normal 7 2 7 2 2 2 4" xfId="37734"/>
    <cellStyle name="Normal 7 2 7 2 2 3" xfId="11419"/>
    <cellStyle name="Normal 7 2 7 2 2 3 2" xfId="26463"/>
    <cellStyle name="Normal 7 2 7 2 2 3 3" xfId="41506"/>
    <cellStyle name="Normal 7 2 7 2 2 4" xfId="18942"/>
    <cellStyle name="Normal 7 2 7 2 2 5" xfId="33985"/>
    <cellStyle name="Normal 7 2 7 2 3" xfId="5780"/>
    <cellStyle name="Normal 7 2 7 2 3 2" xfId="13303"/>
    <cellStyle name="Normal 7 2 7 2 3 2 2" xfId="28347"/>
    <cellStyle name="Normal 7 2 7 2 3 2 3" xfId="43390"/>
    <cellStyle name="Normal 7 2 7 2 3 3" xfId="20826"/>
    <cellStyle name="Normal 7 2 7 2 3 4" xfId="35869"/>
    <cellStyle name="Normal 7 2 7 2 4" xfId="9554"/>
    <cellStyle name="Normal 7 2 7 2 4 2" xfId="24598"/>
    <cellStyle name="Normal 7 2 7 2 4 3" xfId="39641"/>
    <cellStyle name="Normal 7 2 7 2 5" xfId="17077"/>
    <cellStyle name="Normal 7 2 7 2 6" xfId="32120"/>
    <cellStyle name="Normal 7 2 7 3" xfId="2918"/>
    <cellStyle name="Normal 7 2 7 3 2" xfId="6713"/>
    <cellStyle name="Normal 7 2 7 3 2 2" xfId="14236"/>
    <cellStyle name="Normal 7 2 7 3 2 2 2" xfId="29280"/>
    <cellStyle name="Normal 7 2 7 3 2 2 3" xfId="44323"/>
    <cellStyle name="Normal 7 2 7 3 2 3" xfId="21759"/>
    <cellStyle name="Normal 7 2 7 3 2 4" xfId="36802"/>
    <cellStyle name="Normal 7 2 7 3 3" xfId="10487"/>
    <cellStyle name="Normal 7 2 7 3 3 2" xfId="25531"/>
    <cellStyle name="Normal 7 2 7 3 3 3" xfId="40574"/>
    <cellStyle name="Normal 7 2 7 3 4" xfId="18010"/>
    <cellStyle name="Normal 7 2 7 3 5" xfId="33053"/>
    <cellStyle name="Normal 7 2 7 4" xfId="4848"/>
    <cellStyle name="Normal 7 2 7 4 2" xfId="12371"/>
    <cellStyle name="Normal 7 2 7 4 2 2" xfId="27415"/>
    <cellStyle name="Normal 7 2 7 4 2 3" xfId="42458"/>
    <cellStyle name="Normal 7 2 7 4 3" xfId="19894"/>
    <cellStyle name="Normal 7 2 7 4 4" xfId="34937"/>
    <cellStyle name="Normal 7 2 7 5" xfId="8622"/>
    <cellStyle name="Normal 7 2 7 5 2" xfId="23666"/>
    <cellStyle name="Normal 7 2 7 5 3" xfId="38709"/>
    <cellStyle name="Normal 7 2 7 6" xfId="16145"/>
    <cellStyle name="Normal 7 2 7 7" xfId="31188"/>
    <cellStyle name="Normal 7 2 8" xfId="1527"/>
    <cellStyle name="Normal 7 2 8 2" xfId="3398"/>
    <cellStyle name="Normal 7 2 8 2 2" xfId="7193"/>
    <cellStyle name="Normal 7 2 8 2 2 2" xfId="14716"/>
    <cellStyle name="Normal 7 2 8 2 2 2 2" xfId="29760"/>
    <cellStyle name="Normal 7 2 8 2 2 2 3" xfId="44803"/>
    <cellStyle name="Normal 7 2 8 2 2 3" xfId="22239"/>
    <cellStyle name="Normal 7 2 8 2 2 4" xfId="37282"/>
    <cellStyle name="Normal 7 2 8 2 3" xfId="10967"/>
    <cellStyle name="Normal 7 2 8 2 3 2" xfId="26011"/>
    <cellStyle name="Normal 7 2 8 2 3 3" xfId="41054"/>
    <cellStyle name="Normal 7 2 8 2 4" xfId="18490"/>
    <cellStyle name="Normal 7 2 8 2 5" xfId="33533"/>
    <cellStyle name="Normal 7 2 8 3" xfId="5328"/>
    <cellStyle name="Normal 7 2 8 3 2" xfId="12851"/>
    <cellStyle name="Normal 7 2 8 3 2 2" xfId="27895"/>
    <cellStyle name="Normal 7 2 8 3 2 3" xfId="42938"/>
    <cellStyle name="Normal 7 2 8 3 3" xfId="20374"/>
    <cellStyle name="Normal 7 2 8 3 4" xfId="35417"/>
    <cellStyle name="Normal 7 2 8 4" xfId="9102"/>
    <cellStyle name="Normal 7 2 8 4 2" xfId="24146"/>
    <cellStyle name="Normal 7 2 8 4 3" xfId="39189"/>
    <cellStyle name="Normal 7 2 8 5" xfId="16625"/>
    <cellStyle name="Normal 7 2 8 6" xfId="31668"/>
    <cellStyle name="Normal 7 2 9" xfId="2465"/>
    <cellStyle name="Normal 7 2 9 2" xfId="6261"/>
    <cellStyle name="Normal 7 2 9 2 2" xfId="13784"/>
    <cellStyle name="Normal 7 2 9 2 2 2" xfId="28828"/>
    <cellStyle name="Normal 7 2 9 2 2 3" xfId="43871"/>
    <cellStyle name="Normal 7 2 9 2 3" xfId="21307"/>
    <cellStyle name="Normal 7 2 9 2 4" xfId="36350"/>
    <cellStyle name="Normal 7 2 9 3" xfId="10035"/>
    <cellStyle name="Normal 7 2 9 3 2" xfId="25079"/>
    <cellStyle name="Normal 7 2 9 3 3" xfId="40122"/>
    <cellStyle name="Normal 7 2 9 4" xfId="17558"/>
    <cellStyle name="Normal 7 2 9 5" xfId="32601"/>
    <cellStyle name="Normal 7 3" xfId="524"/>
    <cellStyle name="Normal 7 3 10" xfId="8178"/>
    <cellStyle name="Normal 7 3 10 2" xfId="23222"/>
    <cellStyle name="Normal 7 3 10 3" xfId="38265"/>
    <cellStyle name="Normal 7 3 11" xfId="15701"/>
    <cellStyle name="Normal 7 3 12" xfId="30744"/>
    <cellStyle name="Normal 7 3 2" xfId="525"/>
    <cellStyle name="Normal 7 3 2 10" xfId="15702"/>
    <cellStyle name="Normal 7 3 2 11" xfId="30745"/>
    <cellStyle name="Normal 7 3 2 2" xfId="526"/>
    <cellStyle name="Normal 7 3 2 2 2" xfId="527"/>
    <cellStyle name="Normal 7 3 2 2 2 2" xfId="1045"/>
    <cellStyle name="Normal 7 3 2 2 2 2 2" xfId="2004"/>
    <cellStyle name="Normal 7 3 2 2 2 2 2 2" xfId="3875"/>
    <cellStyle name="Normal 7 3 2 2 2 2 2 2 2" xfId="7670"/>
    <cellStyle name="Normal 7 3 2 2 2 2 2 2 2 2" xfId="15193"/>
    <cellStyle name="Normal 7 3 2 2 2 2 2 2 2 2 2" xfId="30237"/>
    <cellStyle name="Normal 7 3 2 2 2 2 2 2 2 2 3" xfId="45280"/>
    <cellStyle name="Normal 7 3 2 2 2 2 2 2 2 3" xfId="22716"/>
    <cellStyle name="Normal 7 3 2 2 2 2 2 2 2 4" xfId="37759"/>
    <cellStyle name="Normal 7 3 2 2 2 2 2 2 3" xfId="11444"/>
    <cellStyle name="Normal 7 3 2 2 2 2 2 2 3 2" xfId="26488"/>
    <cellStyle name="Normal 7 3 2 2 2 2 2 2 3 3" xfId="41531"/>
    <cellStyle name="Normal 7 3 2 2 2 2 2 2 4" xfId="18967"/>
    <cellStyle name="Normal 7 3 2 2 2 2 2 2 5" xfId="34010"/>
    <cellStyle name="Normal 7 3 2 2 2 2 2 3" xfId="5805"/>
    <cellStyle name="Normal 7 3 2 2 2 2 2 3 2" xfId="13328"/>
    <cellStyle name="Normal 7 3 2 2 2 2 2 3 2 2" xfId="28372"/>
    <cellStyle name="Normal 7 3 2 2 2 2 2 3 2 3" xfId="43415"/>
    <cellStyle name="Normal 7 3 2 2 2 2 2 3 3" xfId="20851"/>
    <cellStyle name="Normal 7 3 2 2 2 2 2 3 4" xfId="35894"/>
    <cellStyle name="Normal 7 3 2 2 2 2 2 4" xfId="9579"/>
    <cellStyle name="Normal 7 3 2 2 2 2 2 4 2" xfId="24623"/>
    <cellStyle name="Normal 7 3 2 2 2 2 2 4 3" xfId="39666"/>
    <cellStyle name="Normal 7 3 2 2 2 2 2 5" xfId="17102"/>
    <cellStyle name="Normal 7 3 2 2 2 2 2 6" xfId="32145"/>
    <cellStyle name="Normal 7 3 2 2 2 2 3" xfId="2943"/>
    <cellStyle name="Normal 7 3 2 2 2 2 3 2" xfId="6738"/>
    <cellStyle name="Normal 7 3 2 2 2 2 3 2 2" xfId="14261"/>
    <cellStyle name="Normal 7 3 2 2 2 2 3 2 2 2" xfId="29305"/>
    <cellStyle name="Normal 7 3 2 2 2 2 3 2 2 3" xfId="44348"/>
    <cellStyle name="Normal 7 3 2 2 2 2 3 2 3" xfId="21784"/>
    <cellStyle name="Normal 7 3 2 2 2 2 3 2 4" xfId="36827"/>
    <cellStyle name="Normal 7 3 2 2 2 2 3 3" xfId="10512"/>
    <cellStyle name="Normal 7 3 2 2 2 2 3 3 2" xfId="25556"/>
    <cellStyle name="Normal 7 3 2 2 2 2 3 3 3" xfId="40599"/>
    <cellStyle name="Normal 7 3 2 2 2 2 3 4" xfId="18035"/>
    <cellStyle name="Normal 7 3 2 2 2 2 3 5" xfId="33078"/>
    <cellStyle name="Normal 7 3 2 2 2 2 4" xfId="4873"/>
    <cellStyle name="Normal 7 3 2 2 2 2 4 2" xfId="12396"/>
    <cellStyle name="Normal 7 3 2 2 2 2 4 2 2" xfId="27440"/>
    <cellStyle name="Normal 7 3 2 2 2 2 4 2 3" xfId="42483"/>
    <cellStyle name="Normal 7 3 2 2 2 2 4 3" xfId="19919"/>
    <cellStyle name="Normal 7 3 2 2 2 2 4 4" xfId="34962"/>
    <cellStyle name="Normal 7 3 2 2 2 2 5" xfId="8647"/>
    <cellStyle name="Normal 7 3 2 2 2 2 5 2" xfId="23691"/>
    <cellStyle name="Normal 7 3 2 2 2 2 5 3" xfId="38734"/>
    <cellStyle name="Normal 7 3 2 2 2 2 6" xfId="16170"/>
    <cellStyle name="Normal 7 3 2 2 2 2 7" xfId="31213"/>
    <cellStyle name="Normal 7 3 2 2 2 3" xfId="1552"/>
    <cellStyle name="Normal 7 3 2 2 2 3 2" xfId="3423"/>
    <cellStyle name="Normal 7 3 2 2 2 3 2 2" xfId="7218"/>
    <cellStyle name="Normal 7 3 2 2 2 3 2 2 2" xfId="14741"/>
    <cellStyle name="Normal 7 3 2 2 2 3 2 2 2 2" xfId="29785"/>
    <cellStyle name="Normal 7 3 2 2 2 3 2 2 2 3" xfId="44828"/>
    <cellStyle name="Normal 7 3 2 2 2 3 2 2 3" xfId="22264"/>
    <cellStyle name="Normal 7 3 2 2 2 3 2 2 4" xfId="37307"/>
    <cellStyle name="Normal 7 3 2 2 2 3 2 3" xfId="10992"/>
    <cellStyle name="Normal 7 3 2 2 2 3 2 3 2" xfId="26036"/>
    <cellStyle name="Normal 7 3 2 2 2 3 2 3 3" xfId="41079"/>
    <cellStyle name="Normal 7 3 2 2 2 3 2 4" xfId="18515"/>
    <cellStyle name="Normal 7 3 2 2 2 3 2 5" xfId="33558"/>
    <cellStyle name="Normal 7 3 2 2 2 3 3" xfId="5353"/>
    <cellStyle name="Normal 7 3 2 2 2 3 3 2" xfId="12876"/>
    <cellStyle name="Normal 7 3 2 2 2 3 3 2 2" xfId="27920"/>
    <cellStyle name="Normal 7 3 2 2 2 3 3 2 3" xfId="42963"/>
    <cellStyle name="Normal 7 3 2 2 2 3 3 3" xfId="20399"/>
    <cellStyle name="Normal 7 3 2 2 2 3 3 4" xfId="35442"/>
    <cellStyle name="Normal 7 3 2 2 2 3 4" xfId="9127"/>
    <cellStyle name="Normal 7 3 2 2 2 3 4 2" xfId="24171"/>
    <cellStyle name="Normal 7 3 2 2 2 3 4 3" xfId="39214"/>
    <cellStyle name="Normal 7 3 2 2 2 3 5" xfId="16650"/>
    <cellStyle name="Normal 7 3 2 2 2 3 6" xfId="31693"/>
    <cellStyle name="Normal 7 3 2 2 2 4" xfId="2490"/>
    <cellStyle name="Normal 7 3 2 2 2 4 2" xfId="6286"/>
    <cellStyle name="Normal 7 3 2 2 2 4 2 2" xfId="13809"/>
    <cellStyle name="Normal 7 3 2 2 2 4 2 2 2" xfId="28853"/>
    <cellStyle name="Normal 7 3 2 2 2 4 2 2 3" xfId="43896"/>
    <cellStyle name="Normal 7 3 2 2 2 4 2 3" xfId="21332"/>
    <cellStyle name="Normal 7 3 2 2 2 4 2 4" xfId="36375"/>
    <cellStyle name="Normal 7 3 2 2 2 4 3" xfId="10060"/>
    <cellStyle name="Normal 7 3 2 2 2 4 3 2" xfId="25104"/>
    <cellStyle name="Normal 7 3 2 2 2 4 3 3" xfId="40147"/>
    <cellStyle name="Normal 7 3 2 2 2 4 4" xfId="17583"/>
    <cellStyle name="Normal 7 3 2 2 2 4 5" xfId="32626"/>
    <cellStyle name="Normal 7 3 2 2 2 5" xfId="4418"/>
    <cellStyle name="Normal 7 3 2 2 2 5 2" xfId="11942"/>
    <cellStyle name="Normal 7 3 2 2 2 5 2 2" xfId="26986"/>
    <cellStyle name="Normal 7 3 2 2 2 5 2 3" xfId="42029"/>
    <cellStyle name="Normal 7 3 2 2 2 5 3" xfId="19465"/>
    <cellStyle name="Normal 7 3 2 2 2 5 4" xfId="34508"/>
    <cellStyle name="Normal 7 3 2 2 2 6" xfId="8181"/>
    <cellStyle name="Normal 7 3 2 2 2 6 2" xfId="23225"/>
    <cellStyle name="Normal 7 3 2 2 2 6 3" xfId="38268"/>
    <cellStyle name="Normal 7 3 2 2 2 7" xfId="15704"/>
    <cellStyle name="Normal 7 3 2 2 2 8" xfId="30747"/>
    <cellStyle name="Normal 7 3 2 2 3" xfId="1044"/>
    <cellStyle name="Normal 7 3 2 2 3 2" xfId="2003"/>
    <cellStyle name="Normal 7 3 2 2 3 2 2" xfId="3874"/>
    <cellStyle name="Normal 7 3 2 2 3 2 2 2" xfId="7669"/>
    <cellStyle name="Normal 7 3 2 2 3 2 2 2 2" xfId="15192"/>
    <cellStyle name="Normal 7 3 2 2 3 2 2 2 2 2" xfId="30236"/>
    <cellStyle name="Normal 7 3 2 2 3 2 2 2 2 3" xfId="45279"/>
    <cellStyle name="Normal 7 3 2 2 3 2 2 2 3" xfId="22715"/>
    <cellStyle name="Normal 7 3 2 2 3 2 2 2 4" xfId="37758"/>
    <cellStyle name="Normal 7 3 2 2 3 2 2 3" xfId="11443"/>
    <cellStyle name="Normal 7 3 2 2 3 2 2 3 2" xfId="26487"/>
    <cellStyle name="Normal 7 3 2 2 3 2 2 3 3" xfId="41530"/>
    <cellStyle name="Normal 7 3 2 2 3 2 2 4" xfId="18966"/>
    <cellStyle name="Normal 7 3 2 2 3 2 2 5" xfId="34009"/>
    <cellStyle name="Normal 7 3 2 2 3 2 3" xfId="5804"/>
    <cellStyle name="Normal 7 3 2 2 3 2 3 2" xfId="13327"/>
    <cellStyle name="Normal 7 3 2 2 3 2 3 2 2" xfId="28371"/>
    <cellStyle name="Normal 7 3 2 2 3 2 3 2 3" xfId="43414"/>
    <cellStyle name="Normal 7 3 2 2 3 2 3 3" xfId="20850"/>
    <cellStyle name="Normal 7 3 2 2 3 2 3 4" xfId="35893"/>
    <cellStyle name="Normal 7 3 2 2 3 2 4" xfId="9578"/>
    <cellStyle name="Normal 7 3 2 2 3 2 4 2" xfId="24622"/>
    <cellStyle name="Normal 7 3 2 2 3 2 4 3" xfId="39665"/>
    <cellStyle name="Normal 7 3 2 2 3 2 5" xfId="17101"/>
    <cellStyle name="Normal 7 3 2 2 3 2 6" xfId="32144"/>
    <cellStyle name="Normal 7 3 2 2 3 3" xfId="2942"/>
    <cellStyle name="Normal 7 3 2 2 3 3 2" xfId="6737"/>
    <cellStyle name="Normal 7 3 2 2 3 3 2 2" xfId="14260"/>
    <cellStyle name="Normal 7 3 2 2 3 3 2 2 2" xfId="29304"/>
    <cellStyle name="Normal 7 3 2 2 3 3 2 2 3" xfId="44347"/>
    <cellStyle name="Normal 7 3 2 2 3 3 2 3" xfId="21783"/>
    <cellStyle name="Normal 7 3 2 2 3 3 2 4" xfId="36826"/>
    <cellStyle name="Normal 7 3 2 2 3 3 3" xfId="10511"/>
    <cellStyle name="Normal 7 3 2 2 3 3 3 2" xfId="25555"/>
    <cellStyle name="Normal 7 3 2 2 3 3 3 3" xfId="40598"/>
    <cellStyle name="Normal 7 3 2 2 3 3 4" xfId="18034"/>
    <cellStyle name="Normal 7 3 2 2 3 3 5" xfId="33077"/>
    <cellStyle name="Normal 7 3 2 2 3 4" xfId="4872"/>
    <cellStyle name="Normal 7 3 2 2 3 4 2" xfId="12395"/>
    <cellStyle name="Normal 7 3 2 2 3 4 2 2" xfId="27439"/>
    <cellStyle name="Normal 7 3 2 2 3 4 2 3" xfId="42482"/>
    <cellStyle name="Normal 7 3 2 2 3 4 3" xfId="19918"/>
    <cellStyle name="Normal 7 3 2 2 3 4 4" xfId="34961"/>
    <cellStyle name="Normal 7 3 2 2 3 5" xfId="8646"/>
    <cellStyle name="Normal 7 3 2 2 3 5 2" xfId="23690"/>
    <cellStyle name="Normal 7 3 2 2 3 5 3" xfId="38733"/>
    <cellStyle name="Normal 7 3 2 2 3 6" xfId="16169"/>
    <cellStyle name="Normal 7 3 2 2 3 7" xfId="31212"/>
    <cellStyle name="Normal 7 3 2 2 4" xfId="1551"/>
    <cellStyle name="Normal 7 3 2 2 4 2" xfId="3422"/>
    <cellStyle name="Normal 7 3 2 2 4 2 2" xfId="7217"/>
    <cellStyle name="Normal 7 3 2 2 4 2 2 2" xfId="14740"/>
    <cellStyle name="Normal 7 3 2 2 4 2 2 2 2" xfId="29784"/>
    <cellStyle name="Normal 7 3 2 2 4 2 2 2 3" xfId="44827"/>
    <cellStyle name="Normal 7 3 2 2 4 2 2 3" xfId="22263"/>
    <cellStyle name="Normal 7 3 2 2 4 2 2 4" xfId="37306"/>
    <cellStyle name="Normal 7 3 2 2 4 2 3" xfId="10991"/>
    <cellStyle name="Normal 7 3 2 2 4 2 3 2" xfId="26035"/>
    <cellStyle name="Normal 7 3 2 2 4 2 3 3" xfId="41078"/>
    <cellStyle name="Normal 7 3 2 2 4 2 4" xfId="18514"/>
    <cellStyle name="Normal 7 3 2 2 4 2 5" xfId="33557"/>
    <cellStyle name="Normal 7 3 2 2 4 3" xfId="5352"/>
    <cellStyle name="Normal 7 3 2 2 4 3 2" xfId="12875"/>
    <cellStyle name="Normal 7 3 2 2 4 3 2 2" xfId="27919"/>
    <cellStyle name="Normal 7 3 2 2 4 3 2 3" xfId="42962"/>
    <cellStyle name="Normal 7 3 2 2 4 3 3" xfId="20398"/>
    <cellStyle name="Normal 7 3 2 2 4 3 4" xfId="35441"/>
    <cellStyle name="Normal 7 3 2 2 4 4" xfId="9126"/>
    <cellStyle name="Normal 7 3 2 2 4 4 2" xfId="24170"/>
    <cellStyle name="Normal 7 3 2 2 4 4 3" xfId="39213"/>
    <cellStyle name="Normal 7 3 2 2 4 5" xfId="16649"/>
    <cellStyle name="Normal 7 3 2 2 4 6" xfId="31692"/>
    <cellStyle name="Normal 7 3 2 2 5" xfId="2489"/>
    <cellStyle name="Normal 7 3 2 2 5 2" xfId="6285"/>
    <cellStyle name="Normal 7 3 2 2 5 2 2" xfId="13808"/>
    <cellStyle name="Normal 7 3 2 2 5 2 2 2" xfId="28852"/>
    <cellStyle name="Normal 7 3 2 2 5 2 2 3" xfId="43895"/>
    <cellStyle name="Normal 7 3 2 2 5 2 3" xfId="21331"/>
    <cellStyle name="Normal 7 3 2 2 5 2 4" xfId="36374"/>
    <cellStyle name="Normal 7 3 2 2 5 3" xfId="10059"/>
    <cellStyle name="Normal 7 3 2 2 5 3 2" xfId="25103"/>
    <cellStyle name="Normal 7 3 2 2 5 3 3" xfId="40146"/>
    <cellStyle name="Normal 7 3 2 2 5 4" xfId="17582"/>
    <cellStyle name="Normal 7 3 2 2 5 5" xfId="32625"/>
    <cellStyle name="Normal 7 3 2 2 6" xfId="4417"/>
    <cellStyle name="Normal 7 3 2 2 6 2" xfId="11941"/>
    <cellStyle name="Normal 7 3 2 2 6 2 2" xfId="26985"/>
    <cellStyle name="Normal 7 3 2 2 6 2 3" xfId="42028"/>
    <cellStyle name="Normal 7 3 2 2 6 3" xfId="19464"/>
    <cellStyle name="Normal 7 3 2 2 6 4" xfId="34507"/>
    <cellStyle name="Normal 7 3 2 2 7" xfId="8180"/>
    <cellStyle name="Normal 7 3 2 2 7 2" xfId="23224"/>
    <cellStyle name="Normal 7 3 2 2 7 3" xfId="38267"/>
    <cellStyle name="Normal 7 3 2 2 8" xfId="15703"/>
    <cellStyle name="Normal 7 3 2 2 9" xfId="30746"/>
    <cellStyle name="Normal 7 3 2 3" xfId="528"/>
    <cellStyle name="Normal 7 3 2 3 2" xfId="529"/>
    <cellStyle name="Normal 7 3 2 3 2 2" xfId="1047"/>
    <cellStyle name="Normal 7 3 2 3 2 2 2" xfId="2006"/>
    <cellStyle name="Normal 7 3 2 3 2 2 2 2" xfId="3877"/>
    <cellStyle name="Normal 7 3 2 3 2 2 2 2 2" xfId="7672"/>
    <cellStyle name="Normal 7 3 2 3 2 2 2 2 2 2" xfId="15195"/>
    <cellStyle name="Normal 7 3 2 3 2 2 2 2 2 2 2" xfId="30239"/>
    <cellStyle name="Normal 7 3 2 3 2 2 2 2 2 2 3" xfId="45282"/>
    <cellStyle name="Normal 7 3 2 3 2 2 2 2 2 3" xfId="22718"/>
    <cellStyle name="Normal 7 3 2 3 2 2 2 2 2 4" xfId="37761"/>
    <cellStyle name="Normal 7 3 2 3 2 2 2 2 3" xfId="11446"/>
    <cellStyle name="Normal 7 3 2 3 2 2 2 2 3 2" xfId="26490"/>
    <cellStyle name="Normal 7 3 2 3 2 2 2 2 3 3" xfId="41533"/>
    <cellStyle name="Normal 7 3 2 3 2 2 2 2 4" xfId="18969"/>
    <cellStyle name="Normal 7 3 2 3 2 2 2 2 5" xfId="34012"/>
    <cellStyle name="Normal 7 3 2 3 2 2 2 3" xfId="5807"/>
    <cellStyle name="Normal 7 3 2 3 2 2 2 3 2" xfId="13330"/>
    <cellStyle name="Normal 7 3 2 3 2 2 2 3 2 2" xfId="28374"/>
    <cellStyle name="Normal 7 3 2 3 2 2 2 3 2 3" xfId="43417"/>
    <cellStyle name="Normal 7 3 2 3 2 2 2 3 3" xfId="20853"/>
    <cellStyle name="Normal 7 3 2 3 2 2 2 3 4" xfId="35896"/>
    <cellStyle name="Normal 7 3 2 3 2 2 2 4" xfId="9581"/>
    <cellStyle name="Normal 7 3 2 3 2 2 2 4 2" xfId="24625"/>
    <cellStyle name="Normal 7 3 2 3 2 2 2 4 3" xfId="39668"/>
    <cellStyle name="Normal 7 3 2 3 2 2 2 5" xfId="17104"/>
    <cellStyle name="Normal 7 3 2 3 2 2 2 6" xfId="32147"/>
    <cellStyle name="Normal 7 3 2 3 2 2 3" xfId="2945"/>
    <cellStyle name="Normal 7 3 2 3 2 2 3 2" xfId="6740"/>
    <cellStyle name="Normal 7 3 2 3 2 2 3 2 2" xfId="14263"/>
    <cellStyle name="Normal 7 3 2 3 2 2 3 2 2 2" xfId="29307"/>
    <cellStyle name="Normal 7 3 2 3 2 2 3 2 2 3" xfId="44350"/>
    <cellStyle name="Normal 7 3 2 3 2 2 3 2 3" xfId="21786"/>
    <cellStyle name="Normal 7 3 2 3 2 2 3 2 4" xfId="36829"/>
    <cellStyle name="Normal 7 3 2 3 2 2 3 3" xfId="10514"/>
    <cellStyle name="Normal 7 3 2 3 2 2 3 3 2" xfId="25558"/>
    <cellStyle name="Normal 7 3 2 3 2 2 3 3 3" xfId="40601"/>
    <cellStyle name="Normal 7 3 2 3 2 2 3 4" xfId="18037"/>
    <cellStyle name="Normal 7 3 2 3 2 2 3 5" xfId="33080"/>
    <cellStyle name="Normal 7 3 2 3 2 2 4" xfId="4875"/>
    <cellStyle name="Normal 7 3 2 3 2 2 4 2" xfId="12398"/>
    <cellStyle name="Normal 7 3 2 3 2 2 4 2 2" xfId="27442"/>
    <cellStyle name="Normal 7 3 2 3 2 2 4 2 3" xfId="42485"/>
    <cellStyle name="Normal 7 3 2 3 2 2 4 3" xfId="19921"/>
    <cellStyle name="Normal 7 3 2 3 2 2 4 4" xfId="34964"/>
    <cellStyle name="Normal 7 3 2 3 2 2 5" xfId="8649"/>
    <cellStyle name="Normal 7 3 2 3 2 2 5 2" xfId="23693"/>
    <cellStyle name="Normal 7 3 2 3 2 2 5 3" xfId="38736"/>
    <cellStyle name="Normal 7 3 2 3 2 2 6" xfId="16172"/>
    <cellStyle name="Normal 7 3 2 3 2 2 7" xfId="31215"/>
    <cellStyle name="Normal 7 3 2 3 2 3" xfId="1554"/>
    <cellStyle name="Normal 7 3 2 3 2 3 2" xfId="3425"/>
    <cellStyle name="Normal 7 3 2 3 2 3 2 2" xfId="7220"/>
    <cellStyle name="Normal 7 3 2 3 2 3 2 2 2" xfId="14743"/>
    <cellStyle name="Normal 7 3 2 3 2 3 2 2 2 2" xfId="29787"/>
    <cellStyle name="Normal 7 3 2 3 2 3 2 2 2 3" xfId="44830"/>
    <cellStyle name="Normal 7 3 2 3 2 3 2 2 3" xfId="22266"/>
    <cellStyle name="Normal 7 3 2 3 2 3 2 2 4" xfId="37309"/>
    <cellStyle name="Normal 7 3 2 3 2 3 2 3" xfId="10994"/>
    <cellStyle name="Normal 7 3 2 3 2 3 2 3 2" xfId="26038"/>
    <cellStyle name="Normal 7 3 2 3 2 3 2 3 3" xfId="41081"/>
    <cellStyle name="Normal 7 3 2 3 2 3 2 4" xfId="18517"/>
    <cellStyle name="Normal 7 3 2 3 2 3 2 5" xfId="33560"/>
    <cellStyle name="Normal 7 3 2 3 2 3 3" xfId="5355"/>
    <cellStyle name="Normal 7 3 2 3 2 3 3 2" xfId="12878"/>
    <cellStyle name="Normal 7 3 2 3 2 3 3 2 2" xfId="27922"/>
    <cellStyle name="Normal 7 3 2 3 2 3 3 2 3" xfId="42965"/>
    <cellStyle name="Normal 7 3 2 3 2 3 3 3" xfId="20401"/>
    <cellStyle name="Normal 7 3 2 3 2 3 3 4" xfId="35444"/>
    <cellStyle name="Normal 7 3 2 3 2 3 4" xfId="9129"/>
    <cellStyle name="Normal 7 3 2 3 2 3 4 2" xfId="24173"/>
    <cellStyle name="Normal 7 3 2 3 2 3 4 3" xfId="39216"/>
    <cellStyle name="Normal 7 3 2 3 2 3 5" xfId="16652"/>
    <cellStyle name="Normal 7 3 2 3 2 3 6" xfId="31695"/>
    <cellStyle name="Normal 7 3 2 3 2 4" xfId="2492"/>
    <cellStyle name="Normal 7 3 2 3 2 4 2" xfId="6288"/>
    <cellStyle name="Normal 7 3 2 3 2 4 2 2" xfId="13811"/>
    <cellStyle name="Normal 7 3 2 3 2 4 2 2 2" xfId="28855"/>
    <cellStyle name="Normal 7 3 2 3 2 4 2 2 3" xfId="43898"/>
    <cellStyle name="Normal 7 3 2 3 2 4 2 3" xfId="21334"/>
    <cellStyle name="Normal 7 3 2 3 2 4 2 4" xfId="36377"/>
    <cellStyle name="Normal 7 3 2 3 2 4 3" xfId="10062"/>
    <cellStyle name="Normal 7 3 2 3 2 4 3 2" xfId="25106"/>
    <cellStyle name="Normal 7 3 2 3 2 4 3 3" xfId="40149"/>
    <cellStyle name="Normal 7 3 2 3 2 4 4" xfId="17585"/>
    <cellStyle name="Normal 7 3 2 3 2 4 5" xfId="32628"/>
    <cellStyle name="Normal 7 3 2 3 2 5" xfId="4420"/>
    <cellStyle name="Normal 7 3 2 3 2 5 2" xfId="11944"/>
    <cellStyle name="Normal 7 3 2 3 2 5 2 2" xfId="26988"/>
    <cellStyle name="Normal 7 3 2 3 2 5 2 3" xfId="42031"/>
    <cellStyle name="Normal 7 3 2 3 2 5 3" xfId="19467"/>
    <cellStyle name="Normal 7 3 2 3 2 5 4" xfId="34510"/>
    <cellStyle name="Normal 7 3 2 3 2 6" xfId="8183"/>
    <cellStyle name="Normal 7 3 2 3 2 6 2" xfId="23227"/>
    <cellStyle name="Normal 7 3 2 3 2 6 3" xfId="38270"/>
    <cellStyle name="Normal 7 3 2 3 2 7" xfId="15706"/>
    <cellStyle name="Normal 7 3 2 3 2 8" xfId="30749"/>
    <cellStyle name="Normal 7 3 2 3 3" xfId="1046"/>
    <cellStyle name="Normal 7 3 2 3 3 2" xfId="2005"/>
    <cellStyle name="Normal 7 3 2 3 3 2 2" xfId="3876"/>
    <cellStyle name="Normal 7 3 2 3 3 2 2 2" xfId="7671"/>
    <cellStyle name="Normal 7 3 2 3 3 2 2 2 2" xfId="15194"/>
    <cellStyle name="Normal 7 3 2 3 3 2 2 2 2 2" xfId="30238"/>
    <cellStyle name="Normal 7 3 2 3 3 2 2 2 2 3" xfId="45281"/>
    <cellStyle name="Normal 7 3 2 3 3 2 2 2 3" xfId="22717"/>
    <cellStyle name="Normal 7 3 2 3 3 2 2 2 4" xfId="37760"/>
    <cellStyle name="Normal 7 3 2 3 3 2 2 3" xfId="11445"/>
    <cellStyle name="Normal 7 3 2 3 3 2 2 3 2" xfId="26489"/>
    <cellStyle name="Normal 7 3 2 3 3 2 2 3 3" xfId="41532"/>
    <cellStyle name="Normal 7 3 2 3 3 2 2 4" xfId="18968"/>
    <cellStyle name="Normal 7 3 2 3 3 2 2 5" xfId="34011"/>
    <cellStyle name="Normal 7 3 2 3 3 2 3" xfId="5806"/>
    <cellStyle name="Normal 7 3 2 3 3 2 3 2" xfId="13329"/>
    <cellStyle name="Normal 7 3 2 3 3 2 3 2 2" xfId="28373"/>
    <cellStyle name="Normal 7 3 2 3 3 2 3 2 3" xfId="43416"/>
    <cellStyle name="Normal 7 3 2 3 3 2 3 3" xfId="20852"/>
    <cellStyle name="Normal 7 3 2 3 3 2 3 4" xfId="35895"/>
    <cellStyle name="Normal 7 3 2 3 3 2 4" xfId="9580"/>
    <cellStyle name="Normal 7 3 2 3 3 2 4 2" xfId="24624"/>
    <cellStyle name="Normal 7 3 2 3 3 2 4 3" xfId="39667"/>
    <cellStyle name="Normal 7 3 2 3 3 2 5" xfId="17103"/>
    <cellStyle name="Normal 7 3 2 3 3 2 6" xfId="32146"/>
    <cellStyle name="Normal 7 3 2 3 3 3" xfId="2944"/>
    <cellStyle name="Normal 7 3 2 3 3 3 2" xfId="6739"/>
    <cellStyle name="Normal 7 3 2 3 3 3 2 2" xfId="14262"/>
    <cellStyle name="Normal 7 3 2 3 3 3 2 2 2" xfId="29306"/>
    <cellStyle name="Normal 7 3 2 3 3 3 2 2 3" xfId="44349"/>
    <cellStyle name="Normal 7 3 2 3 3 3 2 3" xfId="21785"/>
    <cellStyle name="Normal 7 3 2 3 3 3 2 4" xfId="36828"/>
    <cellStyle name="Normal 7 3 2 3 3 3 3" xfId="10513"/>
    <cellStyle name="Normal 7 3 2 3 3 3 3 2" xfId="25557"/>
    <cellStyle name="Normal 7 3 2 3 3 3 3 3" xfId="40600"/>
    <cellStyle name="Normal 7 3 2 3 3 3 4" xfId="18036"/>
    <cellStyle name="Normal 7 3 2 3 3 3 5" xfId="33079"/>
    <cellStyle name="Normal 7 3 2 3 3 4" xfId="4874"/>
    <cellStyle name="Normal 7 3 2 3 3 4 2" xfId="12397"/>
    <cellStyle name="Normal 7 3 2 3 3 4 2 2" xfId="27441"/>
    <cellStyle name="Normal 7 3 2 3 3 4 2 3" xfId="42484"/>
    <cellStyle name="Normal 7 3 2 3 3 4 3" xfId="19920"/>
    <cellStyle name="Normal 7 3 2 3 3 4 4" xfId="34963"/>
    <cellStyle name="Normal 7 3 2 3 3 5" xfId="8648"/>
    <cellStyle name="Normal 7 3 2 3 3 5 2" xfId="23692"/>
    <cellStyle name="Normal 7 3 2 3 3 5 3" xfId="38735"/>
    <cellStyle name="Normal 7 3 2 3 3 6" xfId="16171"/>
    <cellStyle name="Normal 7 3 2 3 3 7" xfId="31214"/>
    <cellStyle name="Normal 7 3 2 3 4" xfId="1553"/>
    <cellStyle name="Normal 7 3 2 3 4 2" xfId="3424"/>
    <cellStyle name="Normal 7 3 2 3 4 2 2" xfId="7219"/>
    <cellStyle name="Normal 7 3 2 3 4 2 2 2" xfId="14742"/>
    <cellStyle name="Normal 7 3 2 3 4 2 2 2 2" xfId="29786"/>
    <cellStyle name="Normal 7 3 2 3 4 2 2 2 3" xfId="44829"/>
    <cellStyle name="Normal 7 3 2 3 4 2 2 3" xfId="22265"/>
    <cellStyle name="Normal 7 3 2 3 4 2 2 4" xfId="37308"/>
    <cellStyle name="Normal 7 3 2 3 4 2 3" xfId="10993"/>
    <cellStyle name="Normal 7 3 2 3 4 2 3 2" xfId="26037"/>
    <cellStyle name="Normal 7 3 2 3 4 2 3 3" xfId="41080"/>
    <cellStyle name="Normal 7 3 2 3 4 2 4" xfId="18516"/>
    <cellStyle name="Normal 7 3 2 3 4 2 5" xfId="33559"/>
    <cellStyle name="Normal 7 3 2 3 4 3" xfId="5354"/>
    <cellStyle name="Normal 7 3 2 3 4 3 2" xfId="12877"/>
    <cellStyle name="Normal 7 3 2 3 4 3 2 2" xfId="27921"/>
    <cellStyle name="Normal 7 3 2 3 4 3 2 3" xfId="42964"/>
    <cellStyle name="Normal 7 3 2 3 4 3 3" xfId="20400"/>
    <cellStyle name="Normal 7 3 2 3 4 3 4" xfId="35443"/>
    <cellStyle name="Normal 7 3 2 3 4 4" xfId="9128"/>
    <cellStyle name="Normal 7 3 2 3 4 4 2" xfId="24172"/>
    <cellStyle name="Normal 7 3 2 3 4 4 3" xfId="39215"/>
    <cellStyle name="Normal 7 3 2 3 4 5" xfId="16651"/>
    <cellStyle name="Normal 7 3 2 3 4 6" xfId="31694"/>
    <cellStyle name="Normal 7 3 2 3 5" xfId="2491"/>
    <cellStyle name="Normal 7 3 2 3 5 2" xfId="6287"/>
    <cellStyle name="Normal 7 3 2 3 5 2 2" xfId="13810"/>
    <cellStyle name="Normal 7 3 2 3 5 2 2 2" xfId="28854"/>
    <cellStyle name="Normal 7 3 2 3 5 2 2 3" xfId="43897"/>
    <cellStyle name="Normal 7 3 2 3 5 2 3" xfId="21333"/>
    <cellStyle name="Normal 7 3 2 3 5 2 4" xfId="36376"/>
    <cellStyle name="Normal 7 3 2 3 5 3" xfId="10061"/>
    <cellStyle name="Normal 7 3 2 3 5 3 2" xfId="25105"/>
    <cellStyle name="Normal 7 3 2 3 5 3 3" xfId="40148"/>
    <cellStyle name="Normal 7 3 2 3 5 4" xfId="17584"/>
    <cellStyle name="Normal 7 3 2 3 5 5" xfId="32627"/>
    <cellStyle name="Normal 7 3 2 3 6" xfId="4419"/>
    <cellStyle name="Normal 7 3 2 3 6 2" xfId="11943"/>
    <cellStyle name="Normal 7 3 2 3 6 2 2" xfId="26987"/>
    <cellStyle name="Normal 7 3 2 3 6 2 3" xfId="42030"/>
    <cellStyle name="Normal 7 3 2 3 6 3" xfId="19466"/>
    <cellStyle name="Normal 7 3 2 3 6 4" xfId="34509"/>
    <cellStyle name="Normal 7 3 2 3 7" xfId="8182"/>
    <cellStyle name="Normal 7 3 2 3 7 2" xfId="23226"/>
    <cellStyle name="Normal 7 3 2 3 7 3" xfId="38269"/>
    <cellStyle name="Normal 7 3 2 3 8" xfId="15705"/>
    <cellStyle name="Normal 7 3 2 3 9" xfId="30748"/>
    <cellStyle name="Normal 7 3 2 4" xfId="530"/>
    <cellStyle name="Normal 7 3 2 4 2" xfId="1048"/>
    <cellStyle name="Normal 7 3 2 4 2 2" xfId="2007"/>
    <cellStyle name="Normal 7 3 2 4 2 2 2" xfId="3878"/>
    <cellStyle name="Normal 7 3 2 4 2 2 2 2" xfId="7673"/>
    <cellStyle name="Normal 7 3 2 4 2 2 2 2 2" xfId="15196"/>
    <cellStyle name="Normal 7 3 2 4 2 2 2 2 2 2" xfId="30240"/>
    <cellStyle name="Normal 7 3 2 4 2 2 2 2 2 3" xfId="45283"/>
    <cellStyle name="Normal 7 3 2 4 2 2 2 2 3" xfId="22719"/>
    <cellStyle name="Normal 7 3 2 4 2 2 2 2 4" xfId="37762"/>
    <cellStyle name="Normal 7 3 2 4 2 2 2 3" xfId="11447"/>
    <cellStyle name="Normal 7 3 2 4 2 2 2 3 2" xfId="26491"/>
    <cellStyle name="Normal 7 3 2 4 2 2 2 3 3" xfId="41534"/>
    <cellStyle name="Normal 7 3 2 4 2 2 2 4" xfId="18970"/>
    <cellStyle name="Normal 7 3 2 4 2 2 2 5" xfId="34013"/>
    <cellStyle name="Normal 7 3 2 4 2 2 3" xfId="5808"/>
    <cellStyle name="Normal 7 3 2 4 2 2 3 2" xfId="13331"/>
    <cellStyle name="Normal 7 3 2 4 2 2 3 2 2" xfId="28375"/>
    <cellStyle name="Normal 7 3 2 4 2 2 3 2 3" xfId="43418"/>
    <cellStyle name="Normal 7 3 2 4 2 2 3 3" xfId="20854"/>
    <cellStyle name="Normal 7 3 2 4 2 2 3 4" xfId="35897"/>
    <cellStyle name="Normal 7 3 2 4 2 2 4" xfId="9582"/>
    <cellStyle name="Normal 7 3 2 4 2 2 4 2" xfId="24626"/>
    <cellStyle name="Normal 7 3 2 4 2 2 4 3" xfId="39669"/>
    <cellStyle name="Normal 7 3 2 4 2 2 5" xfId="17105"/>
    <cellStyle name="Normal 7 3 2 4 2 2 6" xfId="32148"/>
    <cellStyle name="Normal 7 3 2 4 2 3" xfId="2946"/>
    <cellStyle name="Normal 7 3 2 4 2 3 2" xfId="6741"/>
    <cellStyle name="Normal 7 3 2 4 2 3 2 2" xfId="14264"/>
    <cellStyle name="Normal 7 3 2 4 2 3 2 2 2" xfId="29308"/>
    <cellStyle name="Normal 7 3 2 4 2 3 2 2 3" xfId="44351"/>
    <cellStyle name="Normal 7 3 2 4 2 3 2 3" xfId="21787"/>
    <cellStyle name="Normal 7 3 2 4 2 3 2 4" xfId="36830"/>
    <cellStyle name="Normal 7 3 2 4 2 3 3" xfId="10515"/>
    <cellStyle name="Normal 7 3 2 4 2 3 3 2" xfId="25559"/>
    <cellStyle name="Normal 7 3 2 4 2 3 3 3" xfId="40602"/>
    <cellStyle name="Normal 7 3 2 4 2 3 4" xfId="18038"/>
    <cellStyle name="Normal 7 3 2 4 2 3 5" xfId="33081"/>
    <cellStyle name="Normal 7 3 2 4 2 4" xfId="4876"/>
    <cellStyle name="Normal 7 3 2 4 2 4 2" xfId="12399"/>
    <cellStyle name="Normal 7 3 2 4 2 4 2 2" xfId="27443"/>
    <cellStyle name="Normal 7 3 2 4 2 4 2 3" xfId="42486"/>
    <cellStyle name="Normal 7 3 2 4 2 4 3" xfId="19922"/>
    <cellStyle name="Normal 7 3 2 4 2 4 4" xfId="34965"/>
    <cellStyle name="Normal 7 3 2 4 2 5" xfId="8650"/>
    <cellStyle name="Normal 7 3 2 4 2 5 2" xfId="23694"/>
    <cellStyle name="Normal 7 3 2 4 2 5 3" xfId="38737"/>
    <cellStyle name="Normal 7 3 2 4 2 6" xfId="16173"/>
    <cellStyle name="Normal 7 3 2 4 2 7" xfId="31216"/>
    <cellStyle name="Normal 7 3 2 4 3" xfId="1555"/>
    <cellStyle name="Normal 7 3 2 4 3 2" xfId="3426"/>
    <cellStyle name="Normal 7 3 2 4 3 2 2" xfId="7221"/>
    <cellStyle name="Normal 7 3 2 4 3 2 2 2" xfId="14744"/>
    <cellStyle name="Normal 7 3 2 4 3 2 2 2 2" xfId="29788"/>
    <cellStyle name="Normal 7 3 2 4 3 2 2 2 3" xfId="44831"/>
    <cellStyle name="Normal 7 3 2 4 3 2 2 3" xfId="22267"/>
    <cellStyle name="Normal 7 3 2 4 3 2 2 4" xfId="37310"/>
    <cellStyle name="Normal 7 3 2 4 3 2 3" xfId="10995"/>
    <cellStyle name="Normal 7 3 2 4 3 2 3 2" xfId="26039"/>
    <cellStyle name="Normal 7 3 2 4 3 2 3 3" xfId="41082"/>
    <cellStyle name="Normal 7 3 2 4 3 2 4" xfId="18518"/>
    <cellStyle name="Normal 7 3 2 4 3 2 5" xfId="33561"/>
    <cellStyle name="Normal 7 3 2 4 3 3" xfId="5356"/>
    <cellStyle name="Normal 7 3 2 4 3 3 2" xfId="12879"/>
    <cellStyle name="Normal 7 3 2 4 3 3 2 2" xfId="27923"/>
    <cellStyle name="Normal 7 3 2 4 3 3 2 3" xfId="42966"/>
    <cellStyle name="Normal 7 3 2 4 3 3 3" xfId="20402"/>
    <cellStyle name="Normal 7 3 2 4 3 3 4" xfId="35445"/>
    <cellStyle name="Normal 7 3 2 4 3 4" xfId="9130"/>
    <cellStyle name="Normal 7 3 2 4 3 4 2" xfId="24174"/>
    <cellStyle name="Normal 7 3 2 4 3 4 3" xfId="39217"/>
    <cellStyle name="Normal 7 3 2 4 3 5" xfId="16653"/>
    <cellStyle name="Normal 7 3 2 4 3 6" xfId="31696"/>
    <cellStyle name="Normal 7 3 2 4 4" xfId="2493"/>
    <cellStyle name="Normal 7 3 2 4 4 2" xfId="6289"/>
    <cellStyle name="Normal 7 3 2 4 4 2 2" xfId="13812"/>
    <cellStyle name="Normal 7 3 2 4 4 2 2 2" xfId="28856"/>
    <cellStyle name="Normal 7 3 2 4 4 2 2 3" xfId="43899"/>
    <cellStyle name="Normal 7 3 2 4 4 2 3" xfId="21335"/>
    <cellStyle name="Normal 7 3 2 4 4 2 4" xfId="36378"/>
    <cellStyle name="Normal 7 3 2 4 4 3" xfId="10063"/>
    <cellStyle name="Normal 7 3 2 4 4 3 2" xfId="25107"/>
    <cellStyle name="Normal 7 3 2 4 4 3 3" xfId="40150"/>
    <cellStyle name="Normal 7 3 2 4 4 4" xfId="17586"/>
    <cellStyle name="Normal 7 3 2 4 4 5" xfId="32629"/>
    <cellStyle name="Normal 7 3 2 4 5" xfId="4421"/>
    <cellStyle name="Normal 7 3 2 4 5 2" xfId="11945"/>
    <cellStyle name="Normal 7 3 2 4 5 2 2" xfId="26989"/>
    <cellStyle name="Normal 7 3 2 4 5 2 3" xfId="42032"/>
    <cellStyle name="Normal 7 3 2 4 5 3" xfId="19468"/>
    <cellStyle name="Normal 7 3 2 4 5 4" xfId="34511"/>
    <cellStyle name="Normal 7 3 2 4 6" xfId="8184"/>
    <cellStyle name="Normal 7 3 2 4 6 2" xfId="23228"/>
    <cellStyle name="Normal 7 3 2 4 6 3" xfId="38271"/>
    <cellStyle name="Normal 7 3 2 4 7" xfId="15707"/>
    <cellStyle name="Normal 7 3 2 4 8" xfId="30750"/>
    <cellStyle name="Normal 7 3 2 5" xfId="1043"/>
    <cellStyle name="Normal 7 3 2 5 2" xfId="2002"/>
    <cellStyle name="Normal 7 3 2 5 2 2" xfId="3873"/>
    <cellStyle name="Normal 7 3 2 5 2 2 2" xfId="7668"/>
    <cellStyle name="Normal 7 3 2 5 2 2 2 2" xfId="15191"/>
    <cellStyle name="Normal 7 3 2 5 2 2 2 2 2" xfId="30235"/>
    <cellStyle name="Normal 7 3 2 5 2 2 2 2 3" xfId="45278"/>
    <cellStyle name="Normal 7 3 2 5 2 2 2 3" xfId="22714"/>
    <cellStyle name="Normal 7 3 2 5 2 2 2 4" xfId="37757"/>
    <cellStyle name="Normal 7 3 2 5 2 2 3" xfId="11442"/>
    <cellStyle name="Normal 7 3 2 5 2 2 3 2" xfId="26486"/>
    <cellStyle name="Normal 7 3 2 5 2 2 3 3" xfId="41529"/>
    <cellStyle name="Normal 7 3 2 5 2 2 4" xfId="18965"/>
    <cellStyle name="Normal 7 3 2 5 2 2 5" xfId="34008"/>
    <cellStyle name="Normal 7 3 2 5 2 3" xfId="5803"/>
    <cellStyle name="Normal 7 3 2 5 2 3 2" xfId="13326"/>
    <cellStyle name="Normal 7 3 2 5 2 3 2 2" xfId="28370"/>
    <cellStyle name="Normal 7 3 2 5 2 3 2 3" xfId="43413"/>
    <cellStyle name="Normal 7 3 2 5 2 3 3" xfId="20849"/>
    <cellStyle name="Normal 7 3 2 5 2 3 4" xfId="35892"/>
    <cellStyle name="Normal 7 3 2 5 2 4" xfId="9577"/>
    <cellStyle name="Normal 7 3 2 5 2 4 2" xfId="24621"/>
    <cellStyle name="Normal 7 3 2 5 2 4 3" xfId="39664"/>
    <cellStyle name="Normal 7 3 2 5 2 5" xfId="17100"/>
    <cellStyle name="Normal 7 3 2 5 2 6" xfId="32143"/>
    <cellStyle name="Normal 7 3 2 5 3" xfId="2941"/>
    <cellStyle name="Normal 7 3 2 5 3 2" xfId="6736"/>
    <cellStyle name="Normal 7 3 2 5 3 2 2" xfId="14259"/>
    <cellStyle name="Normal 7 3 2 5 3 2 2 2" xfId="29303"/>
    <cellStyle name="Normal 7 3 2 5 3 2 2 3" xfId="44346"/>
    <cellStyle name="Normal 7 3 2 5 3 2 3" xfId="21782"/>
    <cellStyle name="Normal 7 3 2 5 3 2 4" xfId="36825"/>
    <cellStyle name="Normal 7 3 2 5 3 3" xfId="10510"/>
    <cellStyle name="Normal 7 3 2 5 3 3 2" xfId="25554"/>
    <cellStyle name="Normal 7 3 2 5 3 3 3" xfId="40597"/>
    <cellStyle name="Normal 7 3 2 5 3 4" xfId="18033"/>
    <cellStyle name="Normal 7 3 2 5 3 5" xfId="33076"/>
    <cellStyle name="Normal 7 3 2 5 4" xfId="4871"/>
    <cellStyle name="Normal 7 3 2 5 4 2" xfId="12394"/>
    <cellStyle name="Normal 7 3 2 5 4 2 2" xfId="27438"/>
    <cellStyle name="Normal 7 3 2 5 4 2 3" xfId="42481"/>
    <cellStyle name="Normal 7 3 2 5 4 3" xfId="19917"/>
    <cellStyle name="Normal 7 3 2 5 4 4" xfId="34960"/>
    <cellStyle name="Normal 7 3 2 5 5" xfId="8645"/>
    <cellStyle name="Normal 7 3 2 5 5 2" xfId="23689"/>
    <cellStyle name="Normal 7 3 2 5 5 3" xfId="38732"/>
    <cellStyle name="Normal 7 3 2 5 6" xfId="16168"/>
    <cellStyle name="Normal 7 3 2 5 7" xfId="31211"/>
    <cellStyle name="Normal 7 3 2 6" xfId="1550"/>
    <cellStyle name="Normal 7 3 2 6 2" xfId="3421"/>
    <cellStyle name="Normal 7 3 2 6 2 2" xfId="7216"/>
    <cellStyle name="Normal 7 3 2 6 2 2 2" xfId="14739"/>
    <cellStyle name="Normal 7 3 2 6 2 2 2 2" xfId="29783"/>
    <cellStyle name="Normal 7 3 2 6 2 2 2 3" xfId="44826"/>
    <cellStyle name="Normal 7 3 2 6 2 2 3" xfId="22262"/>
    <cellStyle name="Normal 7 3 2 6 2 2 4" xfId="37305"/>
    <cellStyle name="Normal 7 3 2 6 2 3" xfId="10990"/>
    <cellStyle name="Normal 7 3 2 6 2 3 2" xfId="26034"/>
    <cellStyle name="Normal 7 3 2 6 2 3 3" xfId="41077"/>
    <cellStyle name="Normal 7 3 2 6 2 4" xfId="18513"/>
    <cellStyle name="Normal 7 3 2 6 2 5" xfId="33556"/>
    <cellStyle name="Normal 7 3 2 6 3" xfId="5351"/>
    <cellStyle name="Normal 7 3 2 6 3 2" xfId="12874"/>
    <cellStyle name="Normal 7 3 2 6 3 2 2" xfId="27918"/>
    <cellStyle name="Normal 7 3 2 6 3 2 3" xfId="42961"/>
    <cellStyle name="Normal 7 3 2 6 3 3" xfId="20397"/>
    <cellStyle name="Normal 7 3 2 6 3 4" xfId="35440"/>
    <cellStyle name="Normal 7 3 2 6 4" xfId="9125"/>
    <cellStyle name="Normal 7 3 2 6 4 2" xfId="24169"/>
    <cellStyle name="Normal 7 3 2 6 4 3" xfId="39212"/>
    <cellStyle name="Normal 7 3 2 6 5" xfId="16648"/>
    <cellStyle name="Normal 7 3 2 6 6" xfId="31691"/>
    <cellStyle name="Normal 7 3 2 7" xfId="2488"/>
    <cellStyle name="Normal 7 3 2 7 2" xfId="6284"/>
    <cellStyle name="Normal 7 3 2 7 2 2" xfId="13807"/>
    <cellStyle name="Normal 7 3 2 7 2 2 2" xfId="28851"/>
    <cellStyle name="Normal 7 3 2 7 2 2 3" xfId="43894"/>
    <cellStyle name="Normal 7 3 2 7 2 3" xfId="21330"/>
    <cellStyle name="Normal 7 3 2 7 2 4" xfId="36373"/>
    <cellStyle name="Normal 7 3 2 7 3" xfId="10058"/>
    <cellStyle name="Normal 7 3 2 7 3 2" xfId="25102"/>
    <cellStyle name="Normal 7 3 2 7 3 3" xfId="40145"/>
    <cellStyle name="Normal 7 3 2 7 4" xfId="17581"/>
    <cellStyle name="Normal 7 3 2 7 5" xfId="32624"/>
    <cellStyle name="Normal 7 3 2 8" xfId="4416"/>
    <cellStyle name="Normal 7 3 2 8 2" xfId="11940"/>
    <cellStyle name="Normal 7 3 2 8 2 2" xfId="26984"/>
    <cellStyle name="Normal 7 3 2 8 2 3" xfId="42027"/>
    <cellStyle name="Normal 7 3 2 8 3" xfId="19463"/>
    <cellStyle name="Normal 7 3 2 8 4" xfId="34506"/>
    <cellStyle name="Normal 7 3 2 9" xfId="8179"/>
    <cellStyle name="Normal 7 3 2 9 2" xfId="23223"/>
    <cellStyle name="Normal 7 3 2 9 3" xfId="38266"/>
    <cellStyle name="Normal 7 3 3" xfId="531"/>
    <cellStyle name="Normal 7 3 3 2" xfId="532"/>
    <cellStyle name="Normal 7 3 3 2 2" xfId="1050"/>
    <cellStyle name="Normal 7 3 3 2 2 2" xfId="2009"/>
    <cellStyle name="Normal 7 3 3 2 2 2 2" xfId="3880"/>
    <cellStyle name="Normal 7 3 3 2 2 2 2 2" xfId="7675"/>
    <cellStyle name="Normal 7 3 3 2 2 2 2 2 2" xfId="15198"/>
    <cellStyle name="Normal 7 3 3 2 2 2 2 2 2 2" xfId="30242"/>
    <cellStyle name="Normal 7 3 3 2 2 2 2 2 2 3" xfId="45285"/>
    <cellStyle name="Normal 7 3 3 2 2 2 2 2 3" xfId="22721"/>
    <cellStyle name="Normal 7 3 3 2 2 2 2 2 4" xfId="37764"/>
    <cellStyle name="Normal 7 3 3 2 2 2 2 3" xfId="11449"/>
    <cellStyle name="Normal 7 3 3 2 2 2 2 3 2" xfId="26493"/>
    <cellStyle name="Normal 7 3 3 2 2 2 2 3 3" xfId="41536"/>
    <cellStyle name="Normal 7 3 3 2 2 2 2 4" xfId="18972"/>
    <cellStyle name="Normal 7 3 3 2 2 2 2 5" xfId="34015"/>
    <cellStyle name="Normal 7 3 3 2 2 2 3" xfId="5810"/>
    <cellStyle name="Normal 7 3 3 2 2 2 3 2" xfId="13333"/>
    <cellStyle name="Normal 7 3 3 2 2 2 3 2 2" xfId="28377"/>
    <cellStyle name="Normal 7 3 3 2 2 2 3 2 3" xfId="43420"/>
    <cellStyle name="Normal 7 3 3 2 2 2 3 3" xfId="20856"/>
    <cellStyle name="Normal 7 3 3 2 2 2 3 4" xfId="35899"/>
    <cellStyle name="Normal 7 3 3 2 2 2 4" xfId="9584"/>
    <cellStyle name="Normal 7 3 3 2 2 2 4 2" xfId="24628"/>
    <cellStyle name="Normal 7 3 3 2 2 2 4 3" xfId="39671"/>
    <cellStyle name="Normal 7 3 3 2 2 2 5" xfId="17107"/>
    <cellStyle name="Normal 7 3 3 2 2 2 6" xfId="32150"/>
    <cellStyle name="Normal 7 3 3 2 2 3" xfId="2948"/>
    <cellStyle name="Normal 7 3 3 2 2 3 2" xfId="6743"/>
    <cellStyle name="Normal 7 3 3 2 2 3 2 2" xfId="14266"/>
    <cellStyle name="Normal 7 3 3 2 2 3 2 2 2" xfId="29310"/>
    <cellStyle name="Normal 7 3 3 2 2 3 2 2 3" xfId="44353"/>
    <cellStyle name="Normal 7 3 3 2 2 3 2 3" xfId="21789"/>
    <cellStyle name="Normal 7 3 3 2 2 3 2 4" xfId="36832"/>
    <cellStyle name="Normal 7 3 3 2 2 3 3" xfId="10517"/>
    <cellStyle name="Normal 7 3 3 2 2 3 3 2" xfId="25561"/>
    <cellStyle name="Normal 7 3 3 2 2 3 3 3" xfId="40604"/>
    <cellStyle name="Normal 7 3 3 2 2 3 4" xfId="18040"/>
    <cellStyle name="Normal 7 3 3 2 2 3 5" xfId="33083"/>
    <cellStyle name="Normal 7 3 3 2 2 4" xfId="4878"/>
    <cellStyle name="Normal 7 3 3 2 2 4 2" xfId="12401"/>
    <cellStyle name="Normal 7 3 3 2 2 4 2 2" xfId="27445"/>
    <cellStyle name="Normal 7 3 3 2 2 4 2 3" xfId="42488"/>
    <cellStyle name="Normal 7 3 3 2 2 4 3" xfId="19924"/>
    <cellStyle name="Normal 7 3 3 2 2 4 4" xfId="34967"/>
    <cellStyle name="Normal 7 3 3 2 2 5" xfId="8652"/>
    <cellStyle name="Normal 7 3 3 2 2 5 2" xfId="23696"/>
    <cellStyle name="Normal 7 3 3 2 2 5 3" xfId="38739"/>
    <cellStyle name="Normal 7 3 3 2 2 6" xfId="16175"/>
    <cellStyle name="Normal 7 3 3 2 2 7" xfId="31218"/>
    <cellStyle name="Normal 7 3 3 2 3" xfId="1557"/>
    <cellStyle name="Normal 7 3 3 2 3 2" xfId="3428"/>
    <cellStyle name="Normal 7 3 3 2 3 2 2" xfId="7223"/>
    <cellStyle name="Normal 7 3 3 2 3 2 2 2" xfId="14746"/>
    <cellStyle name="Normal 7 3 3 2 3 2 2 2 2" xfId="29790"/>
    <cellStyle name="Normal 7 3 3 2 3 2 2 2 3" xfId="44833"/>
    <cellStyle name="Normal 7 3 3 2 3 2 2 3" xfId="22269"/>
    <cellStyle name="Normal 7 3 3 2 3 2 2 4" xfId="37312"/>
    <cellStyle name="Normal 7 3 3 2 3 2 3" xfId="10997"/>
    <cellStyle name="Normal 7 3 3 2 3 2 3 2" xfId="26041"/>
    <cellStyle name="Normal 7 3 3 2 3 2 3 3" xfId="41084"/>
    <cellStyle name="Normal 7 3 3 2 3 2 4" xfId="18520"/>
    <cellStyle name="Normal 7 3 3 2 3 2 5" xfId="33563"/>
    <cellStyle name="Normal 7 3 3 2 3 3" xfId="5358"/>
    <cellStyle name="Normal 7 3 3 2 3 3 2" xfId="12881"/>
    <cellStyle name="Normal 7 3 3 2 3 3 2 2" xfId="27925"/>
    <cellStyle name="Normal 7 3 3 2 3 3 2 3" xfId="42968"/>
    <cellStyle name="Normal 7 3 3 2 3 3 3" xfId="20404"/>
    <cellStyle name="Normal 7 3 3 2 3 3 4" xfId="35447"/>
    <cellStyle name="Normal 7 3 3 2 3 4" xfId="9132"/>
    <cellStyle name="Normal 7 3 3 2 3 4 2" xfId="24176"/>
    <cellStyle name="Normal 7 3 3 2 3 4 3" xfId="39219"/>
    <cellStyle name="Normal 7 3 3 2 3 5" xfId="16655"/>
    <cellStyle name="Normal 7 3 3 2 3 6" xfId="31698"/>
    <cellStyle name="Normal 7 3 3 2 4" xfId="2495"/>
    <cellStyle name="Normal 7 3 3 2 4 2" xfId="6291"/>
    <cellStyle name="Normal 7 3 3 2 4 2 2" xfId="13814"/>
    <cellStyle name="Normal 7 3 3 2 4 2 2 2" xfId="28858"/>
    <cellStyle name="Normal 7 3 3 2 4 2 2 3" xfId="43901"/>
    <cellStyle name="Normal 7 3 3 2 4 2 3" xfId="21337"/>
    <cellStyle name="Normal 7 3 3 2 4 2 4" xfId="36380"/>
    <cellStyle name="Normal 7 3 3 2 4 3" xfId="10065"/>
    <cellStyle name="Normal 7 3 3 2 4 3 2" xfId="25109"/>
    <cellStyle name="Normal 7 3 3 2 4 3 3" xfId="40152"/>
    <cellStyle name="Normal 7 3 3 2 4 4" xfId="17588"/>
    <cellStyle name="Normal 7 3 3 2 4 5" xfId="32631"/>
    <cellStyle name="Normal 7 3 3 2 5" xfId="4423"/>
    <cellStyle name="Normal 7 3 3 2 5 2" xfId="11947"/>
    <cellStyle name="Normal 7 3 3 2 5 2 2" xfId="26991"/>
    <cellStyle name="Normal 7 3 3 2 5 2 3" xfId="42034"/>
    <cellStyle name="Normal 7 3 3 2 5 3" xfId="19470"/>
    <cellStyle name="Normal 7 3 3 2 5 4" xfId="34513"/>
    <cellStyle name="Normal 7 3 3 2 6" xfId="8186"/>
    <cellStyle name="Normal 7 3 3 2 6 2" xfId="23230"/>
    <cellStyle name="Normal 7 3 3 2 6 3" xfId="38273"/>
    <cellStyle name="Normal 7 3 3 2 7" xfId="15709"/>
    <cellStyle name="Normal 7 3 3 2 8" xfId="30752"/>
    <cellStyle name="Normal 7 3 3 3" xfId="1049"/>
    <cellStyle name="Normal 7 3 3 3 2" xfId="2008"/>
    <cellStyle name="Normal 7 3 3 3 2 2" xfId="3879"/>
    <cellStyle name="Normal 7 3 3 3 2 2 2" xfId="7674"/>
    <cellStyle name="Normal 7 3 3 3 2 2 2 2" xfId="15197"/>
    <cellStyle name="Normal 7 3 3 3 2 2 2 2 2" xfId="30241"/>
    <cellStyle name="Normal 7 3 3 3 2 2 2 2 3" xfId="45284"/>
    <cellStyle name="Normal 7 3 3 3 2 2 2 3" xfId="22720"/>
    <cellStyle name="Normal 7 3 3 3 2 2 2 4" xfId="37763"/>
    <cellStyle name="Normal 7 3 3 3 2 2 3" xfId="11448"/>
    <cellStyle name="Normal 7 3 3 3 2 2 3 2" xfId="26492"/>
    <cellStyle name="Normal 7 3 3 3 2 2 3 3" xfId="41535"/>
    <cellStyle name="Normal 7 3 3 3 2 2 4" xfId="18971"/>
    <cellStyle name="Normal 7 3 3 3 2 2 5" xfId="34014"/>
    <cellStyle name="Normal 7 3 3 3 2 3" xfId="5809"/>
    <cellStyle name="Normal 7 3 3 3 2 3 2" xfId="13332"/>
    <cellStyle name="Normal 7 3 3 3 2 3 2 2" xfId="28376"/>
    <cellStyle name="Normal 7 3 3 3 2 3 2 3" xfId="43419"/>
    <cellStyle name="Normal 7 3 3 3 2 3 3" xfId="20855"/>
    <cellStyle name="Normal 7 3 3 3 2 3 4" xfId="35898"/>
    <cellStyle name="Normal 7 3 3 3 2 4" xfId="9583"/>
    <cellStyle name="Normal 7 3 3 3 2 4 2" xfId="24627"/>
    <cellStyle name="Normal 7 3 3 3 2 4 3" xfId="39670"/>
    <cellStyle name="Normal 7 3 3 3 2 5" xfId="17106"/>
    <cellStyle name="Normal 7 3 3 3 2 6" xfId="32149"/>
    <cellStyle name="Normal 7 3 3 3 3" xfId="2947"/>
    <cellStyle name="Normal 7 3 3 3 3 2" xfId="6742"/>
    <cellStyle name="Normal 7 3 3 3 3 2 2" xfId="14265"/>
    <cellStyle name="Normal 7 3 3 3 3 2 2 2" xfId="29309"/>
    <cellStyle name="Normal 7 3 3 3 3 2 2 3" xfId="44352"/>
    <cellStyle name="Normal 7 3 3 3 3 2 3" xfId="21788"/>
    <cellStyle name="Normal 7 3 3 3 3 2 4" xfId="36831"/>
    <cellStyle name="Normal 7 3 3 3 3 3" xfId="10516"/>
    <cellStyle name="Normal 7 3 3 3 3 3 2" xfId="25560"/>
    <cellStyle name="Normal 7 3 3 3 3 3 3" xfId="40603"/>
    <cellStyle name="Normal 7 3 3 3 3 4" xfId="18039"/>
    <cellStyle name="Normal 7 3 3 3 3 5" xfId="33082"/>
    <cellStyle name="Normal 7 3 3 3 4" xfId="4877"/>
    <cellStyle name="Normal 7 3 3 3 4 2" xfId="12400"/>
    <cellStyle name="Normal 7 3 3 3 4 2 2" xfId="27444"/>
    <cellStyle name="Normal 7 3 3 3 4 2 3" xfId="42487"/>
    <cellStyle name="Normal 7 3 3 3 4 3" xfId="19923"/>
    <cellStyle name="Normal 7 3 3 3 4 4" xfId="34966"/>
    <cellStyle name="Normal 7 3 3 3 5" xfId="8651"/>
    <cellStyle name="Normal 7 3 3 3 5 2" xfId="23695"/>
    <cellStyle name="Normal 7 3 3 3 5 3" xfId="38738"/>
    <cellStyle name="Normal 7 3 3 3 6" xfId="16174"/>
    <cellStyle name="Normal 7 3 3 3 7" xfId="31217"/>
    <cellStyle name="Normal 7 3 3 4" xfId="1556"/>
    <cellStyle name="Normal 7 3 3 4 2" xfId="3427"/>
    <cellStyle name="Normal 7 3 3 4 2 2" xfId="7222"/>
    <cellStyle name="Normal 7 3 3 4 2 2 2" xfId="14745"/>
    <cellStyle name="Normal 7 3 3 4 2 2 2 2" xfId="29789"/>
    <cellStyle name="Normal 7 3 3 4 2 2 2 3" xfId="44832"/>
    <cellStyle name="Normal 7 3 3 4 2 2 3" xfId="22268"/>
    <cellStyle name="Normal 7 3 3 4 2 2 4" xfId="37311"/>
    <cellStyle name="Normal 7 3 3 4 2 3" xfId="10996"/>
    <cellStyle name="Normal 7 3 3 4 2 3 2" xfId="26040"/>
    <cellStyle name="Normal 7 3 3 4 2 3 3" xfId="41083"/>
    <cellStyle name="Normal 7 3 3 4 2 4" xfId="18519"/>
    <cellStyle name="Normal 7 3 3 4 2 5" xfId="33562"/>
    <cellStyle name="Normal 7 3 3 4 3" xfId="5357"/>
    <cellStyle name="Normal 7 3 3 4 3 2" xfId="12880"/>
    <cellStyle name="Normal 7 3 3 4 3 2 2" xfId="27924"/>
    <cellStyle name="Normal 7 3 3 4 3 2 3" xfId="42967"/>
    <cellStyle name="Normal 7 3 3 4 3 3" xfId="20403"/>
    <cellStyle name="Normal 7 3 3 4 3 4" xfId="35446"/>
    <cellStyle name="Normal 7 3 3 4 4" xfId="9131"/>
    <cellStyle name="Normal 7 3 3 4 4 2" xfId="24175"/>
    <cellStyle name="Normal 7 3 3 4 4 3" xfId="39218"/>
    <cellStyle name="Normal 7 3 3 4 5" xfId="16654"/>
    <cellStyle name="Normal 7 3 3 4 6" xfId="31697"/>
    <cellStyle name="Normal 7 3 3 5" xfId="2494"/>
    <cellStyle name="Normal 7 3 3 5 2" xfId="6290"/>
    <cellStyle name="Normal 7 3 3 5 2 2" xfId="13813"/>
    <cellStyle name="Normal 7 3 3 5 2 2 2" xfId="28857"/>
    <cellStyle name="Normal 7 3 3 5 2 2 3" xfId="43900"/>
    <cellStyle name="Normal 7 3 3 5 2 3" xfId="21336"/>
    <cellStyle name="Normal 7 3 3 5 2 4" xfId="36379"/>
    <cellStyle name="Normal 7 3 3 5 3" xfId="10064"/>
    <cellStyle name="Normal 7 3 3 5 3 2" xfId="25108"/>
    <cellStyle name="Normal 7 3 3 5 3 3" xfId="40151"/>
    <cellStyle name="Normal 7 3 3 5 4" xfId="17587"/>
    <cellStyle name="Normal 7 3 3 5 5" xfId="32630"/>
    <cellStyle name="Normal 7 3 3 6" xfId="4422"/>
    <cellStyle name="Normal 7 3 3 6 2" xfId="11946"/>
    <cellStyle name="Normal 7 3 3 6 2 2" xfId="26990"/>
    <cellStyle name="Normal 7 3 3 6 2 3" xfId="42033"/>
    <cellStyle name="Normal 7 3 3 6 3" xfId="19469"/>
    <cellStyle name="Normal 7 3 3 6 4" xfId="34512"/>
    <cellStyle name="Normal 7 3 3 7" xfId="8185"/>
    <cellStyle name="Normal 7 3 3 7 2" xfId="23229"/>
    <cellStyle name="Normal 7 3 3 7 3" xfId="38272"/>
    <cellStyle name="Normal 7 3 3 8" xfId="15708"/>
    <cellStyle name="Normal 7 3 3 9" xfId="30751"/>
    <cellStyle name="Normal 7 3 4" xfId="533"/>
    <cellStyle name="Normal 7 3 4 2" xfId="534"/>
    <cellStyle name="Normal 7 3 4 2 2" xfId="1052"/>
    <cellStyle name="Normal 7 3 4 2 2 2" xfId="2011"/>
    <cellStyle name="Normal 7 3 4 2 2 2 2" xfId="3882"/>
    <cellStyle name="Normal 7 3 4 2 2 2 2 2" xfId="7677"/>
    <cellStyle name="Normal 7 3 4 2 2 2 2 2 2" xfId="15200"/>
    <cellStyle name="Normal 7 3 4 2 2 2 2 2 2 2" xfId="30244"/>
    <cellStyle name="Normal 7 3 4 2 2 2 2 2 2 3" xfId="45287"/>
    <cellStyle name="Normal 7 3 4 2 2 2 2 2 3" xfId="22723"/>
    <cellStyle name="Normal 7 3 4 2 2 2 2 2 4" xfId="37766"/>
    <cellStyle name="Normal 7 3 4 2 2 2 2 3" xfId="11451"/>
    <cellStyle name="Normal 7 3 4 2 2 2 2 3 2" xfId="26495"/>
    <cellStyle name="Normal 7 3 4 2 2 2 2 3 3" xfId="41538"/>
    <cellStyle name="Normal 7 3 4 2 2 2 2 4" xfId="18974"/>
    <cellStyle name="Normal 7 3 4 2 2 2 2 5" xfId="34017"/>
    <cellStyle name="Normal 7 3 4 2 2 2 3" xfId="5812"/>
    <cellStyle name="Normal 7 3 4 2 2 2 3 2" xfId="13335"/>
    <cellStyle name="Normal 7 3 4 2 2 2 3 2 2" xfId="28379"/>
    <cellStyle name="Normal 7 3 4 2 2 2 3 2 3" xfId="43422"/>
    <cellStyle name="Normal 7 3 4 2 2 2 3 3" xfId="20858"/>
    <cellStyle name="Normal 7 3 4 2 2 2 3 4" xfId="35901"/>
    <cellStyle name="Normal 7 3 4 2 2 2 4" xfId="9586"/>
    <cellStyle name="Normal 7 3 4 2 2 2 4 2" xfId="24630"/>
    <cellStyle name="Normal 7 3 4 2 2 2 4 3" xfId="39673"/>
    <cellStyle name="Normal 7 3 4 2 2 2 5" xfId="17109"/>
    <cellStyle name="Normal 7 3 4 2 2 2 6" xfId="32152"/>
    <cellStyle name="Normal 7 3 4 2 2 3" xfId="2950"/>
    <cellStyle name="Normal 7 3 4 2 2 3 2" xfId="6745"/>
    <cellStyle name="Normal 7 3 4 2 2 3 2 2" xfId="14268"/>
    <cellStyle name="Normal 7 3 4 2 2 3 2 2 2" xfId="29312"/>
    <cellStyle name="Normal 7 3 4 2 2 3 2 2 3" xfId="44355"/>
    <cellStyle name="Normal 7 3 4 2 2 3 2 3" xfId="21791"/>
    <cellStyle name="Normal 7 3 4 2 2 3 2 4" xfId="36834"/>
    <cellStyle name="Normal 7 3 4 2 2 3 3" xfId="10519"/>
    <cellStyle name="Normal 7 3 4 2 2 3 3 2" xfId="25563"/>
    <cellStyle name="Normal 7 3 4 2 2 3 3 3" xfId="40606"/>
    <cellStyle name="Normal 7 3 4 2 2 3 4" xfId="18042"/>
    <cellStyle name="Normal 7 3 4 2 2 3 5" xfId="33085"/>
    <cellStyle name="Normal 7 3 4 2 2 4" xfId="4880"/>
    <cellStyle name="Normal 7 3 4 2 2 4 2" xfId="12403"/>
    <cellStyle name="Normal 7 3 4 2 2 4 2 2" xfId="27447"/>
    <cellStyle name="Normal 7 3 4 2 2 4 2 3" xfId="42490"/>
    <cellStyle name="Normal 7 3 4 2 2 4 3" xfId="19926"/>
    <cellStyle name="Normal 7 3 4 2 2 4 4" xfId="34969"/>
    <cellStyle name="Normal 7 3 4 2 2 5" xfId="8654"/>
    <cellStyle name="Normal 7 3 4 2 2 5 2" xfId="23698"/>
    <cellStyle name="Normal 7 3 4 2 2 5 3" xfId="38741"/>
    <cellStyle name="Normal 7 3 4 2 2 6" xfId="16177"/>
    <cellStyle name="Normal 7 3 4 2 2 7" xfId="31220"/>
    <cellStyle name="Normal 7 3 4 2 3" xfId="1559"/>
    <cellStyle name="Normal 7 3 4 2 3 2" xfId="3430"/>
    <cellStyle name="Normal 7 3 4 2 3 2 2" xfId="7225"/>
    <cellStyle name="Normal 7 3 4 2 3 2 2 2" xfId="14748"/>
    <cellStyle name="Normal 7 3 4 2 3 2 2 2 2" xfId="29792"/>
    <cellStyle name="Normal 7 3 4 2 3 2 2 2 3" xfId="44835"/>
    <cellStyle name="Normal 7 3 4 2 3 2 2 3" xfId="22271"/>
    <cellStyle name="Normal 7 3 4 2 3 2 2 4" xfId="37314"/>
    <cellStyle name="Normal 7 3 4 2 3 2 3" xfId="10999"/>
    <cellStyle name="Normal 7 3 4 2 3 2 3 2" xfId="26043"/>
    <cellStyle name="Normal 7 3 4 2 3 2 3 3" xfId="41086"/>
    <cellStyle name="Normal 7 3 4 2 3 2 4" xfId="18522"/>
    <cellStyle name="Normal 7 3 4 2 3 2 5" xfId="33565"/>
    <cellStyle name="Normal 7 3 4 2 3 3" xfId="5360"/>
    <cellStyle name="Normal 7 3 4 2 3 3 2" xfId="12883"/>
    <cellStyle name="Normal 7 3 4 2 3 3 2 2" xfId="27927"/>
    <cellStyle name="Normal 7 3 4 2 3 3 2 3" xfId="42970"/>
    <cellStyle name="Normal 7 3 4 2 3 3 3" xfId="20406"/>
    <cellStyle name="Normal 7 3 4 2 3 3 4" xfId="35449"/>
    <cellStyle name="Normal 7 3 4 2 3 4" xfId="9134"/>
    <cellStyle name="Normal 7 3 4 2 3 4 2" xfId="24178"/>
    <cellStyle name="Normal 7 3 4 2 3 4 3" xfId="39221"/>
    <cellStyle name="Normal 7 3 4 2 3 5" xfId="16657"/>
    <cellStyle name="Normal 7 3 4 2 3 6" xfId="31700"/>
    <cellStyle name="Normal 7 3 4 2 4" xfId="2497"/>
    <cellStyle name="Normal 7 3 4 2 4 2" xfId="6293"/>
    <cellStyle name="Normal 7 3 4 2 4 2 2" xfId="13816"/>
    <cellStyle name="Normal 7 3 4 2 4 2 2 2" xfId="28860"/>
    <cellStyle name="Normal 7 3 4 2 4 2 2 3" xfId="43903"/>
    <cellStyle name="Normal 7 3 4 2 4 2 3" xfId="21339"/>
    <cellStyle name="Normal 7 3 4 2 4 2 4" xfId="36382"/>
    <cellStyle name="Normal 7 3 4 2 4 3" xfId="10067"/>
    <cellStyle name="Normal 7 3 4 2 4 3 2" xfId="25111"/>
    <cellStyle name="Normal 7 3 4 2 4 3 3" xfId="40154"/>
    <cellStyle name="Normal 7 3 4 2 4 4" xfId="17590"/>
    <cellStyle name="Normal 7 3 4 2 4 5" xfId="32633"/>
    <cellStyle name="Normal 7 3 4 2 5" xfId="4425"/>
    <cellStyle name="Normal 7 3 4 2 5 2" xfId="11949"/>
    <cellStyle name="Normal 7 3 4 2 5 2 2" xfId="26993"/>
    <cellStyle name="Normal 7 3 4 2 5 2 3" xfId="42036"/>
    <cellStyle name="Normal 7 3 4 2 5 3" xfId="19472"/>
    <cellStyle name="Normal 7 3 4 2 5 4" xfId="34515"/>
    <cellStyle name="Normal 7 3 4 2 6" xfId="8188"/>
    <cellStyle name="Normal 7 3 4 2 6 2" xfId="23232"/>
    <cellStyle name="Normal 7 3 4 2 6 3" xfId="38275"/>
    <cellStyle name="Normal 7 3 4 2 7" xfId="15711"/>
    <cellStyle name="Normal 7 3 4 2 8" xfId="30754"/>
    <cellStyle name="Normal 7 3 4 3" xfId="1051"/>
    <cellStyle name="Normal 7 3 4 3 2" xfId="2010"/>
    <cellStyle name="Normal 7 3 4 3 2 2" xfId="3881"/>
    <cellStyle name="Normal 7 3 4 3 2 2 2" xfId="7676"/>
    <cellStyle name="Normal 7 3 4 3 2 2 2 2" xfId="15199"/>
    <cellStyle name="Normal 7 3 4 3 2 2 2 2 2" xfId="30243"/>
    <cellStyle name="Normal 7 3 4 3 2 2 2 2 3" xfId="45286"/>
    <cellStyle name="Normal 7 3 4 3 2 2 2 3" xfId="22722"/>
    <cellStyle name="Normal 7 3 4 3 2 2 2 4" xfId="37765"/>
    <cellStyle name="Normal 7 3 4 3 2 2 3" xfId="11450"/>
    <cellStyle name="Normal 7 3 4 3 2 2 3 2" xfId="26494"/>
    <cellStyle name="Normal 7 3 4 3 2 2 3 3" xfId="41537"/>
    <cellStyle name="Normal 7 3 4 3 2 2 4" xfId="18973"/>
    <cellStyle name="Normal 7 3 4 3 2 2 5" xfId="34016"/>
    <cellStyle name="Normal 7 3 4 3 2 3" xfId="5811"/>
    <cellStyle name="Normal 7 3 4 3 2 3 2" xfId="13334"/>
    <cellStyle name="Normal 7 3 4 3 2 3 2 2" xfId="28378"/>
    <cellStyle name="Normal 7 3 4 3 2 3 2 3" xfId="43421"/>
    <cellStyle name="Normal 7 3 4 3 2 3 3" xfId="20857"/>
    <cellStyle name="Normal 7 3 4 3 2 3 4" xfId="35900"/>
    <cellStyle name="Normal 7 3 4 3 2 4" xfId="9585"/>
    <cellStyle name="Normal 7 3 4 3 2 4 2" xfId="24629"/>
    <cellStyle name="Normal 7 3 4 3 2 4 3" xfId="39672"/>
    <cellStyle name="Normal 7 3 4 3 2 5" xfId="17108"/>
    <cellStyle name="Normal 7 3 4 3 2 6" xfId="32151"/>
    <cellStyle name="Normal 7 3 4 3 3" xfId="2949"/>
    <cellStyle name="Normal 7 3 4 3 3 2" xfId="6744"/>
    <cellStyle name="Normal 7 3 4 3 3 2 2" xfId="14267"/>
    <cellStyle name="Normal 7 3 4 3 3 2 2 2" xfId="29311"/>
    <cellStyle name="Normal 7 3 4 3 3 2 2 3" xfId="44354"/>
    <cellStyle name="Normal 7 3 4 3 3 2 3" xfId="21790"/>
    <cellStyle name="Normal 7 3 4 3 3 2 4" xfId="36833"/>
    <cellStyle name="Normal 7 3 4 3 3 3" xfId="10518"/>
    <cellStyle name="Normal 7 3 4 3 3 3 2" xfId="25562"/>
    <cellStyle name="Normal 7 3 4 3 3 3 3" xfId="40605"/>
    <cellStyle name="Normal 7 3 4 3 3 4" xfId="18041"/>
    <cellStyle name="Normal 7 3 4 3 3 5" xfId="33084"/>
    <cellStyle name="Normal 7 3 4 3 4" xfId="4879"/>
    <cellStyle name="Normal 7 3 4 3 4 2" xfId="12402"/>
    <cellStyle name="Normal 7 3 4 3 4 2 2" xfId="27446"/>
    <cellStyle name="Normal 7 3 4 3 4 2 3" xfId="42489"/>
    <cellStyle name="Normal 7 3 4 3 4 3" xfId="19925"/>
    <cellStyle name="Normal 7 3 4 3 4 4" xfId="34968"/>
    <cellStyle name="Normal 7 3 4 3 5" xfId="8653"/>
    <cellStyle name="Normal 7 3 4 3 5 2" xfId="23697"/>
    <cellStyle name="Normal 7 3 4 3 5 3" xfId="38740"/>
    <cellStyle name="Normal 7 3 4 3 6" xfId="16176"/>
    <cellStyle name="Normal 7 3 4 3 7" xfId="31219"/>
    <cellStyle name="Normal 7 3 4 4" xfId="1558"/>
    <cellStyle name="Normal 7 3 4 4 2" xfId="3429"/>
    <cellStyle name="Normal 7 3 4 4 2 2" xfId="7224"/>
    <cellStyle name="Normal 7 3 4 4 2 2 2" xfId="14747"/>
    <cellStyle name="Normal 7 3 4 4 2 2 2 2" xfId="29791"/>
    <cellStyle name="Normal 7 3 4 4 2 2 2 3" xfId="44834"/>
    <cellStyle name="Normal 7 3 4 4 2 2 3" xfId="22270"/>
    <cellStyle name="Normal 7 3 4 4 2 2 4" xfId="37313"/>
    <cellStyle name="Normal 7 3 4 4 2 3" xfId="10998"/>
    <cellStyle name="Normal 7 3 4 4 2 3 2" xfId="26042"/>
    <cellStyle name="Normal 7 3 4 4 2 3 3" xfId="41085"/>
    <cellStyle name="Normal 7 3 4 4 2 4" xfId="18521"/>
    <cellStyle name="Normal 7 3 4 4 2 5" xfId="33564"/>
    <cellStyle name="Normal 7 3 4 4 3" xfId="5359"/>
    <cellStyle name="Normal 7 3 4 4 3 2" xfId="12882"/>
    <cellStyle name="Normal 7 3 4 4 3 2 2" xfId="27926"/>
    <cellStyle name="Normal 7 3 4 4 3 2 3" xfId="42969"/>
    <cellStyle name="Normal 7 3 4 4 3 3" xfId="20405"/>
    <cellStyle name="Normal 7 3 4 4 3 4" xfId="35448"/>
    <cellStyle name="Normal 7 3 4 4 4" xfId="9133"/>
    <cellStyle name="Normal 7 3 4 4 4 2" xfId="24177"/>
    <cellStyle name="Normal 7 3 4 4 4 3" xfId="39220"/>
    <cellStyle name="Normal 7 3 4 4 5" xfId="16656"/>
    <cellStyle name="Normal 7 3 4 4 6" xfId="31699"/>
    <cellStyle name="Normal 7 3 4 5" xfId="2496"/>
    <cellStyle name="Normal 7 3 4 5 2" xfId="6292"/>
    <cellStyle name="Normal 7 3 4 5 2 2" xfId="13815"/>
    <cellStyle name="Normal 7 3 4 5 2 2 2" xfId="28859"/>
    <cellStyle name="Normal 7 3 4 5 2 2 3" xfId="43902"/>
    <cellStyle name="Normal 7 3 4 5 2 3" xfId="21338"/>
    <cellStyle name="Normal 7 3 4 5 2 4" xfId="36381"/>
    <cellStyle name="Normal 7 3 4 5 3" xfId="10066"/>
    <cellStyle name="Normal 7 3 4 5 3 2" xfId="25110"/>
    <cellStyle name="Normal 7 3 4 5 3 3" xfId="40153"/>
    <cellStyle name="Normal 7 3 4 5 4" xfId="17589"/>
    <cellStyle name="Normal 7 3 4 5 5" xfId="32632"/>
    <cellStyle name="Normal 7 3 4 6" xfId="4424"/>
    <cellStyle name="Normal 7 3 4 6 2" xfId="11948"/>
    <cellStyle name="Normal 7 3 4 6 2 2" xfId="26992"/>
    <cellStyle name="Normal 7 3 4 6 2 3" xfId="42035"/>
    <cellStyle name="Normal 7 3 4 6 3" xfId="19471"/>
    <cellStyle name="Normal 7 3 4 6 4" xfId="34514"/>
    <cellStyle name="Normal 7 3 4 7" xfId="8187"/>
    <cellStyle name="Normal 7 3 4 7 2" xfId="23231"/>
    <cellStyle name="Normal 7 3 4 7 3" xfId="38274"/>
    <cellStyle name="Normal 7 3 4 8" xfId="15710"/>
    <cellStyle name="Normal 7 3 4 9" xfId="30753"/>
    <cellStyle name="Normal 7 3 5" xfId="535"/>
    <cellStyle name="Normal 7 3 5 2" xfId="1053"/>
    <cellStyle name="Normal 7 3 5 2 2" xfId="2012"/>
    <cellStyle name="Normal 7 3 5 2 2 2" xfId="3883"/>
    <cellStyle name="Normal 7 3 5 2 2 2 2" xfId="7678"/>
    <cellStyle name="Normal 7 3 5 2 2 2 2 2" xfId="15201"/>
    <cellStyle name="Normal 7 3 5 2 2 2 2 2 2" xfId="30245"/>
    <cellStyle name="Normal 7 3 5 2 2 2 2 2 3" xfId="45288"/>
    <cellStyle name="Normal 7 3 5 2 2 2 2 3" xfId="22724"/>
    <cellStyle name="Normal 7 3 5 2 2 2 2 4" xfId="37767"/>
    <cellStyle name="Normal 7 3 5 2 2 2 3" xfId="11452"/>
    <cellStyle name="Normal 7 3 5 2 2 2 3 2" xfId="26496"/>
    <cellStyle name="Normal 7 3 5 2 2 2 3 3" xfId="41539"/>
    <cellStyle name="Normal 7 3 5 2 2 2 4" xfId="18975"/>
    <cellStyle name="Normal 7 3 5 2 2 2 5" xfId="34018"/>
    <cellStyle name="Normal 7 3 5 2 2 3" xfId="5813"/>
    <cellStyle name="Normal 7 3 5 2 2 3 2" xfId="13336"/>
    <cellStyle name="Normal 7 3 5 2 2 3 2 2" xfId="28380"/>
    <cellStyle name="Normal 7 3 5 2 2 3 2 3" xfId="43423"/>
    <cellStyle name="Normal 7 3 5 2 2 3 3" xfId="20859"/>
    <cellStyle name="Normal 7 3 5 2 2 3 4" xfId="35902"/>
    <cellStyle name="Normal 7 3 5 2 2 4" xfId="9587"/>
    <cellStyle name="Normal 7 3 5 2 2 4 2" xfId="24631"/>
    <cellStyle name="Normal 7 3 5 2 2 4 3" xfId="39674"/>
    <cellStyle name="Normal 7 3 5 2 2 5" xfId="17110"/>
    <cellStyle name="Normal 7 3 5 2 2 6" xfId="32153"/>
    <cellStyle name="Normal 7 3 5 2 3" xfId="2951"/>
    <cellStyle name="Normal 7 3 5 2 3 2" xfId="6746"/>
    <cellStyle name="Normal 7 3 5 2 3 2 2" xfId="14269"/>
    <cellStyle name="Normal 7 3 5 2 3 2 2 2" xfId="29313"/>
    <cellStyle name="Normal 7 3 5 2 3 2 2 3" xfId="44356"/>
    <cellStyle name="Normal 7 3 5 2 3 2 3" xfId="21792"/>
    <cellStyle name="Normal 7 3 5 2 3 2 4" xfId="36835"/>
    <cellStyle name="Normal 7 3 5 2 3 3" xfId="10520"/>
    <cellStyle name="Normal 7 3 5 2 3 3 2" xfId="25564"/>
    <cellStyle name="Normal 7 3 5 2 3 3 3" xfId="40607"/>
    <cellStyle name="Normal 7 3 5 2 3 4" xfId="18043"/>
    <cellStyle name="Normal 7 3 5 2 3 5" xfId="33086"/>
    <cellStyle name="Normal 7 3 5 2 4" xfId="4881"/>
    <cellStyle name="Normal 7 3 5 2 4 2" xfId="12404"/>
    <cellStyle name="Normal 7 3 5 2 4 2 2" xfId="27448"/>
    <cellStyle name="Normal 7 3 5 2 4 2 3" xfId="42491"/>
    <cellStyle name="Normal 7 3 5 2 4 3" xfId="19927"/>
    <cellStyle name="Normal 7 3 5 2 4 4" xfId="34970"/>
    <cellStyle name="Normal 7 3 5 2 5" xfId="8655"/>
    <cellStyle name="Normal 7 3 5 2 5 2" xfId="23699"/>
    <cellStyle name="Normal 7 3 5 2 5 3" xfId="38742"/>
    <cellStyle name="Normal 7 3 5 2 6" xfId="16178"/>
    <cellStyle name="Normal 7 3 5 2 7" xfId="31221"/>
    <cellStyle name="Normal 7 3 5 3" xfId="1560"/>
    <cellStyle name="Normal 7 3 5 3 2" xfId="3431"/>
    <cellStyle name="Normal 7 3 5 3 2 2" xfId="7226"/>
    <cellStyle name="Normal 7 3 5 3 2 2 2" xfId="14749"/>
    <cellStyle name="Normal 7 3 5 3 2 2 2 2" xfId="29793"/>
    <cellStyle name="Normal 7 3 5 3 2 2 2 3" xfId="44836"/>
    <cellStyle name="Normal 7 3 5 3 2 2 3" xfId="22272"/>
    <cellStyle name="Normal 7 3 5 3 2 2 4" xfId="37315"/>
    <cellStyle name="Normal 7 3 5 3 2 3" xfId="11000"/>
    <cellStyle name="Normal 7 3 5 3 2 3 2" xfId="26044"/>
    <cellStyle name="Normal 7 3 5 3 2 3 3" xfId="41087"/>
    <cellStyle name="Normal 7 3 5 3 2 4" xfId="18523"/>
    <cellStyle name="Normal 7 3 5 3 2 5" xfId="33566"/>
    <cellStyle name="Normal 7 3 5 3 3" xfId="5361"/>
    <cellStyle name="Normal 7 3 5 3 3 2" xfId="12884"/>
    <cellStyle name="Normal 7 3 5 3 3 2 2" xfId="27928"/>
    <cellStyle name="Normal 7 3 5 3 3 2 3" xfId="42971"/>
    <cellStyle name="Normal 7 3 5 3 3 3" xfId="20407"/>
    <cellStyle name="Normal 7 3 5 3 3 4" xfId="35450"/>
    <cellStyle name="Normal 7 3 5 3 4" xfId="9135"/>
    <cellStyle name="Normal 7 3 5 3 4 2" xfId="24179"/>
    <cellStyle name="Normal 7 3 5 3 4 3" xfId="39222"/>
    <cellStyle name="Normal 7 3 5 3 5" xfId="16658"/>
    <cellStyle name="Normal 7 3 5 3 6" xfId="31701"/>
    <cellStyle name="Normal 7 3 5 4" xfId="2498"/>
    <cellStyle name="Normal 7 3 5 4 2" xfId="6294"/>
    <cellStyle name="Normal 7 3 5 4 2 2" xfId="13817"/>
    <cellStyle name="Normal 7 3 5 4 2 2 2" xfId="28861"/>
    <cellStyle name="Normal 7 3 5 4 2 2 3" xfId="43904"/>
    <cellStyle name="Normal 7 3 5 4 2 3" xfId="21340"/>
    <cellStyle name="Normal 7 3 5 4 2 4" xfId="36383"/>
    <cellStyle name="Normal 7 3 5 4 3" xfId="10068"/>
    <cellStyle name="Normal 7 3 5 4 3 2" xfId="25112"/>
    <cellStyle name="Normal 7 3 5 4 3 3" xfId="40155"/>
    <cellStyle name="Normal 7 3 5 4 4" xfId="17591"/>
    <cellStyle name="Normal 7 3 5 4 5" xfId="32634"/>
    <cellStyle name="Normal 7 3 5 5" xfId="4426"/>
    <cellStyle name="Normal 7 3 5 5 2" xfId="11950"/>
    <cellStyle name="Normal 7 3 5 5 2 2" xfId="26994"/>
    <cellStyle name="Normal 7 3 5 5 2 3" xfId="42037"/>
    <cellStyle name="Normal 7 3 5 5 3" xfId="19473"/>
    <cellStyle name="Normal 7 3 5 5 4" xfId="34516"/>
    <cellStyle name="Normal 7 3 5 6" xfId="8189"/>
    <cellStyle name="Normal 7 3 5 6 2" xfId="23233"/>
    <cellStyle name="Normal 7 3 5 6 3" xfId="38276"/>
    <cellStyle name="Normal 7 3 5 7" xfId="15712"/>
    <cellStyle name="Normal 7 3 5 8" xfId="30755"/>
    <cellStyle name="Normal 7 3 6" xfId="1042"/>
    <cellStyle name="Normal 7 3 6 2" xfId="2001"/>
    <cellStyle name="Normal 7 3 6 2 2" xfId="3872"/>
    <cellStyle name="Normal 7 3 6 2 2 2" xfId="7667"/>
    <cellStyle name="Normal 7 3 6 2 2 2 2" xfId="15190"/>
    <cellStyle name="Normal 7 3 6 2 2 2 2 2" xfId="30234"/>
    <cellStyle name="Normal 7 3 6 2 2 2 2 3" xfId="45277"/>
    <cellStyle name="Normal 7 3 6 2 2 2 3" xfId="22713"/>
    <cellStyle name="Normal 7 3 6 2 2 2 4" xfId="37756"/>
    <cellStyle name="Normal 7 3 6 2 2 3" xfId="11441"/>
    <cellStyle name="Normal 7 3 6 2 2 3 2" xfId="26485"/>
    <cellStyle name="Normal 7 3 6 2 2 3 3" xfId="41528"/>
    <cellStyle name="Normal 7 3 6 2 2 4" xfId="18964"/>
    <cellStyle name="Normal 7 3 6 2 2 5" xfId="34007"/>
    <cellStyle name="Normal 7 3 6 2 3" xfId="5802"/>
    <cellStyle name="Normal 7 3 6 2 3 2" xfId="13325"/>
    <cellStyle name="Normal 7 3 6 2 3 2 2" xfId="28369"/>
    <cellStyle name="Normal 7 3 6 2 3 2 3" xfId="43412"/>
    <cellStyle name="Normal 7 3 6 2 3 3" xfId="20848"/>
    <cellStyle name="Normal 7 3 6 2 3 4" xfId="35891"/>
    <cellStyle name="Normal 7 3 6 2 4" xfId="9576"/>
    <cellStyle name="Normal 7 3 6 2 4 2" xfId="24620"/>
    <cellStyle name="Normal 7 3 6 2 4 3" xfId="39663"/>
    <cellStyle name="Normal 7 3 6 2 5" xfId="17099"/>
    <cellStyle name="Normal 7 3 6 2 6" xfId="32142"/>
    <cellStyle name="Normal 7 3 6 3" xfId="2940"/>
    <cellStyle name="Normal 7 3 6 3 2" xfId="6735"/>
    <cellStyle name="Normal 7 3 6 3 2 2" xfId="14258"/>
    <cellStyle name="Normal 7 3 6 3 2 2 2" xfId="29302"/>
    <cellStyle name="Normal 7 3 6 3 2 2 3" xfId="44345"/>
    <cellStyle name="Normal 7 3 6 3 2 3" xfId="21781"/>
    <cellStyle name="Normal 7 3 6 3 2 4" xfId="36824"/>
    <cellStyle name="Normal 7 3 6 3 3" xfId="10509"/>
    <cellStyle name="Normal 7 3 6 3 3 2" xfId="25553"/>
    <cellStyle name="Normal 7 3 6 3 3 3" xfId="40596"/>
    <cellStyle name="Normal 7 3 6 3 4" xfId="18032"/>
    <cellStyle name="Normal 7 3 6 3 5" xfId="33075"/>
    <cellStyle name="Normal 7 3 6 4" xfId="4870"/>
    <cellStyle name="Normal 7 3 6 4 2" xfId="12393"/>
    <cellStyle name="Normal 7 3 6 4 2 2" xfId="27437"/>
    <cellStyle name="Normal 7 3 6 4 2 3" xfId="42480"/>
    <cellStyle name="Normal 7 3 6 4 3" xfId="19916"/>
    <cellStyle name="Normal 7 3 6 4 4" xfId="34959"/>
    <cellStyle name="Normal 7 3 6 5" xfId="8644"/>
    <cellStyle name="Normal 7 3 6 5 2" xfId="23688"/>
    <cellStyle name="Normal 7 3 6 5 3" xfId="38731"/>
    <cellStyle name="Normal 7 3 6 6" xfId="16167"/>
    <cellStyle name="Normal 7 3 6 7" xfId="31210"/>
    <cellStyle name="Normal 7 3 7" xfId="1549"/>
    <cellStyle name="Normal 7 3 7 2" xfId="3420"/>
    <cellStyle name="Normal 7 3 7 2 2" xfId="7215"/>
    <cellStyle name="Normal 7 3 7 2 2 2" xfId="14738"/>
    <cellStyle name="Normal 7 3 7 2 2 2 2" xfId="29782"/>
    <cellStyle name="Normal 7 3 7 2 2 2 3" xfId="44825"/>
    <cellStyle name="Normal 7 3 7 2 2 3" xfId="22261"/>
    <cellStyle name="Normal 7 3 7 2 2 4" xfId="37304"/>
    <cellStyle name="Normal 7 3 7 2 3" xfId="10989"/>
    <cellStyle name="Normal 7 3 7 2 3 2" xfId="26033"/>
    <cellStyle name="Normal 7 3 7 2 3 3" xfId="41076"/>
    <cellStyle name="Normal 7 3 7 2 4" xfId="18512"/>
    <cellStyle name="Normal 7 3 7 2 5" xfId="33555"/>
    <cellStyle name="Normal 7 3 7 3" xfId="5350"/>
    <cellStyle name="Normal 7 3 7 3 2" xfId="12873"/>
    <cellStyle name="Normal 7 3 7 3 2 2" xfId="27917"/>
    <cellStyle name="Normal 7 3 7 3 2 3" xfId="42960"/>
    <cellStyle name="Normal 7 3 7 3 3" xfId="20396"/>
    <cellStyle name="Normal 7 3 7 3 4" xfId="35439"/>
    <cellStyle name="Normal 7 3 7 4" xfId="9124"/>
    <cellStyle name="Normal 7 3 7 4 2" xfId="24168"/>
    <cellStyle name="Normal 7 3 7 4 3" xfId="39211"/>
    <cellStyle name="Normal 7 3 7 5" xfId="16647"/>
    <cellStyle name="Normal 7 3 7 6" xfId="31690"/>
    <cellStyle name="Normal 7 3 8" xfId="2487"/>
    <cellStyle name="Normal 7 3 8 2" xfId="6283"/>
    <cellStyle name="Normal 7 3 8 2 2" xfId="13806"/>
    <cellStyle name="Normal 7 3 8 2 2 2" xfId="28850"/>
    <cellStyle name="Normal 7 3 8 2 2 3" xfId="43893"/>
    <cellStyle name="Normal 7 3 8 2 3" xfId="21329"/>
    <cellStyle name="Normal 7 3 8 2 4" xfId="36372"/>
    <cellStyle name="Normal 7 3 8 3" xfId="10057"/>
    <cellStyle name="Normal 7 3 8 3 2" xfId="25101"/>
    <cellStyle name="Normal 7 3 8 3 3" xfId="40144"/>
    <cellStyle name="Normal 7 3 8 4" xfId="17580"/>
    <cellStyle name="Normal 7 3 8 5" xfId="32623"/>
    <cellStyle name="Normal 7 3 9" xfId="4415"/>
    <cellStyle name="Normal 7 3 9 2" xfId="11939"/>
    <cellStyle name="Normal 7 3 9 2 2" xfId="26983"/>
    <cellStyle name="Normal 7 3 9 2 3" xfId="42026"/>
    <cellStyle name="Normal 7 3 9 3" xfId="19462"/>
    <cellStyle name="Normal 7 3 9 4" xfId="34505"/>
    <cellStyle name="Normal 7 4" xfId="536"/>
    <cellStyle name="Normal 7 4 10" xfId="15713"/>
    <cellStyle name="Normal 7 4 11" xfId="30756"/>
    <cellStyle name="Normal 7 4 2" xfId="537"/>
    <cellStyle name="Normal 7 4 2 2" xfId="538"/>
    <cellStyle name="Normal 7 4 2 2 2" xfId="1056"/>
    <cellStyle name="Normal 7 4 2 2 2 2" xfId="2015"/>
    <cellStyle name="Normal 7 4 2 2 2 2 2" xfId="3886"/>
    <cellStyle name="Normal 7 4 2 2 2 2 2 2" xfId="7681"/>
    <cellStyle name="Normal 7 4 2 2 2 2 2 2 2" xfId="15204"/>
    <cellStyle name="Normal 7 4 2 2 2 2 2 2 2 2" xfId="30248"/>
    <cellStyle name="Normal 7 4 2 2 2 2 2 2 2 3" xfId="45291"/>
    <cellStyle name="Normal 7 4 2 2 2 2 2 2 3" xfId="22727"/>
    <cellStyle name="Normal 7 4 2 2 2 2 2 2 4" xfId="37770"/>
    <cellStyle name="Normal 7 4 2 2 2 2 2 3" xfId="11455"/>
    <cellStyle name="Normal 7 4 2 2 2 2 2 3 2" xfId="26499"/>
    <cellStyle name="Normal 7 4 2 2 2 2 2 3 3" xfId="41542"/>
    <cellStyle name="Normal 7 4 2 2 2 2 2 4" xfId="18978"/>
    <cellStyle name="Normal 7 4 2 2 2 2 2 5" xfId="34021"/>
    <cellStyle name="Normal 7 4 2 2 2 2 3" xfId="5816"/>
    <cellStyle name="Normal 7 4 2 2 2 2 3 2" xfId="13339"/>
    <cellStyle name="Normal 7 4 2 2 2 2 3 2 2" xfId="28383"/>
    <cellStyle name="Normal 7 4 2 2 2 2 3 2 3" xfId="43426"/>
    <cellStyle name="Normal 7 4 2 2 2 2 3 3" xfId="20862"/>
    <cellStyle name="Normal 7 4 2 2 2 2 3 4" xfId="35905"/>
    <cellStyle name="Normal 7 4 2 2 2 2 4" xfId="9590"/>
    <cellStyle name="Normal 7 4 2 2 2 2 4 2" xfId="24634"/>
    <cellStyle name="Normal 7 4 2 2 2 2 4 3" xfId="39677"/>
    <cellStyle name="Normal 7 4 2 2 2 2 5" xfId="17113"/>
    <cellStyle name="Normal 7 4 2 2 2 2 6" xfId="32156"/>
    <cellStyle name="Normal 7 4 2 2 2 3" xfId="2954"/>
    <cellStyle name="Normal 7 4 2 2 2 3 2" xfId="6749"/>
    <cellStyle name="Normal 7 4 2 2 2 3 2 2" xfId="14272"/>
    <cellStyle name="Normal 7 4 2 2 2 3 2 2 2" xfId="29316"/>
    <cellStyle name="Normal 7 4 2 2 2 3 2 2 3" xfId="44359"/>
    <cellStyle name="Normal 7 4 2 2 2 3 2 3" xfId="21795"/>
    <cellStyle name="Normal 7 4 2 2 2 3 2 4" xfId="36838"/>
    <cellStyle name="Normal 7 4 2 2 2 3 3" xfId="10523"/>
    <cellStyle name="Normal 7 4 2 2 2 3 3 2" xfId="25567"/>
    <cellStyle name="Normal 7 4 2 2 2 3 3 3" xfId="40610"/>
    <cellStyle name="Normal 7 4 2 2 2 3 4" xfId="18046"/>
    <cellStyle name="Normal 7 4 2 2 2 3 5" xfId="33089"/>
    <cellStyle name="Normal 7 4 2 2 2 4" xfId="4884"/>
    <cellStyle name="Normal 7 4 2 2 2 4 2" xfId="12407"/>
    <cellStyle name="Normal 7 4 2 2 2 4 2 2" xfId="27451"/>
    <cellStyle name="Normal 7 4 2 2 2 4 2 3" xfId="42494"/>
    <cellStyle name="Normal 7 4 2 2 2 4 3" xfId="19930"/>
    <cellStyle name="Normal 7 4 2 2 2 4 4" xfId="34973"/>
    <cellStyle name="Normal 7 4 2 2 2 5" xfId="8658"/>
    <cellStyle name="Normal 7 4 2 2 2 5 2" xfId="23702"/>
    <cellStyle name="Normal 7 4 2 2 2 5 3" xfId="38745"/>
    <cellStyle name="Normal 7 4 2 2 2 6" xfId="16181"/>
    <cellStyle name="Normal 7 4 2 2 2 7" xfId="31224"/>
    <cellStyle name="Normal 7 4 2 2 3" xfId="1563"/>
    <cellStyle name="Normal 7 4 2 2 3 2" xfId="3434"/>
    <cellStyle name="Normal 7 4 2 2 3 2 2" xfId="7229"/>
    <cellStyle name="Normal 7 4 2 2 3 2 2 2" xfId="14752"/>
    <cellStyle name="Normal 7 4 2 2 3 2 2 2 2" xfId="29796"/>
    <cellStyle name="Normal 7 4 2 2 3 2 2 2 3" xfId="44839"/>
    <cellStyle name="Normal 7 4 2 2 3 2 2 3" xfId="22275"/>
    <cellStyle name="Normal 7 4 2 2 3 2 2 4" xfId="37318"/>
    <cellStyle name="Normal 7 4 2 2 3 2 3" xfId="11003"/>
    <cellStyle name="Normal 7 4 2 2 3 2 3 2" xfId="26047"/>
    <cellStyle name="Normal 7 4 2 2 3 2 3 3" xfId="41090"/>
    <cellStyle name="Normal 7 4 2 2 3 2 4" xfId="18526"/>
    <cellStyle name="Normal 7 4 2 2 3 2 5" xfId="33569"/>
    <cellStyle name="Normal 7 4 2 2 3 3" xfId="5364"/>
    <cellStyle name="Normal 7 4 2 2 3 3 2" xfId="12887"/>
    <cellStyle name="Normal 7 4 2 2 3 3 2 2" xfId="27931"/>
    <cellStyle name="Normal 7 4 2 2 3 3 2 3" xfId="42974"/>
    <cellStyle name="Normal 7 4 2 2 3 3 3" xfId="20410"/>
    <cellStyle name="Normal 7 4 2 2 3 3 4" xfId="35453"/>
    <cellStyle name="Normal 7 4 2 2 3 4" xfId="9138"/>
    <cellStyle name="Normal 7 4 2 2 3 4 2" xfId="24182"/>
    <cellStyle name="Normal 7 4 2 2 3 4 3" xfId="39225"/>
    <cellStyle name="Normal 7 4 2 2 3 5" xfId="16661"/>
    <cellStyle name="Normal 7 4 2 2 3 6" xfId="31704"/>
    <cellStyle name="Normal 7 4 2 2 4" xfId="2501"/>
    <cellStyle name="Normal 7 4 2 2 4 2" xfId="6297"/>
    <cellStyle name="Normal 7 4 2 2 4 2 2" xfId="13820"/>
    <cellStyle name="Normal 7 4 2 2 4 2 2 2" xfId="28864"/>
    <cellStyle name="Normal 7 4 2 2 4 2 2 3" xfId="43907"/>
    <cellStyle name="Normal 7 4 2 2 4 2 3" xfId="21343"/>
    <cellStyle name="Normal 7 4 2 2 4 2 4" xfId="36386"/>
    <cellStyle name="Normal 7 4 2 2 4 3" xfId="10071"/>
    <cellStyle name="Normal 7 4 2 2 4 3 2" xfId="25115"/>
    <cellStyle name="Normal 7 4 2 2 4 3 3" xfId="40158"/>
    <cellStyle name="Normal 7 4 2 2 4 4" xfId="17594"/>
    <cellStyle name="Normal 7 4 2 2 4 5" xfId="32637"/>
    <cellStyle name="Normal 7 4 2 2 5" xfId="4429"/>
    <cellStyle name="Normal 7 4 2 2 5 2" xfId="11953"/>
    <cellStyle name="Normal 7 4 2 2 5 2 2" xfId="26997"/>
    <cellStyle name="Normal 7 4 2 2 5 2 3" xfId="42040"/>
    <cellStyle name="Normal 7 4 2 2 5 3" xfId="19476"/>
    <cellStyle name="Normal 7 4 2 2 5 4" xfId="34519"/>
    <cellStyle name="Normal 7 4 2 2 6" xfId="8192"/>
    <cellStyle name="Normal 7 4 2 2 6 2" xfId="23236"/>
    <cellStyle name="Normal 7 4 2 2 6 3" xfId="38279"/>
    <cellStyle name="Normal 7 4 2 2 7" xfId="15715"/>
    <cellStyle name="Normal 7 4 2 2 8" xfId="30758"/>
    <cellStyle name="Normal 7 4 2 3" xfId="1055"/>
    <cellStyle name="Normal 7 4 2 3 2" xfId="2014"/>
    <cellStyle name="Normal 7 4 2 3 2 2" xfId="3885"/>
    <cellStyle name="Normal 7 4 2 3 2 2 2" xfId="7680"/>
    <cellStyle name="Normal 7 4 2 3 2 2 2 2" xfId="15203"/>
    <cellStyle name="Normal 7 4 2 3 2 2 2 2 2" xfId="30247"/>
    <cellStyle name="Normal 7 4 2 3 2 2 2 2 3" xfId="45290"/>
    <cellStyle name="Normal 7 4 2 3 2 2 2 3" xfId="22726"/>
    <cellStyle name="Normal 7 4 2 3 2 2 2 4" xfId="37769"/>
    <cellStyle name="Normal 7 4 2 3 2 2 3" xfId="11454"/>
    <cellStyle name="Normal 7 4 2 3 2 2 3 2" xfId="26498"/>
    <cellStyle name="Normal 7 4 2 3 2 2 3 3" xfId="41541"/>
    <cellStyle name="Normal 7 4 2 3 2 2 4" xfId="18977"/>
    <cellStyle name="Normal 7 4 2 3 2 2 5" xfId="34020"/>
    <cellStyle name="Normal 7 4 2 3 2 3" xfId="5815"/>
    <cellStyle name="Normal 7 4 2 3 2 3 2" xfId="13338"/>
    <cellStyle name="Normal 7 4 2 3 2 3 2 2" xfId="28382"/>
    <cellStyle name="Normal 7 4 2 3 2 3 2 3" xfId="43425"/>
    <cellStyle name="Normal 7 4 2 3 2 3 3" xfId="20861"/>
    <cellStyle name="Normal 7 4 2 3 2 3 4" xfId="35904"/>
    <cellStyle name="Normal 7 4 2 3 2 4" xfId="9589"/>
    <cellStyle name="Normal 7 4 2 3 2 4 2" xfId="24633"/>
    <cellStyle name="Normal 7 4 2 3 2 4 3" xfId="39676"/>
    <cellStyle name="Normal 7 4 2 3 2 5" xfId="17112"/>
    <cellStyle name="Normal 7 4 2 3 2 6" xfId="32155"/>
    <cellStyle name="Normal 7 4 2 3 3" xfId="2953"/>
    <cellStyle name="Normal 7 4 2 3 3 2" xfId="6748"/>
    <cellStyle name="Normal 7 4 2 3 3 2 2" xfId="14271"/>
    <cellStyle name="Normal 7 4 2 3 3 2 2 2" xfId="29315"/>
    <cellStyle name="Normal 7 4 2 3 3 2 2 3" xfId="44358"/>
    <cellStyle name="Normal 7 4 2 3 3 2 3" xfId="21794"/>
    <cellStyle name="Normal 7 4 2 3 3 2 4" xfId="36837"/>
    <cellStyle name="Normal 7 4 2 3 3 3" xfId="10522"/>
    <cellStyle name="Normal 7 4 2 3 3 3 2" xfId="25566"/>
    <cellStyle name="Normal 7 4 2 3 3 3 3" xfId="40609"/>
    <cellStyle name="Normal 7 4 2 3 3 4" xfId="18045"/>
    <cellStyle name="Normal 7 4 2 3 3 5" xfId="33088"/>
    <cellStyle name="Normal 7 4 2 3 4" xfId="4883"/>
    <cellStyle name="Normal 7 4 2 3 4 2" xfId="12406"/>
    <cellStyle name="Normal 7 4 2 3 4 2 2" xfId="27450"/>
    <cellStyle name="Normal 7 4 2 3 4 2 3" xfId="42493"/>
    <cellStyle name="Normal 7 4 2 3 4 3" xfId="19929"/>
    <cellStyle name="Normal 7 4 2 3 4 4" xfId="34972"/>
    <cellStyle name="Normal 7 4 2 3 5" xfId="8657"/>
    <cellStyle name="Normal 7 4 2 3 5 2" xfId="23701"/>
    <cellStyle name="Normal 7 4 2 3 5 3" xfId="38744"/>
    <cellStyle name="Normal 7 4 2 3 6" xfId="16180"/>
    <cellStyle name="Normal 7 4 2 3 7" xfId="31223"/>
    <cellStyle name="Normal 7 4 2 4" xfId="1562"/>
    <cellStyle name="Normal 7 4 2 4 2" xfId="3433"/>
    <cellStyle name="Normal 7 4 2 4 2 2" xfId="7228"/>
    <cellStyle name="Normal 7 4 2 4 2 2 2" xfId="14751"/>
    <cellStyle name="Normal 7 4 2 4 2 2 2 2" xfId="29795"/>
    <cellStyle name="Normal 7 4 2 4 2 2 2 3" xfId="44838"/>
    <cellStyle name="Normal 7 4 2 4 2 2 3" xfId="22274"/>
    <cellStyle name="Normal 7 4 2 4 2 2 4" xfId="37317"/>
    <cellStyle name="Normal 7 4 2 4 2 3" xfId="11002"/>
    <cellStyle name="Normal 7 4 2 4 2 3 2" xfId="26046"/>
    <cellStyle name="Normal 7 4 2 4 2 3 3" xfId="41089"/>
    <cellStyle name="Normal 7 4 2 4 2 4" xfId="18525"/>
    <cellStyle name="Normal 7 4 2 4 2 5" xfId="33568"/>
    <cellStyle name="Normal 7 4 2 4 3" xfId="5363"/>
    <cellStyle name="Normal 7 4 2 4 3 2" xfId="12886"/>
    <cellStyle name="Normal 7 4 2 4 3 2 2" xfId="27930"/>
    <cellStyle name="Normal 7 4 2 4 3 2 3" xfId="42973"/>
    <cellStyle name="Normal 7 4 2 4 3 3" xfId="20409"/>
    <cellStyle name="Normal 7 4 2 4 3 4" xfId="35452"/>
    <cellStyle name="Normal 7 4 2 4 4" xfId="9137"/>
    <cellStyle name="Normal 7 4 2 4 4 2" xfId="24181"/>
    <cellStyle name="Normal 7 4 2 4 4 3" xfId="39224"/>
    <cellStyle name="Normal 7 4 2 4 5" xfId="16660"/>
    <cellStyle name="Normal 7 4 2 4 6" xfId="31703"/>
    <cellStyle name="Normal 7 4 2 5" xfId="2500"/>
    <cellStyle name="Normal 7 4 2 5 2" xfId="6296"/>
    <cellStyle name="Normal 7 4 2 5 2 2" xfId="13819"/>
    <cellStyle name="Normal 7 4 2 5 2 2 2" xfId="28863"/>
    <cellStyle name="Normal 7 4 2 5 2 2 3" xfId="43906"/>
    <cellStyle name="Normal 7 4 2 5 2 3" xfId="21342"/>
    <cellStyle name="Normal 7 4 2 5 2 4" xfId="36385"/>
    <cellStyle name="Normal 7 4 2 5 3" xfId="10070"/>
    <cellStyle name="Normal 7 4 2 5 3 2" xfId="25114"/>
    <cellStyle name="Normal 7 4 2 5 3 3" xfId="40157"/>
    <cellStyle name="Normal 7 4 2 5 4" xfId="17593"/>
    <cellStyle name="Normal 7 4 2 5 5" xfId="32636"/>
    <cellStyle name="Normal 7 4 2 6" xfId="4428"/>
    <cellStyle name="Normal 7 4 2 6 2" xfId="11952"/>
    <cellStyle name="Normal 7 4 2 6 2 2" xfId="26996"/>
    <cellStyle name="Normal 7 4 2 6 2 3" xfId="42039"/>
    <cellStyle name="Normal 7 4 2 6 3" xfId="19475"/>
    <cellStyle name="Normal 7 4 2 6 4" xfId="34518"/>
    <cellStyle name="Normal 7 4 2 7" xfId="8191"/>
    <cellStyle name="Normal 7 4 2 7 2" xfId="23235"/>
    <cellStyle name="Normal 7 4 2 7 3" xfId="38278"/>
    <cellStyle name="Normal 7 4 2 8" xfId="15714"/>
    <cellStyle name="Normal 7 4 2 9" xfId="30757"/>
    <cellStyle name="Normal 7 4 3" xfId="539"/>
    <cellStyle name="Normal 7 4 3 2" xfId="540"/>
    <cellStyle name="Normal 7 4 3 2 2" xfId="1058"/>
    <cellStyle name="Normal 7 4 3 2 2 2" xfId="2017"/>
    <cellStyle name="Normal 7 4 3 2 2 2 2" xfId="3888"/>
    <cellStyle name="Normal 7 4 3 2 2 2 2 2" xfId="7683"/>
    <cellStyle name="Normal 7 4 3 2 2 2 2 2 2" xfId="15206"/>
    <cellStyle name="Normal 7 4 3 2 2 2 2 2 2 2" xfId="30250"/>
    <cellStyle name="Normal 7 4 3 2 2 2 2 2 2 3" xfId="45293"/>
    <cellStyle name="Normal 7 4 3 2 2 2 2 2 3" xfId="22729"/>
    <cellStyle name="Normal 7 4 3 2 2 2 2 2 4" xfId="37772"/>
    <cellStyle name="Normal 7 4 3 2 2 2 2 3" xfId="11457"/>
    <cellStyle name="Normal 7 4 3 2 2 2 2 3 2" xfId="26501"/>
    <cellStyle name="Normal 7 4 3 2 2 2 2 3 3" xfId="41544"/>
    <cellStyle name="Normal 7 4 3 2 2 2 2 4" xfId="18980"/>
    <cellStyle name="Normal 7 4 3 2 2 2 2 5" xfId="34023"/>
    <cellStyle name="Normal 7 4 3 2 2 2 3" xfId="5818"/>
    <cellStyle name="Normal 7 4 3 2 2 2 3 2" xfId="13341"/>
    <cellStyle name="Normal 7 4 3 2 2 2 3 2 2" xfId="28385"/>
    <cellStyle name="Normal 7 4 3 2 2 2 3 2 3" xfId="43428"/>
    <cellStyle name="Normal 7 4 3 2 2 2 3 3" xfId="20864"/>
    <cellStyle name="Normal 7 4 3 2 2 2 3 4" xfId="35907"/>
    <cellStyle name="Normal 7 4 3 2 2 2 4" xfId="9592"/>
    <cellStyle name="Normal 7 4 3 2 2 2 4 2" xfId="24636"/>
    <cellStyle name="Normal 7 4 3 2 2 2 4 3" xfId="39679"/>
    <cellStyle name="Normal 7 4 3 2 2 2 5" xfId="17115"/>
    <cellStyle name="Normal 7 4 3 2 2 2 6" xfId="32158"/>
    <cellStyle name="Normal 7 4 3 2 2 3" xfId="2956"/>
    <cellStyle name="Normal 7 4 3 2 2 3 2" xfId="6751"/>
    <cellStyle name="Normal 7 4 3 2 2 3 2 2" xfId="14274"/>
    <cellStyle name="Normal 7 4 3 2 2 3 2 2 2" xfId="29318"/>
    <cellStyle name="Normal 7 4 3 2 2 3 2 2 3" xfId="44361"/>
    <cellStyle name="Normal 7 4 3 2 2 3 2 3" xfId="21797"/>
    <cellStyle name="Normal 7 4 3 2 2 3 2 4" xfId="36840"/>
    <cellStyle name="Normal 7 4 3 2 2 3 3" xfId="10525"/>
    <cellStyle name="Normal 7 4 3 2 2 3 3 2" xfId="25569"/>
    <cellStyle name="Normal 7 4 3 2 2 3 3 3" xfId="40612"/>
    <cellStyle name="Normal 7 4 3 2 2 3 4" xfId="18048"/>
    <cellStyle name="Normal 7 4 3 2 2 3 5" xfId="33091"/>
    <cellStyle name="Normal 7 4 3 2 2 4" xfId="4886"/>
    <cellStyle name="Normal 7 4 3 2 2 4 2" xfId="12409"/>
    <cellStyle name="Normal 7 4 3 2 2 4 2 2" xfId="27453"/>
    <cellStyle name="Normal 7 4 3 2 2 4 2 3" xfId="42496"/>
    <cellStyle name="Normal 7 4 3 2 2 4 3" xfId="19932"/>
    <cellStyle name="Normal 7 4 3 2 2 4 4" xfId="34975"/>
    <cellStyle name="Normal 7 4 3 2 2 5" xfId="8660"/>
    <cellStyle name="Normal 7 4 3 2 2 5 2" xfId="23704"/>
    <cellStyle name="Normal 7 4 3 2 2 5 3" xfId="38747"/>
    <cellStyle name="Normal 7 4 3 2 2 6" xfId="16183"/>
    <cellStyle name="Normal 7 4 3 2 2 7" xfId="31226"/>
    <cellStyle name="Normal 7 4 3 2 3" xfId="1565"/>
    <cellStyle name="Normal 7 4 3 2 3 2" xfId="3436"/>
    <cellStyle name="Normal 7 4 3 2 3 2 2" xfId="7231"/>
    <cellStyle name="Normal 7 4 3 2 3 2 2 2" xfId="14754"/>
    <cellStyle name="Normal 7 4 3 2 3 2 2 2 2" xfId="29798"/>
    <cellStyle name="Normal 7 4 3 2 3 2 2 2 3" xfId="44841"/>
    <cellStyle name="Normal 7 4 3 2 3 2 2 3" xfId="22277"/>
    <cellStyle name="Normal 7 4 3 2 3 2 2 4" xfId="37320"/>
    <cellStyle name="Normal 7 4 3 2 3 2 3" xfId="11005"/>
    <cellStyle name="Normal 7 4 3 2 3 2 3 2" xfId="26049"/>
    <cellStyle name="Normal 7 4 3 2 3 2 3 3" xfId="41092"/>
    <cellStyle name="Normal 7 4 3 2 3 2 4" xfId="18528"/>
    <cellStyle name="Normal 7 4 3 2 3 2 5" xfId="33571"/>
    <cellStyle name="Normal 7 4 3 2 3 3" xfId="5366"/>
    <cellStyle name="Normal 7 4 3 2 3 3 2" xfId="12889"/>
    <cellStyle name="Normal 7 4 3 2 3 3 2 2" xfId="27933"/>
    <cellStyle name="Normal 7 4 3 2 3 3 2 3" xfId="42976"/>
    <cellStyle name="Normal 7 4 3 2 3 3 3" xfId="20412"/>
    <cellStyle name="Normal 7 4 3 2 3 3 4" xfId="35455"/>
    <cellStyle name="Normal 7 4 3 2 3 4" xfId="9140"/>
    <cellStyle name="Normal 7 4 3 2 3 4 2" xfId="24184"/>
    <cellStyle name="Normal 7 4 3 2 3 4 3" xfId="39227"/>
    <cellStyle name="Normal 7 4 3 2 3 5" xfId="16663"/>
    <cellStyle name="Normal 7 4 3 2 3 6" xfId="31706"/>
    <cellStyle name="Normal 7 4 3 2 4" xfId="2503"/>
    <cellStyle name="Normal 7 4 3 2 4 2" xfId="6299"/>
    <cellStyle name="Normal 7 4 3 2 4 2 2" xfId="13822"/>
    <cellStyle name="Normal 7 4 3 2 4 2 2 2" xfId="28866"/>
    <cellStyle name="Normal 7 4 3 2 4 2 2 3" xfId="43909"/>
    <cellStyle name="Normal 7 4 3 2 4 2 3" xfId="21345"/>
    <cellStyle name="Normal 7 4 3 2 4 2 4" xfId="36388"/>
    <cellStyle name="Normal 7 4 3 2 4 3" xfId="10073"/>
    <cellStyle name="Normal 7 4 3 2 4 3 2" xfId="25117"/>
    <cellStyle name="Normal 7 4 3 2 4 3 3" xfId="40160"/>
    <cellStyle name="Normal 7 4 3 2 4 4" xfId="17596"/>
    <cellStyle name="Normal 7 4 3 2 4 5" xfId="32639"/>
    <cellStyle name="Normal 7 4 3 2 5" xfId="4431"/>
    <cellStyle name="Normal 7 4 3 2 5 2" xfId="11955"/>
    <cellStyle name="Normal 7 4 3 2 5 2 2" xfId="26999"/>
    <cellStyle name="Normal 7 4 3 2 5 2 3" xfId="42042"/>
    <cellStyle name="Normal 7 4 3 2 5 3" xfId="19478"/>
    <cellStyle name="Normal 7 4 3 2 5 4" xfId="34521"/>
    <cellStyle name="Normal 7 4 3 2 6" xfId="8194"/>
    <cellStyle name="Normal 7 4 3 2 6 2" xfId="23238"/>
    <cellStyle name="Normal 7 4 3 2 6 3" xfId="38281"/>
    <cellStyle name="Normal 7 4 3 2 7" xfId="15717"/>
    <cellStyle name="Normal 7 4 3 2 8" xfId="30760"/>
    <cellStyle name="Normal 7 4 3 3" xfId="1057"/>
    <cellStyle name="Normal 7 4 3 3 2" xfId="2016"/>
    <cellStyle name="Normal 7 4 3 3 2 2" xfId="3887"/>
    <cellStyle name="Normal 7 4 3 3 2 2 2" xfId="7682"/>
    <cellStyle name="Normal 7 4 3 3 2 2 2 2" xfId="15205"/>
    <cellStyle name="Normal 7 4 3 3 2 2 2 2 2" xfId="30249"/>
    <cellStyle name="Normal 7 4 3 3 2 2 2 2 3" xfId="45292"/>
    <cellStyle name="Normal 7 4 3 3 2 2 2 3" xfId="22728"/>
    <cellStyle name="Normal 7 4 3 3 2 2 2 4" xfId="37771"/>
    <cellStyle name="Normal 7 4 3 3 2 2 3" xfId="11456"/>
    <cellStyle name="Normal 7 4 3 3 2 2 3 2" xfId="26500"/>
    <cellStyle name="Normal 7 4 3 3 2 2 3 3" xfId="41543"/>
    <cellStyle name="Normal 7 4 3 3 2 2 4" xfId="18979"/>
    <cellStyle name="Normal 7 4 3 3 2 2 5" xfId="34022"/>
    <cellStyle name="Normal 7 4 3 3 2 3" xfId="5817"/>
    <cellStyle name="Normal 7 4 3 3 2 3 2" xfId="13340"/>
    <cellStyle name="Normal 7 4 3 3 2 3 2 2" xfId="28384"/>
    <cellStyle name="Normal 7 4 3 3 2 3 2 3" xfId="43427"/>
    <cellStyle name="Normal 7 4 3 3 2 3 3" xfId="20863"/>
    <cellStyle name="Normal 7 4 3 3 2 3 4" xfId="35906"/>
    <cellStyle name="Normal 7 4 3 3 2 4" xfId="9591"/>
    <cellStyle name="Normal 7 4 3 3 2 4 2" xfId="24635"/>
    <cellStyle name="Normal 7 4 3 3 2 4 3" xfId="39678"/>
    <cellStyle name="Normal 7 4 3 3 2 5" xfId="17114"/>
    <cellStyle name="Normal 7 4 3 3 2 6" xfId="32157"/>
    <cellStyle name="Normal 7 4 3 3 3" xfId="2955"/>
    <cellStyle name="Normal 7 4 3 3 3 2" xfId="6750"/>
    <cellStyle name="Normal 7 4 3 3 3 2 2" xfId="14273"/>
    <cellStyle name="Normal 7 4 3 3 3 2 2 2" xfId="29317"/>
    <cellStyle name="Normal 7 4 3 3 3 2 2 3" xfId="44360"/>
    <cellStyle name="Normal 7 4 3 3 3 2 3" xfId="21796"/>
    <cellStyle name="Normal 7 4 3 3 3 2 4" xfId="36839"/>
    <cellStyle name="Normal 7 4 3 3 3 3" xfId="10524"/>
    <cellStyle name="Normal 7 4 3 3 3 3 2" xfId="25568"/>
    <cellStyle name="Normal 7 4 3 3 3 3 3" xfId="40611"/>
    <cellStyle name="Normal 7 4 3 3 3 4" xfId="18047"/>
    <cellStyle name="Normal 7 4 3 3 3 5" xfId="33090"/>
    <cellStyle name="Normal 7 4 3 3 4" xfId="4885"/>
    <cellStyle name="Normal 7 4 3 3 4 2" xfId="12408"/>
    <cellStyle name="Normal 7 4 3 3 4 2 2" xfId="27452"/>
    <cellStyle name="Normal 7 4 3 3 4 2 3" xfId="42495"/>
    <cellStyle name="Normal 7 4 3 3 4 3" xfId="19931"/>
    <cellStyle name="Normal 7 4 3 3 4 4" xfId="34974"/>
    <cellStyle name="Normal 7 4 3 3 5" xfId="8659"/>
    <cellStyle name="Normal 7 4 3 3 5 2" xfId="23703"/>
    <cellStyle name="Normal 7 4 3 3 5 3" xfId="38746"/>
    <cellStyle name="Normal 7 4 3 3 6" xfId="16182"/>
    <cellStyle name="Normal 7 4 3 3 7" xfId="31225"/>
    <cellStyle name="Normal 7 4 3 4" xfId="1564"/>
    <cellStyle name="Normal 7 4 3 4 2" xfId="3435"/>
    <cellStyle name="Normal 7 4 3 4 2 2" xfId="7230"/>
    <cellStyle name="Normal 7 4 3 4 2 2 2" xfId="14753"/>
    <cellStyle name="Normal 7 4 3 4 2 2 2 2" xfId="29797"/>
    <cellStyle name="Normal 7 4 3 4 2 2 2 3" xfId="44840"/>
    <cellStyle name="Normal 7 4 3 4 2 2 3" xfId="22276"/>
    <cellStyle name="Normal 7 4 3 4 2 2 4" xfId="37319"/>
    <cellStyle name="Normal 7 4 3 4 2 3" xfId="11004"/>
    <cellStyle name="Normal 7 4 3 4 2 3 2" xfId="26048"/>
    <cellStyle name="Normal 7 4 3 4 2 3 3" xfId="41091"/>
    <cellStyle name="Normal 7 4 3 4 2 4" xfId="18527"/>
    <cellStyle name="Normal 7 4 3 4 2 5" xfId="33570"/>
    <cellStyle name="Normal 7 4 3 4 3" xfId="5365"/>
    <cellStyle name="Normal 7 4 3 4 3 2" xfId="12888"/>
    <cellStyle name="Normal 7 4 3 4 3 2 2" xfId="27932"/>
    <cellStyle name="Normal 7 4 3 4 3 2 3" xfId="42975"/>
    <cellStyle name="Normal 7 4 3 4 3 3" xfId="20411"/>
    <cellStyle name="Normal 7 4 3 4 3 4" xfId="35454"/>
    <cellStyle name="Normal 7 4 3 4 4" xfId="9139"/>
    <cellStyle name="Normal 7 4 3 4 4 2" xfId="24183"/>
    <cellStyle name="Normal 7 4 3 4 4 3" xfId="39226"/>
    <cellStyle name="Normal 7 4 3 4 5" xfId="16662"/>
    <cellStyle name="Normal 7 4 3 4 6" xfId="31705"/>
    <cellStyle name="Normal 7 4 3 5" xfId="2502"/>
    <cellStyle name="Normal 7 4 3 5 2" xfId="6298"/>
    <cellStyle name="Normal 7 4 3 5 2 2" xfId="13821"/>
    <cellStyle name="Normal 7 4 3 5 2 2 2" xfId="28865"/>
    <cellStyle name="Normal 7 4 3 5 2 2 3" xfId="43908"/>
    <cellStyle name="Normal 7 4 3 5 2 3" xfId="21344"/>
    <cellStyle name="Normal 7 4 3 5 2 4" xfId="36387"/>
    <cellStyle name="Normal 7 4 3 5 3" xfId="10072"/>
    <cellStyle name="Normal 7 4 3 5 3 2" xfId="25116"/>
    <cellStyle name="Normal 7 4 3 5 3 3" xfId="40159"/>
    <cellStyle name="Normal 7 4 3 5 4" xfId="17595"/>
    <cellStyle name="Normal 7 4 3 5 5" xfId="32638"/>
    <cellStyle name="Normal 7 4 3 6" xfId="4430"/>
    <cellStyle name="Normal 7 4 3 6 2" xfId="11954"/>
    <cellStyle name="Normal 7 4 3 6 2 2" xfId="26998"/>
    <cellStyle name="Normal 7 4 3 6 2 3" xfId="42041"/>
    <cellStyle name="Normal 7 4 3 6 3" xfId="19477"/>
    <cellStyle name="Normal 7 4 3 6 4" xfId="34520"/>
    <cellStyle name="Normal 7 4 3 7" xfId="8193"/>
    <cellStyle name="Normal 7 4 3 7 2" xfId="23237"/>
    <cellStyle name="Normal 7 4 3 7 3" xfId="38280"/>
    <cellStyle name="Normal 7 4 3 8" xfId="15716"/>
    <cellStyle name="Normal 7 4 3 9" xfId="30759"/>
    <cellStyle name="Normal 7 4 4" xfId="541"/>
    <cellStyle name="Normal 7 4 4 2" xfId="1059"/>
    <cellStyle name="Normal 7 4 4 2 2" xfId="2018"/>
    <cellStyle name="Normal 7 4 4 2 2 2" xfId="3889"/>
    <cellStyle name="Normal 7 4 4 2 2 2 2" xfId="7684"/>
    <cellStyle name="Normal 7 4 4 2 2 2 2 2" xfId="15207"/>
    <cellStyle name="Normal 7 4 4 2 2 2 2 2 2" xfId="30251"/>
    <cellStyle name="Normal 7 4 4 2 2 2 2 2 3" xfId="45294"/>
    <cellStyle name="Normal 7 4 4 2 2 2 2 3" xfId="22730"/>
    <cellStyle name="Normal 7 4 4 2 2 2 2 4" xfId="37773"/>
    <cellStyle name="Normal 7 4 4 2 2 2 3" xfId="11458"/>
    <cellStyle name="Normal 7 4 4 2 2 2 3 2" xfId="26502"/>
    <cellStyle name="Normal 7 4 4 2 2 2 3 3" xfId="41545"/>
    <cellStyle name="Normal 7 4 4 2 2 2 4" xfId="18981"/>
    <cellStyle name="Normal 7 4 4 2 2 2 5" xfId="34024"/>
    <cellStyle name="Normal 7 4 4 2 2 3" xfId="5819"/>
    <cellStyle name="Normal 7 4 4 2 2 3 2" xfId="13342"/>
    <cellStyle name="Normal 7 4 4 2 2 3 2 2" xfId="28386"/>
    <cellStyle name="Normal 7 4 4 2 2 3 2 3" xfId="43429"/>
    <cellStyle name="Normal 7 4 4 2 2 3 3" xfId="20865"/>
    <cellStyle name="Normal 7 4 4 2 2 3 4" xfId="35908"/>
    <cellStyle name="Normal 7 4 4 2 2 4" xfId="9593"/>
    <cellStyle name="Normal 7 4 4 2 2 4 2" xfId="24637"/>
    <cellStyle name="Normal 7 4 4 2 2 4 3" xfId="39680"/>
    <cellStyle name="Normal 7 4 4 2 2 5" xfId="17116"/>
    <cellStyle name="Normal 7 4 4 2 2 6" xfId="32159"/>
    <cellStyle name="Normal 7 4 4 2 3" xfId="2957"/>
    <cellStyle name="Normal 7 4 4 2 3 2" xfId="6752"/>
    <cellStyle name="Normal 7 4 4 2 3 2 2" xfId="14275"/>
    <cellStyle name="Normal 7 4 4 2 3 2 2 2" xfId="29319"/>
    <cellStyle name="Normal 7 4 4 2 3 2 2 3" xfId="44362"/>
    <cellStyle name="Normal 7 4 4 2 3 2 3" xfId="21798"/>
    <cellStyle name="Normal 7 4 4 2 3 2 4" xfId="36841"/>
    <cellStyle name="Normal 7 4 4 2 3 3" xfId="10526"/>
    <cellStyle name="Normal 7 4 4 2 3 3 2" xfId="25570"/>
    <cellStyle name="Normal 7 4 4 2 3 3 3" xfId="40613"/>
    <cellStyle name="Normal 7 4 4 2 3 4" xfId="18049"/>
    <cellStyle name="Normal 7 4 4 2 3 5" xfId="33092"/>
    <cellStyle name="Normal 7 4 4 2 4" xfId="4887"/>
    <cellStyle name="Normal 7 4 4 2 4 2" xfId="12410"/>
    <cellStyle name="Normal 7 4 4 2 4 2 2" xfId="27454"/>
    <cellStyle name="Normal 7 4 4 2 4 2 3" xfId="42497"/>
    <cellStyle name="Normal 7 4 4 2 4 3" xfId="19933"/>
    <cellStyle name="Normal 7 4 4 2 4 4" xfId="34976"/>
    <cellStyle name="Normal 7 4 4 2 5" xfId="8661"/>
    <cellStyle name="Normal 7 4 4 2 5 2" xfId="23705"/>
    <cellStyle name="Normal 7 4 4 2 5 3" xfId="38748"/>
    <cellStyle name="Normal 7 4 4 2 6" xfId="16184"/>
    <cellStyle name="Normal 7 4 4 2 7" xfId="31227"/>
    <cellStyle name="Normal 7 4 4 3" xfId="1566"/>
    <cellStyle name="Normal 7 4 4 3 2" xfId="3437"/>
    <cellStyle name="Normal 7 4 4 3 2 2" xfId="7232"/>
    <cellStyle name="Normal 7 4 4 3 2 2 2" xfId="14755"/>
    <cellStyle name="Normal 7 4 4 3 2 2 2 2" xfId="29799"/>
    <cellStyle name="Normal 7 4 4 3 2 2 2 3" xfId="44842"/>
    <cellStyle name="Normal 7 4 4 3 2 2 3" xfId="22278"/>
    <cellStyle name="Normal 7 4 4 3 2 2 4" xfId="37321"/>
    <cellStyle name="Normal 7 4 4 3 2 3" xfId="11006"/>
    <cellStyle name="Normal 7 4 4 3 2 3 2" xfId="26050"/>
    <cellStyle name="Normal 7 4 4 3 2 3 3" xfId="41093"/>
    <cellStyle name="Normal 7 4 4 3 2 4" xfId="18529"/>
    <cellStyle name="Normal 7 4 4 3 2 5" xfId="33572"/>
    <cellStyle name="Normal 7 4 4 3 3" xfId="5367"/>
    <cellStyle name="Normal 7 4 4 3 3 2" xfId="12890"/>
    <cellStyle name="Normal 7 4 4 3 3 2 2" xfId="27934"/>
    <cellStyle name="Normal 7 4 4 3 3 2 3" xfId="42977"/>
    <cellStyle name="Normal 7 4 4 3 3 3" xfId="20413"/>
    <cellStyle name="Normal 7 4 4 3 3 4" xfId="35456"/>
    <cellStyle name="Normal 7 4 4 3 4" xfId="9141"/>
    <cellStyle name="Normal 7 4 4 3 4 2" xfId="24185"/>
    <cellStyle name="Normal 7 4 4 3 4 3" xfId="39228"/>
    <cellStyle name="Normal 7 4 4 3 5" xfId="16664"/>
    <cellStyle name="Normal 7 4 4 3 6" xfId="31707"/>
    <cellStyle name="Normal 7 4 4 4" xfId="2504"/>
    <cellStyle name="Normal 7 4 4 4 2" xfId="6300"/>
    <cellStyle name="Normal 7 4 4 4 2 2" xfId="13823"/>
    <cellStyle name="Normal 7 4 4 4 2 2 2" xfId="28867"/>
    <cellStyle name="Normal 7 4 4 4 2 2 3" xfId="43910"/>
    <cellStyle name="Normal 7 4 4 4 2 3" xfId="21346"/>
    <cellStyle name="Normal 7 4 4 4 2 4" xfId="36389"/>
    <cellStyle name="Normal 7 4 4 4 3" xfId="10074"/>
    <cellStyle name="Normal 7 4 4 4 3 2" xfId="25118"/>
    <cellStyle name="Normal 7 4 4 4 3 3" xfId="40161"/>
    <cellStyle name="Normal 7 4 4 4 4" xfId="17597"/>
    <cellStyle name="Normal 7 4 4 4 5" xfId="32640"/>
    <cellStyle name="Normal 7 4 4 5" xfId="4432"/>
    <cellStyle name="Normal 7 4 4 5 2" xfId="11956"/>
    <cellStyle name="Normal 7 4 4 5 2 2" xfId="27000"/>
    <cellStyle name="Normal 7 4 4 5 2 3" xfId="42043"/>
    <cellStyle name="Normal 7 4 4 5 3" xfId="19479"/>
    <cellStyle name="Normal 7 4 4 5 4" xfId="34522"/>
    <cellStyle name="Normal 7 4 4 6" xfId="8195"/>
    <cellStyle name="Normal 7 4 4 6 2" xfId="23239"/>
    <cellStyle name="Normal 7 4 4 6 3" xfId="38282"/>
    <cellStyle name="Normal 7 4 4 7" xfId="15718"/>
    <cellStyle name="Normal 7 4 4 8" xfId="30761"/>
    <cellStyle name="Normal 7 4 5" xfId="1054"/>
    <cellStyle name="Normal 7 4 5 2" xfId="2013"/>
    <cellStyle name="Normal 7 4 5 2 2" xfId="3884"/>
    <cellStyle name="Normal 7 4 5 2 2 2" xfId="7679"/>
    <cellStyle name="Normal 7 4 5 2 2 2 2" xfId="15202"/>
    <cellStyle name="Normal 7 4 5 2 2 2 2 2" xfId="30246"/>
    <cellStyle name="Normal 7 4 5 2 2 2 2 3" xfId="45289"/>
    <cellStyle name="Normal 7 4 5 2 2 2 3" xfId="22725"/>
    <cellStyle name="Normal 7 4 5 2 2 2 4" xfId="37768"/>
    <cellStyle name="Normal 7 4 5 2 2 3" xfId="11453"/>
    <cellStyle name="Normal 7 4 5 2 2 3 2" xfId="26497"/>
    <cellStyle name="Normal 7 4 5 2 2 3 3" xfId="41540"/>
    <cellStyle name="Normal 7 4 5 2 2 4" xfId="18976"/>
    <cellStyle name="Normal 7 4 5 2 2 5" xfId="34019"/>
    <cellStyle name="Normal 7 4 5 2 3" xfId="5814"/>
    <cellStyle name="Normal 7 4 5 2 3 2" xfId="13337"/>
    <cellStyle name="Normal 7 4 5 2 3 2 2" xfId="28381"/>
    <cellStyle name="Normal 7 4 5 2 3 2 3" xfId="43424"/>
    <cellStyle name="Normal 7 4 5 2 3 3" xfId="20860"/>
    <cellStyle name="Normal 7 4 5 2 3 4" xfId="35903"/>
    <cellStyle name="Normal 7 4 5 2 4" xfId="9588"/>
    <cellStyle name="Normal 7 4 5 2 4 2" xfId="24632"/>
    <cellStyle name="Normal 7 4 5 2 4 3" xfId="39675"/>
    <cellStyle name="Normal 7 4 5 2 5" xfId="17111"/>
    <cellStyle name="Normal 7 4 5 2 6" xfId="32154"/>
    <cellStyle name="Normal 7 4 5 3" xfId="2952"/>
    <cellStyle name="Normal 7 4 5 3 2" xfId="6747"/>
    <cellStyle name="Normal 7 4 5 3 2 2" xfId="14270"/>
    <cellStyle name="Normal 7 4 5 3 2 2 2" xfId="29314"/>
    <cellStyle name="Normal 7 4 5 3 2 2 3" xfId="44357"/>
    <cellStyle name="Normal 7 4 5 3 2 3" xfId="21793"/>
    <cellStyle name="Normal 7 4 5 3 2 4" xfId="36836"/>
    <cellStyle name="Normal 7 4 5 3 3" xfId="10521"/>
    <cellStyle name="Normal 7 4 5 3 3 2" xfId="25565"/>
    <cellStyle name="Normal 7 4 5 3 3 3" xfId="40608"/>
    <cellStyle name="Normal 7 4 5 3 4" xfId="18044"/>
    <cellStyle name="Normal 7 4 5 3 5" xfId="33087"/>
    <cellStyle name="Normal 7 4 5 4" xfId="4882"/>
    <cellStyle name="Normal 7 4 5 4 2" xfId="12405"/>
    <cellStyle name="Normal 7 4 5 4 2 2" xfId="27449"/>
    <cellStyle name="Normal 7 4 5 4 2 3" xfId="42492"/>
    <cellStyle name="Normal 7 4 5 4 3" xfId="19928"/>
    <cellStyle name="Normal 7 4 5 4 4" xfId="34971"/>
    <cellStyle name="Normal 7 4 5 5" xfId="8656"/>
    <cellStyle name="Normal 7 4 5 5 2" xfId="23700"/>
    <cellStyle name="Normal 7 4 5 5 3" xfId="38743"/>
    <cellStyle name="Normal 7 4 5 6" xfId="16179"/>
    <cellStyle name="Normal 7 4 5 7" xfId="31222"/>
    <cellStyle name="Normal 7 4 6" xfId="1561"/>
    <cellStyle name="Normal 7 4 6 2" xfId="3432"/>
    <cellStyle name="Normal 7 4 6 2 2" xfId="7227"/>
    <cellStyle name="Normal 7 4 6 2 2 2" xfId="14750"/>
    <cellStyle name="Normal 7 4 6 2 2 2 2" xfId="29794"/>
    <cellStyle name="Normal 7 4 6 2 2 2 3" xfId="44837"/>
    <cellStyle name="Normal 7 4 6 2 2 3" xfId="22273"/>
    <cellStyle name="Normal 7 4 6 2 2 4" xfId="37316"/>
    <cellStyle name="Normal 7 4 6 2 3" xfId="11001"/>
    <cellStyle name="Normal 7 4 6 2 3 2" xfId="26045"/>
    <cellStyle name="Normal 7 4 6 2 3 3" xfId="41088"/>
    <cellStyle name="Normal 7 4 6 2 4" xfId="18524"/>
    <cellStyle name="Normal 7 4 6 2 5" xfId="33567"/>
    <cellStyle name="Normal 7 4 6 3" xfId="5362"/>
    <cellStyle name="Normal 7 4 6 3 2" xfId="12885"/>
    <cellStyle name="Normal 7 4 6 3 2 2" xfId="27929"/>
    <cellStyle name="Normal 7 4 6 3 2 3" xfId="42972"/>
    <cellStyle name="Normal 7 4 6 3 3" xfId="20408"/>
    <cellStyle name="Normal 7 4 6 3 4" xfId="35451"/>
    <cellStyle name="Normal 7 4 6 4" xfId="9136"/>
    <cellStyle name="Normal 7 4 6 4 2" xfId="24180"/>
    <cellStyle name="Normal 7 4 6 4 3" xfId="39223"/>
    <cellStyle name="Normal 7 4 6 5" xfId="16659"/>
    <cellStyle name="Normal 7 4 6 6" xfId="31702"/>
    <cellStyle name="Normal 7 4 7" xfId="2499"/>
    <cellStyle name="Normal 7 4 7 2" xfId="6295"/>
    <cellStyle name="Normal 7 4 7 2 2" xfId="13818"/>
    <cellStyle name="Normal 7 4 7 2 2 2" xfId="28862"/>
    <cellStyle name="Normal 7 4 7 2 2 3" xfId="43905"/>
    <cellStyle name="Normal 7 4 7 2 3" xfId="21341"/>
    <cellStyle name="Normal 7 4 7 2 4" xfId="36384"/>
    <cellStyle name="Normal 7 4 7 3" xfId="10069"/>
    <cellStyle name="Normal 7 4 7 3 2" xfId="25113"/>
    <cellStyle name="Normal 7 4 7 3 3" xfId="40156"/>
    <cellStyle name="Normal 7 4 7 4" xfId="17592"/>
    <cellStyle name="Normal 7 4 7 5" xfId="32635"/>
    <cellStyle name="Normal 7 4 8" xfId="4427"/>
    <cellStyle name="Normal 7 4 8 2" xfId="11951"/>
    <cellStyle name="Normal 7 4 8 2 2" xfId="26995"/>
    <cellStyle name="Normal 7 4 8 2 3" xfId="42038"/>
    <cellStyle name="Normal 7 4 8 3" xfId="19474"/>
    <cellStyle name="Normal 7 4 8 4" xfId="34517"/>
    <cellStyle name="Normal 7 4 9" xfId="8190"/>
    <cellStyle name="Normal 7 4 9 2" xfId="23234"/>
    <cellStyle name="Normal 7 4 9 3" xfId="38277"/>
    <cellStyle name="Normal 7 5" xfId="542"/>
    <cellStyle name="Normal 7 5 2" xfId="543"/>
    <cellStyle name="Normal 7 5 2 2" xfId="1061"/>
    <cellStyle name="Normal 7 5 2 2 2" xfId="2020"/>
    <cellStyle name="Normal 7 5 2 2 2 2" xfId="3891"/>
    <cellStyle name="Normal 7 5 2 2 2 2 2" xfId="7686"/>
    <cellStyle name="Normal 7 5 2 2 2 2 2 2" xfId="15209"/>
    <cellStyle name="Normal 7 5 2 2 2 2 2 2 2" xfId="30253"/>
    <cellStyle name="Normal 7 5 2 2 2 2 2 2 3" xfId="45296"/>
    <cellStyle name="Normal 7 5 2 2 2 2 2 3" xfId="22732"/>
    <cellStyle name="Normal 7 5 2 2 2 2 2 4" xfId="37775"/>
    <cellStyle name="Normal 7 5 2 2 2 2 3" xfId="11460"/>
    <cellStyle name="Normal 7 5 2 2 2 2 3 2" xfId="26504"/>
    <cellStyle name="Normal 7 5 2 2 2 2 3 3" xfId="41547"/>
    <cellStyle name="Normal 7 5 2 2 2 2 4" xfId="18983"/>
    <cellStyle name="Normal 7 5 2 2 2 2 5" xfId="34026"/>
    <cellStyle name="Normal 7 5 2 2 2 3" xfId="5821"/>
    <cellStyle name="Normal 7 5 2 2 2 3 2" xfId="13344"/>
    <cellStyle name="Normal 7 5 2 2 2 3 2 2" xfId="28388"/>
    <cellStyle name="Normal 7 5 2 2 2 3 2 3" xfId="43431"/>
    <cellStyle name="Normal 7 5 2 2 2 3 3" xfId="20867"/>
    <cellStyle name="Normal 7 5 2 2 2 3 4" xfId="35910"/>
    <cellStyle name="Normal 7 5 2 2 2 4" xfId="9595"/>
    <cellStyle name="Normal 7 5 2 2 2 4 2" xfId="24639"/>
    <cellStyle name="Normal 7 5 2 2 2 4 3" xfId="39682"/>
    <cellStyle name="Normal 7 5 2 2 2 5" xfId="17118"/>
    <cellStyle name="Normal 7 5 2 2 2 6" xfId="32161"/>
    <cellStyle name="Normal 7 5 2 2 3" xfId="2959"/>
    <cellStyle name="Normal 7 5 2 2 3 2" xfId="6754"/>
    <cellStyle name="Normal 7 5 2 2 3 2 2" xfId="14277"/>
    <cellStyle name="Normal 7 5 2 2 3 2 2 2" xfId="29321"/>
    <cellStyle name="Normal 7 5 2 2 3 2 2 3" xfId="44364"/>
    <cellStyle name="Normal 7 5 2 2 3 2 3" xfId="21800"/>
    <cellStyle name="Normal 7 5 2 2 3 2 4" xfId="36843"/>
    <cellStyle name="Normal 7 5 2 2 3 3" xfId="10528"/>
    <cellStyle name="Normal 7 5 2 2 3 3 2" xfId="25572"/>
    <cellStyle name="Normal 7 5 2 2 3 3 3" xfId="40615"/>
    <cellStyle name="Normal 7 5 2 2 3 4" xfId="18051"/>
    <cellStyle name="Normal 7 5 2 2 3 5" xfId="33094"/>
    <cellStyle name="Normal 7 5 2 2 4" xfId="4889"/>
    <cellStyle name="Normal 7 5 2 2 4 2" xfId="12412"/>
    <cellStyle name="Normal 7 5 2 2 4 2 2" xfId="27456"/>
    <cellStyle name="Normal 7 5 2 2 4 2 3" xfId="42499"/>
    <cellStyle name="Normal 7 5 2 2 4 3" xfId="19935"/>
    <cellStyle name="Normal 7 5 2 2 4 4" xfId="34978"/>
    <cellStyle name="Normal 7 5 2 2 5" xfId="8663"/>
    <cellStyle name="Normal 7 5 2 2 5 2" xfId="23707"/>
    <cellStyle name="Normal 7 5 2 2 5 3" xfId="38750"/>
    <cellStyle name="Normal 7 5 2 2 6" xfId="16186"/>
    <cellStyle name="Normal 7 5 2 2 7" xfId="31229"/>
    <cellStyle name="Normal 7 5 2 3" xfId="1568"/>
    <cellStyle name="Normal 7 5 2 3 2" xfId="3439"/>
    <cellStyle name="Normal 7 5 2 3 2 2" xfId="7234"/>
    <cellStyle name="Normal 7 5 2 3 2 2 2" xfId="14757"/>
    <cellStyle name="Normal 7 5 2 3 2 2 2 2" xfId="29801"/>
    <cellStyle name="Normal 7 5 2 3 2 2 2 3" xfId="44844"/>
    <cellStyle name="Normal 7 5 2 3 2 2 3" xfId="22280"/>
    <cellStyle name="Normal 7 5 2 3 2 2 4" xfId="37323"/>
    <cellStyle name="Normal 7 5 2 3 2 3" xfId="11008"/>
    <cellStyle name="Normal 7 5 2 3 2 3 2" xfId="26052"/>
    <cellStyle name="Normal 7 5 2 3 2 3 3" xfId="41095"/>
    <cellStyle name="Normal 7 5 2 3 2 4" xfId="18531"/>
    <cellStyle name="Normal 7 5 2 3 2 5" xfId="33574"/>
    <cellStyle name="Normal 7 5 2 3 3" xfId="5369"/>
    <cellStyle name="Normal 7 5 2 3 3 2" xfId="12892"/>
    <cellStyle name="Normal 7 5 2 3 3 2 2" xfId="27936"/>
    <cellStyle name="Normal 7 5 2 3 3 2 3" xfId="42979"/>
    <cellStyle name="Normal 7 5 2 3 3 3" xfId="20415"/>
    <cellStyle name="Normal 7 5 2 3 3 4" xfId="35458"/>
    <cellStyle name="Normal 7 5 2 3 4" xfId="9143"/>
    <cellStyle name="Normal 7 5 2 3 4 2" xfId="24187"/>
    <cellStyle name="Normal 7 5 2 3 4 3" xfId="39230"/>
    <cellStyle name="Normal 7 5 2 3 5" xfId="16666"/>
    <cellStyle name="Normal 7 5 2 3 6" xfId="31709"/>
    <cellStyle name="Normal 7 5 2 4" xfId="2506"/>
    <cellStyle name="Normal 7 5 2 4 2" xfId="6302"/>
    <cellStyle name="Normal 7 5 2 4 2 2" xfId="13825"/>
    <cellStyle name="Normal 7 5 2 4 2 2 2" xfId="28869"/>
    <cellStyle name="Normal 7 5 2 4 2 2 3" xfId="43912"/>
    <cellStyle name="Normal 7 5 2 4 2 3" xfId="21348"/>
    <cellStyle name="Normal 7 5 2 4 2 4" xfId="36391"/>
    <cellStyle name="Normal 7 5 2 4 3" xfId="10076"/>
    <cellStyle name="Normal 7 5 2 4 3 2" xfId="25120"/>
    <cellStyle name="Normal 7 5 2 4 3 3" xfId="40163"/>
    <cellStyle name="Normal 7 5 2 4 4" xfId="17599"/>
    <cellStyle name="Normal 7 5 2 4 5" xfId="32642"/>
    <cellStyle name="Normal 7 5 2 5" xfId="4434"/>
    <cellStyle name="Normal 7 5 2 5 2" xfId="11958"/>
    <cellStyle name="Normal 7 5 2 5 2 2" xfId="27002"/>
    <cellStyle name="Normal 7 5 2 5 2 3" xfId="42045"/>
    <cellStyle name="Normal 7 5 2 5 3" xfId="19481"/>
    <cellStyle name="Normal 7 5 2 5 4" xfId="34524"/>
    <cellStyle name="Normal 7 5 2 6" xfId="8197"/>
    <cellStyle name="Normal 7 5 2 6 2" xfId="23241"/>
    <cellStyle name="Normal 7 5 2 6 3" xfId="38284"/>
    <cellStyle name="Normal 7 5 2 7" xfId="15720"/>
    <cellStyle name="Normal 7 5 2 8" xfId="30763"/>
    <cellStyle name="Normal 7 5 3" xfId="1060"/>
    <cellStyle name="Normal 7 5 3 2" xfId="2019"/>
    <cellStyle name="Normal 7 5 3 2 2" xfId="3890"/>
    <cellStyle name="Normal 7 5 3 2 2 2" xfId="7685"/>
    <cellStyle name="Normal 7 5 3 2 2 2 2" xfId="15208"/>
    <cellStyle name="Normal 7 5 3 2 2 2 2 2" xfId="30252"/>
    <cellStyle name="Normal 7 5 3 2 2 2 2 3" xfId="45295"/>
    <cellStyle name="Normal 7 5 3 2 2 2 3" xfId="22731"/>
    <cellStyle name="Normal 7 5 3 2 2 2 4" xfId="37774"/>
    <cellStyle name="Normal 7 5 3 2 2 3" xfId="11459"/>
    <cellStyle name="Normal 7 5 3 2 2 3 2" xfId="26503"/>
    <cellStyle name="Normal 7 5 3 2 2 3 3" xfId="41546"/>
    <cellStyle name="Normal 7 5 3 2 2 4" xfId="18982"/>
    <cellStyle name="Normal 7 5 3 2 2 5" xfId="34025"/>
    <cellStyle name="Normal 7 5 3 2 3" xfId="5820"/>
    <cellStyle name="Normal 7 5 3 2 3 2" xfId="13343"/>
    <cellStyle name="Normal 7 5 3 2 3 2 2" xfId="28387"/>
    <cellStyle name="Normal 7 5 3 2 3 2 3" xfId="43430"/>
    <cellStyle name="Normal 7 5 3 2 3 3" xfId="20866"/>
    <cellStyle name="Normal 7 5 3 2 3 4" xfId="35909"/>
    <cellStyle name="Normal 7 5 3 2 4" xfId="9594"/>
    <cellStyle name="Normal 7 5 3 2 4 2" xfId="24638"/>
    <cellStyle name="Normal 7 5 3 2 4 3" xfId="39681"/>
    <cellStyle name="Normal 7 5 3 2 5" xfId="17117"/>
    <cellStyle name="Normal 7 5 3 2 6" xfId="32160"/>
    <cellStyle name="Normal 7 5 3 3" xfId="2958"/>
    <cellStyle name="Normal 7 5 3 3 2" xfId="6753"/>
    <cellStyle name="Normal 7 5 3 3 2 2" xfId="14276"/>
    <cellStyle name="Normal 7 5 3 3 2 2 2" xfId="29320"/>
    <cellStyle name="Normal 7 5 3 3 2 2 3" xfId="44363"/>
    <cellStyle name="Normal 7 5 3 3 2 3" xfId="21799"/>
    <cellStyle name="Normal 7 5 3 3 2 4" xfId="36842"/>
    <cellStyle name="Normal 7 5 3 3 3" xfId="10527"/>
    <cellStyle name="Normal 7 5 3 3 3 2" xfId="25571"/>
    <cellStyle name="Normal 7 5 3 3 3 3" xfId="40614"/>
    <cellStyle name="Normal 7 5 3 3 4" xfId="18050"/>
    <cellStyle name="Normal 7 5 3 3 5" xfId="33093"/>
    <cellStyle name="Normal 7 5 3 4" xfId="4888"/>
    <cellStyle name="Normal 7 5 3 4 2" xfId="12411"/>
    <cellStyle name="Normal 7 5 3 4 2 2" xfId="27455"/>
    <cellStyle name="Normal 7 5 3 4 2 3" xfId="42498"/>
    <cellStyle name="Normal 7 5 3 4 3" xfId="19934"/>
    <cellStyle name="Normal 7 5 3 4 4" xfId="34977"/>
    <cellStyle name="Normal 7 5 3 5" xfId="8662"/>
    <cellStyle name="Normal 7 5 3 5 2" xfId="23706"/>
    <cellStyle name="Normal 7 5 3 5 3" xfId="38749"/>
    <cellStyle name="Normal 7 5 3 6" xfId="16185"/>
    <cellStyle name="Normal 7 5 3 7" xfId="31228"/>
    <cellStyle name="Normal 7 5 4" xfId="1567"/>
    <cellStyle name="Normal 7 5 4 2" xfId="3438"/>
    <cellStyle name="Normal 7 5 4 2 2" xfId="7233"/>
    <cellStyle name="Normal 7 5 4 2 2 2" xfId="14756"/>
    <cellStyle name="Normal 7 5 4 2 2 2 2" xfId="29800"/>
    <cellStyle name="Normal 7 5 4 2 2 2 3" xfId="44843"/>
    <cellStyle name="Normal 7 5 4 2 2 3" xfId="22279"/>
    <cellStyle name="Normal 7 5 4 2 2 4" xfId="37322"/>
    <cellStyle name="Normal 7 5 4 2 3" xfId="11007"/>
    <cellStyle name="Normal 7 5 4 2 3 2" xfId="26051"/>
    <cellStyle name="Normal 7 5 4 2 3 3" xfId="41094"/>
    <cellStyle name="Normal 7 5 4 2 4" xfId="18530"/>
    <cellStyle name="Normal 7 5 4 2 5" xfId="33573"/>
    <cellStyle name="Normal 7 5 4 3" xfId="5368"/>
    <cellStyle name="Normal 7 5 4 3 2" xfId="12891"/>
    <cellStyle name="Normal 7 5 4 3 2 2" xfId="27935"/>
    <cellStyle name="Normal 7 5 4 3 2 3" xfId="42978"/>
    <cellStyle name="Normal 7 5 4 3 3" xfId="20414"/>
    <cellStyle name="Normal 7 5 4 3 4" xfId="35457"/>
    <cellStyle name="Normal 7 5 4 4" xfId="9142"/>
    <cellStyle name="Normal 7 5 4 4 2" xfId="24186"/>
    <cellStyle name="Normal 7 5 4 4 3" xfId="39229"/>
    <cellStyle name="Normal 7 5 4 5" xfId="16665"/>
    <cellStyle name="Normal 7 5 4 6" xfId="31708"/>
    <cellStyle name="Normal 7 5 5" xfId="2505"/>
    <cellStyle name="Normal 7 5 5 2" xfId="6301"/>
    <cellStyle name="Normal 7 5 5 2 2" xfId="13824"/>
    <cellStyle name="Normal 7 5 5 2 2 2" xfId="28868"/>
    <cellStyle name="Normal 7 5 5 2 2 3" xfId="43911"/>
    <cellStyle name="Normal 7 5 5 2 3" xfId="21347"/>
    <cellStyle name="Normal 7 5 5 2 4" xfId="36390"/>
    <cellStyle name="Normal 7 5 5 3" xfId="10075"/>
    <cellStyle name="Normal 7 5 5 3 2" xfId="25119"/>
    <cellStyle name="Normal 7 5 5 3 3" xfId="40162"/>
    <cellStyle name="Normal 7 5 5 4" xfId="17598"/>
    <cellStyle name="Normal 7 5 5 5" xfId="32641"/>
    <cellStyle name="Normal 7 5 6" xfId="4433"/>
    <cellStyle name="Normal 7 5 6 2" xfId="11957"/>
    <cellStyle name="Normal 7 5 6 2 2" xfId="27001"/>
    <cellStyle name="Normal 7 5 6 2 3" xfId="42044"/>
    <cellStyle name="Normal 7 5 6 3" xfId="19480"/>
    <cellStyle name="Normal 7 5 6 4" xfId="34523"/>
    <cellStyle name="Normal 7 5 7" xfId="8196"/>
    <cellStyle name="Normal 7 5 7 2" xfId="23240"/>
    <cellStyle name="Normal 7 5 7 3" xfId="38283"/>
    <cellStyle name="Normal 7 5 8" xfId="15719"/>
    <cellStyle name="Normal 7 5 9" xfId="30762"/>
    <cellStyle name="Normal 7 6" xfId="544"/>
    <cellStyle name="Normal 7 6 2" xfId="545"/>
    <cellStyle name="Normal 7 6 2 2" xfId="1063"/>
    <cellStyle name="Normal 7 6 2 2 2" xfId="2022"/>
    <cellStyle name="Normal 7 6 2 2 2 2" xfId="3893"/>
    <cellStyle name="Normal 7 6 2 2 2 2 2" xfId="7688"/>
    <cellStyle name="Normal 7 6 2 2 2 2 2 2" xfId="15211"/>
    <cellStyle name="Normal 7 6 2 2 2 2 2 2 2" xfId="30255"/>
    <cellStyle name="Normal 7 6 2 2 2 2 2 2 3" xfId="45298"/>
    <cellStyle name="Normal 7 6 2 2 2 2 2 3" xfId="22734"/>
    <cellStyle name="Normal 7 6 2 2 2 2 2 4" xfId="37777"/>
    <cellStyle name="Normal 7 6 2 2 2 2 3" xfId="11462"/>
    <cellStyle name="Normal 7 6 2 2 2 2 3 2" xfId="26506"/>
    <cellStyle name="Normal 7 6 2 2 2 2 3 3" xfId="41549"/>
    <cellStyle name="Normal 7 6 2 2 2 2 4" xfId="18985"/>
    <cellStyle name="Normal 7 6 2 2 2 2 5" xfId="34028"/>
    <cellStyle name="Normal 7 6 2 2 2 3" xfId="5823"/>
    <cellStyle name="Normal 7 6 2 2 2 3 2" xfId="13346"/>
    <cellStyle name="Normal 7 6 2 2 2 3 2 2" xfId="28390"/>
    <cellStyle name="Normal 7 6 2 2 2 3 2 3" xfId="43433"/>
    <cellStyle name="Normal 7 6 2 2 2 3 3" xfId="20869"/>
    <cellStyle name="Normal 7 6 2 2 2 3 4" xfId="35912"/>
    <cellStyle name="Normal 7 6 2 2 2 4" xfId="9597"/>
    <cellStyle name="Normal 7 6 2 2 2 4 2" xfId="24641"/>
    <cellStyle name="Normal 7 6 2 2 2 4 3" xfId="39684"/>
    <cellStyle name="Normal 7 6 2 2 2 5" xfId="17120"/>
    <cellStyle name="Normal 7 6 2 2 2 6" xfId="32163"/>
    <cellStyle name="Normal 7 6 2 2 3" xfId="2961"/>
    <cellStyle name="Normal 7 6 2 2 3 2" xfId="6756"/>
    <cellStyle name="Normal 7 6 2 2 3 2 2" xfId="14279"/>
    <cellStyle name="Normal 7 6 2 2 3 2 2 2" xfId="29323"/>
    <cellStyle name="Normal 7 6 2 2 3 2 2 3" xfId="44366"/>
    <cellStyle name="Normal 7 6 2 2 3 2 3" xfId="21802"/>
    <cellStyle name="Normal 7 6 2 2 3 2 4" xfId="36845"/>
    <cellStyle name="Normal 7 6 2 2 3 3" xfId="10530"/>
    <cellStyle name="Normal 7 6 2 2 3 3 2" xfId="25574"/>
    <cellStyle name="Normal 7 6 2 2 3 3 3" xfId="40617"/>
    <cellStyle name="Normal 7 6 2 2 3 4" xfId="18053"/>
    <cellStyle name="Normal 7 6 2 2 3 5" xfId="33096"/>
    <cellStyle name="Normal 7 6 2 2 4" xfId="4891"/>
    <cellStyle name="Normal 7 6 2 2 4 2" xfId="12414"/>
    <cellStyle name="Normal 7 6 2 2 4 2 2" xfId="27458"/>
    <cellStyle name="Normal 7 6 2 2 4 2 3" xfId="42501"/>
    <cellStyle name="Normal 7 6 2 2 4 3" xfId="19937"/>
    <cellStyle name="Normal 7 6 2 2 4 4" xfId="34980"/>
    <cellStyle name="Normal 7 6 2 2 5" xfId="8665"/>
    <cellStyle name="Normal 7 6 2 2 5 2" xfId="23709"/>
    <cellStyle name="Normal 7 6 2 2 5 3" xfId="38752"/>
    <cellStyle name="Normal 7 6 2 2 6" xfId="16188"/>
    <cellStyle name="Normal 7 6 2 2 7" xfId="31231"/>
    <cellStyle name="Normal 7 6 2 3" xfId="1570"/>
    <cellStyle name="Normal 7 6 2 3 2" xfId="3441"/>
    <cellStyle name="Normal 7 6 2 3 2 2" xfId="7236"/>
    <cellStyle name="Normal 7 6 2 3 2 2 2" xfId="14759"/>
    <cellStyle name="Normal 7 6 2 3 2 2 2 2" xfId="29803"/>
    <cellStyle name="Normal 7 6 2 3 2 2 2 3" xfId="44846"/>
    <cellStyle name="Normal 7 6 2 3 2 2 3" xfId="22282"/>
    <cellStyle name="Normal 7 6 2 3 2 2 4" xfId="37325"/>
    <cellStyle name="Normal 7 6 2 3 2 3" xfId="11010"/>
    <cellStyle name="Normal 7 6 2 3 2 3 2" xfId="26054"/>
    <cellStyle name="Normal 7 6 2 3 2 3 3" xfId="41097"/>
    <cellStyle name="Normal 7 6 2 3 2 4" xfId="18533"/>
    <cellStyle name="Normal 7 6 2 3 2 5" xfId="33576"/>
    <cellStyle name="Normal 7 6 2 3 3" xfId="5371"/>
    <cellStyle name="Normal 7 6 2 3 3 2" xfId="12894"/>
    <cellStyle name="Normal 7 6 2 3 3 2 2" xfId="27938"/>
    <cellStyle name="Normal 7 6 2 3 3 2 3" xfId="42981"/>
    <cellStyle name="Normal 7 6 2 3 3 3" xfId="20417"/>
    <cellStyle name="Normal 7 6 2 3 3 4" xfId="35460"/>
    <cellStyle name="Normal 7 6 2 3 4" xfId="9145"/>
    <cellStyle name="Normal 7 6 2 3 4 2" xfId="24189"/>
    <cellStyle name="Normal 7 6 2 3 4 3" xfId="39232"/>
    <cellStyle name="Normal 7 6 2 3 5" xfId="16668"/>
    <cellStyle name="Normal 7 6 2 3 6" xfId="31711"/>
    <cellStyle name="Normal 7 6 2 4" xfId="2508"/>
    <cellStyle name="Normal 7 6 2 4 2" xfId="6304"/>
    <cellStyle name="Normal 7 6 2 4 2 2" xfId="13827"/>
    <cellStyle name="Normal 7 6 2 4 2 2 2" xfId="28871"/>
    <cellStyle name="Normal 7 6 2 4 2 2 3" xfId="43914"/>
    <cellStyle name="Normal 7 6 2 4 2 3" xfId="21350"/>
    <cellStyle name="Normal 7 6 2 4 2 4" xfId="36393"/>
    <cellStyle name="Normal 7 6 2 4 3" xfId="10078"/>
    <cellStyle name="Normal 7 6 2 4 3 2" xfId="25122"/>
    <cellStyle name="Normal 7 6 2 4 3 3" xfId="40165"/>
    <cellStyle name="Normal 7 6 2 4 4" xfId="17601"/>
    <cellStyle name="Normal 7 6 2 4 5" xfId="32644"/>
    <cellStyle name="Normal 7 6 2 5" xfId="4436"/>
    <cellStyle name="Normal 7 6 2 5 2" xfId="11960"/>
    <cellStyle name="Normal 7 6 2 5 2 2" xfId="27004"/>
    <cellStyle name="Normal 7 6 2 5 2 3" xfId="42047"/>
    <cellStyle name="Normal 7 6 2 5 3" xfId="19483"/>
    <cellStyle name="Normal 7 6 2 5 4" xfId="34526"/>
    <cellStyle name="Normal 7 6 2 6" xfId="8199"/>
    <cellStyle name="Normal 7 6 2 6 2" xfId="23243"/>
    <cellStyle name="Normal 7 6 2 6 3" xfId="38286"/>
    <cellStyle name="Normal 7 6 2 7" xfId="15722"/>
    <cellStyle name="Normal 7 6 2 8" xfId="30765"/>
    <cellStyle name="Normal 7 6 3" xfId="1062"/>
    <cellStyle name="Normal 7 6 3 2" xfId="2021"/>
    <cellStyle name="Normal 7 6 3 2 2" xfId="3892"/>
    <cellStyle name="Normal 7 6 3 2 2 2" xfId="7687"/>
    <cellStyle name="Normal 7 6 3 2 2 2 2" xfId="15210"/>
    <cellStyle name="Normal 7 6 3 2 2 2 2 2" xfId="30254"/>
    <cellStyle name="Normal 7 6 3 2 2 2 2 3" xfId="45297"/>
    <cellStyle name="Normal 7 6 3 2 2 2 3" xfId="22733"/>
    <cellStyle name="Normal 7 6 3 2 2 2 4" xfId="37776"/>
    <cellStyle name="Normal 7 6 3 2 2 3" xfId="11461"/>
    <cellStyle name="Normal 7 6 3 2 2 3 2" xfId="26505"/>
    <cellStyle name="Normal 7 6 3 2 2 3 3" xfId="41548"/>
    <cellStyle name="Normal 7 6 3 2 2 4" xfId="18984"/>
    <cellStyle name="Normal 7 6 3 2 2 5" xfId="34027"/>
    <cellStyle name="Normal 7 6 3 2 3" xfId="5822"/>
    <cellStyle name="Normal 7 6 3 2 3 2" xfId="13345"/>
    <cellStyle name="Normal 7 6 3 2 3 2 2" xfId="28389"/>
    <cellStyle name="Normal 7 6 3 2 3 2 3" xfId="43432"/>
    <cellStyle name="Normal 7 6 3 2 3 3" xfId="20868"/>
    <cellStyle name="Normal 7 6 3 2 3 4" xfId="35911"/>
    <cellStyle name="Normal 7 6 3 2 4" xfId="9596"/>
    <cellStyle name="Normal 7 6 3 2 4 2" xfId="24640"/>
    <cellStyle name="Normal 7 6 3 2 4 3" xfId="39683"/>
    <cellStyle name="Normal 7 6 3 2 5" xfId="17119"/>
    <cellStyle name="Normal 7 6 3 2 6" xfId="32162"/>
    <cellStyle name="Normal 7 6 3 3" xfId="2960"/>
    <cellStyle name="Normal 7 6 3 3 2" xfId="6755"/>
    <cellStyle name="Normal 7 6 3 3 2 2" xfId="14278"/>
    <cellStyle name="Normal 7 6 3 3 2 2 2" xfId="29322"/>
    <cellStyle name="Normal 7 6 3 3 2 2 3" xfId="44365"/>
    <cellStyle name="Normal 7 6 3 3 2 3" xfId="21801"/>
    <cellStyle name="Normal 7 6 3 3 2 4" xfId="36844"/>
    <cellStyle name="Normal 7 6 3 3 3" xfId="10529"/>
    <cellStyle name="Normal 7 6 3 3 3 2" xfId="25573"/>
    <cellStyle name="Normal 7 6 3 3 3 3" xfId="40616"/>
    <cellStyle name="Normal 7 6 3 3 4" xfId="18052"/>
    <cellStyle name="Normal 7 6 3 3 5" xfId="33095"/>
    <cellStyle name="Normal 7 6 3 4" xfId="4890"/>
    <cellStyle name="Normal 7 6 3 4 2" xfId="12413"/>
    <cellStyle name="Normal 7 6 3 4 2 2" xfId="27457"/>
    <cellStyle name="Normal 7 6 3 4 2 3" xfId="42500"/>
    <cellStyle name="Normal 7 6 3 4 3" xfId="19936"/>
    <cellStyle name="Normal 7 6 3 4 4" xfId="34979"/>
    <cellStyle name="Normal 7 6 3 5" xfId="8664"/>
    <cellStyle name="Normal 7 6 3 5 2" xfId="23708"/>
    <cellStyle name="Normal 7 6 3 5 3" xfId="38751"/>
    <cellStyle name="Normal 7 6 3 6" xfId="16187"/>
    <cellStyle name="Normal 7 6 3 7" xfId="31230"/>
    <cellStyle name="Normal 7 6 4" xfId="1569"/>
    <cellStyle name="Normal 7 6 4 2" xfId="3440"/>
    <cellStyle name="Normal 7 6 4 2 2" xfId="7235"/>
    <cellStyle name="Normal 7 6 4 2 2 2" xfId="14758"/>
    <cellStyle name="Normal 7 6 4 2 2 2 2" xfId="29802"/>
    <cellStyle name="Normal 7 6 4 2 2 2 3" xfId="44845"/>
    <cellStyle name="Normal 7 6 4 2 2 3" xfId="22281"/>
    <cellStyle name="Normal 7 6 4 2 2 4" xfId="37324"/>
    <cellStyle name="Normal 7 6 4 2 3" xfId="11009"/>
    <cellStyle name="Normal 7 6 4 2 3 2" xfId="26053"/>
    <cellStyle name="Normal 7 6 4 2 3 3" xfId="41096"/>
    <cellStyle name="Normal 7 6 4 2 4" xfId="18532"/>
    <cellStyle name="Normal 7 6 4 2 5" xfId="33575"/>
    <cellStyle name="Normal 7 6 4 3" xfId="5370"/>
    <cellStyle name="Normal 7 6 4 3 2" xfId="12893"/>
    <cellStyle name="Normal 7 6 4 3 2 2" xfId="27937"/>
    <cellStyle name="Normal 7 6 4 3 2 3" xfId="42980"/>
    <cellStyle name="Normal 7 6 4 3 3" xfId="20416"/>
    <cellStyle name="Normal 7 6 4 3 4" xfId="35459"/>
    <cellStyle name="Normal 7 6 4 4" xfId="9144"/>
    <cellStyle name="Normal 7 6 4 4 2" xfId="24188"/>
    <cellStyle name="Normal 7 6 4 4 3" xfId="39231"/>
    <cellStyle name="Normal 7 6 4 5" xfId="16667"/>
    <cellStyle name="Normal 7 6 4 6" xfId="31710"/>
    <cellStyle name="Normal 7 6 5" xfId="2507"/>
    <cellStyle name="Normal 7 6 5 2" xfId="6303"/>
    <cellStyle name="Normal 7 6 5 2 2" xfId="13826"/>
    <cellStyle name="Normal 7 6 5 2 2 2" xfId="28870"/>
    <cellStyle name="Normal 7 6 5 2 2 3" xfId="43913"/>
    <cellStyle name="Normal 7 6 5 2 3" xfId="21349"/>
    <cellStyle name="Normal 7 6 5 2 4" xfId="36392"/>
    <cellStyle name="Normal 7 6 5 3" xfId="10077"/>
    <cellStyle name="Normal 7 6 5 3 2" xfId="25121"/>
    <cellStyle name="Normal 7 6 5 3 3" xfId="40164"/>
    <cellStyle name="Normal 7 6 5 4" xfId="17600"/>
    <cellStyle name="Normal 7 6 5 5" xfId="32643"/>
    <cellStyle name="Normal 7 6 6" xfId="4435"/>
    <cellStyle name="Normal 7 6 6 2" xfId="11959"/>
    <cellStyle name="Normal 7 6 6 2 2" xfId="27003"/>
    <cellStyle name="Normal 7 6 6 2 3" xfId="42046"/>
    <cellStyle name="Normal 7 6 6 3" xfId="19482"/>
    <cellStyle name="Normal 7 6 6 4" xfId="34525"/>
    <cellStyle name="Normal 7 6 7" xfId="8198"/>
    <cellStyle name="Normal 7 6 7 2" xfId="23242"/>
    <cellStyle name="Normal 7 6 7 3" xfId="38285"/>
    <cellStyle name="Normal 7 6 8" xfId="15721"/>
    <cellStyle name="Normal 7 6 9" xfId="30764"/>
    <cellStyle name="Normal 7 7" xfId="546"/>
    <cellStyle name="Normal 7 8" xfId="602"/>
    <cellStyle name="Normal 70" xfId="45458"/>
    <cellStyle name="Normal 70 2" xfId="45470"/>
    <cellStyle name="Normal 70 3" xfId="45484"/>
    <cellStyle name="Normal 71" xfId="45492"/>
    <cellStyle name="Normal 72" xfId="45493"/>
    <cellStyle name="Normal 73" xfId="45495"/>
    <cellStyle name="Normal 74" xfId="45497"/>
    <cellStyle name="Normal 75" xfId="45499"/>
    <cellStyle name="Normal 8" xfId="547"/>
    <cellStyle name="Normal 9" xfId="548"/>
    <cellStyle name="Normal 9 10" xfId="4437"/>
    <cellStyle name="Normal 9 10 2" xfId="11961"/>
    <cellStyle name="Normal 9 10 2 2" xfId="27005"/>
    <cellStyle name="Normal 9 10 2 3" xfId="42048"/>
    <cellStyle name="Normal 9 10 3" xfId="19484"/>
    <cellStyle name="Normal 9 10 4" xfId="34527"/>
    <cellStyle name="Normal 9 11" xfId="8200"/>
    <cellStyle name="Normal 9 11 2" xfId="23244"/>
    <cellStyle name="Normal 9 11 3" xfId="38287"/>
    <cellStyle name="Normal 9 12" xfId="15723"/>
    <cellStyle name="Normal 9 13" xfId="30766"/>
    <cellStyle name="Normal 9 2" xfId="549"/>
    <cellStyle name="Normal 9 2 10" xfId="8201"/>
    <cellStyle name="Normal 9 2 10 2" xfId="23245"/>
    <cellStyle name="Normal 9 2 10 3" xfId="38288"/>
    <cellStyle name="Normal 9 2 11" xfId="15724"/>
    <cellStyle name="Normal 9 2 12" xfId="30767"/>
    <cellStyle name="Normal 9 2 2" xfId="550"/>
    <cellStyle name="Normal 9 2 2 10" xfId="15725"/>
    <cellStyle name="Normal 9 2 2 11" xfId="30768"/>
    <cellStyle name="Normal 9 2 2 2" xfId="551"/>
    <cellStyle name="Normal 9 2 2 2 2" xfId="552"/>
    <cellStyle name="Normal 9 2 2 2 2 2" xfId="1068"/>
    <cellStyle name="Normal 9 2 2 2 2 2 2" xfId="2027"/>
    <cellStyle name="Normal 9 2 2 2 2 2 2 2" xfId="3898"/>
    <cellStyle name="Normal 9 2 2 2 2 2 2 2 2" xfId="7693"/>
    <cellStyle name="Normal 9 2 2 2 2 2 2 2 2 2" xfId="15216"/>
    <cellStyle name="Normal 9 2 2 2 2 2 2 2 2 2 2" xfId="30260"/>
    <cellStyle name="Normal 9 2 2 2 2 2 2 2 2 2 3" xfId="45303"/>
    <cellStyle name="Normal 9 2 2 2 2 2 2 2 2 3" xfId="22739"/>
    <cellStyle name="Normal 9 2 2 2 2 2 2 2 2 4" xfId="37782"/>
    <cellStyle name="Normal 9 2 2 2 2 2 2 2 3" xfId="11467"/>
    <cellStyle name="Normal 9 2 2 2 2 2 2 2 3 2" xfId="26511"/>
    <cellStyle name="Normal 9 2 2 2 2 2 2 2 3 3" xfId="41554"/>
    <cellStyle name="Normal 9 2 2 2 2 2 2 2 4" xfId="18990"/>
    <cellStyle name="Normal 9 2 2 2 2 2 2 2 5" xfId="34033"/>
    <cellStyle name="Normal 9 2 2 2 2 2 2 3" xfId="5828"/>
    <cellStyle name="Normal 9 2 2 2 2 2 2 3 2" xfId="13351"/>
    <cellStyle name="Normal 9 2 2 2 2 2 2 3 2 2" xfId="28395"/>
    <cellStyle name="Normal 9 2 2 2 2 2 2 3 2 3" xfId="43438"/>
    <cellStyle name="Normal 9 2 2 2 2 2 2 3 3" xfId="20874"/>
    <cellStyle name="Normal 9 2 2 2 2 2 2 3 4" xfId="35917"/>
    <cellStyle name="Normal 9 2 2 2 2 2 2 4" xfId="9602"/>
    <cellStyle name="Normal 9 2 2 2 2 2 2 4 2" xfId="24646"/>
    <cellStyle name="Normal 9 2 2 2 2 2 2 4 3" xfId="39689"/>
    <cellStyle name="Normal 9 2 2 2 2 2 2 5" xfId="17125"/>
    <cellStyle name="Normal 9 2 2 2 2 2 2 6" xfId="32168"/>
    <cellStyle name="Normal 9 2 2 2 2 2 3" xfId="2966"/>
    <cellStyle name="Normal 9 2 2 2 2 2 3 2" xfId="6761"/>
    <cellStyle name="Normal 9 2 2 2 2 2 3 2 2" xfId="14284"/>
    <cellStyle name="Normal 9 2 2 2 2 2 3 2 2 2" xfId="29328"/>
    <cellStyle name="Normal 9 2 2 2 2 2 3 2 2 3" xfId="44371"/>
    <cellStyle name="Normal 9 2 2 2 2 2 3 2 3" xfId="21807"/>
    <cellStyle name="Normal 9 2 2 2 2 2 3 2 4" xfId="36850"/>
    <cellStyle name="Normal 9 2 2 2 2 2 3 3" xfId="10535"/>
    <cellStyle name="Normal 9 2 2 2 2 2 3 3 2" xfId="25579"/>
    <cellStyle name="Normal 9 2 2 2 2 2 3 3 3" xfId="40622"/>
    <cellStyle name="Normal 9 2 2 2 2 2 3 4" xfId="18058"/>
    <cellStyle name="Normal 9 2 2 2 2 2 3 5" xfId="33101"/>
    <cellStyle name="Normal 9 2 2 2 2 2 4" xfId="4896"/>
    <cellStyle name="Normal 9 2 2 2 2 2 4 2" xfId="12419"/>
    <cellStyle name="Normal 9 2 2 2 2 2 4 2 2" xfId="27463"/>
    <cellStyle name="Normal 9 2 2 2 2 2 4 2 3" xfId="42506"/>
    <cellStyle name="Normal 9 2 2 2 2 2 4 3" xfId="19942"/>
    <cellStyle name="Normal 9 2 2 2 2 2 4 4" xfId="34985"/>
    <cellStyle name="Normal 9 2 2 2 2 2 5" xfId="8670"/>
    <cellStyle name="Normal 9 2 2 2 2 2 5 2" xfId="23714"/>
    <cellStyle name="Normal 9 2 2 2 2 2 5 3" xfId="38757"/>
    <cellStyle name="Normal 9 2 2 2 2 2 6" xfId="16193"/>
    <cellStyle name="Normal 9 2 2 2 2 2 7" xfId="31236"/>
    <cellStyle name="Normal 9 2 2 2 2 3" xfId="1575"/>
    <cellStyle name="Normal 9 2 2 2 2 3 2" xfId="3446"/>
    <cellStyle name="Normal 9 2 2 2 2 3 2 2" xfId="7241"/>
    <cellStyle name="Normal 9 2 2 2 2 3 2 2 2" xfId="14764"/>
    <cellStyle name="Normal 9 2 2 2 2 3 2 2 2 2" xfId="29808"/>
    <cellStyle name="Normal 9 2 2 2 2 3 2 2 2 3" xfId="44851"/>
    <cellStyle name="Normal 9 2 2 2 2 3 2 2 3" xfId="22287"/>
    <cellStyle name="Normal 9 2 2 2 2 3 2 2 4" xfId="37330"/>
    <cellStyle name="Normal 9 2 2 2 2 3 2 3" xfId="11015"/>
    <cellStyle name="Normal 9 2 2 2 2 3 2 3 2" xfId="26059"/>
    <cellStyle name="Normal 9 2 2 2 2 3 2 3 3" xfId="41102"/>
    <cellStyle name="Normal 9 2 2 2 2 3 2 4" xfId="18538"/>
    <cellStyle name="Normal 9 2 2 2 2 3 2 5" xfId="33581"/>
    <cellStyle name="Normal 9 2 2 2 2 3 3" xfId="5376"/>
    <cellStyle name="Normal 9 2 2 2 2 3 3 2" xfId="12899"/>
    <cellStyle name="Normal 9 2 2 2 2 3 3 2 2" xfId="27943"/>
    <cellStyle name="Normal 9 2 2 2 2 3 3 2 3" xfId="42986"/>
    <cellStyle name="Normal 9 2 2 2 2 3 3 3" xfId="20422"/>
    <cellStyle name="Normal 9 2 2 2 2 3 3 4" xfId="35465"/>
    <cellStyle name="Normal 9 2 2 2 2 3 4" xfId="9150"/>
    <cellStyle name="Normal 9 2 2 2 2 3 4 2" xfId="24194"/>
    <cellStyle name="Normal 9 2 2 2 2 3 4 3" xfId="39237"/>
    <cellStyle name="Normal 9 2 2 2 2 3 5" xfId="16673"/>
    <cellStyle name="Normal 9 2 2 2 2 3 6" xfId="31716"/>
    <cellStyle name="Normal 9 2 2 2 2 4" xfId="2513"/>
    <cellStyle name="Normal 9 2 2 2 2 4 2" xfId="6309"/>
    <cellStyle name="Normal 9 2 2 2 2 4 2 2" xfId="13832"/>
    <cellStyle name="Normal 9 2 2 2 2 4 2 2 2" xfId="28876"/>
    <cellStyle name="Normal 9 2 2 2 2 4 2 2 3" xfId="43919"/>
    <cellStyle name="Normal 9 2 2 2 2 4 2 3" xfId="21355"/>
    <cellStyle name="Normal 9 2 2 2 2 4 2 4" xfId="36398"/>
    <cellStyle name="Normal 9 2 2 2 2 4 3" xfId="10083"/>
    <cellStyle name="Normal 9 2 2 2 2 4 3 2" xfId="25127"/>
    <cellStyle name="Normal 9 2 2 2 2 4 3 3" xfId="40170"/>
    <cellStyle name="Normal 9 2 2 2 2 4 4" xfId="17606"/>
    <cellStyle name="Normal 9 2 2 2 2 4 5" xfId="32649"/>
    <cellStyle name="Normal 9 2 2 2 2 5" xfId="4441"/>
    <cellStyle name="Normal 9 2 2 2 2 5 2" xfId="11965"/>
    <cellStyle name="Normal 9 2 2 2 2 5 2 2" xfId="27009"/>
    <cellStyle name="Normal 9 2 2 2 2 5 2 3" xfId="42052"/>
    <cellStyle name="Normal 9 2 2 2 2 5 3" xfId="19488"/>
    <cellStyle name="Normal 9 2 2 2 2 5 4" xfId="34531"/>
    <cellStyle name="Normal 9 2 2 2 2 6" xfId="8204"/>
    <cellStyle name="Normal 9 2 2 2 2 6 2" xfId="23248"/>
    <cellStyle name="Normal 9 2 2 2 2 6 3" xfId="38291"/>
    <cellStyle name="Normal 9 2 2 2 2 7" xfId="15727"/>
    <cellStyle name="Normal 9 2 2 2 2 8" xfId="30770"/>
    <cellStyle name="Normal 9 2 2 2 3" xfId="1067"/>
    <cellStyle name="Normal 9 2 2 2 3 2" xfId="2026"/>
    <cellStyle name="Normal 9 2 2 2 3 2 2" xfId="3897"/>
    <cellStyle name="Normal 9 2 2 2 3 2 2 2" xfId="7692"/>
    <cellStyle name="Normal 9 2 2 2 3 2 2 2 2" xfId="15215"/>
    <cellStyle name="Normal 9 2 2 2 3 2 2 2 2 2" xfId="30259"/>
    <cellStyle name="Normal 9 2 2 2 3 2 2 2 2 3" xfId="45302"/>
    <cellStyle name="Normal 9 2 2 2 3 2 2 2 3" xfId="22738"/>
    <cellStyle name="Normal 9 2 2 2 3 2 2 2 4" xfId="37781"/>
    <cellStyle name="Normal 9 2 2 2 3 2 2 3" xfId="11466"/>
    <cellStyle name="Normal 9 2 2 2 3 2 2 3 2" xfId="26510"/>
    <cellStyle name="Normal 9 2 2 2 3 2 2 3 3" xfId="41553"/>
    <cellStyle name="Normal 9 2 2 2 3 2 2 4" xfId="18989"/>
    <cellStyle name="Normal 9 2 2 2 3 2 2 5" xfId="34032"/>
    <cellStyle name="Normal 9 2 2 2 3 2 3" xfId="5827"/>
    <cellStyle name="Normal 9 2 2 2 3 2 3 2" xfId="13350"/>
    <cellStyle name="Normal 9 2 2 2 3 2 3 2 2" xfId="28394"/>
    <cellStyle name="Normal 9 2 2 2 3 2 3 2 3" xfId="43437"/>
    <cellStyle name="Normal 9 2 2 2 3 2 3 3" xfId="20873"/>
    <cellStyle name="Normal 9 2 2 2 3 2 3 4" xfId="35916"/>
    <cellStyle name="Normal 9 2 2 2 3 2 4" xfId="9601"/>
    <cellStyle name="Normal 9 2 2 2 3 2 4 2" xfId="24645"/>
    <cellStyle name="Normal 9 2 2 2 3 2 4 3" xfId="39688"/>
    <cellStyle name="Normal 9 2 2 2 3 2 5" xfId="17124"/>
    <cellStyle name="Normal 9 2 2 2 3 2 6" xfId="32167"/>
    <cellStyle name="Normal 9 2 2 2 3 3" xfId="2965"/>
    <cellStyle name="Normal 9 2 2 2 3 3 2" xfId="6760"/>
    <cellStyle name="Normal 9 2 2 2 3 3 2 2" xfId="14283"/>
    <cellStyle name="Normal 9 2 2 2 3 3 2 2 2" xfId="29327"/>
    <cellStyle name="Normal 9 2 2 2 3 3 2 2 3" xfId="44370"/>
    <cellStyle name="Normal 9 2 2 2 3 3 2 3" xfId="21806"/>
    <cellStyle name="Normal 9 2 2 2 3 3 2 4" xfId="36849"/>
    <cellStyle name="Normal 9 2 2 2 3 3 3" xfId="10534"/>
    <cellStyle name="Normal 9 2 2 2 3 3 3 2" xfId="25578"/>
    <cellStyle name="Normal 9 2 2 2 3 3 3 3" xfId="40621"/>
    <cellStyle name="Normal 9 2 2 2 3 3 4" xfId="18057"/>
    <cellStyle name="Normal 9 2 2 2 3 3 5" xfId="33100"/>
    <cellStyle name="Normal 9 2 2 2 3 4" xfId="4895"/>
    <cellStyle name="Normal 9 2 2 2 3 4 2" xfId="12418"/>
    <cellStyle name="Normal 9 2 2 2 3 4 2 2" xfId="27462"/>
    <cellStyle name="Normal 9 2 2 2 3 4 2 3" xfId="42505"/>
    <cellStyle name="Normal 9 2 2 2 3 4 3" xfId="19941"/>
    <cellStyle name="Normal 9 2 2 2 3 4 4" xfId="34984"/>
    <cellStyle name="Normal 9 2 2 2 3 5" xfId="8669"/>
    <cellStyle name="Normal 9 2 2 2 3 5 2" xfId="23713"/>
    <cellStyle name="Normal 9 2 2 2 3 5 3" xfId="38756"/>
    <cellStyle name="Normal 9 2 2 2 3 6" xfId="16192"/>
    <cellStyle name="Normal 9 2 2 2 3 7" xfId="31235"/>
    <cellStyle name="Normal 9 2 2 2 4" xfId="1574"/>
    <cellStyle name="Normal 9 2 2 2 4 2" xfId="3445"/>
    <cellStyle name="Normal 9 2 2 2 4 2 2" xfId="7240"/>
    <cellStyle name="Normal 9 2 2 2 4 2 2 2" xfId="14763"/>
    <cellStyle name="Normal 9 2 2 2 4 2 2 2 2" xfId="29807"/>
    <cellStyle name="Normal 9 2 2 2 4 2 2 2 3" xfId="44850"/>
    <cellStyle name="Normal 9 2 2 2 4 2 2 3" xfId="22286"/>
    <cellStyle name="Normal 9 2 2 2 4 2 2 4" xfId="37329"/>
    <cellStyle name="Normal 9 2 2 2 4 2 3" xfId="11014"/>
    <cellStyle name="Normal 9 2 2 2 4 2 3 2" xfId="26058"/>
    <cellStyle name="Normal 9 2 2 2 4 2 3 3" xfId="41101"/>
    <cellStyle name="Normal 9 2 2 2 4 2 4" xfId="18537"/>
    <cellStyle name="Normal 9 2 2 2 4 2 5" xfId="33580"/>
    <cellStyle name="Normal 9 2 2 2 4 3" xfId="5375"/>
    <cellStyle name="Normal 9 2 2 2 4 3 2" xfId="12898"/>
    <cellStyle name="Normal 9 2 2 2 4 3 2 2" xfId="27942"/>
    <cellStyle name="Normal 9 2 2 2 4 3 2 3" xfId="42985"/>
    <cellStyle name="Normal 9 2 2 2 4 3 3" xfId="20421"/>
    <cellStyle name="Normal 9 2 2 2 4 3 4" xfId="35464"/>
    <cellStyle name="Normal 9 2 2 2 4 4" xfId="9149"/>
    <cellStyle name="Normal 9 2 2 2 4 4 2" xfId="24193"/>
    <cellStyle name="Normal 9 2 2 2 4 4 3" xfId="39236"/>
    <cellStyle name="Normal 9 2 2 2 4 5" xfId="16672"/>
    <cellStyle name="Normal 9 2 2 2 4 6" xfId="31715"/>
    <cellStyle name="Normal 9 2 2 2 5" xfId="2512"/>
    <cellStyle name="Normal 9 2 2 2 5 2" xfId="6308"/>
    <cellStyle name="Normal 9 2 2 2 5 2 2" xfId="13831"/>
    <cellStyle name="Normal 9 2 2 2 5 2 2 2" xfId="28875"/>
    <cellStyle name="Normal 9 2 2 2 5 2 2 3" xfId="43918"/>
    <cellStyle name="Normal 9 2 2 2 5 2 3" xfId="21354"/>
    <cellStyle name="Normal 9 2 2 2 5 2 4" xfId="36397"/>
    <cellStyle name="Normal 9 2 2 2 5 3" xfId="10082"/>
    <cellStyle name="Normal 9 2 2 2 5 3 2" xfId="25126"/>
    <cellStyle name="Normal 9 2 2 2 5 3 3" xfId="40169"/>
    <cellStyle name="Normal 9 2 2 2 5 4" xfId="17605"/>
    <cellStyle name="Normal 9 2 2 2 5 5" xfId="32648"/>
    <cellStyle name="Normal 9 2 2 2 6" xfId="4440"/>
    <cellStyle name="Normal 9 2 2 2 6 2" xfId="11964"/>
    <cellStyle name="Normal 9 2 2 2 6 2 2" xfId="27008"/>
    <cellStyle name="Normal 9 2 2 2 6 2 3" xfId="42051"/>
    <cellStyle name="Normal 9 2 2 2 6 3" xfId="19487"/>
    <cellStyle name="Normal 9 2 2 2 6 4" xfId="34530"/>
    <cellStyle name="Normal 9 2 2 2 7" xfId="8203"/>
    <cellStyle name="Normal 9 2 2 2 7 2" xfId="23247"/>
    <cellStyle name="Normal 9 2 2 2 7 3" xfId="38290"/>
    <cellStyle name="Normal 9 2 2 2 8" xfId="15726"/>
    <cellStyle name="Normal 9 2 2 2 9" xfId="30769"/>
    <cellStyle name="Normal 9 2 2 3" xfId="553"/>
    <cellStyle name="Normal 9 2 2 3 2" xfId="554"/>
    <cellStyle name="Normal 9 2 2 3 2 2" xfId="1070"/>
    <cellStyle name="Normal 9 2 2 3 2 2 2" xfId="2029"/>
    <cellStyle name="Normal 9 2 2 3 2 2 2 2" xfId="3900"/>
    <cellStyle name="Normal 9 2 2 3 2 2 2 2 2" xfId="7695"/>
    <cellStyle name="Normal 9 2 2 3 2 2 2 2 2 2" xfId="15218"/>
    <cellStyle name="Normal 9 2 2 3 2 2 2 2 2 2 2" xfId="30262"/>
    <cellStyle name="Normal 9 2 2 3 2 2 2 2 2 2 3" xfId="45305"/>
    <cellStyle name="Normal 9 2 2 3 2 2 2 2 2 3" xfId="22741"/>
    <cellStyle name="Normal 9 2 2 3 2 2 2 2 2 4" xfId="37784"/>
    <cellStyle name="Normal 9 2 2 3 2 2 2 2 3" xfId="11469"/>
    <cellStyle name="Normal 9 2 2 3 2 2 2 2 3 2" xfId="26513"/>
    <cellStyle name="Normal 9 2 2 3 2 2 2 2 3 3" xfId="41556"/>
    <cellStyle name="Normal 9 2 2 3 2 2 2 2 4" xfId="18992"/>
    <cellStyle name="Normal 9 2 2 3 2 2 2 2 5" xfId="34035"/>
    <cellStyle name="Normal 9 2 2 3 2 2 2 3" xfId="5830"/>
    <cellStyle name="Normal 9 2 2 3 2 2 2 3 2" xfId="13353"/>
    <cellStyle name="Normal 9 2 2 3 2 2 2 3 2 2" xfId="28397"/>
    <cellStyle name="Normal 9 2 2 3 2 2 2 3 2 3" xfId="43440"/>
    <cellStyle name="Normal 9 2 2 3 2 2 2 3 3" xfId="20876"/>
    <cellStyle name="Normal 9 2 2 3 2 2 2 3 4" xfId="35919"/>
    <cellStyle name="Normal 9 2 2 3 2 2 2 4" xfId="9604"/>
    <cellStyle name="Normal 9 2 2 3 2 2 2 4 2" xfId="24648"/>
    <cellStyle name="Normal 9 2 2 3 2 2 2 4 3" xfId="39691"/>
    <cellStyle name="Normal 9 2 2 3 2 2 2 5" xfId="17127"/>
    <cellStyle name="Normal 9 2 2 3 2 2 2 6" xfId="32170"/>
    <cellStyle name="Normal 9 2 2 3 2 2 3" xfId="2968"/>
    <cellStyle name="Normal 9 2 2 3 2 2 3 2" xfId="6763"/>
    <cellStyle name="Normal 9 2 2 3 2 2 3 2 2" xfId="14286"/>
    <cellStyle name="Normal 9 2 2 3 2 2 3 2 2 2" xfId="29330"/>
    <cellStyle name="Normal 9 2 2 3 2 2 3 2 2 3" xfId="44373"/>
    <cellStyle name="Normal 9 2 2 3 2 2 3 2 3" xfId="21809"/>
    <cellStyle name="Normal 9 2 2 3 2 2 3 2 4" xfId="36852"/>
    <cellStyle name="Normal 9 2 2 3 2 2 3 3" xfId="10537"/>
    <cellStyle name="Normal 9 2 2 3 2 2 3 3 2" xfId="25581"/>
    <cellStyle name="Normal 9 2 2 3 2 2 3 3 3" xfId="40624"/>
    <cellStyle name="Normal 9 2 2 3 2 2 3 4" xfId="18060"/>
    <cellStyle name="Normal 9 2 2 3 2 2 3 5" xfId="33103"/>
    <cellStyle name="Normal 9 2 2 3 2 2 4" xfId="4898"/>
    <cellStyle name="Normal 9 2 2 3 2 2 4 2" xfId="12421"/>
    <cellStyle name="Normal 9 2 2 3 2 2 4 2 2" xfId="27465"/>
    <cellStyle name="Normal 9 2 2 3 2 2 4 2 3" xfId="42508"/>
    <cellStyle name="Normal 9 2 2 3 2 2 4 3" xfId="19944"/>
    <cellStyle name="Normal 9 2 2 3 2 2 4 4" xfId="34987"/>
    <cellStyle name="Normal 9 2 2 3 2 2 5" xfId="8672"/>
    <cellStyle name="Normal 9 2 2 3 2 2 5 2" xfId="23716"/>
    <cellStyle name="Normal 9 2 2 3 2 2 5 3" xfId="38759"/>
    <cellStyle name="Normal 9 2 2 3 2 2 6" xfId="16195"/>
    <cellStyle name="Normal 9 2 2 3 2 2 7" xfId="31238"/>
    <cellStyle name="Normal 9 2 2 3 2 3" xfId="1577"/>
    <cellStyle name="Normal 9 2 2 3 2 3 2" xfId="3448"/>
    <cellStyle name="Normal 9 2 2 3 2 3 2 2" xfId="7243"/>
    <cellStyle name="Normal 9 2 2 3 2 3 2 2 2" xfId="14766"/>
    <cellStyle name="Normal 9 2 2 3 2 3 2 2 2 2" xfId="29810"/>
    <cellStyle name="Normal 9 2 2 3 2 3 2 2 2 3" xfId="44853"/>
    <cellStyle name="Normal 9 2 2 3 2 3 2 2 3" xfId="22289"/>
    <cellStyle name="Normal 9 2 2 3 2 3 2 2 4" xfId="37332"/>
    <cellStyle name="Normal 9 2 2 3 2 3 2 3" xfId="11017"/>
    <cellStyle name="Normal 9 2 2 3 2 3 2 3 2" xfId="26061"/>
    <cellStyle name="Normal 9 2 2 3 2 3 2 3 3" xfId="41104"/>
    <cellStyle name="Normal 9 2 2 3 2 3 2 4" xfId="18540"/>
    <cellStyle name="Normal 9 2 2 3 2 3 2 5" xfId="33583"/>
    <cellStyle name="Normal 9 2 2 3 2 3 3" xfId="5378"/>
    <cellStyle name="Normal 9 2 2 3 2 3 3 2" xfId="12901"/>
    <cellStyle name="Normal 9 2 2 3 2 3 3 2 2" xfId="27945"/>
    <cellStyle name="Normal 9 2 2 3 2 3 3 2 3" xfId="42988"/>
    <cellStyle name="Normal 9 2 2 3 2 3 3 3" xfId="20424"/>
    <cellStyle name="Normal 9 2 2 3 2 3 3 4" xfId="35467"/>
    <cellStyle name="Normal 9 2 2 3 2 3 4" xfId="9152"/>
    <cellStyle name="Normal 9 2 2 3 2 3 4 2" xfId="24196"/>
    <cellStyle name="Normal 9 2 2 3 2 3 4 3" xfId="39239"/>
    <cellStyle name="Normal 9 2 2 3 2 3 5" xfId="16675"/>
    <cellStyle name="Normal 9 2 2 3 2 3 6" xfId="31718"/>
    <cellStyle name="Normal 9 2 2 3 2 4" xfId="2515"/>
    <cellStyle name="Normal 9 2 2 3 2 4 2" xfId="6311"/>
    <cellStyle name="Normal 9 2 2 3 2 4 2 2" xfId="13834"/>
    <cellStyle name="Normal 9 2 2 3 2 4 2 2 2" xfId="28878"/>
    <cellStyle name="Normal 9 2 2 3 2 4 2 2 3" xfId="43921"/>
    <cellStyle name="Normal 9 2 2 3 2 4 2 3" xfId="21357"/>
    <cellStyle name="Normal 9 2 2 3 2 4 2 4" xfId="36400"/>
    <cellStyle name="Normal 9 2 2 3 2 4 3" xfId="10085"/>
    <cellStyle name="Normal 9 2 2 3 2 4 3 2" xfId="25129"/>
    <cellStyle name="Normal 9 2 2 3 2 4 3 3" xfId="40172"/>
    <cellStyle name="Normal 9 2 2 3 2 4 4" xfId="17608"/>
    <cellStyle name="Normal 9 2 2 3 2 4 5" xfId="32651"/>
    <cellStyle name="Normal 9 2 2 3 2 5" xfId="4443"/>
    <cellStyle name="Normal 9 2 2 3 2 5 2" xfId="11967"/>
    <cellStyle name="Normal 9 2 2 3 2 5 2 2" xfId="27011"/>
    <cellStyle name="Normal 9 2 2 3 2 5 2 3" xfId="42054"/>
    <cellStyle name="Normal 9 2 2 3 2 5 3" xfId="19490"/>
    <cellStyle name="Normal 9 2 2 3 2 5 4" xfId="34533"/>
    <cellStyle name="Normal 9 2 2 3 2 6" xfId="8206"/>
    <cellStyle name="Normal 9 2 2 3 2 6 2" xfId="23250"/>
    <cellStyle name="Normal 9 2 2 3 2 6 3" xfId="38293"/>
    <cellStyle name="Normal 9 2 2 3 2 7" xfId="15729"/>
    <cellStyle name="Normal 9 2 2 3 2 8" xfId="30772"/>
    <cellStyle name="Normal 9 2 2 3 3" xfId="1069"/>
    <cellStyle name="Normal 9 2 2 3 3 2" xfId="2028"/>
    <cellStyle name="Normal 9 2 2 3 3 2 2" xfId="3899"/>
    <cellStyle name="Normal 9 2 2 3 3 2 2 2" xfId="7694"/>
    <cellStyle name="Normal 9 2 2 3 3 2 2 2 2" xfId="15217"/>
    <cellStyle name="Normal 9 2 2 3 3 2 2 2 2 2" xfId="30261"/>
    <cellStyle name="Normal 9 2 2 3 3 2 2 2 2 3" xfId="45304"/>
    <cellStyle name="Normal 9 2 2 3 3 2 2 2 3" xfId="22740"/>
    <cellStyle name="Normal 9 2 2 3 3 2 2 2 4" xfId="37783"/>
    <cellStyle name="Normal 9 2 2 3 3 2 2 3" xfId="11468"/>
    <cellStyle name="Normal 9 2 2 3 3 2 2 3 2" xfId="26512"/>
    <cellStyle name="Normal 9 2 2 3 3 2 2 3 3" xfId="41555"/>
    <cellStyle name="Normal 9 2 2 3 3 2 2 4" xfId="18991"/>
    <cellStyle name="Normal 9 2 2 3 3 2 2 5" xfId="34034"/>
    <cellStyle name="Normal 9 2 2 3 3 2 3" xfId="5829"/>
    <cellStyle name="Normal 9 2 2 3 3 2 3 2" xfId="13352"/>
    <cellStyle name="Normal 9 2 2 3 3 2 3 2 2" xfId="28396"/>
    <cellStyle name="Normal 9 2 2 3 3 2 3 2 3" xfId="43439"/>
    <cellStyle name="Normal 9 2 2 3 3 2 3 3" xfId="20875"/>
    <cellStyle name="Normal 9 2 2 3 3 2 3 4" xfId="35918"/>
    <cellStyle name="Normal 9 2 2 3 3 2 4" xfId="9603"/>
    <cellStyle name="Normal 9 2 2 3 3 2 4 2" xfId="24647"/>
    <cellStyle name="Normal 9 2 2 3 3 2 4 3" xfId="39690"/>
    <cellStyle name="Normal 9 2 2 3 3 2 5" xfId="17126"/>
    <cellStyle name="Normal 9 2 2 3 3 2 6" xfId="32169"/>
    <cellStyle name="Normal 9 2 2 3 3 3" xfId="2967"/>
    <cellStyle name="Normal 9 2 2 3 3 3 2" xfId="6762"/>
    <cellStyle name="Normal 9 2 2 3 3 3 2 2" xfId="14285"/>
    <cellStyle name="Normal 9 2 2 3 3 3 2 2 2" xfId="29329"/>
    <cellStyle name="Normal 9 2 2 3 3 3 2 2 3" xfId="44372"/>
    <cellStyle name="Normal 9 2 2 3 3 3 2 3" xfId="21808"/>
    <cellStyle name="Normal 9 2 2 3 3 3 2 4" xfId="36851"/>
    <cellStyle name="Normal 9 2 2 3 3 3 3" xfId="10536"/>
    <cellStyle name="Normal 9 2 2 3 3 3 3 2" xfId="25580"/>
    <cellStyle name="Normal 9 2 2 3 3 3 3 3" xfId="40623"/>
    <cellStyle name="Normal 9 2 2 3 3 3 4" xfId="18059"/>
    <cellStyle name="Normal 9 2 2 3 3 3 5" xfId="33102"/>
    <cellStyle name="Normal 9 2 2 3 3 4" xfId="4897"/>
    <cellStyle name="Normal 9 2 2 3 3 4 2" xfId="12420"/>
    <cellStyle name="Normal 9 2 2 3 3 4 2 2" xfId="27464"/>
    <cellStyle name="Normal 9 2 2 3 3 4 2 3" xfId="42507"/>
    <cellStyle name="Normal 9 2 2 3 3 4 3" xfId="19943"/>
    <cellStyle name="Normal 9 2 2 3 3 4 4" xfId="34986"/>
    <cellStyle name="Normal 9 2 2 3 3 5" xfId="8671"/>
    <cellStyle name="Normal 9 2 2 3 3 5 2" xfId="23715"/>
    <cellStyle name="Normal 9 2 2 3 3 5 3" xfId="38758"/>
    <cellStyle name="Normal 9 2 2 3 3 6" xfId="16194"/>
    <cellStyle name="Normal 9 2 2 3 3 7" xfId="31237"/>
    <cellStyle name="Normal 9 2 2 3 4" xfId="1576"/>
    <cellStyle name="Normal 9 2 2 3 4 2" xfId="3447"/>
    <cellStyle name="Normal 9 2 2 3 4 2 2" xfId="7242"/>
    <cellStyle name="Normal 9 2 2 3 4 2 2 2" xfId="14765"/>
    <cellStyle name="Normal 9 2 2 3 4 2 2 2 2" xfId="29809"/>
    <cellStyle name="Normal 9 2 2 3 4 2 2 2 3" xfId="44852"/>
    <cellStyle name="Normal 9 2 2 3 4 2 2 3" xfId="22288"/>
    <cellStyle name="Normal 9 2 2 3 4 2 2 4" xfId="37331"/>
    <cellStyle name="Normal 9 2 2 3 4 2 3" xfId="11016"/>
    <cellStyle name="Normal 9 2 2 3 4 2 3 2" xfId="26060"/>
    <cellStyle name="Normal 9 2 2 3 4 2 3 3" xfId="41103"/>
    <cellStyle name="Normal 9 2 2 3 4 2 4" xfId="18539"/>
    <cellStyle name="Normal 9 2 2 3 4 2 5" xfId="33582"/>
    <cellStyle name="Normal 9 2 2 3 4 3" xfId="5377"/>
    <cellStyle name="Normal 9 2 2 3 4 3 2" xfId="12900"/>
    <cellStyle name="Normal 9 2 2 3 4 3 2 2" xfId="27944"/>
    <cellStyle name="Normal 9 2 2 3 4 3 2 3" xfId="42987"/>
    <cellStyle name="Normal 9 2 2 3 4 3 3" xfId="20423"/>
    <cellStyle name="Normal 9 2 2 3 4 3 4" xfId="35466"/>
    <cellStyle name="Normal 9 2 2 3 4 4" xfId="9151"/>
    <cellStyle name="Normal 9 2 2 3 4 4 2" xfId="24195"/>
    <cellStyle name="Normal 9 2 2 3 4 4 3" xfId="39238"/>
    <cellStyle name="Normal 9 2 2 3 4 5" xfId="16674"/>
    <cellStyle name="Normal 9 2 2 3 4 6" xfId="31717"/>
    <cellStyle name="Normal 9 2 2 3 5" xfId="2514"/>
    <cellStyle name="Normal 9 2 2 3 5 2" xfId="6310"/>
    <cellStyle name="Normal 9 2 2 3 5 2 2" xfId="13833"/>
    <cellStyle name="Normal 9 2 2 3 5 2 2 2" xfId="28877"/>
    <cellStyle name="Normal 9 2 2 3 5 2 2 3" xfId="43920"/>
    <cellStyle name="Normal 9 2 2 3 5 2 3" xfId="21356"/>
    <cellStyle name="Normal 9 2 2 3 5 2 4" xfId="36399"/>
    <cellStyle name="Normal 9 2 2 3 5 3" xfId="10084"/>
    <cellStyle name="Normal 9 2 2 3 5 3 2" xfId="25128"/>
    <cellStyle name="Normal 9 2 2 3 5 3 3" xfId="40171"/>
    <cellStyle name="Normal 9 2 2 3 5 4" xfId="17607"/>
    <cellStyle name="Normal 9 2 2 3 5 5" xfId="32650"/>
    <cellStyle name="Normal 9 2 2 3 6" xfId="4442"/>
    <cellStyle name="Normal 9 2 2 3 6 2" xfId="11966"/>
    <cellStyle name="Normal 9 2 2 3 6 2 2" xfId="27010"/>
    <cellStyle name="Normal 9 2 2 3 6 2 3" xfId="42053"/>
    <cellStyle name="Normal 9 2 2 3 6 3" xfId="19489"/>
    <cellStyle name="Normal 9 2 2 3 6 4" xfId="34532"/>
    <cellStyle name="Normal 9 2 2 3 7" xfId="8205"/>
    <cellStyle name="Normal 9 2 2 3 7 2" xfId="23249"/>
    <cellStyle name="Normal 9 2 2 3 7 3" xfId="38292"/>
    <cellStyle name="Normal 9 2 2 3 8" xfId="15728"/>
    <cellStyle name="Normal 9 2 2 3 9" xfId="30771"/>
    <cellStyle name="Normal 9 2 2 4" xfId="555"/>
    <cellStyle name="Normal 9 2 2 4 2" xfId="1071"/>
    <cellStyle name="Normal 9 2 2 4 2 2" xfId="2030"/>
    <cellStyle name="Normal 9 2 2 4 2 2 2" xfId="3901"/>
    <cellStyle name="Normal 9 2 2 4 2 2 2 2" xfId="7696"/>
    <cellStyle name="Normal 9 2 2 4 2 2 2 2 2" xfId="15219"/>
    <cellStyle name="Normal 9 2 2 4 2 2 2 2 2 2" xfId="30263"/>
    <cellStyle name="Normal 9 2 2 4 2 2 2 2 2 3" xfId="45306"/>
    <cellStyle name="Normal 9 2 2 4 2 2 2 2 3" xfId="22742"/>
    <cellStyle name="Normal 9 2 2 4 2 2 2 2 4" xfId="37785"/>
    <cellStyle name="Normal 9 2 2 4 2 2 2 3" xfId="11470"/>
    <cellStyle name="Normal 9 2 2 4 2 2 2 3 2" xfId="26514"/>
    <cellStyle name="Normal 9 2 2 4 2 2 2 3 3" xfId="41557"/>
    <cellStyle name="Normal 9 2 2 4 2 2 2 4" xfId="18993"/>
    <cellStyle name="Normal 9 2 2 4 2 2 2 5" xfId="34036"/>
    <cellStyle name="Normal 9 2 2 4 2 2 3" xfId="5831"/>
    <cellStyle name="Normal 9 2 2 4 2 2 3 2" xfId="13354"/>
    <cellStyle name="Normal 9 2 2 4 2 2 3 2 2" xfId="28398"/>
    <cellStyle name="Normal 9 2 2 4 2 2 3 2 3" xfId="43441"/>
    <cellStyle name="Normal 9 2 2 4 2 2 3 3" xfId="20877"/>
    <cellStyle name="Normal 9 2 2 4 2 2 3 4" xfId="35920"/>
    <cellStyle name="Normal 9 2 2 4 2 2 4" xfId="9605"/>
    <cellStyle name="Normal 9 2 2 4 2 2 4 2" xfId="24649"/>
    <cellStyle name="Normal 9 2 2 4 2 2 4 3" xfId="39692"/>
    <cellStyle name="Normal 9 2 2 4 2 2 5" xfId="17128"/>
    <cellStyle name="Normal 9 2 2 4 2 2 6" xfId="32171"/>
    <cellStyle name="Normal 9 2 2 4 2 3" xfId="2969"/>
    <cellStyle name="Normal 9 2 2 4 2 3 2" xfId="6764"/>
    <cellStyle name="Normal 9 2 2 4 2 3 2 2" xfId="14287"/>
    <cellStyle name="Normal 9 2 2 4 2 3 2 2 2" xfId="29331"/>
    <cellStyle name="Normal 9 2 2 4 2 3 2 2 3" xfId="44374"/>
    <cellStyle name="Normal 9 2 2 4 2 3 2 3" xfId="21810"/>
    <cellStyle name="Normal 9 2 2 4 2 3 2 4" xfId="36853"/>
    <cellStyle name="Normal 9 2 2 4 2 3 3" xfId="10538"/>
    <cellStyle name="Normal 9 2 2 4 2 3 3 2" xfId="25582"/>
    <cellStyle name="Normal 9 2 2 4 2 3 3 3" xfId="40625"/>
    <cellStyle name="Normal 9 2 2 4 2 3 4" xfId="18061"/>
    <cellStyle name="Normal 9 2 2 4 2 3 5" xfId="33104"/>
    <cellStyle name="Normal 9 2 2 4 2 4" xfId="4899"/>
    <cellStyle name="Normal 9 2 2 4 2 4 2" xfId="12422"/>
    <cellStyle name="Normal 9 2 2 4 2 4 2 2" xfId="27466"/>
    <cellStyle name="Normal 9 2 2 4 2 4 2 3" xfId="42509"/>
    <cellStyle name="Normal 9 2 2 4 2 4 3" xfId="19945"/>
    <cellStyle name="Normal 9 2 2 4 2 4 4" xfId="34988"/>
    <cellStyle name="Normal 9 2 2 4 2 5" xfId="8673"/>
    <cellStyle name="Normal 9 2 2 4 2 5 2" xfId="23717"/>
    <cellStyle name="Normal 9 2 2 4 2 5 3" xfId="38760"/>
    <cellStyle name="Normal 9 2 2 4 2 6" xfId="16196"/>
    <cellStyle name="Normal 9 2 2 4 2 7" xfId="31239"/>
    <cellStyle name="Normal 9 2 2 4 3" xfId="1578"/>
    <cellStyle name="Normal 9 2 2 4 3 2" xfId="3449"/>
    <cellStyle name="Normal 9 2 2 4 3 2 2" xfId="7244"/>
    <cellStyle name="Normal 9 2 2 4 3 2 2 2" xfId="14767"/>
    <cellStyle name="Normal 9 2 2 4 3 2 2 2 2" xfId="29811"/>
    <cellStyle name="Normal 9 2 2 4 3 2 2 2 3" xfId="44854"/>
    <cellStyle name="Normal 9 2 2 4 3 2 2 3" xfId="22290"/>
    <cellStyle name="Normal 9 2 2 4 3 2 2 4" xfId="37333"/>
    <cellStyle name="Normal 9 2 2 4 3 2 3" xfId="11018"/>
    <cellStyle name="Normal 9 2 2 4 3 2 3 2" xfId="26062"/>
    <cellStyle name="Normal 9 2 2 4 3 2 3 3" xfId="41105"/>
    <cellStyle name="Normal 9 2 2 4 3 2 4" xfId="18541"/>
    <cellStyle name="Normal 9 2 2 4 3 2 5" xfId="33584"/>
    <cellStyle name="Normal 9 2 2 4 3 3" xfId="5379"/>
    <cellStyle name="Normal 9 2 2 4 3 3 2" xfId="12902"/>
    <cellStyle name="Normal 9 2 2 4 3 3 2 2" xfId="27946"/>
    <cellStyle name="Normal 9 2 2 4 3 3 2 3" xfId="42989"/>
    <cellStyle name="Normal 9 2 2 4 3 3 3" xfId="20425"/>
    <cellStyle name="Normal 9 2 2 4 3 3 4" xfId="35468"/>
    <cellStyle name="Normal 9 2 2 4 3 4" xfId="9153"/>
    <cellStyle name="Normal 9 2 2 4 3 4 2" xfId="24197"/>
    <cellStyle name="Normal 9 2 2 4 3 4 3" xfId="39240"/>
    <cellStyle name="Normal 9 2 2 4 3 5" xfId="16676"/>
    <cellStyle name="Normal 9 2 2 4 3 6" xfId="31719"/>
    <cellStyle name="Normal 9 2 2 4 4" xfId="2516"/>
    <cellStyle name="Normal 9 2 2 4 4 2" xfId="6312"/>
    <cellStyle name="Normal 9 2 2 4 4 2 2" xfId="13835"/>
    <cellStyle name="Normal 9 2 2 4 4 2 2 2" xfId="28879"/>
    <cellStyle name="Normal 9 2 2 4 4 2 2 3" xfId="43922"/>
    <cellStyle name="Normal 9 2 2 4 4 2 3" xfId="21358"/>
    <cellStyle name="Normal 9 2 2 4 4 2 4" xfId="36401"/>
    <cellStyle name="Normal 9 2 2 4 4 3" xfId="10086"/>
    <cellStyle name="Normal 9 2 2 4 4 3 2" xfId="25130"/>
    <cellStyle name="Normal 9 2 2 4 4 3 3" xfId="40173"/>
    <cellStyle name="Normal 9 2 2 4 4 4" xfId="17609"/>
    <cellStyle name="Normal 9 2 2 4 4 5" xfId="32652"/>
    <cellStyle name="Normal 9 2 2 4 5" xfId="4444"/>
    <cellStyle name="Normal 9 2 2 4 5 2" xfId="11968"/>
    <cellStyle name="Normal 9 2 2 4 5 2 2" xfId="27012"/>
    <cellStyle name="Normal 9 2 2 4 5 2 3" xfId="42055"/>
    <cellStyle name="Normal 9 2 2 4 5 3" xfId="19491"/>
    <cellStyle name="Normal 9 2 2 4 5 4" xfId="34534"/>
    <cellStyle name="Normal 9 2 2 4 6" xfId="8207"/>
    <cellStyle name="Normal 9 2 2 4 6 2" xfId="23251"/>
    <cellStyle name="Normal 9 2 2 4 6 3" xfId="38294"/>
    <cellStyle name="Normal 9 2 2 4 7" xfId="15730"/>
    <cellStyle name="Normal 9 2 2 4 8" xfId="30773"/>
    <cellStyle name="Normal 9 2 2 5" xfId="1066"/>
    <cellStyle name="Normal 9 2 2 5 2" xfId="2025"/>
    <cellStyle name="Normal 9 2 2 5 2 2" xfId="3896"/>
    <cellStyle name="Normal 9 2 2 5 2 2 2" xfId="7691"/>
    <cellStyle name="Normal 9 2 2 5 2 2 2 2" xfId="15214"/>
    <cellStyle name="Normal 9 2 2 5 2 2 2 2 2" xfId="30258"/>
    <cellStyle name="Normal 9 2 2 5 2 2 2 2 3" xfId="45301"/>
    <cellStyle name="Normal 9 2 2 5 2 2 2 3" xfId="22737"/>
    <cellStyle name="Normal 9 2 2 5 2 2 2 4" xfId="37780"/>
    <cellStyle name="Normal 9 2 2 5 2 2 3" xfId="11465"/>
    <cellStyle name="Normal 9 2 2 5 2 2 3 2" xfId="26509"/>
    <cellStyle name="Normal 9 2 2 5 2 2 3 3" xfId="41552"/>
    <cellStyle name="Normal 9 2 2 5 2 2 4" xfId="18988"/>
    <cellStyle name="Normal 9 2 2 5 2 2 5" xfId="34031"/>
    <cellStyle name="Normal 9 2 2 5 2 3" xfId="5826"/>
    <cellStyle name="Normal 9 2 2 5 2 3 2" xfId="13349"/>
    <cellStyle name="Normal 9 2 2 5 2 3 2 2" xfId="28393"/>
    <cellStyle name="Normal 9 2 2 5 2 3 2 3" xfId="43436"/>
    <cellStyle name="Normal 9 2 2 5 2 3 3" xfId="20872"/>
    <cellStyle name="Normal 9 2 2 5 2 3 4" xfId="35915"/>
    <cellStyle name="Normal 9 2 2 5 2 4" xfId="9600"/>
    <cellStyle name="Normal 9 2 2 5 2 4 2" xfId="24644"/>
    <cellStyle name="Normal 9 2 2 5 2 4 3" xfId="39687"/>
    <cellStyle name="Normal 9 2 2 5 2 5" xfId="17123"/>
    <cellStyle name="Normal 9 2 2 5 2 6" xfId="32166"/>
    <cellStyle name="Normal 9 2 2 5 3" xfId="2964"/>
    <cellStyle name="Normal 9 2 2 5 3 2" xfId="6759"/>
    <cellStyle name="Normal 9 2 2 5 3 2 2" xfId="14282"/>
    <cellStyle name="Normal 9 2 2 5 3 2 2 2" xfId="29326"/>
    <cellStyle name="Normal 9 2 2 5 3 2 2 3" xfId="44369"/>
    <cellStyle name="Normal 9 2 2 5 3 2 3" xfId="21805"/>
    <cellStyle name="Normal 9 2 2 5 3 2 4" xfId="36848"/>
    <cellStyle name="Normal 9 2 2 5 3 3" xfId="10533"/>
    <cellStyle name="Normal 9 2 2 5 3 3 2" xfId="25577"/>
    <cellStyle name="Normal 9 2 2 5 3 3 3" xfId="40620"/>
    <cellStyle name="Normal 9 2 2 5 3 4" xfId="18056"/>
    <cellStyle name="Normal 9 2 2 5 3 5" xfId="33099"/>
    <cellStyle name="Normal 9 2 2 5 4" xfId="4894"/>
    <cellStyle name="Normal 9 2 2 5 4 2" xfId="12417"/>
    <cellStyle name="Normal 9 2 2 5 4 2 2" xfId="27461"/>
    <cellStyle name="Normal 9 2 2 5 4 2 3" xfId="42504"/>
    <cellStyle name="Normal 9 2 2 5 4 3" xfId="19940"/>
    <cellStyle name="Normal 9 2 2 5 4 4" xfId="34983"/>
    <cellStyle name="Normal 9 2 2 5 5" xfId="8668"/>
    <cellStyle name="Normal 9 2 2 5 5 2" xfId="23712"/>
    <cellStyle name="Normal 9 2 2 5 5 3" xfId="38755"/>
    <cellStyle name="Normal 9 2 2 5 6" xfId="16191"/>
    <cellStyle name="Normal 9 2 2 5 7" xfId="31234"/>
    <cellStyle name="Normal 9 2 2 6" xfId="1573"/>
    <cellStyle name="Normal 9 2 2 6 2" xfId="3444"/>
    <cellStyle name="Normal 9 2 2 6 2 2" xfId="7239"/>
    <cellStyle name="Normal 9 2 2 6 2 2 2" xfId="14762"/>
    <cellStyle name="Normal 9 2 2 6 2 2 2 2" xfId="29806"/>
    <cellStyle name="Normal 9 2 2 6 2 2 2 3" xfId="44849"/>
    <cellStyle name="Normal 9 2 2 6 2 2 3" xfId="22285"/>
    <cellStyle name="Normal 9 2 2 6 2 2 4" xfId="37328"/>
    <cellStyle name="Normal 9 2 2 6 2 3" xfId="11013"/>
    <cellStyle name="Normal 9 2 2 6 2 3 2" xfId="26057"/>
    <cellStyle name="Normal 9 2 2 6 2 3 3" xfId="41100"/>
    <cellStyle name="Normal 9 2 2 6 2 4" xfId="18536"/>
    <cellStyle name="Normal 9 2 2 6 2 5" xfId="33579"/>
    <cellStyle name="Normal 9 2 2 6 3" xfId="5374"/>
    <cellStyle name="Normal 9 2 2 6 3 2" xfId="12897"/>
    <cellStyle name="Normal 9 2 2 6 3 2 2" xfId="27941"/>
    <cellStyle name="Normal 9 2 2 6 3 2 3" xfId="42984"/>
    <cellStyle name="Normal 9 2 2 6 3 3" xfId="20420"/>
    <cellStyle name="Normal 9 2 2 6 3 4" xfId="35463"/>
    <cellStyle name="Normal 9 2 2 6 4" xfId="9148"/>
    <cellStyle name="Normal 9 2 2 6 4 2" xfId="24192"/>
    <cellStyle name="Normal 9 2 2 6 4 3" xfId="39235"/>
    <cellStyle name="Normal 9 2 2 6 5" xfId="16671"/>
    <cellStyle name="Normal 9 2 2 6 6" xfId="31714"/>
    <cellStyle name="Normal 9 2 2 7" xfId="2511"/>
    <cellStyle name="Normal 9 2 2 7 2" xfId="6307"/>
    <cellStyle name="Normal 9 2 2 7 2 2" xfId="13830"/>
    <cellStyle name="Normal 9 2 2 7 2 2 2" xfId="28874"/>
    <cellStyle name="Normal 9 2 2 7 2 2 3" xfId="43917"/>
    <cellStyle name="Normal 9 2 2 7 2 3" xfId="21353"/>
    <cellStyle name="Normal 9 2 2 7 2 4" xfId="36396"/>
    <cellStyle name="Normal 9 2 2 7 3" xfId="10081"/>
    <cellStyle name="Normal 9 2 2 7 3 2" xfId="25125"/>
    <cellStyle name="Normal 9 2 2 7 3 3" xfId="40168"/>
    <cellStyle name="Normal 9 2 2 7 4" xfId="17604"/>
    <cellStyle name="Normal 9 2 2 7 5" xfId="32647"/>
    <cellStyle name="Normal 9 2 2 8" xfId="4439"/>
    <cellStyle name="Normal 9 2 2 8 2" xfId="11963"/>
    <cellStyle name="Normal 9 2 2 8 2 2" xfId="27007"/>
    <cellStyle name="Normal 9 2 2 8 2 3" xfId="42050"/>
    <cellStyle name="Normal 9 2 2 8 3" xfId="19486"/>
    <cellStyle name="Normal 9 2 2 8 4" xfId="34529"/>
    <cellStyle name="Normal 9 2 2 9" xfId="8202"/>
    <cellStyle name="Normal 9 2 2 9 2" xfId="23246"/>
    <cellStyle name="Normal 9 2 2 9 3" xfId="38289"/>
    <cellStyle name="Normal 9 2 3" xfId="556"/>
    <cellStyle name="Normal 9 2 3 2" xfId="557"/>
    <cellStyle name="Normal 9 2 3 2 2" xfId="1073"/>
    <cellStyle name="Normal 9 2 3 2 2 2" xfId="2032"/>
    <cellStyle name="Normal 9 2 3 2 2 2 2" xfId="3903"/>
    <cellStyle name="Normal 9 2 3 2 2 2 2 2" xfId="7698"/>
    <cellStyle name="Normal 9 2 3 2 2 2 2 2 2" xfId="15221"/>
    <cellStyle name="Normal 9 2 3 2 2 2 2 2 2 2" xfId="30265"/>
    <cellStyle name="Normal 9 2 3 2 2 2 2 2 2 3" xfId="45308"/>
    <cellStyle name="Normal 9 2 3 2 2 2 2 2 3" xfId="22744"/>
    <cellStyle name="Normal 9 2 3 2 2 2 2 2 4" xfId="37787"/>
    <cellStyle name="Normal 9 2 3 2 2 2 2 3" xfId="11472"/>
    <cellStyle name="Normal 9 2 3 2 2 2 2 3 2" xfId="26516"/>
    <cellStyle name="Normal 9 2 3 2 2 2 2 3 3" xfId="41559"/>
    <cellStyle name="Normal 9 2 3 2 2 2 2 4" xfId="18995"/>
    <cellStyle name="Normal 9 2 3 2 2 2 2 5" xfId="34038"/>
    <cellStyle name="Normal 9 2 3 2 2 2 3" xfId="5833"/>
    <cellStyle name="Normal 9 2 3 2 2 2 3 2" xfId="13356"/>
    <cellStyle name="Normal 9 2 3 2 2 2 3 2 2" xfId="28400"/>
    <cellStyle name="Normal 9 2 3 2 2 2 3 2 3" xfId="43443"/>
    <cellStyle name="Normal 9 2 3 2 2 2 3 3" xfId="20879"/>
    <cellStyle name="Normal 9 2 3 2 2 2 3 4" xfId="35922"/>
    <cellStyle name="Normal 9 2 3 2 2 2 4" xfId="9607"/>
    <cellStyle name="Normal 9 2 3 2 2 2 4 2" xfId="24651"/>
    <cellStyle name="Normal 9 2 3 2 2 2 4 3" xfId="39694"/>
    <cellStyle name="Normal 9 2 3 2 2 2 5" xfId="17130"/>
    <cellStyle name="Normal 9 2 3 2 2 2 6" xfId="32173"/>
    <cellStyle name="Normal 9 2 3 2 2 3" xfId="2971"/>
    <cellStyle name="Normal 9 2 3 2 2 3 2" xfId="6766"/>
    <cellStyle name="Normal 9 2 3 2 2 3 2 2" xfId="14289"/>
    <cellStyle name="Normal 9 2 3 2 2 3 2 2 2" xfId="29333"/>
    <cellStyle name="Normal 9 2 3 2 2 3 2 2 3" xfId="44376"/>
    <cellStyle name="Normal 9 2 3 2 2 3 2 3" xfId="21812"/>
    <cellStyle name="Normal 9 2 3 2 2 3 2 4" xfId="36855"/>
    <cellStyle name="Normal 9 2 3 2 2 3 3" xfId="10540"/>
    <cellStyle name="Normal 9 2 3 2 2 3 3 2" xfId="25584"/>
    <cellStyle name="Normal 9 2 3 2 2 3 3 3" xfId="40627"/>
    <cellStyle name="Normal 9 2 3 2 2 3 4" xfId="18063"/>
    <cellStyle name="Normal 9 2 3 2 2 3 5" xfId="33106"/>
    <cellStyle name="Normal 9 2 3 2 2 4" xfId="4901"/>
    <cellStyle name="Normal 9 2 3 2 2 4 2" xfId="12424"/>
    <cellStyle name="Normal 9 2 3 2 2 4 2 2" xfId="27468"/>
    <cellStyle name="Normal 9 2 3 2 2 4 2 3" xfId="42511"/>
    <cellStyle name="Normal 9 2 3 2 2 4 3" xfId="19947"/>
    <cellStyle name="Normal 9 2 3 2 2 4 4" xfId="34990"/>
    <cellStyle name="Normal 9 2 3 2 2 5" xfId="8675"/>
    <cellStyle name="Normal 9 2 3 2 2 5 2" xfId="23719"/>
    <cellStyle name="Normal 9 2 3 2 2 5 3" xfId="38762"/>
    <cellStyle name="Normal 9 2 3 2 2 6" xfId="16198"/>
    <cellStyle name="Normal 9 2 3 2 2 7" xfId="31241"/>
    <cellStyle name="Normal 9 2 3 2 3" xfId="1580"/>
    <cellStyle name="Normal 9 2 3 2 3 2" xfId="3451"/>
    <cellStyle name="Normal 9 2 3 2 3 2 2" xfId="7246"/>
    <cellStyle name="Normal 9 2 3 2 3 2 2 2" xfId="14769"/>
    <cellStyle name="Normal 9 2 3 2 3 2 2 2 2" xfId="29813"/>
    <cellStyle name="Normal 9 2 3 2 3 2 2 2 3" xfId="44856"/>
    <cellStyle name="Normal 9 2 3 2 3 2 2 3" xfId="22292"/>
    <cellStyle name="Normal 9 2 3 2 3 2 2 4" xfId="37335"/>
    <cellStyle name="Normal 9 2 3 2 3 2 3" xfId="11020"/>
    <cellStyle name="Normal 9 2 3 2 3 2 3 2" xfId="26064"/>
    <cellStyle name="Normal 9 2 3 2 3 2 3 3" xfId="41107"/>
    <cellStyle name="Normal 9 2 3 2 3 2 4" xfId="18543"/>
    <cellStyle name="Normal 9 2 3 2 3 2 5" xfId="33586"/>
    <cellStyle name="Normal 9 2 3 2 3 3" xfId="5381"/>
    <cellStyle name="Normal 9 2 3 2 3 3 2" xfId="12904"/>
    <cellStyle name="Normal 9 2 3 2 3 3 2 2" xfId="27948"/>
    <cellStyle name="Normal 9 2 3 2 3 3 2 3" xfId="42991"/>
    <cellStyle name="Normal 9 2 3 2 3 3 3" xfId="20427"/>
    <cellStyle name="Normal 9 2 3 2 3 3 4" xfId="35470"/>
    <cellStyle name="Normal 9 2 3 2 3 4" xfId="9155"/>
    <cellStyle name="Normal 9 2 3 2 3 4 2" xfId="24199"/>
    <cellStyle name="Normal 9 2 3 2 3 4 3" xfId="39242"/>
    <cellStyle name="Normal 9 2 3 2 3 5" xfId="16678"/>
    <cellStyle name="Normal 9 2 3 2 3 6" xfId="31721"/>
    <cellStyle name="Normal 9 2 3 2 4" xfId="2518"/>
    <cellStyle name="Normal 9 2 3 2 4 2" xfId="6314"/>
    <cellStyle name="Normal 9 2 3 2 4 2 2" xfId="13837"/>
    <cellStyle name="Normal 9 2 3 2 4 2 2 2" xfId="28881"/>
    <cellStyle name="Normal 9 2 3 2 4 2 2 3" xfId="43924"/>
    <cellStyle name="Normal 9 2 3 2 4 2 3" xfId="21360"/>
    <cellStyle name="Normal 9 2 3 2 4 2 4" xfId="36403"/>
    <cellStyle name="Normal 9 2 3 2 4 3" xfId="10088"/>
    <cellStyle name="Normal 9 2 3 2 4 3 2" xfId="25132"/>
    <cellStyle name="Normal 9 2 3 2 4 3 3" xfId="40175"/>
    <cellStyle name="Normal 9 2 3 2 4 4" xfId="17611"/>
    <cellStyle name="Normal 9 2 3 2 4 5" xfId="32654"/>
    <cellStyle name="Normal 9 2 3 2 5" xfId="4446"/>
    <cellStyle name="Normal 9 2 3 2 5 2" xfId="11970"/>
    <cellStyle name="Normal 9 2 3 2 5 2 2" xfId="27014"/>
    <cellStyle name="Normal 9 2 3 2 5 2 3" xfId="42057"/>
    <cellStyle name="Normal 9 2 3 2 5 3" xfId="19493"/>
    <cellStyle name="Normal 9 2 3 2 5 4" xfId="34536"/>
    <cellStyle name="Normal 9 2 3 2 6" xfId="8209"/>
    <cellStyle name="Normal 9 2 3 2 6 2" xfId="23253"/>
    <cellStyle name="Normal 9 2 3 2 6 3" xfId="38296"/>
    <cellStyle name="Normal 9 2 3 2 7" xfId="15732"/>
    <cellStyle name="Normal 9 2 3 2 8" xfId="30775"/>
    <cellStyle name="Normal 9 2 3 3" xfId="1072"/>
    <cellStyle name="Normal 9 2 3 3 2" xfId="2031"/>
    <cellStyle name="Normal 9 2 3 3 2 2" xfId="3902"/>
    <cellStyle name="Normal 9 2 3 3 2 2 2" xfId="7697"/>
    <cellStyle name="Normal 9 2 3 3 2 2 2 2" xfId="15220"/>
    <cellStyle name="Normal 9 2 3 3 2 2 2 2 2" xfId="30264"/>
    <cellStyle name="Normal 9 2 3 3 2 2 2 2 3" xfId="45307"/>
    <cellStyle name="Normal 9 2 3 3 2 2 2 3" xfId="22743"/>
    <cellStyle name="Normal 9 2 3 3 2 2 2 4" xfId="37786"/>
    <cellStyle name="Normal 9 2 3 3 2 2 3" xfId="11471"/>
    <cellStyle name="Normal 9 2 3 3 2 2 3 2" xfId="26515"/>
    <cellStyle name="Normal 9 2 3 3 2 2 3 3" xfId="41558"/>
    <cellStyle name="Normal 9 2 3 3 2 2 4" xfId="18994"/>
    <cellStyle name="Normal 9 2 3 3 2 2 5" xfId="34037"/>
    <cellStyle name="Normal 9 2 3 3 2 3" xfId="5832"/>
    <cellStyle name="Normal 9 2 3 3 2 3 2" xfId="13355"/>
    <cellStyle name="Normal 9 2 3 3 2 3 2 2" xfId="28399"/>
    <cellStyle name="Normal 9 2 3 3 2 3 2 3" xfId="43442"/>
    <cellStyle name="Normal 9 2 3 3 2 3 3" xfId="20878"/>
    <cellStyle name="Normal 9 2 3 3 2 3 4" xfId="35921"/>
    <cellStyle name="Normal 9 2 3 3 2 4" xfId="9606"/>
    <cellStyle name="Normal 9 2 3 3 2 4 2" xfId="24650"/>
    <cellStyle name="Normal 9 2 3 3 2 4 3" xfId="39693"/>
    <cellStyle name="Normal 9 2 3 3 2 5" xfId="17129"/>
    <cellStyle name="Normal 9 2 3 3 2 6" xfId="32172"/>
    <cellStyle name="Normal 9 2 3 3 3" xfId="2970"/>
    <cellStyle name="Normal 9 2 3 3 3 2" xfId="6765"/>
    <cellStyle name="Normal 9 2 3 3 3 2 2" xfId="14288"/>
    <cellStyle name="Normal 9 2 3 3 3 2 2 2" xfId="29332"/>
    <cellStyle name="Normal 9 2 3 3 3 2 2 3" xfId="44375"/>
    <cellStyle name="Normal 9 2 3 3 3 2 3" xfId="21811"/>
    <cellStyle name="Normal 9 2 3 3 3 2 4" xfId="36854"/>
    <cellStyle name="Normal 9 2 3 3 3 3" xfId="10539"/>
    <cellStyle name="Normal 9 2 3 3 3 3 2" xfId="25583"/>
    <cellStyle name="Normal 9 2 3 3 3 3 3" xfId="40626"/>
    <cellStyle name="Normal 9 2 3 3 3 4" xfId="18062"/>
    <cellStyle name="Normal 9 2 3 3 3 5" xfId="33105"/>
    <cellStyle name="Normal 9 2 3 3 4" xfId="4900"/>
    <cellStyle name="Normal 9 2 3 3 4 2" xfId="12423"/>
    <cellStyle name="Normal 9 2 3 3 4 2 2" xfId="27467"/>
    <cellStyle name="Normal 9 2 3 3 4 2 3" xfId="42510"/>
    <cellStyle name="Normal 9 2 3 3 4 3" xfId="19946"/>
    <cellStyle name="Normal 9 2 3 3 4 4" xfId="34989"/>
    <cellStyle name="Normal 9 2 3 3 5" xfId="8674"/>
    <cellStyle name="Normal 9 2 3 3 5 2" xfId="23718"/>
    <cellStyle name="Normal 9 2 3 3 5 3" xfId="38761"/>
    <cellStyle name="Normal 9 2 3 3 6" xfId="16197"/>
    <cellStyle name="Normal 9 2 3 3 7" xfId="31240"/>
    <cellStyle name="Normal 9 2 3 4" xfId="1579"/>
    <cellStyle name="Normal 9 2 3 4 2" xfId="3450"/>
    <cellStyle name="Normal 9 2 3 4 2 2" xfId="7245"/>
    <cellStyle name="Normal 9 2 3 4 2 2 2" xfId="14768"/>
    <cellStyle name="Normal 9 2 3 4 2 2 2 2" xfId="29812"/>
    <cellStyle name="Normal 9 2 3 4 2 2 2 3" xfId="44855"/>
    <cellStyle name="Normal 9 2 3 4 2 2 3" xfId="22291"/>
    <cellStyle name="Normal 9 2 3 4 2 2 4" xfId="37334"/>
    <cellStyle name="Normal 9 2 3 4 2 3" xfId="11019"/>
    <cellStyle name="Normal 9 2 3 4 2 3 2" xfId="26063"/>
    <cellStyle name="Normal 9 2 3 4 2 3 3" xfId="41106"/>
    <cellStyle name="Normal 9 2 3 4 2 4" xfId="18542"/>
    <cellStyle name="Normal 9 2 3 4 2 5" xfId="33585"/>
    <cellStyle name="Normal 9 2 3 4 3" xfId="5380"/>
    <cellStyle name="Normal 9 2 3 4 3 2" xfId="12903"/>
    <cellStyle name="Normal 9 2 3 4 3 2 2" xfId="27947"/>
    <cellStyle name="Normal 9 2 3 4 3 2 3" xfId="42990"/>
    <cellStyle name="Normal 9 2 3 4 3 3" xfId="20426"/>
    <cellStyle name="Normal 9 2 3 4 3 4" xfId="35469"/>
    <cellStyle name="Normal 9 2 3 4 4" xfId="9154"/>
    <cellStyle name="Normal 9 2 3 4 4 2" xfId="24198"/>
    <cellStyle name="Normal 9 2 3 4 4 3" xfId="39241"/>
    <cellStyle name="Normal 9 2 3 4 5" xfId="16677"/>
    <cellStyle name="Normal 9 2 3 4 6" xfId="31720"/>
    <cellStyle name="Normal 9 2 3 5" xfId="2517"/>
    <cellStyle name="Normal 9 2 3 5 2" xfId="6313"/>
    <cellStyle name="Normal 9 2 3 5 2 2" xfId="13836"/>
    <cellStyle name="Normal 9 2 3 5 2 2 2" xfId="28880"/>
    <cellStyle name="Normal 9 2 3 5 2 2 3" xfId="43923"/>
    <cellStyle name="Normal 9 2 3 5 2 3" xfId="21359"/>
    <cellStyle name="Normal 9 2 3 5 2 4" xfId="36402"/>
    <cellStyle name="Normal 9 2 3 5 3" xfId="10087"/>
    <cellStyle name="Normal 9 2 3 5 3 2" xfId="25131"/>
    <cellStyle name="Normal 9 2 3 5 3 3" xfId="40174"/>
    <cellStyle name="Normal 9 2 3 5 4" xfId="17610"/>
    <cellStyle name="Normal 9 2 3 5 5" xfId="32653"/>
    <cellStyle name="Normal 9 2 3 6" xfId="4445"/>
    <cellStyle name="Normal 9 2 3 6 2" xfId="11969"/>
    <cellStyle name="Normal 9 2 3 6 2 2" xfId="27013"/>
    <cellStyle name="Normal 9 2 3 6 2 3" xfId="42056"/>
    <cellStyle name="Normal 9 2 3 6 3" xfId="19492"/>
    <cellStyle name="Normal 9 2 3 6 4" xfId="34535"/>
    <cellStyle name="Normal 9 2 3 7" xfId="8208"/>
    <cellStyle name="Normal 9 2 3 7 2" xfId="23252"/>
    <cellStyle name="Normal 9 2 3 7 3" xfId="38295"/>
    <cellStyle name="Normal 9 2 3 8" xfId="15731"/>
    <cellStyle name="Normal 9 2 3 9" xfId="30774"/>
    <cellStyle name="Normal 9 2 4" xfId="558"/>
    <cellStyle name="Normal 9 2 4 2" xfId="559"/>
    <cellStyle name="Normal 9 2 4 2 2" xfId="1075"/>
    <cellStyle name="Normal 9 2 4 2 2 2" xfId="2034"/>
    <cellStyle name="Normal 9 2 4 2 2 2 2" xfId="3905"/>
    <cellStyle name="Normal 9 2 4 2 2 2 2 2" xfId="7700"/>
    <cellStyle name="Normal 9 2 4 2 2 2 2 2 2" xfId="15223"/>
    <cellStyle name="Normal 9 2 4 2 2 2 2 2 2 2" xfId="30267"/>
    <cellStyle name="Normal 9 2 4 2 2 2 2 2 2 3" xfId="45310"/>
    <cellStyle name="Normal 9 2 4 2 2 2 2 2 3" xfId="22746"/>
    <cellStyle name="Normal 9 2 4 2 2 2 2 2 4" xfId="37789"/>
    <cellStyle name="Normal 9 2 4 2 2 2 2 3" xfId="11474"/>
    <cellStyle name="Normal 9 2 4 2 2 2 2 3 2" xfId="26518"/>
    <cellStyle name="Normal 9 2 4 2 2 2 2 3 3" xfId="41561"/>
    <cellStyle name="Normal 9 2 4 2 2 2 2 4" xfId="18997"/>
    <cellStyle name="Normal 9 2 4 2 2 2 2 5" xfId="34040"/>
    <cellStyle name="Normal 9 2 4 2 2 2 3" xfId="5835"/>
    <cellStyle name="Normal 9 2 4 2 2 2 3 2" xfId="13358"/>
    <cellStyle name="Normal 9 2 4 2 2 2 3 2 2" xfId="28402"/>
    <cellStyle name="Normal 9 2 4 2 2 2 3 2 3" xfId="43445"/>
    <cellStyle name="Normal 9 2 4 2 2 2 3 3" xfId="20881"/>
    <cellStyle name="Normal 9 2 4 2 2 2 3 4" xfId="35924"/>
    <cellStyle name="Normal 9 2 4 2 2 2 4" xfId="9609"/>
    <cellStyle name="Normal 9 2 4 2 2 2 4 2" xfId="24653"/>
    <cellStyle name="Normal 9 2 4 2 2 2 4 3" xfId="39696"/>
    <cellStyle name="Normal 9 2 4 2 2 2 5" xfId="17132"/>
    <cellStyle name="Normal 9 2 4 2 2 2 6" xfId="32175"/>
    <cellStyle name="Normal 9 2 4 2 2 3" xfId="2973"/>
    <cellStyle name="Normal 9 2 4 2 2 3 2" xfId="6768"/>
    <cellStyle name="Normal 9 2 4 2 2 3 2 2" xfId="14291"/>
    <cellStyle name="Normal 9 2 4 2 2 3 2 2 2" xfId="29335"/>
    <cellStyle name="Normal 9 2 4 2 2 3 2 2 3" xfId="44378"/>
    <cellStyle name="Normal 9 2 4 2 2 3 2 3" xfId="21814"/>
    <cellStyle name="Normal 9 2 4 2 2 3 2 4" xfId="36857"/>
    <cellStyle name="Normal 9 2 4 2 2 3 3" xfId="10542"/>
    <cellStyle name="Normal 9 2 4 2 2 3 3 2" xfId="25586"/>
    <cellStyle name="Normal 9 2 4 2 2 3 3 3" xfId="40629"/>
    <cellStyle name="Normal 9 2 4 2 2 3 4" xfId="18065"/>
    <cellStyle name="Normal 9 2 4 2 2 3 5" xfId="33108"/>
    <cellStyle name="Normal 9 2 4 2 2 4" xfId="4903"/>
    <cellStyle name="Normal 9 2 4 2 2 4 2" xfId="12426"/>
    <cellStyle name="Normal 9 2 4 2 2 4 2 2" xfId="27470"/>
    <cellStyle name="Normal 9 2 4 2 2 4 2 3" xfId="42513"/>
    <cellStyle name="Normal 9 2 4 2 2 4 3" xfId="19949"/>
    <cellStyle name="Normal 9 2 4 2 2 4 4" xfId="34992"/>
    <cellStyle name="Normal 9 2 4 2 2 5" xfId="8677"/>
    <cellStyle name="Normal 9 2 4 2 2 5 2" xfId="23721"/>
    <cellStyle name="Normal 9 2 4 2 2 5 3" xfId="38764"/>
    <cellStyle name="Normal 9 2 4 2 2 6" xfId="16200"/>
    <cellStyle name="Normal 9 2 4 2 2 7" xfId="31243"/>
    <cellStyle name="Normal 9 2 4 2 3" xfId="1582"/>
    <cellStyle name="Normal 9 2 4 2 3 2" xfId="3453"/>
    <cellStyle name="Normal 9 2 4 2 3 2 2" xfId="7248"/>
    <cellStyle name="Normal 9 2 4 2 3 2 2 2" xfId="14771"/>
    <cellStyle name="Normal 9 2 4 2 3 2 2 2 2" xfId="29815"/>
    <cellStyle name="Normal 9 2 4 2 3 2 2 2 3" xfId="44858"/>
    <cellStyle name="Normal 9 2 4 2 3 2 2 3" xfId="22294"/>
    <cellStyle name="Normal 9 2 4 2 3 2 2 4" xfId="37337"/>
    <cellStyle name="Normal 9 2 4 2 3 2 3" xfId="11022"/>
    <cellStyle name="Normal 9 2 4 2 3 2 3 2" xfId="26066"/>
    <cellStyle name="Normal 9 2 4 2 3 2 3 3" xfId="41109"/>
    <cellStyle name="Normal 9 2 4 2 3 2 4" xfId="18545"/>
    <cellStyle name="Normal 9 2 4 2 3 2 5" xfId="33588"/>
    <cellStyle name="Normal 9 2 4 2 3 3" xfId="5383"/>
    <cellStyle name="Normal 9 2 4 2 3 3 2" xfId="12906"/>
    <cellStyle name="Normal 9 2 4 2 3 3 2 2" xfId="27950"/>
    <cellStyle name="Normal 9 2 4 2 3 3 2 3" xfId="42993"/>
    <cellStyle name="Normal 9 2 4 2 3 3 3" xfId="20429"/>
    <cellStyle name="Normal 9 2 4 2 3 3 4" xfId="35472"/>
    <cellStyle name="Normal 9 2 4 2 3 4" xfId="9157"/>
    <cellStyle name="Normal 9 2 4 2 3 4 2" xfId="24201"/>
    <cellStyle name="Normal 9 2 4 2 3 4 3" xfId="39244"/>
    <cellStyle name="Normal 9 2 4 2 3 5" xfId="16680"/>
    <cellStyle name="Normal 9 2 4 2 3 6" xfId="31723"/>
    <cellStyle name="Normal 9 2 4 2 4" xfId="2520"/>
    <cellStyle name="Normal 9 2 4 2 4 2" xfId="6316"/>
    <cellStyle name="Normal 9 2 4 2 4 2 2" xfId="13839"/>
    <cellStyle name="Normal 9 2 4 2 4 2 2 2" xfId="28883"/>
    <cellStyle name="Normal 9 2 4 2 4 2 2 3" xfId="43926"/>
    <cellStyle name="Normal 9 2 4 2 4 2 3" xfId="21362"/>
    <cellStyle name="Normal 9 2 4 2 4 2 4" xfId="36405"/>
    <cellStyle name="Normal 9 2 4 2 4 3" xfId="10090"/>
    <cellStyle name="Normal 9 2 4 2 4 3 2" xfId="25134"/>
    <cellStyle name="Normal 9 2 4 2 4 3 3" xfId="40177"/>
    <cellStyle name="Normal 9 2 4 2 4 4" xfId="17613"/>
    <cellStyle name="Normal 9 2 4 2 4 5" xfId="32656"/>
    <cellStyle name="Normal 9 2 4 2 5" xfId="4448"/>
    <cellStyle name="Normal 9 2 4 2 5 2" xfId="11972"/>
    <cellStyle name="Normal 9 2 4 2 5 2 2" xfId="27016"/>
    <cellStyle name="Normal 9 2 4 2 5 2 3" xfId="42059"/>
    <cellStyle name="Normal 9 2 4 2 5 3" xfId="19495"/>
    <cellStyle name="Normal 9 2 4 2 5 4" xfId="34538"/>
    <cellStyle name="Normal 9 2 4 2 6" xfId="8211"/>
    <cellStyle name="Normal 9 2 4 2 6 2" xfId="23255"/>
    <cellStyle name="Normal 9 2 4 2 6 3" xfId="38298"/>
    <cellStyle name="Normal 9 2 4 2 7" xfId="15734"/>
    <cellStyle name="Normal 9 2 4 2 8" xfId="30777"/>
    <cellStyle name="Normal 9 2 4 3" xfId="1074"/>
    <cellStyle name="Normal 9 2 4 3 2" xfId="2033"/>
    <cellStyle name="Normal 9 2 4 3 2 2" xfId="3904"/>
    <cellStyle name="Normal 9 2 4 3 2 2 2" xfId="7699"/>
    <cellStyle name="Normal 9 2 4 3 2 2 2 2" xfId="15222"/>
    <cellStyle name="Normal 9 2 4 3 2 2 2 2 2" xfId="30266"/>
    <cellStyle name="Normal 9 2 4 3 2 2 2 2 3" xfId="45309"/>
    <cellStyle name="Normal 9 2 4 3 2 2 2 3" xfId="22745"/>
    <cellStyle name="Normal 9 2 4 3 2 2 2 4" xfId="37788"/>
    <cellStyle name="Normal 9 2 4 3 2 2 3" xfId="11473"/>
    <cellStyle name="Normal 9 2 4 3 2 2 3 2" xfId="26517"/>
    <cellStyle name="Normal 9 2 4 3 2 2 3 3" xfId="41560"/>
    <cellStyle name="Normal 9 2 4 3 2 2 4" xfId="18996"/>
    <cellStyle name="Normal 9 2 4 3 2 2 5" xfId="34039"/>
    <cellStyle name="Normal 9 2 4 3 2 3" xfId="5834"/>
    <cellStyle name="Normal 9 2 4 3 2 3 2" xfId="13357"/>
    <cellStyle name="Normal 9 2 4 3 2 3 2 2" xfId="28401"/>
    <cellStyle name="Normal 9 2 4 3 2 3 2 3" xfId="43444"/>
    <cellStyle name="Normal 9 2 4 3 2 3 3" xfId="20880"/>
    <cellStyle name="Normal 9 2 4 3 2 3 4" xfId="35923"/>
    <cellStyle name="Normal 9 2 4 3 2 4" xfId="9608"/>
    <cellStyle name="Normal 9 2 4 3 2 4 2" xfId="24652"/>
    <cellStyle name="Normal 9 2 4 3 2 4 3" xfId="39695"/>
    <cellStyle name="Normal 9 2 4 3 2 5" xfId="17131"/>
    <cellStyle name="Normal 9 2 4 3 2 6" xfId="32174"/>
    <cellStyle name="Normal 9 2 4 3 3" xfId="2972"/>
    <cellStyle name="Normal 9 2 4 3 3 2" xfId="6767"/>
    <cellStyle name="Normal 9 2 4 3 3 2 2" xfId="14290"/>
    <cellStyle name="Normal 9 2 4 3 3 2 2 2" xfId="29334"/>
    <cellStyle name="Normal 9 2 4 3 3 2 2 3" xfId="44377"/>
    <cellStyle name="Normal 9 2 4 3 3 2 3" xfId="21813"/>
    <cellStyle name="Normal 9 2 4 3 3 2 4" xfId="36856"/>
    <cellStyle name="Normal 9 2 4 3 3 3" xfId="10541"/>
    <cellStyle name="Normal 9 2 4 3 3 3 2" xfId="25585"/>
    <cellStyle name="Normal 9 2 4 3 3 3 3" xfId="40628"/>
    <cellStyle name="Normal 9 2 4 3 3 4" xfId="18064"/>
    <cellStyle name="Normal 9 2 4 3 3 5" xfId="33107"/>
    <cellStyle name="Normal 9 2 4 3 4" xfId="4902"/>
    <cellStyle name="Normal 9 2 4 3 4 2" xfId="12425"/>
    <cellStyle name="Normal 9 2 4 3 4 2 2" xfId="27469"/>
    <cellStyle name="Normal 9 2 4 3 4 2 3" xfId="42512"/>
    <cellStyle name="Normal 9 2 4 3 4 3" xfId="19948"/>
    <cellStyle name="Normal 9 2 4 3 4 4" xfId="34991"/>
    <cellStyle name="Normal 9 2 4 3 5" xfId="8676"/>
    <cellStyle name="Normal 9 2 4 3 5 2" xfId="23720"/>
    <cellStyle name="Normal 9 2 4 3 5 3" xfId="38763"/>
    <cellStyle name="Normal 9 2 4 3 6" xfId="16199"/>
    <cellStyle name="Normal 9 2 4 3 7" xfId="31242"/>
    <cellStyle name="Normal 9 2 4 4" xfId="1581"/>
    <cellStyle name="Normal 9 2 4 4 2" xfId="3452"/>
    <cellStyle name="Normal 9 2 4 4 2 2" xfId="7247"/>
    <cellStyle name="Normal 9 2 4 4 2 2 2" xfId="14770"/>
    <cellStyle name="Normal 9 2 4 4 2 2 2 2" xfId="29814"/>
    <cellStyle name="Normal 9 2 4 4 2 2 2 3" xfId="44857"/>
    <cellStyle name="Normal 9 2 4 4 2 2 3" xfId="22293"/>
    <cellStyle name="Normal 9 2 4 4 2 2 4" xfId="37336"/>
    <cellStyle name="Normal 9 2 4 4 2 3" xfId="11021"/>
    <cellStyle name="Normal 9 2 4 4 2 3 2" xfId="26065"/>
    <cellStyle name="Normal 9 2 4 4 2 3 3" xfId="41108"/>
    <cellStyle name="Normal 9 2 4 4 2 4" xfId="18544"/>
    <cellStyle name="Normal 9 2 4 4 2 5" xfId="33587"/>
    <cellStyle name="Normal 9 2 4 4 3" xfId="5382"/>
    <cellStyle name="Normal 9 2 4 4 3 2" xfId="12905"/>
    <cellStyle name="Normal 9 2 4 4 3 2 2" xfId="27949"/>
    <cellStyle name="Normal 9 2 4 4 3 2 3" xfId="42992"/>
    <cellStyle name="Normal 9 2 4 4 3 3" xfId="20428"/>
    <cellStyle name="Normal 9 2 4 4 3 4" xfId="35471"/>
    <cellStyle name="Normal 9 2 4 4 4" xfId="9156"/>
    <cellStyle name="Normal 9 2 4 4 4 2" xfId="24200"/>
    <cellStyle name="Normal 9 2 4 4 4 3" xfId="39243"/>
    <cellStyle name="Normal 9 2 4 4 5" xfId="16679"/>
    <cellStyle name="Normal 9 2 4 4 6" xfId="31722"/>
    <cellStyle name="Normal 9 2 4 5" xfId="2519"/>
    <cellStyle name="Normal 9 2 4 5 2" xfId="6315"/>
    <cellStyle name="Normal 9 2 4 5 2 2" xfId="13838"/>
    <cellStyle name="Normal 9 2 4 5 2 2 2" xfId="28882"/>
    <cellStyle name="Normal 9 2 4 5 2 2 3" xfId="43925"/>
    <cellStyle name="Normal 9 2 4 5 2 3" xfId="21361"/>
    <cellStyle name="Normal 9 2 4 5 2 4" xfId="36404"/>
    <cellStyle name="Normal 9 2 4 5 3" xfId="10089"/>
    <cellStyle name="Normal 9 2 4 5 3 2" xfId="25133"/>
    <cellStyle name="Normal 9 2 4 5 3 3" xfId="40176"/>
    <cellStyle name="Normal 9 2 4 5 4" xfId="17612"/>
    <cellStyle name="Normal 9 2 4 5 5" xfId="32655"/>
    <cellStyle name="Normal 9 2 4 6" xfId="4447"/>
    <cellStyle name="Normal 9 2 4 6 2" xfId="11971"/>
    <cellStyle name="Normal 9 2 4 6 2 2" xfId="27015"/>
    <cellStyle name="Normal 9 2 4 6 2 3" xfId="42058"/>
    <cellStyle name="Normal 9 2 4 6 3" xfId="19494"/>
    <cellStyle name="Normal 9 2 4 6 4" xfId="34537"/>
    <cellStyle name="Normal 9 2 4 7" xfId="8210"/>
    <cellStyle name="Normal 9 2 4 7 2" xfId="23254"/>
    <cellStyle name="Normal 9 2 4 7 3" xfId="38297"/>
    <cellStyle name="Normal 9 2 4 8" xfId="15733"/>
    <cellStyle name="Normal 9 2 4 9" xfId="30776"/>
    <cellStyle name="Normal 9 2 5" xfId="560"/>
    <cellStyle name="Normal 9 2 5 2" xfId="1076"/>
    <cellStyle name="Normal 9 2 5 2 2" xfId="2035"/>
    <cellStyle name="Normal 9 2 5 2 2 2" xfId="3906"/>
    <cellStyle name="Normal 9 2 5 2 2 2 2" xfId="7701"/>
    <cellStyle name="Normal 9 2 5 2 2 2 2 2" xfId="15224"/>
    <cellStyle name="Normal 9 2 5 2 2 2 2 2 2" xfId="30268"/>
    <cellStyle name="Normal 9 2 5 2 2 2 2 2 3" xfId="45311"/>
    <cellStyle name="Normal 9 2 5 2 2 2 2 3" xfId="22747"/>
    <cellStyle name="Normal 9 2 5 2 2 2 2 4" xfId="37790"/>
    <cellStyle name="Normal 9 2 5 2 2 2 3" xfId="11475"/>
    <cellStyle name="Normal 9 2 5 2 2 2 3 2" xfId="26519"/>
    <cellStyle name="Normal 9 2 5 2 2 2 3 3" xfId="41562"/>
    <cellStyle name="Normal 9 2 5 2 2 2 4" xfId="18998"/>
    <cellStyle name="Normal 9 2 5 2 2 2 5" xfId="34041"/>
    <cellStyle name="Normal 9 2 5 2 2 3" xfId="5836"/>
    <cellStyle name="Normal 9 2 5 2 2 3 2" xfId="13359"/>
    <cellStyle name="Normal 9 2 5 2 2 3 2 2" xfId="28403"/>
    <cellStyle name="Normal 9 2 5 2 2 3 2 3" xfId="43446"/>
    <cellStyle name="Normal 9 2 5 2 2 3 3" xfId="20882"/>
    <cellStyle name="Normal 9 2 5 2 2 3 4" xfId="35925"/>
    <cellStyle name="Normal 9 2 5 2 2 4" xfId="9610"/>
    <cellStyle name="Normal 9 2 5 2 2 4 2" xfId="24654"/>
    <cellStyle name="Normal 9 2 5 2 2 4 3" xfId="39697"/>
    <cellStyle name="Normal 9 2 5 2 2 5" xfId="17133"/>
    <cellStyle name="Normal 9 2 5 2 2 6" xfId="32176"/>
    <cellStyle name="Normal 9 2 5 2 3" xfId="2974"/>
    <cellStyle name="Normal 9 2 5 2 3 2" xfId="6769"/>
    <cellStyle name="Normal 9 2 5 2 3 2 2" xfId="14292"/>
    <cellStyle name="Normal 9 2 5 2 3 2 2 2" xfId="29336"/>
    <cellStyle name="Normal 9 2 5 2 3 2 2 3" xfId="44379"/>
    <cellStyle name="Normal 9 2 5 2 3 2 3" xfId="21815"/>
    <cellStyle name="Normal 9 2 5 2 3 2 4" xfId="36858"/>
    <cellStyle name="Normal 9 2 5 2 3 3" xfId="10543"/>
    <cellStyle name="Normal 9 2 5 2 3 3 2" xfId="25587"/>
    <cellStyle name="Normal 9 2 5 2 3 3 3" xfId="40630"/>
    <cellStyle name="Normal 9 2 5 2 3 4" xfId="18066"/>
    <cellStyle name="Normal 9 2 5 2 3 5" xfId="33109"/>
    <cellStyle name="Normal 9 2 5 2 4" xfId="4904"/>
    <cellStyle name="Normal 9 2 5 2 4 2" xfId="12427"/>
    <cellStyle name="Normal 9 2 5 2 4 2 2" xfId="27471"/>
    <cellStyle name="Normal 9 2 5 2 4 2 3" xfId="42514"/>
    <cellStyle name="Normal 9 2 5 2 4 3" xfId="19950"/>
    <cellStyle name="Normal 9 2 5 2 4 4" xfId="34993"/>
    <cellStyle name="Normal 9 2 5 2 5" xfId="8678"/>
    <cellStyle name="Normal 9 2 5 2 5 2" xfId="23722"/>
    <cellStyle name="Normal 9 2 5 2 5 3" xfId="38765"/>
    <cellStyle name="Normal 9 2 5 2 6" xfId="16201"/>
    <cellStyle name="Normal 9 2 5 2 7" xfId="31244"/>
    <cellStyle name="Normal 9 2 5 3" xfId="1583"/>
    <cellStyle name="Normal 9 2 5 3 2" xfId="3454"/>
    <cellStyle name="Normal 9 2 5 3 2 2" xfId="7249"/>
    <cellStyle name="Normal 9 2 5 3 2 2 2" xfId="14772"/>
    <cellStyle name="Normal 9 2 5 3 2 2 2 2" xfId="29816"/>
    <cellStyle name="Normal 9 2 5 3 2 2 2 3" xfId="44859"/>
    <cellStyle name="Normal 9 2 5 3 2 2 3" xfId="22295"/>
    <cellStyle name="Normal 9 2 5 3 2 2 4" xfId="37338"/>
    <cellStyle name="Normal 9 2 5 3 2 3" xfId="11023"/>
    <cellStyle name="Normal 9 2 5 3 2 3 2" xfId="26067"/>
    <cellStyle name="Normal 9 2 5 3 2 3 3" xfId="41110"/>
    <cellStyle name="Normal 9 2 5 3 2 4" xfId="18546"/>
    <cellStyle name="Normal 9 2 5 3 2 5" xfId="33589"/>
    <cellStyle name="Normal 9 2 5 3 3" xfId="5384"/>
    <cellStyle name="Normal 9 2 5 3 3 2" xfId="12907"/>
    <cellStyle name="Normal 9 2 5 3 3 2 2" xfId="27951"/>
    <cellStyle name="Normal 9 2 5 3 3 2 3" xfId="42994"/>
    <cellStyle name="Normal 9 2 5 3 3 3" xfId="20430"/>
    <cellStyle name="Normal 9 2 5 3 3 4" xfId="35473"/>
    <cellStyle name="Normal 9 2 5 3 4" xfId="9158"/>
    <cellStyle name="Normal 9 2 5 3 4 2" xfId="24202"/>
    <cellStyle name="Normal 9 2 5 3 4 3" xfId="39245"/>
    <cellStyle name="Normal 9 2 5 3 5" xfId="16681"/>
    <cellStyle name="Normal 9 2 5 3 6" xfId="31724"/>
    <cellStyle name="Normal 9 2 5 4" xfId="2521"/>
    <cellStyle name="Normal 9 2 5 4 2" xfId="6317"/>
    <cellStyle name="Normal 9 2 5 4 2 2" xfId="13840"/>
    <cellStyle name="Normal 9 2 5 4 2 2 2" xfId="28884"/>
    <cellStyle name="Normal 9 2 5 4 2 2 3" xfId="43927"/>
    <cellStyle name="Normal 9 2 5 4 2 3" xfId="21363"/>
    <cellStyle name="Normal 9 2 5 4 2 4" xfId="36406"/>
    <cellStyle name="Normal 9 2 5 4 3" xfId="10091"/>
    <cellStyle name="Normal 9 2 5 4 3 2" xfId="25135"/>
    <cellStyle name="Normal 9 2 5 4 3 3" xfId="40178"/>
    <cellStyle name="Normal 9 2 5 4 4" xfId="17614"/>
    <cellStyle name="Normal 9 2 5 4 5" xfId="32657"/>
    <cellStyle name="Normal 9 2 5 5" xfId="4449"/>
    <cellStyle name="Normal 9 2 5 5 2" xfId="11973"/>
    <cellStyle name="Normal 9 2 5 5 2 2" xfId="27017"/>
    <cellStyle name="Normal 9 2 5 5 2 3" xfId="42060"/>
    <cellStyle name="Normal 9 2 5 5 3" xfId="19496"/>
    <cellStyle name="Normal 9 2 5 5 4" xfId="34539"/>
    <cellStyle name="Normal 9 2 5 6" xfId="8212"/>
    <cellStyle name="Normal 9 2 5 6 2" xfId="23256"/>
    <cellStyle name="Normal 9 2 5 6 3" xfId="38299"/>
    <cellStyle name="Normal 9 2 5 7" xfId="15735"/>
    <cellStyle name="Normal 9 2 5 8" xfId="30778"/>
    <cellStyle name="Normal 9 2 6" xfId="1065"/>
    <cellStyle name="Normal 9 2 6 2" xfId="2024"/>
    <cellStyle name="Normal 9 2 6 2 2" xfId="3895"/>
    <cellStyle name="Normal 9 2 6 2 2 2" xfId="7690"/>
    <cellStyle name="Normal 9 2 6 2 2 2 2" xfId="15213"/>
    <cellStyle name="Normal 9 2 6 2 2 2 2 2" xfId="30257"/>
    <cellStyle name="Normal 9 2 6 2 2 2 2 3" xfId="45300"/>
    <cellStyle name="Normal 9 2 6 2 2 2 3" xfId="22736"/>
    <cellStyle name="Normal 9 2 6 2 2 2 4" xfId="37779"/>
    <cellStyle name="Normal 9 2 6 2 2 3" xfId="11464"/>
    <cellStyle name="Normal 9 2 6 2 2 3 2" xfId="26508"/>
    <cellStyle name="Normal 9 2 6 2 2 3 3" xfId="41551"/>
    <cellStyle name="Normal 9 2 6 2 2 4" xfId="18987"/>
    <cellStyle name="Normal 9 2 6 2 2 5" xfId="34030"/>
    <cellStyle name="Normal 9 2 6 2 3" xfId="5825"/>
    <cellStyle name="Normal 9 2 6 2 3 2" xfId="13348"/>
    <cellStyle name="Normal 9 2 6 2 3 2 2" xfId="28392"/>
    <cellStyle name="Normal 9 2 6 2 3 2 3" xfId="43435"/>
    <cellStyle name="Normal 9 2 6 2 3 3" xfId="20871"/>
    <cellStyle name="Normal 9 2 6 2 3 4" xfId="35914"/>
    <cellStyle name="Normal 9 2 6 2 4" xfId="9599"/>
    <cellStyle name="Normal 9 2 6 2 4 2" xfId="24643"/>
    <cellStyle name="Normal 9 2 6 2 4 3" xfId="39686"/>
    <cellStyle name="Normal 9 2 6 2 5" xfId="17122"/>
    <cellStyle name="Normal 9 2 6 2 6" xfId="32165"/>
    <cellStyle name="Normal 9 2 6 3" xfId="2963"/>
    <cellStyle name="Normal 9 2 6 3 2" xfId="6758"/>
    <cellStyle name="Normal 9 2 6 3 2 2" xfId="14281"/>
    <cellStyle name="Normal 9 2 6 3 2 2 2" xfId="29325"/>
    <cellStyle name="Normal 9 2 6 3 2 2 3" xfId="44368"/>
    <cellStyle name="Normal 9 2 6 3 2 3" xfId="21804"/>
    <cellStyle name="Normal 9 2 6 3 2 4" xfId="36847"/>
    <cellStyle name="Normal 9 2 6 3 3" xfId="10532"/>
    <cellStyle name="Normal 9 2 6 3 3 2" xfId="25576"/>
    <cellStyle name="Normal 9 2 6 3 3 3" xfId="40619"/>
    <cellStyle name="Normal 9 2 6 3 4" xfId="18055"/>
    <cellStyle name="Normal 9 2 6 3 5" xfId="33098"/>
    <cellStyle name="Normal 9 2 6 4" xfId="4893"/>
    <cellStyle name="Normal 9 2 6 4 2" xfId="12416"/>
    <cellStyle name="Normal 9 2 6 4 2 2" xfId="27460"/>
    <cellStyle name="Normal 9 2 6 4 2 3" xfId="42503"/>
    <cellStyle name="Normal 9 2 6 4 3" xfId="19939"/>
    <cellStyle name="Normal 9 2 6 4 4" xfId="34982"/>
    <cellStyle name="Normal 9 2 6 5" xfId="8667"/>
    <cellStyle name="Normal 9 2 6 5 2" xfId="23711"/>
    <cellStyle name="Normal 9 2 6 5 3" xfId="38754"/>
    <cellStyle name="Normal 9 2 6 6" xfId="16190"/>
    <cellStyle name="Normal 9 2 6 7" xfId="31233"/>
    <cellStyle name="Normal 9 2 7" xfId="1572"/>
    <cellStyle name="Normal 9 2 7 2" xfId="3443"/>
    <cellStyle name="Normal 9 2 7 2 2" xfId="7238"/>
    <cellStyle name="Normal 9 2 7 2 2 2" xfId="14761"/>
    <cellStyle name="Normal 9 2 7 2 2 2 2" xfId="29805"/>
    <cellStyle name="Normal 9 2 7 2 2 2 3" xfId="44848"/>
    <cellStyle name="Normal 9 2 7 2 2 3" xfId="22284"/>
    <cellStyle name="Normal 9 2 7 2 2 4" xfId="37327"/>
    <cellStyle name="Normal 9 2 7 2 3" xfId="11012"/>
    <cellStyle name="Normal 9 2 7 2 3 2" xfId="26056"/>
    <cellStyle name="Normal 9 2 7 2 3 3" xfId="41099"/>
    <cellStyle name="Normal 9 2 7 2 4" xfId="18535"/>
    <cellStyle name="Normal 9 2 7 2 5" xfId="33578"/>
    <cellStyle name="Normal 9 2 7 3" xfId="5373"/>
    <cellStyle name="Normal 9 2 7 3 2" xfId="12896"/>
    <cellStyle name="Normal 9 2 7 3 2 2" xfId="27940"/>
    <cellStyle name="Normal 9 2 7 3 2 3" xfId="42983"/>
    <cellStyle name="Normal 9 2 7 3 3" xfId="20419"/>
    <cellStyle name="Normal 9 2 7 3 4" xfId="35462"/>
    <cellStyle name="Normal 9 2 7 4" xfId="9147"/>
    <cellStyle name="Normal 9 2 7 4 2" xfId="24191"/>
    <cellStyle name="Normal 9 2 7 4 3" xfId="39234"/>
    <cellStyle name="Normal 9 2 7 5" xfId="16670"/>
    <cellStyle name="Normal 9 2 7 6" xfId="31713"/>
    <cellStyle name="Normal 9 2 8" xfId="2510"/>
    <cellStyle name="Normal 9 2 8 2" xfId="6306"/>
    <cellStyle name="Normal 9 2 8 2 2" xfId="13829"/>
    <cellStyle name="Normal 9 2 8 2 2 2" xfId="28873"/>
    <cellStyle name="Normal 9 2 8 2 2 3" xfId="43916"/>
    <cellStyle name="Normal 9 2 8 2 3" xfId="21352"/>
    <cellStyle name="Normal 9 2 8 2 4" xfId="36395"/>
    <cellStyle name="Normal 9 2 8 3" xfId="10080"/>
    <cellStyle name="Normal 9 2 8 3 2" xfId="25124"/>
    <cellStyle name="Normal 9 2 8 3 3" xfId="40167"/>
    <cellStyle name="Normal 9 2 8 4" xfId="17603"/>
    <cellStyle name="Normal 9 2 8 5" xfId="32646"/>
    <cellStyle name="Normal 9 2 9" xfId="4438"/>
    <cellStyle name="Normal 9 2 9 2" xfId="11962"/>
    <cellStyle name="Normal 9 2 9 2 2" xfId="27006"/>
    <cellStyle name="Normal 9 2 9 2 3" xfId="42049"/>
    <cellStyle name="Normal 9 2 9 3" xfId="19485"/>
    <cellStyle name="Normal 9 2 9 4" xfId="34528"/>
    <cellStyle name="Normal 9 3" xfId="561"/>
    <cellStyle name="Normal 9 3 10" xfId="15736"/>
    <cellStyle name="Normal 9 3 11" xfId="30779"/>
    <cellStyle name="Normal 9 3 2" xfId="562"/>
    <cellStyle name="Normal 9 3 2 2" xfId="563"/>
    <cellStyle name="Normal 9 3 2 2 2" xfId="1079"/>
    <cellStyle name="Normal 9 3 2 2 2 2" xfId="2038"/>
    <cellStyle name="Normal 9 3 2 2 2 2 2" xfId="3909"/>
    <cellStyle name="Normal 9 3 2 2 2 2 2 2" xfId="7704"/>
    <cellStyle name="Normal 9 3 2 2 2 2 2 2 2" xfId="15227"/>
    <cellStyle name="Normal 9 3 2 2 2 2 2 2 2 2" xfId="30271"/>
    <cellStyle name="Normal 9 3 2 2 2 2 2 2 2 3" xfId="45314"/>
    <cellStyle name="Normal 9 3 2 2 2 2 2 2 3" xfId="22750"/>
    <cellStyle name="Normal 9 3 2 2 2 2 2 2 4" xfId="37793"/>
    <cellStyle name="Normal 9 3 2 2 2 2 2 3" xfId="11478"/>
    <cellStyle name="Normal 9 3 2 2 2 2 2 3 2" xfId="26522"/>
    <cellStyle name="Normal 9 3 2 2 2 2 2 3 3" xfId="41565"/>
    <cellStyle name="Normal 9 3 2 2 2 2 2 4" xfId="19001"/>
    <cellStyle name="Normal 9 3 2 2 2 2 2 5" xfId="34044"/>
    <cellStyle name="Normal 9 3 2 2 2 2 3" xfId="5839"/>
    <cellStyle name="Normal 9 3 2 2 2 2 3 2" xfId="13362"/>
    <cellStyle name="Normal 9 3 2 2 2 2 3 2 2" xfId="28406"/>
    <cellStyle name="Normal 9 3 2 2 2 2 3 2 3" xfId="43449"/>
    <cellStyle name="Normal 9 3 2 2 2 2 3 3" xfId="20885"/>
    <cellStyle name="Normal 9 3 2 2 2 2 3 4" xfId="35928"/>
    <cellStyle name="Normal 9 3 2 2 2 2 4" xfId="9613"/>
    <cellStyle name="Normal 9 3 2 2 2 2 4 2" xfId="24657"/>
    <cellStyle name="Normal 9 3 2 2 2 2 4 3" xfId="39700"/>
    <cellStyle name="Normal 9 3 2 2 2 2 5" xfId="17136"/>
    <cellStyle name="Normal 9 3 2 2 2 2 6" xfId="32179"/>
    <cellStyle name="Normal 9 3 2 2 2 3" xfId="2977"/>
    <cellStyle name="Normal 9 3 2 2 2 3 2" xfId="6772"/>
    <cellStyle name="Normal 9 3 2 2 2 3 2 2" xfId="14295"/>
    <cellStyle name="Normal 9 3 2 2 2 3 2 2 2" xfId="29339"/>
    <cellStyle name="Normal 9 3 2 2 2 3 2 2 3" xfId="44382"/>
    <cellStyle name="Normal 9 3 2 2 2 3 2 3" xfId="21818"/>
    <cellStyle name="Normal 9 3 2 2 2 3 2 4" xfId="36861"/>
    <cellStyle name="Normal 9 3 2 2 2 3 3" xfId="10546"/>
    <cellStyle name="Normal 9 3 2 2 2 3 3 2" xfId="25590"/>
    <cellStyle name="Normal 9 3 2 2 2 3 3 3" xfId="40633"/>
    <cellStyle name="Normal 9 3 2 2 2 3 4" xfId="18069"/>
    <cellStyle name="Normal 9 3 2 2 2 3 5" xfId="33112"/>
    <cellStyle name="Normal 9 3 2 2 2 4" xfId="4907"/>
    <cellStyle name="Normal 9 3 2 2 2 4 2" xfId="12430"/>
    <cellStyle name="Normal 9 3 2 2 2 4 2 2" xfId="27474"/>
    <cellStyle name="Normal 9 3 2 2 2 4 2 3" xfId="42517"/>
    <cellStyle name="Normal 9 3 2 2 2 4 3" xfId="19953"/>
    <cellStyle name="Normal 9 3 2 2 2 4 4" xfId="34996"/>
    <cellStyle name="Normal 9 3 2 2 2 5" xfId="8681"/>
    <cellStyle name="Normal 9 3 2 2 2 5 2" xfId="23725"/>
    <cellStyle name="Normal 9 3 2 2 2 5 3" xfId="38768"/>
    <cellStyle name="Normal 9 3 2 2 2 6" xfId="16204"/>
    <cellStyle name="Normal 9 3 2 2 2 7" xfId="31247"/>
    <cellStyle name="Normal 9 3 2 2 3" xfId="1586"/>
    <cellStyle name="Normal 9 3 2 2 3 2" xfId="3457"/>
    <cellStyle name="Normal 9 3 2 2 3 2 2" xfId="7252"/>
    <cellStyle name="Normal 9 3 2 2 3 2 2 2" xfId="14775"/>
    <cellStyle name="Normal 9 3 2 2 3 2 2 2 2" xfId="29819"/>
    <cellStyle name="Normal 9 3 2 2 3 2 2 2 3" xfId="44862"/>
    <cellStyle name="Normal 9 3 2 2 3 2 2 3" xfId="22298"/>
    <cellStyle name="Normal 9 3 2 2 3 2 2 4" xfId="37341"/>
    <cellStyle name="Normal 9 3 2 2 3 2 3" xfId="11026"/>
    <cellStyle name="Normal 9 3 2 2 3 2 3 2" xfId="26070"/>
    <cellStyle name="Normal 9 3 2 2 3 2 3 3" xfId="41113"/>
    <cellStyle name="Normal 9 3 2 2 3 2 4" xfId="18549"/>
    <cellStyle name="Normal 9 3 2 2 3 2 5" xfId="33592"/>
    <cellStyle name="Normal 9 3 2 2 3 3" xfId="5387"/>
    <cellStyle name="Normal 9 3 2 2 3 3 2" xfId="12910"/>
    <cellStyle name="Normal 9 3 2 2 3 3 2 2" xfId="27954"/>
    <cellStyle name="Normal 9 3 2 2 3 3 2 3" xfId="42997"/>
    <cellStyle name="Normal 9 3 2 2 3 3 3" xfId="20433"/>
    <cellStyle name="Normal 9 3 2 2 3 3 4" xfId="35476"/>
    <cellStyle name="Normal 9 3 2 2 3 4" xfId="9161"/>
    <cellStyle name="Normal 9 3 2 2 3 4 2" xfId="24205"/>
    <cellStyle name="Normal 9 3 2 2 3 4 3" xfId="39248"/>
    <cellStyle name="Normal 9 3 2 2 3 5" xfId="16684"/>
    <cellStyle name="Normal 9 3 2 2 3 6" xfId="31727"/>
    <cellStyle name="Normal 9 3 2 2 4" xfId="2524"/>
    <cellStyle name="Normal 9 3 2 2 4 2" xfId="6320"/>
    <cellStyle name="Normal 9 3 2 2 4 2 2" xfId="13843"/>
    <cellStyle name="Normal 9 3 2 2 4 2 2 2" xfId="28887"/>
    <cellStyle name="Normal 9 3 2 2 4 2 2 3" xfId="43930"/>
    <cellStyle name="Normal 9 3 2 2 4 2 3" xfId="21366"/>
    <cellStyle name="Normal 9 3 2 2 4 2 4" xfId="36409"/>
    <cellStyle name="Normal 9 3 2 2 4 3" xfId="10094"/>
    <cellStyle name="Normal 9 3 2 2 4 3 2" xfId="25138"/>
    <cellStyle name="Normal 9 3 2 2 4 3 3" xfId="40181"/>
    <cellStyle name="Normal 9 3 2 2 4 4" xfId="17617"/>
    <cellStyle name="Normal 9 3 2 2 4 5" xfId="32660"/>
    <cellStyle name="Normal 9 3 2 2 5" xfId="4452"/>
    <cellStyle name="Normal 9 3 2 2 5 2" xfId="11976"/>
    <cellStyle name="Normal 9 3 2 2 5 2 2" xfId="27020"/>
    <cellStyle name="Normal 9 3 2 2 5 2 3" xfId="42063"/>
    <cellStyle name="Normal 9 3 2 2 5 3" xfId="19499"/>
    <cellStyle name="Normal 9 3 2 2 5 4" xfId="34542"/>
    <cellStyle name="Normal 9 3 2 2 6" xfId="8215"/>
    <cellStyle name="Normal 9 3 2 2 6 2" xfId="23259"/>
    <cellStyle name="Normal 9 3 2 2 6 3" xfId="38302"/>
    <cellStyle name="Normal 9 3 2 2 7" xfId="15738"/>
    <cellStyle name="Normal 9 3 2 2 8" xfId="30781"/>
    <cellStyle name="Normal 9 3 2 3" xfId="1078"/>
    <cellStyle name="Normal 9 3 2 3 2" xfId="2037"/>
    <cellStyle name="Normal 9 3 2 3 2 2" xfId="3908"/>
    <cellStyle name="Normal 9 3 2 3 2 2 2" xfId="7703"/>
    <cellStyle name="Normal 9 3 2 3 2 2 2 2" xfId="15226"/>
    <cellStyle name="Normal 9 3 2 3 2 2 2 2 2" xfId="30270"/>
    <cellStyle name="Normal 9 3 2 3 2 2 2 2 3" xfId="45313"/>
    <cellStyle name="Normal 9 3 2 3 2 2 2 3" xfId="22749"/>
    <cellStyle name="Normal 9 3 2 3 2 2 2 4" xfId="37792"/>
    <cellStyle name="Normal 9 3 2 3 2 2 3" xfId="11477"/>
    <cellStyle name="Normal 9 3 2 3 2 2 3 2" xfId="26521"/>
    <cellStyle name="Normal 9 3 2 3 2 2 3 3" xfId="41564"/>
    <cellStyle name="Normal 9 3 2 3 2 2 4" xfId="19000"/>
    <cellStyle name="Normal 9 3 2 3 2 2 5" xfId="34043"/>
    <cellStyle name="Normal 9 3 2 3 2 3" xfId="5838"/>
    <cellStyle name="Normal 9 3 2 3 2 3 2" xfId="13361"/>
    <cellStyle name="Normal 9 3 2 3 2 3 2 2" xfId="28405"/>
    <cellStyle name="Normal 9 3 2 3 2 3 2 3" xfId="43448"/>
    <cellStyle name="Normal 9 3 2 3 2 3 3" xfId="20884"/>
    <cellStyle name="Normal 9 3 2 3 2 3 4" xfId="35927"/>
    <cellStyle name="Normal 9 3 2 3 2 4" xfId="9612"/>
    <cellStyle name="Normal 9 3 2 3 2 4 2" xfId="24656"/>
    <cellStyle name="Normal 9 3 2 3 2 4 3" xfId="39699"/>
    <cellStyle name="Normal 9 3 2 3 2 5" xfId="17135"/>
    <cellStyle name="Normal 9 3 2 3 2 6" xfId="32178"/>
    <cellStyle name="Normal 9 3 2 3 3" xfId="2976"/>
    <cellStyle name="Normal 9 3 2 3 3 2" xfId="6771"/>
    <cellStyle name="Normal 9 3 2 3 3 2 2" xfId="14294"/>
    <cellStyle name="Normal 9 3 2 3 3 2 2 2" xfId="29338"/>
    <cellStyle name="Normal 9 3 2 3 3 2 2 3" xfId="44381"/>
    <cellStyle name="Normal 9 3 2 3 3 2 3" xfId="21817"/>
    <cellStyle name="Normal 9 3 2 3 3 2 4" xfId="36860"/>
    <cellStyle name="Normal 9 3 2 3 3 3" xfId="10545"/>
    <cellStyle name="Normal 9 3 2 3 3 3 2" xfId="25589"/>
    <cellStyle name="Normal 9 3 2 3 3 3 3" xfId="40632"/>
    <cellStyle name="Normal 9 3 2 3 3 4" xfId="18068"/>
    <cellStyle name="Normal 9 3 2 3 3 5" xfId="33111"/>
    <cellStyle name="Normal 9 3 2 3 4" xfId="4906"/>
    <cellStyle name="Normal 9 3 2 3 4 2" xfId="12429"/>
    <cellStyle name="Normal 9 3 2 3 4 2 2" xfId="27473"/>
    <cellStyle name="Normal 9 3 2 3 4 2 3" xfId="42516"/>
    <cellStyle name="Normal 9 3 2 3 4 3" xfId="19952"/>
    <cellStyle name="Normal 9 3 2 3 4 4" xfId="34995"/>
    <cellStyle name="Normal 9 3 2 3 5" xfId="8680"/>
    <cellStyle name="Normal 9 3 2 3 5 2" xfId="23724"/>
    <cellStyle name="Normal 9 3 2 3 5 3" xfId="38767"/>
    <cellStyle name="Normal 9 3 2 3 6" xfId="16203"/>
    <cellStyle name="Normal 9 3 2 3 7" xfId="31246"/>
    <cellStyle name="Normal 9 3 2 4" xfId="1585"/>
    <cellStyle name="Normal 9 3 2 4 2" xfId="3456"/>
    <cellStyle name="Normal 9 3 2 4 2 2" xfId="7251"/>
    <cellStyle name="Normal 9 3 2 4 2 2 2" xfId="14774"/>
    <cellStyle name="Normal 9 3 2 4 2 2 2 2" xfId="29818"/>
    <cellStyle name="Normal 9 3 2 4 2 2 2 3" xfId="44861"/>
    <cellStyle name="Normal 9 3 2 4 2 2 3" xfId="22297"/>
    <cellStyle name="Normal 9 3 2 4 2 2 4" xfId="37340"/>
    <cellStyle name="Normal 9 3 2 4 2 3" xfId="11025"/>
    <cellStyle name="Normal 9 3 2 4 2 3 2" xfId="26069"/>
    <cellStyle name="Normal 9 3 2 4 2 3 3" xfId="41112"/>
    <cellStyle name="Normal 9 3 2 4 2 4" xfId="18548"/>
    <cellStyle name="Normal 9 3 2 4 2 5" xfId="33591"/>
    <cellStyle name="Normal 9 3 2 4 3" xfId="5386"/>
    <cellStyle name="Normal 9 3 2 4 3 2" xfId="12909"/>
    <cellStyle name="Normal 9 3 2 4 3 2 2" xfId="27953"/>
    <cellStyle name="Normal 9 3 2 4 3 2 3" xfId="42996"/>
    <cellStyle name="Normal 9 3 2 4 3 3" xfId="20432"/>
    <cellStyle name="Normal 9 3 2 4 3 4" xfId="35475"/>
    <cellStyle name="Normal 9 3 2 4 4" xfId="9160"/>
    <cellStyle name="Normal 9 3 2 4 4 2" xfId="24204"/>
    <cellStyle name="Normal 9 3 2 4 4 3" xfId="39247"/>
    <cellStyle name="Normal 9 3 2 4 5" xfId="16683"/>
    <cellStyle name="Normal 9 3 2 4 6" xfId="31726"/>
    <cellStyle name="Normal 9 3 2 5" xfId="2523"/>
    <cellStyle name="Normal 9 3 2 5 2" xfId="6319"/>
    <cellStyle name="Normal 9 3 2 5 2 2" xfId="13842"/>
    <cellStyle name="Normal 9 3 2 5 2 2 2" xfId="28886"/>
    <cellStyle name="Normal 9 3 2 5 2 2 3" xfId="43929"/>
    <cellStyle name="Normal 9 3 2 5 2 3" xfId="21365"/>
    <cellStyle name="Normal 9 3 2 5 2 4" xfId="36408"/>
    <cellStyle name="Normal 9 3 2 5 3" xfId="10093"/>
    <cellStyle name="Normal 9 3 2 5 3 2" xfId="25137"/>
    <cellStyle name="Normal 9 3 2 5 3 3" xfId="40180"/>
    <cellStyle name="Normal 9 3 2 5 4" xfId="17616"/>
    <cellStyle name="Normal 9 3 2 5 5" xfId="32659"/>
    <cellStyle name="Normal 9 3 2 6" xfId="4451"/>
    <cellStyle name="Normal 9 3 2 6 2" xfId="11975"/>
    <cellStyle name="Normal 9 3 2 6 2 2" xfId="27019"/>
    <cellStyle name="Normal 9 3 2 6 2 3" xfId="42062"/>
    <cellStyle name="Normal 9 3 2 6 3" xfId="19498"/>
    <cellStyle name="Normal 9 3 2 6 4" xfId="34541"/>
    <cellStyle name="Normal 9 3 2 7" xfId="8214"/>
    <cellStyle name="Normal 9 3 2 7 2" xfId="23258"/>
    <cellStyle name="Normal 9 3 2 7 3" xfId="38301"/>
    <cellStyle name="Normal 9 3 2 8" xfId="15737"/>
    <cellStyle name="Normal 9 3 2 9" xfId="30780"/>
    <cellStyle name="Normal 9 3 3" xfId="564"/>
    <cellStyle name="Normal 9 3 3 2" xfId="565"/>
    <cellStyle name="Normal 9 3 3 2 2" xfId="1081"/>
    <cellStyle name="Normal 9 3 3 2 2 2" xfId="2040"/>
    <cellStyle name="Normal 9 3 3 2 2 2 2" xfId="3911"/>
    <cellStyle name="Normal 9 3 3 2 2 2 2 2" xfId="7706"/>
    <cellStyle name="Normal 9 3 3 2 2 2 2 2 2" xfId="15229"/>
    <cellStyle name="Normal 9 3 3 2 2 2 2 2 2 2" xfId="30273"/>
    <cellStyle name="Normal 9 3 3 2 2 2 2 2 2 3" xfId="45316"/>
    <cellStyle name="Normal 9 3 3 2 2 2 2 2 3" xfId="22752"/>
    <cellStyle name="Normal 9 3 3 2 2 2 2 2 4" xfId="37795"/>
    <cellStyle name="Normal 9 3 3 2 2 2 2 3" xfId="11480"/>
    <cellStyle name="Normal 9 3 3 2 2 2 2 3 2" xfId="26524"/>
    <cellStyle name="Normal 9 3 3 2 2 2 2 3 3" xfId="41567"/>
    <cellStyle name="Normal 9 3 3 2 2 2 2 4" xfId="19003"/>
    <cellStyle name="Normal 9 3 3 2 2 2 2 5" xfId="34046"/>
    <cellStyle name="Normal 9 3 3 2 2 2 3" xfId="5841"/>
    <cellStyle name="Normal 9 3 3 2 2 2 3 2" xfId="13364"/>
    <cellStyle name="Normal 9 3 3 2 2 2 3 2 2" xfId="28408"/>
    <cellStyle name="Normal 9 3 3 2 2 2 3 2 3" xfId="43451"/>
    <cellStyle name="Normal 9 3 3 2 2 2 3 3" xfId="20887"/>
    <cellStyle name="Normal 9 3 3 2 2 2 3 4" xfId="35930"/>
    <cellStyle name="Normal 9 3 3 2 2 2 4" xfId="9615"/>
    <cellStyle name="Normal 9 3 3 2 2 2 4 2" xfId="24659"/>
    <cellStyle name="Normal 9 3 3 2 2 2 4 3" xfId="39702"/>
    <cellStyle name="Normal 9 3 3 2 2 2 5" xfId="17138"/>
    <cellStyle name="Normal 9 3 3 2 2 2 6" xfId="32181"/>
    <cellStyle name="Normal 9 3 3 2 2 3" xfId="2979"/>
    <cellStyle name="Normal 9 3 3 2 2 3 2" xfId="6774"/>
    <cellStyle name="Normal 9 3 3 2 2 3 2 2" xfId="14297"/>
    <cellStyle name="Normal 9 3 3 2 2 3 2 2 2" xfId="29341"/>
    <cellStyle name="Normal 9 3 3 2 2 3 2 2 3" xfId="44384"/>
    <cellStyle name="Normal 9 3 3 2 2 3 2 3" xfId="21820"/>
    <cellStyle name="Normal 9 3 3 2 2 3 2 4" xfId="36863"/>
    <cellStyle name="Normal 9 3 3 2 2 3 3" xfId="10548"/>
    <cellStyle name="Normal 9 3 3 2 2 3 3 2" xfId="25592"/>
    <cellStyle name="Normal 9 3 3 2 2 3 3 3" xfId="40635"/>
    <cellStyle name="Normal 9 3 3 2 2 3 4" xfId="18071"/>
    <cellStyle name="Normal 9 3 3 2 2 3 5" xfId="33114"/>
    <cellStyle name="Normal 9 3 3 2 2 4" xfId="4909"/>
    <cellStyle name="Normal 9 3 3 2 2 4 2" xfId="12432"/>
    <cellStyle name="Normal 9 3 3 2 2 4 2 2" xfId="27476"/>
    <cellStyle name="Normal 9 3 3 2 2 4 2 3" xfId="42519"/>
    <cellStyle name="Normal 9 3 3 2 2 4 3" xfId="19955"/>
    <cellStyle name="Normal 9 3 3 2 2 4 4" xfId="34998"/>
    <cellStyle name="Normal 9 3 3 2 2 5" xfId="8683"/>
    <cellStyle name="Normal 9 3 3 2 2 5 2" xfId="23727"/>
    <cellStyle name="Normal 9 3 3 2 2 5 3" xfId="38770"/>
    <cellStyle name="Normal 9 3 3 2 2 6" xfId="16206"/>
    <cellStyle name="Normal 9 3 3 2 2 7" xfId="31249"/>
    <cellStyle name="Normal 9 3 3 2 3" xfId="1588"/>
    <cellStyle name="Normal 9 3 3 2 3 2" xfId="3459"/>
    <cellStyle name="Normal 9 3 3 2 3 2 2" xfId="7254"/>
    <cellStyle name="Normal 9 3 3 2 3 2 2 2" xfId="14777"/>
    <cellStyle name="Normal 9 3 3 2 3 2 2 2 2" xfId="29821"/>
    <cellStyle name="Normal 9 3 3 2 3 2 2 2 3" xfId="44864"/>
    <cellStyle name="Normal 9 3 3 2 3 2 2 3" xfId="22300"/>
    <cellStyle name="Normal 9 3 3 2 3 2 2 4" xfId="37343"/>
    <cellStyle name="Normal 9 3 3 2 3 2 3" xfId="11028"/>
    <cellStyle name="Normal 9 3 3 2 3 2 3 2" xfId="26072"/>
    <cellStyle name="Normal 9 3 3 2 3 2 3 3" xfId="41115"/>
    <cellStyle name="Normal 9 3 3 2 3 2 4" xfId="18551"/>
    <cellStyle name="Normal 9 3 3 2 3 2 5" xfId="33594"/>
    <cellStyle name="Normal 9 3 3 2 3 3" xfId="5389"/>
    <cellStyle name="Normal 9 3 3 2 3 3 2" xfId="12912"/>
    <cellStyle name="Normal 9 3 3 2 3 3 2 2" xfId="27956"/>
    <cellStyle name="Normal 9 3 3 2 3 3 2 3" xfId="42999"/>
    <cellStyle name="Normal 9 3 3 2 3 3 3" xfId="20435"/>
    <cellStyle name="Normal 9 3 3 2 3 3 4" xfId="35478"/>
    <cellStyle name="Normal 9 3 3 2 3 4" xfId="9163"/>
    <cellStyle name="Normal 9 3 3 2 3 4 2" xfId="24207"/>
    <cellStyle name="Normal 9 3 3 2 3 4 3" xfId="39250"/>
    <cellStyle name="Normal 9 3 3 2 3 5" xfId="16686"/>
    <cellStyle name="Normal 9 3 3 2 3 6" xfId="31729"/>
    <cellStyle name="Normal 9 3 3 2 4" xfId="2526"/>
    <cellStyle name="Normal 9 3 3 2 4 2" xfId="6322"/>
    <cellStyle name="Normal 9 3 3 2 4 2 2" xfId="13845"/>
    <cellStyle name="Normal 9 3 3 2 4 2 2 2" xfId="28889"/>
    <cellStyle name="Normal 9 3 3 2 4 2 2 3" xfId="43932"/>
    <cellStyle name="Normal 9 3 3 2 4 2 3" xfId="21368"/>
    <cellStyle name="Normal 9 3 3 2 4 2 4" xfId="36411"/>
    <cellStyle name="Normal 9 3 3 2 4 3" xfId="10096"/>
    <cellStyle name="Normal 9 3 3 2 4 3 2" xfId="25140"/>
    <cellStyle name="Normal 9 3 3 2 4 3 3" xfId="40183"/>
    <cellStyle name="Normal 9 3 3 2 4 4" xfId="17619"/>
    <cellStyle name="Normal 9 3 3 2 4 5" xfId="32662"/>
    <cellStyle name="Normal 9 3 3 2 5" xfId="4454"/>
    <cellStyle name="Normal 9 3 3 2 5 2" xfId="11978"/>
    <cellStyle name="Normal 9 3 3 2 5 2 2" xfId="27022"/>
    <cellStyle name="Normal 9 3 3 2 5 2 3" xfId="42065"/>
    <cellStyle name="Normal 9 3 3 2 5 3" xfId="19501"/>
    <cellStyle name="Normal 9 3 3 2 5 4" xfId="34544"/>
    <cellStyle name="Normal 9 3 3 2 6" xfId="8217"/>
    <cellStyle name="Normal 9 3 3 2 6 2" xfId="23261"/>
    <cellStyle name="Normal 9 3 3 2 6 3" xfId="38304"/>
    <cellStyle name="Normal 9 3 3 2 7" xfId="15740"/>
    <cellStyle name="Normal 9 3 3 2 8" xfId="30783"/>
    <cellStyle name="Normal 9 3 3 3" xfId="1080"/>
    <cellStyle name="Normal 9 3 3 3 2" xfId="2039"/>
    <cellStyle name="Normal 9 3 3 3 2 2" xfId="3910"/>
    <cellStyle name="Normal 9 3 3 3 2 2 2" xfId="7705"/>
    <cellStyle name="Normal 9 3 3 3 2 2 2 2" xfId="15228"/>
    <cellStyle name="Normal 9 3 3 3 2 2 2 2 2" xfId="30272"/>
    <cellStyle name="Normal 9 3 3 3 2 2 2 2 3" xfId="45315"/>
    <cellStyle name="Normal 9 3 3 3 2 2 2 3" xfId="22751"/>
    <cellStyle name="Normal 9 3 3 3 2 2 2 4" xfId="37794"/>
    <cellStyle name="Normal 9 3 3 3 2 2 3" xfId="11479"/>
    <cellStyle name="Normal 9 3 3 3 2 2 3 2" xfId="26523"/>
    <cellStyle name="Normal 9 3 3 3 2 2 3 3" xfId="41566"/>
    <cellStyle name="Normal 9 3 3 3 2 2 4" xfId="19002"/>
    <cellStyle name="Normal 9 3 3 3 2 2 5" xfId="34045"/>
    <cellStyle name="Normal 9 3 3 3 2 3" xfId="5840"/>
    <cellStyle name="Normal 9 3 3 3 2 3 2" xfId="13363"/>
    <cellStyle name="Normal 9 3 3 3 2 3 2 2" xfId="28407"/>
    <cellStyle name="Normal 9 3 3 3 2 3 2 3" xfId="43450"/>
    <cellStyle name="Normal 9 3 3 3 2 3 3" xfId="20886"/>
    <cellStyle name="Normal 9 3 3 3 2 3 4" xfId="35929"/>
    <cellStyle name="Normal 9 3 3 3 2 4" xfId="9614"/>
    <cellStyle name="Normal 9 3 3 3 2 4 2" xfId="24658"/>
    <cellStyle name="Normal 9 3 3 3 2 4 3" xfId="39701"/>
    <cellStyle name="Normal 9 3 3 3 2 5" xfId="17137"/>
    <cellStyle name="Normal 9 3 3 3 2 6" xfId="32180"/>
    <cellStyle name="Normal 9 3 3 3 3" xfId="2978"/>
    <cellStyle name="Normal 9 3 3 3 3 2" xfId="6773"/>
    <cellStyle name="Normal 9 3 3 3 3 2 2" xfId="14296"/>
    <cellStyle name="Normal 9 3 3 3 3 2 2 2" xfId="29340"/>
    <cellStyle name="Normal 9 3 3 3 3 2 2 3" xfId="44383"/>
    <cellStyle name="Normal 9 3 3 3 3 2 3" xfId="21819"/>
    <cellStyle name="Normal 9 3 3 3 3 2 4" xfId="36862"/>
    <cellStyle name="Normal 9 3 3 3 3 3" xfId="10547"/>
    <cellStyle name="Normal 9 3 3 3 3 3 2" xfId="25591"/>
    <cellStyle name="Normal 9 3 3 3 3 3 3" xfId="40634"/>
    <cellStyle name="Normal 9 3 3 3 3 4" xfId="18070"/>
    <cellStyle name="Normal 9 3 3 3 3 5" xfId="33113"/>
    <cellStyle name="Normal 9 3 3 3 4" xfId="4908"/>
    <cellStyle name="Normal 9 3 3 3 4 2" xfId="12431"/>
    <cellStyle name="Normal 9 3 3 3 4 2 2" xfId="27475"/>
    <cellStyle name="Normal 9 3 3 3 4 2 3" xfId="42518"/>
    <cellStyle name="Normal 9 3 3 3 4 3" xfId="19954"/>
    <cellStyle name="Normal 9 3 3 3 4 4" xfId="34997"/>
    <cellStyle name="Normal 9 3 3 3 5" xfId="8682"/>
    <cellStyle name="Normal 9 3 3 3 5 2" xfId="23726"/>
    <cellStyle name="Normal 9 3 3 3 5 3" xfId="38769"/>
    <cellStyle name="Normal 9 3 3 3 6" xfId="16205"/>
    <cellStyle name="Normal 9 3 3 3 7" xfId="31248"/>
    <cellStyle name="Normal 9 3 3 4" xfId="1587"/>
    <cellStyle name="Normal 9 3 3 4 2" xfId="3458"/>
    <cellStyle name="Normal 9 3 3 4 2 2" xfId="7253"/>
    <cellStyle name="Normal 9 3 3 4 2 2 2" xfId="14776"/>
    <cellStyle name="Normal 9 3 3 4 2 2 2 2" xfId="29820"/>
    <cellStyle name="Normal 9 3 3 4 2 2 2 3" xfId="44863"/>
    <cellStyle name="Normal 9 3 3 4 2 2 3" xfId="22299"/>
    <cellStyle name="Normal 9 3 3 4 2 2 4" xfId="37342"/>
    <cellStyle name="Normal 9 3 3 4 2 3" xfId="11027"/>
    <cellStyle name="Normal 9 3 3 4 2 3 2" xfId="26071"/>
    <cellStyle name="Normal 9 3 3 4 2 3 3" xfId="41114"/>
    <cellStyle name="Normal 9 3 3 4 2 4" xfId="18550"/>
    <cellStyle name="Normal 9 3 3 4 2 5" xfId="33593"/>
    <cellStyle name="Normal 9 3 3 4 3" xfId="5388"/>
    <cellStyle name="Normal 9 3 3 4 3 2" xfId="12911"/>
    <cellStyle name="Normal 9 3 3 4 3 2 2" xfId="27955"/>
    <cellStyle name="Normal 9 3 3 4 3 2 3" xfId="42998"/>
    <cellStyle name="Normal 9 3 3 4 3 3" xfId="20434"/>
    <cellStyle name="Normal 9 3 3 4 3 4" xfId="35477"/>
    <cellStyle name="Normal 9 3 3 4 4" xfId="9162"/>
    <cellStyle name="Normal 9 3 3 4 4 2" xfId="24206"/>
    <cellStyle name="Normal 9 3 3 4 4 3" xfId="39249"/>
    <cellStyle name="Normal 9 3 3 4 5" xfId="16685"/>
    <cellStyle name="Normal 9 3 3 4 6" xfId="31728"/>
    <cellStyle name="Normal 9 3 3 5" xfId="2525"/>
    <cellStyle name="Normal 9 3 3 5 2" xfId="6321"/>
    <cellStyle name="Normal 9 3 3 5 2 2" xfId="13844"/>
    <cellStyle name="Normal 9 3 3 5 2 2 2" xfId="28888"/>
    <cellStyle name="Normal 9 3 3 5 2 2 3" xfId="43931"/>
    <cellStyle name="Normal 9 3 3 5 2 3" xfId="21367"/>
    <cellStyle name="Normal 9 3 3 5 2 4" xfId="36410"/>
    <cellStyle name="Normal 9 3 3 5 3" xfId="10095"/>
    <cellStyle name="Normal 9 3 3 5 3 2" xfId="25139"/>
    <cellStyle name="Normal 9 3 3 5 3 3" xfId="40182"/>
    <cellStyle name="Normal 9 3 3 5 4" xfId="17618"/>
    <cellStyle name="Normal 9 3 3 5 5" xfId="32661"/>
    <cellStyle name="Normal 9 3 3 6" xfId="4453"/>
    <cellStyle name="Normal 9 3 3 6 2" xfId="11977"/>
    <cellStyle name="Normal 9 3 3 6 2 2" xfId="27021"/>
    <cellStyle name="Normal 9 3 3 6 2 3" xfId="42064"/>
    <cellStyle name="Normal 9 3 3 6 3" xfId="19500"/>
    <cellStyle name="Normal 9 3 3 6 4" xfId="34543"/>
    <cellStyle name="Normal 9 3 3 7" xfId="8216"/>
    <cellStyle name="Normal 9 3 3 7 2" xfId="23260"/>
    <cellStyle name="Normal 9 3 3 7 3" xfId="38303"/>
    <cellStyle name="Normal 9 3 3 8" xfId="15739"/>
    <cellStyle name="Normal 9 3 3 9" xfId="30782"/>
    <cellStyle name="Normal 9 3 4" xfId="566"/>
    <cellStyle name="Normal 9 3 4 2" xfId="1082"/>
    <cellStyle name="Normal 9 3 4 2 2" xfId="2041"/>
    <cellStyle name="Normal 9 3 4 2 2 2" xfId="3912"/>
    <cellStyle name="Normal 9 3 4 2 2 2 2" xfId="7707"/>
    <cellStyle name="Normal 9 3 4 2 2 2 2 2" xfId="15230"/>
    <cellStyle name="Normal 9 3 4 2 2 2 2 2 2" xfId="30274"/>
    <cellStyle name="Normal 9 3 4 2 2 2 2 2 3" xfId="45317"/>
    <cellStyle name="Normal 9 3 4 2 2 2 2 3" xfId="22753"/>
    <cellStyle name="Normal 9 3 4 2 2 2 2 4" xfId="37796"/>
    <cellStyle name="Normal 9 3 4 2 2 2 3" xfId="11481"/>
    <cellStyle name="Normal 9 3 4 2 2 2 3 2" xfId="26525"/>
    <cellStyle name="Normal 9 3 4 2 2 2 3 3" xfId="41568"/>
    <cellStyle name="Normal 9 3 4 2 2 2 4" xfId="19004"/>
    <cellStyle name="Normal 9 3 4 2 2 2 5" xfId="34047"/>
    <cellStyle name="Normal 9 3 4 2 2 3" xfId="5842"/>
    <cellStyle name="Normal 9 3 4 2 2 3 2" xfId="13365"/>
    <cellStyle name="Normal 9 3 4 2 2 3 2 2" xfId="28409"/>
    <cellStyle name="Normal 9 3 4 2 2 3 2 3" xfId="43452"/>
    <cellStyle name="Normal 9 3 4 2 2 3 3" xfId="20888"/>
    <cellStyle name="Normal 9 3 4 2 2 3 4" xfId="35931"/>
    <cellStyle name="Normal 9 3 4 2 2 4" xfId="9616"/>
    <cellStyle name="Normal 9 3 4 2 2 4 2" xfId="24660"/>
    <cellStyle name="Normal 9 3 4 2 2 4 3" xfId="39703"/>
    <cellStyle name="Normal 9 3 4 2 2 5" xfId="17139"/>
    <cellStyle name="Normal 9 3 4 2 2 6" xfId="32182"/>
    <cellStyle name="Normal 9 3 4 2 3" xfId="2980"/>
    <cellStyle name="Normal 9 3 4 2 3 2" xfId="6775"/>
    <cellStyle name="Normal 9 3 4 2 3 2 2" xfId="14298"/>
    <cellStyle name="Normal 9 3 4 2 3 2 2 2" xfId="29342"/>
    <cellStyle name="Normal 9 3 4 2 3 2 2 3" xfId="44385"/>
    <cellStyle name="Normal 9 3 4 2 3 2 3" xfId="21821"/>
    <cellStyle name="Normal 9 3 4 2 3 2 4" xfId="36864"/>
    <cellStyle name="Normal 9 3 4 2 3 3" xfId="10549"/>
    <cellStyle name="Normal 9 3 4 2 3 3 2" xfId="25593"/>
    <cellStyle name="Normal 9 3 4 2 3 3 3" xfId="40636"/>
    <cellStyle name="Normal 9 3 4 2 3 4" xfId="18072"/>
    <cellStyle name="Normal 9 3 4 2 3 5" xfId="33115"/>
    <cellStyle name="Normal 9 3 4 2 4" xfId="4910"/>
    <cellStyle name="Normal 9 3 4 2 4 2" xfId="12433"/>
    <cellStyle name="Normal 9 3 4 2 4 2 2" xfId="27477"/>
    <cellStyle name="Normal 9 3 4 2 4 2 3" xfId="42520"/>
    <cellStyle name="Normal 9 3 4 2 4 3" xfId="19956"/>
    <cellStyle name="Normal 9 3 4 2 4 4" xfId="34999"/>
    <cellStyle name="Normal 9 3 4 2 5" xfId="8684"/>
    <cellStyle name="Normal 9 3 4 2 5 2" xfId="23728"/>
    <cellStyle name="Normal 9 3 4 2 5 3" xfId="38771"/>
    <cellStyle name="Normal 9 3 4 2 6" xfId="16207"/>
    <cellStyle name="Normal 9 3 4 2 7" xfId="31250"/>
    <cellStyle name="Normal 9 3 4 3" xfId="1589"/>
    <cellStyle name="Normal 9 3 4 3 2" xfId="3460"/>
    <cellStyle name="Normal 9 3 4 3 2 2" xfId="7255"/>
    <cellStyle name="Normal 9 3 4 3 2 2 2" xfId="14778"/>
    <cellStyle name="Normal 9 3 4 3 2 2 2 2" xfId="29822"/>
    <cellStyle name="Normal 9 3 4 3 2 2 2 3" xfId="44865"/>
    <cellStyle name="Normal 9 3 4 3 2 2 3" xfId="22301"/>
    <cellStyle name="Normal 9 3 4 3 2 2 4" xfId="37344"/>
    <cellStyle name="Normal 9 3 4 3 2 3" xfId="11029"/>
    <cellStyle name="Normal 9 3 4 3 2 3 2" xfId="26073"/>
    <cellStyle name="Normal 9 3 4 3 2 3 3" xfId="41116"/>
    <cellStyle name="Normal 9 3 4 3 2 4" xfId="18552"/>
    <cellStyle name="Normal 9 3 4 3 2 5" xfId="33595"/>
    <cellStyle name="Normal 9 3 4 3 3" xfId="5390"/>
    <cellStyle name="Normal 9 3 4 3 3 2" xfId="12913"/>
    <cellStyle name="Normal 9 3 4 3 3 2 2" xfId="27957"/>
    <cellStyle name="Normal 9 3 4 3 3 2 3" xfId="43000"/>
    <cellStyle name="Normal 9 3 4 3 3 3" xfId="20436"/>
    <cellStyle name="Normal 9 3 4 3 3 4" xfId="35479"/>
    <cellStyle name="Normal 9 3 4 3 4" xfId="9164"/>
    <cellStyle name="Normal 9 3 4 3 4 2" xfId="24208"/>
    <cellStyle name="Normal 9 3 4 3 4 3" xfId="39251"/>
    <cellStyle name="Normal 9 3 4 3 5" xfId="16687"/>
    <cellStyle name="Normal 9 3 4 3 6" xfId="31730"/>
    <cellStyle name="Normal 9 3 4 4" xfId="2527"/>
    <cellStyle name="Normal 9 3 4 4 2" xfId="6323"/>
    <cellStyle name="Normal 9 3 4 4 2 2" xfId="13846"/>
    <cellStyle name="Normal 9 3 4 4 2 2 2" xfId="28890"/>
    <cellStyle name="Normal 9 3 4 4 2 2 3" xfId="43933"/>
    <cellStyle name="Normal 9 3 4 4 2 3" xfId="21369"/>
    <cellStyle name="Normal 9 3 4 4 2 4" xfId="36412"/>
    <cellStyle name="Normal 9 3 4 4 3" xfId="10097"/>
    <cellStyle name="Normal 9 3 4 4 3 2" xfId="25141"/>
    <cellStyle name="Normal 9 3 4 4 3 3" xfId="40184"/>
    <cellStyle name="Normal 9 3 4 4 4" xfId="17620"/>
    <cellStyle name="Normal 9 3 4 4 5" xfId="32663"/>
    <cellStyle name="Normal 9 3 4 5" xfId="4455"/>
    <cellStyle name="Normal 9 3 4 5 2" xfId="11979"/>
    <cellStyle name="Normal 9 3 4 5 2 2" xfId="27023"/>
    <cellStyle name="Normal 9 3 4 5 2 3" xfId="42066"/>
    <cellStyle name="Normal 9 3 4 5 3" xfId="19502"/>
    <cellStyle name="Normal 9 3 4 5 4" xfId="34545"/>
    <cellStyle name="Normal 9 3 4 6" xfId="8218"/>
    <cellStyle name="Normal 9 3 4 6 2" xfId="23262"/>
    <cellStyle name="Normal 9 3 4 6 3" xfId="38305"/>
    <cellStyle name="Normal 9 3 4 7" xfId="15741"/>
    <cellStyle name="Normal 9 3 4 8" xfId="30784"/>
    <cellStyle name="Normal 9 3 5" xfId="1077"/>
    <cellStyle name="Normal 9 3 5 2" xfId="2036"/>
    <cellStyle name="Normal 9 3 5 2 2" xfId="3907"/>
    <cellStyle name="Normal 9 3 5 2 2 2" xfId="7702"/>
    <cellStyle name="Normal 9 3 5 2 2 2 2" xfId="15225"/>
    <cellStyle name="Normal 9 3 5 2 2 2 2 2" xfId="30269"/>
    <cellStyle name="Normal 9 3 5 2 2 2 2 3" xfId="45312"/>
    <cellStyle name="Normal 9 3 5 2 2 2 3" xfId="22748"/>
    <cellStyle name="Normal 9 3 5 2 2 2 4" xfId="37791"/>
    <cellStyle name="Normal 9 3 5 2 2 3" xfId="11476"/>
    <cellStyle name="Normal 9 3 5 2 2 3 2" xfId="26520"/>
    <cellStyle name="Normal 9 3 5 2 2 3 3" xfId="41563"/>
    <cellStyle name="Normal 9 3 5 2 2 4" xfId="18999"/>
    <cellStyle name="Normal 9 3 5 2 2 5" xfId="34042"/>
    <cellStyle name="Normal 9 3 5 2 3" xfId="5837"/>
    <cellStyle name="Normal 9 3 5 2 3 2" xfId="13360"/>
    <cellStyle name="Normal 9 3 5 2 3 2 2" xfId="28404"/>
    <cellStyle name="Normal 9 3 5 2 3 2 3" xfId="43447"/>
    <cellStyle name="Normal 9 3 5 2 3 3" xfId="20883"/>
    <cellStyle name="Normal 9 3 5 2 3 4" xfId="35926"/>
    <cellStyle name="Normal 9 3 5 2 4" xfId="9611"/>
    <cellStyle name="Normal 9 3 5 2 4 2" xfId="24655"/>
    <cellStyle name="Normal 9 3 5 2 4 3" xfId="39698"/>
    <cellStyle name="Normal 9 3 5 2 5" xfId="17134"/>
    <cellStyle name="Normal 9 3 5 2 6" xfId="32177"/>
    <cellStyle name="Normal 9 3 5 3" xfId="2975"/>
    <cellStyle name="Normal 9 3 5 3 2" xfId="6770"/>
    <cellStyle name="Normal 9 3 5 3 2 2" xfId="14293"/>
    <cellStyle name="Normal 9 3 5 3 2 2 2" xfId="29337"/>
    <cellStyle name="Normal 9 3 5 3 2 2 3" xfId="44380"/>
    <cellStyle name="Normal 9 3 5 3 2 3" xfId="21816"/>
    <cellStyle name="Normal 9 3 5 3 2 4" xfId="36859"/>
    <cellStyle name="Normal 9 3 5 3 3" xfId="10544"/>
    <cellStyle name="Normal 9 3 5 3 3 2" xfId="25588"/>
    <cellStyle name="Normal 9 3 5 3 3 3" xfId="40631"/>
    <cellStyle name="Normal 9 3 5 3 4" xfId="18067"/>
    <cellStyle name="Normal 9 3 5 3 5" xfId="33110"/>
    <cellStyle name="Normal 9 3 5 4" xfId="4905"/>
    <cellStyle name="Normal 9 3 5 4 2" xfId="12428"/>
    <cellStyle name="Normal 9 3 5 4 2 2" xfId="27472"/>
    <cellStyle name="Normal 9 3 5 4 2 3" xfId="42515"/>
    <cellStyle name="Normal 9 3 5 4 3" xfId="19951"/>
    <cellStyle name="Normal 9 3 5 4 4" xfId="34994"/>
    <cellStyle name="Normal 9 3 5 5" xfId="8679"/>
    <cellStyle name="Normal 9 3 5 5 2" xfId="23723"/>
    <cellStyle name="Normal 9 3 5 5 3" xfId="38766"/>
    <cellStyle name="Normal 9 3 5 6" xfId="16202"/>
    <cellStyle name="Normal 9 3 5 7" xfId="31245"/>
    <cellStyle name="Normal 9 3 6" xfId="1584"/>
    <cellStyle name="Normal 9 3 6 2" xfId="3455"/>
    <cellStyle name="Normal 9 3 6 2 2" xfId="7250"/>
    <cellStyle name="Normal 9 3 6 2 2 2" xfId="14773"/>
    <cellStyle name="Normal 9 3 6 2 2 2 2" xfId="29817"/>
    <cellStyle name="Normal 9 3 6 2 2 2 3" xfId="44860"/>
    <cellStyle name="Normal 9 3 6 2 2 3" xfId="22296"/>
    <cellStyle name="Normal 9 3 6 2 2 4" xfId="37339"/>
    <cellStyle name="Normal 9 3 6 2 3" xfId="11024"/>
    <cellStyle name="Normal 9 3 6 2 3 2" xfId="26068"/>
    <cellStyle name="Normal 9 3 6 2 3 3" xfId="41111"/>
    <cellStyle name="Normal 9 3 6 2 4" xfId="18547"/>
    <cellStyle name="Normal 9 3 6 2 5" xfId="33590"/>
    <cellStyle name="Normal 9 3 6 3" xfId="5385"/>
    <cellStyle name="Normal 9 3 6 3 2" xfId="12908"/>
    <cellStyle name="Normal 9 3 6 3 2 2" xfId="27952"/>
    <cellStyle name="Normal 9 3 6 3 2 3" xfId="42995"/>
    <cellStyle name="Normal 9 3 6 3 3" xfId="20431"/>
    <cellStyle name="Normal 9 3 6 3 4" xfId="35474"/>
    <cellStyle name="Normal 9 3 6 4" xfId="9159"/>
    <cellStyle name="Normal 9 3 6 4 2" xfId="24203"/>
    <cellStyle name="Normal 9 3 6 4 3" xfId="39246"/>
    <cellStyle name="Normal 9 3 6 5" xfId="16682"/>
    <cellStyle name="Normal 9 3 6 6" xfId="31725"/>
    <cellStyle name="Normal 9 3 7" xfId="2522"/>
    <cellStyle name="Normal 9 3 7 2" xfId="6318"/>
    <cellStyle name="Normal 9 3 7 2 2" xfId="13841"/>
    <cellStyle name="Normal 9 3 7 2 2 2" xfId="28885"/>
    <cellStyle name="Normal 9 3 7 2 2 3" xfId="43928"/>
    <cellStyle name="Normal 9 3 7 2 3" xfId="21364"/>
    <cellStyle name="Normal 9 3 7 2 4" xfId="36407"/>
    <cellStyle name="Normal 9 3 7 3" xfId="10092"/>
    <cellStyle name="Normal 9 3 7 3 2" xfId="25136"/>
    <cellStyle name="Normal 9 3 7 3 3" xfId="40179"/>
    <cellStyle name="Normal 9 3 7 4" xfId="17615"/>
    <cellStyle name="Normal 9 3 7 5" xfId="32658"/>
    <cellStyle name="Normal 9 3 8" xfId="4450"/>
    <cellStyle name="Normal 9 3 8 2" xfId="11974"/>
    <cellStyle name="Normal 9 3 8 2 2" xfId="27018"/>
    <cellStyle name="Normal 9 3 8 2 3" xfId="42061"/>
    <cellStyle name="Normal 9 3 8 3" xfId="19497"/>
    <cellStyle name="Normal 9 3 8 4" xfId="34540"/>
    <cellStyle name="Normal 9 3 9" xfId="8213"/>
    <cellStyle name="Normal 9 3 9 2" xfId="23257"/>
    <cellStyle name="Normal 9 3 9 3" xfId="38300"/>
    <cellStyle name="Normal 9 4" xfId="567"/>
    <cellStyle name="Normal 9 4 2" xfId="568"/>
    <cellStyle name="Normal 9 4 2 2" xfId="1084"/>
    <cellStyle name="Normal 9 4 2 2 2" xfId="2043"/>
    <cellStyle name="Normal 9 4 2 2 2 2" xfId="3914"/>
    <cellStyle name="Normal 9 4 2 2 2 2 2" xfId="7709"/>
    <cellStyle name="Normal 9 4 2 2 2 2 2 2" xfId="15232"/>
    <cellStyle name="Normal 9 4 2 2 2 2 2 2 2" xfId="30276"/>
    <cellStyle name="Normal 9 4 2 2 2 2 2 2 3" xfId="45319"/>
    <cellStyle name="Normal 9 4 2 2 2 2 2 3" xfId="22755"/>
    <cellStyle name="Normal 9 4 2 2 2 2 2 4" xfId="37798"/>
    <cellStyle name="Normal 9 4 2 2 2 2 3" xfId="11483"/>
    <cellStyle name="Normal 9 4 2 2 2 2 3 2" xfId="26527"/>
    <cellStyle name="Normal 9 4 2 2 2 2 3 3" xfId="41570"/>
    <cellStyle name="Normal 9 4 2 2 2 2 4" xfId="19006"/>
    <cellStyle name="Normal 9 4 2 2 2 2 5" xfId="34049"/>
    <cellStyle name="Normal 9 4 2 2 2 3" xfId="5844"/>
    <cellStyle name="Normal 9 4 2 2 2 3 2" xfId="13367"/>
    <cellStyle name="Normal 9 4 2 2 2 3 2 2" xfId="28411"/>
    <cellStyle name="Normal 9 4 2 2 2 3 2 3" xfId="43454"/>
    <cellStyle name="Normal 9 4 2 2 2 3 3" xfId="20890"/>
    <cellStyle name="Normal 9 4 2 2 2 3 4" xfId="35933"/>
    <cellStyle name="Normal 9 4 2 2 2 4" xfId="9618"/>
    <cellStyle name="Normal 9 4 2 2 2 4 2" xfId="24662"/>
    <cellStyle name="Normal 9 4 2 2 2 4 3" xfId="39705"/>
    <cellStyle name="Normal 9 4 2 2 2 5" xfId="17141"/>
    <cellStyle name="Normal 9 4 2 2 2 6" xfId="32184"/>
    <cellStyle name="Normal 9 4 2 2 3" xfId="2982"/>
    <cellStyle name="Normal 9 4 2 2 3 2" xfId="6777"/>
    <cellStyle name="Normal 9 4 2 2 3 2 2" xfId="14300"/>
    <cellStyle name="Normal 9 4 2 2 3 2 2 2" xfId="29344"/>
    <cellStyle name="Normal 9 4 2 2 3 2 2 3" xfId="44387"/>
    <cellStyle name="Normal 9 4 2 2 3 2 3" xfId="21823"/>
    <cellStyle name="Normal 9 4 2 2 3 2 4" xfId="36866"/>
    <cellStyle name="Normal 9 4 2 2 3 3" xfId="10551"/>
    <cellStyle name="Normal 9 4 2 2 3 3 2" xfId="25595"/>
    <cellStyle name="Normal 9 4 2 2 3 3 3" xfId="40638"/>
    <cellStyle name="Normal 9 4 2 2 3 4" xfId="18074"/>
    <cellStyle name="Normal 9 4 2 2 3 5" xfId="33117"/>
    <cellStyle name="Normal 9 4 2 2 4" xfId="4912"/>
    <cellStyle name="Normal 9 4 2 2 4 2" xfId="12435"/>
    <cellStyle name="Normal 9 4 2 2 4 2 2" xfId="27479"/>
    <cellStyle name="Normal 9 4 2 2 4 2 3" xfId="42522"/>
    <cellStyle name="Normal 9 4 2 2 4 3" xfId="19958"/>
    <cellStyle name="Normal 9 4 2 2 4 4" xfId="35001"/>
    <cellStyle name="Normal 9 4 2 2 5" xfId="8686"/>
    <cellStyle name="Normal 9 4 2 2 5 2" xfId="23730"/>
    <cellStyle name="Normal 9 4 2 2 5 3" xfId="38773"/>
    <cellStyle name="Normal 9 4 2 2 6" xfId="16209"/>
    <cellStyle name="Normal 9 4 2 2 7" xfId="31252"/>
    <cellStyle name="Normal 9 4 2 3" xfId="1591"/>
    <cellStyle name="Normal 9 4 2 3 2" xfId="3462"/>
    <cellStyle name="Normal 9 4 2 3 2 2" xfId="7257"/>
    <cellStyle name="Normal 9 4 2 3 2 2 2" xfId="14780"/>
    <cellStyle name="Normal 9 4 2 3 2 2 2 2" xfId="29824"/>
    <cellStyle name="Normal 9 4 2 3 2 2 2 3" xfId="44867"/>
    <cellStyle name="Normal 9 4 2 3 2 2 3" xfId="22303"/>
    <cellStyle name="Normal 9 4 2 3 2 2 4" xfId="37346"/>
    <cellStyle name="Normal 9 4 2 3 2 3" xfId="11031"/>
    <cellStyle name="Normal 9 4 2 3 2 3 2" xfId="26075"/>
    <cellStyle name="Normal 9 4 2 3 2 3 3" xfId="41118"/>
    <cellStyle name="Normal 9 4 2 3 2 4" xfId="18554"/>
    <cellStyle name="Normal 9 4 2 3 2 5" xfId="33597"/>
    <cellStyle name="Normal 9 4 2 3 3" xfId="5392"/>
    <cellStyle name="Normal 9 4 2 3 3 2" xfId="12915"/>
    <cellStyle name="Normal 9 4 2 3 3 2 2" xfId="27959"/>
    <cellStyle name="Normal 9 4 2 3 3 2 3" xfId="43002"/>
    <cellStyle name="Normal 9 4 2 3 3 3" xfId="20438"/>
    <cellStyle name="Normal 9 4 2 3 3 4" xfId="35481"/>
    <cellStyle name="Normal 9 4 2 3 4" xfId="9166"/>
    <cellStyle name="Normal 9 4 2 3 4 2" xfId="24210"/>
    <cellStyle name="Normal 9 4 2 3 4 3" xfId="39253"/>
    <cellStyle name="Normal 9 4 2 3 5" xfId="16689"/>
    <cellStyle name="Normal 9 4 2 3 6" xfId="31732"/>
    <cellStyle name="Normal 9 4 2 4" xfId="2529"/>
    <cellStyle name="Normal 9 4 2 4 2" xfId="6325"/>
    <cellStyle name="Normal 9 4 2 4 2 2" xfId="13848"/>
    <cellStyle name="Normal 9 4 2 4 2 2 2" xfId="28892"/>
    <cellStyle name="Normal 9 4 2 4 2 2 3" xfId="43935"/>
    <cellStyle name="Normal 9 4 2 4 2 3" xfId="21371"/>
    <cellStyle name="Normal 9 4 2 4 2 4" xfId="36414"/>
    <cellStyle name="Normal 9 4 2 4 3" xfId="10099"/>
    <cellStyle name="Normal 9 4 2 4 3 2" xfId="25143"/>
    <cellStyle name="Normal 9 4 2 4 3 3" xfId="40186"/>
    <cellStyle name="Normal 9 4 2 4 4" xfId="17622"/>
    <cellStyle name="Normal 9 4 2 4 5" xfId="32665"/>
    <cellStyle name="Normal 9 4 2 5" xfId="4457"/>
    <cellStyle name="Normal 9 4 2 5 2" xfId="11981"/>
    <cellStyle name="Normal 9 4 2 5 2 2" xfId="27025"/>
    <cellStyle name="Normal 9 4 2 5 2 3" xfId="42068"/>
    <cellStyle name="Normal 9 4 2 5 3" xfId="19504"/>
    <cellStyle name="Normal 9 4 2 5 4" xfId="34547"/>
    <cellStyle name="Normal 9 4 2 6" xfId="8220"/>
    <cellStyle name="Normal 9 4 2 6 2" xfId="23264"/>
    <cellStyle name="Normal 9 4 2 6 3" xfId="38307"/>
    <cellStyle name="Normal 9 4 2 7" xfId="15743"/>
    <cellStyle name="Normal 9 4 2 8" xfId="30786"/>
    <cellStyle name="Normal 9 4 3" xfId="1083"/>
    <cellStyle name="Normal 9 4 3 2" xfId="2042"/>
    <cellStyle name="Normal 9 4 3 2 2" xfId="3913"/>
    <cellStyle name="Normal 9 4 3 2 2 2" xfId="7708"/>
    <cellStyle name="Normal 9 4 3 2 2 2 2" xfId="15231"/>
    <cellStyle name="Normal 9 4 3 2 2 2 2 2" xfId="30275"/>
    <cellStyle name="Normal 9 4 3 2 2 2 2 3" xfId="45318"/>
    <cellStyle name="Normal 9 4 3 2 2 2 3" xfId="22754"/>
    <cellStyle name="Normal 9 4 3 2 2 2 4" xfId="37797"/>
    <cellStyle name="Normal 9 4 3 2 2 3" xfId="11482"/>
    <cellStyle name="Normal 9 4 3 2 2 3 2" xfId="26526"/>
    <cellStyle name="Normal 9 4 3 2 2 3 3" xfId="41569"/>
    <cellStyle name="Normal 9 4 3 2 2 4" xfId="19005"/>
    <cellStyle name="Normal 9 4 3 2 2 5" xfId="34048"/>
    <cellStyle name="Normal 9 4 3 2 3" xfId="5843"/>
    <cellStyle name="Normal 9 4 3 2 3 2" xfId="13366"/>
    <cellStyle name="Normal 9 4 3 2 3 2 2" xfId="28410"/>
    <cellStyle name="Normal 9 4 3 2 3 2 3" xfId="43453"/>
    <cellStyle name="Normal 9 4 3 2 3 3" xfId="20889"/>
    <cellStyle name="Normal 9 4 3 2 3 4" xfId="35932"/>
    <cellStyle name="Normal 9 4 3 2 4" xfId="9617"/>
    <cellStyle name="Normal 9 4 3 2 4 2" xfId="24661"/>
    <cellStyle name="Normal 9 4 3 2 4 3" xfId="39704"/>
    <cellStyle name="Normal 9 4 3 2 5" xfId="17140"/>
    <cellStyle name="Normal 9 4 3 2 6" xfId="32183"/>
    <cellStyle name="Normal 9 4 3 3" xfId="2981"/>
    <cellStyle name="Normal 9 4 3 3 2" xfId="6776"/>
    <cellStyle name="Normal 9 4 3 3 2 2" xfId="14299"/>
    <cellStyle name="Normal 9 4 3 3 2 2 2" xfId="29343"/>
    <cellStyle name="Normal 9 4 3 3 2 2 3" xfId="44386"/>
    <cellStyle name="Normal 9 4 3 3 2 3" xfId="21822"/>
    <cellStyle name="Normal 9 4 3 3 2 4" xfId="36865"/>
    <cellStyle name="Normal 9 4 3 3 3" xfId="10550"/>
    <cellStyle name="Normal 9 4 3 3 3 2" xfId="25594"/>
    <cellStyle name="Normal 9 4 3 3 3 3" xfId="40637"/>
    <cellStyle name="Normal 9 4 3 3 4" xfId="18073"/>
    <cellStyle name="Normal 9 4 3 3 5" xfId="33116"/>
    <cellStyle name="Normal 9 4 3 4" xfId="4911"/>
    <cellStyle name="Normal 9 4 3 4 2" xfId="12434"/>
    <cellStyle name="Normal 9 4 3 4 2 2" xfId="27478"/>
    <cellStyle name="Normal 9 4 3 4 2 3" xfId="42521"/>
    <cellStyle name="Normal 9 4 3 4 3" xfId="19957"/>
    <cellStyle name="Normal 9 4 3 4 4" xfId="35000"/>
    <cellStyle name="Normal 9 4 3 5" xfId="8685"/>
    <cellStyle name="Normal 9 4 3 5 2" xfId="23729"/>
    <cellStyle name="Normal 9 4 3 5 3" xfId="38772"/>
    <cellStyle name="Normal 9 4 3 6" xfId="16208"/>
    <cellStyle name="Normal 9 4 3 7" xfId="31251"/>
    <cellStyle name="Normal 9 4 4" xfId="1590"/>
    <cellStyle name="Normal 9 4 4 2" xfId="3461"/>
    <cellStyle name="Normal 9 4 4 2 2" xfId="7256"/>
    <cellStyle name="Normal 9 4 4 2 2 2" xfId="14779"/>
    <cellStyle name="Normal 9 4 4 2 2 2 2" xfId="29823"/>
    <cellStyle name="Normal 9 4 4 2 2 2 3" xfId="44866"/>
    <cellStyle name="Normal 9 4 4 2 2 3" xfId="22302"/>
    <cellStyle name="Normal 9 4 4 2 2 4" xfId="37345"/>
    <cellStyle name="Normal 9 4 4 2 3" xfId="11030"/>
    <cellStyle name="Normal 9 4 4 2 3 2" xfId="26074"/>
    <cellStyle name="Normal 9 4 4 2 3 3" xfId="41117"/>
    <cellStyle name="Normal 9 4 4 2 4" xfId="18553"/>
    <cellStyle name="Normal 9 4 4 2 5" xfId="33596"/>
    <cellStyle name="Normal 9 4 4 3" xfId="5391"/>
    <cellStyle name="Normal 9 4 4 3 2" xfId="12914"/>
    <cellStyle name="Normal 9 4 4 3 2 2" xfId="27958"/>
    <cellStyle name="Normal 9 4 4 3 2 3" xfId="43001"/>
    <cellStyle name="Normal 9 4 4 3 3" xfId="20437"/>
    <cellStyle name="Normal 9 4 4 3 4" xfId="35480"/>
    <cellStyle name="Normal 9 4 4 4" xfId="9165"/>
    <cellStyle name="Normal 9 4 4 4 2" xfId="24209"/>
    <cellStyle name="Normal 9 4 4 4 3" xfId="39252"/>
    <cellStyle name="Normal 9 4 4 5" xfId="16688"/>
    <cellStyle name="Normal 9 4 4 6" xfId="31731"/>
    <cellStyle name="Normal 9 4 5" xfId="2528"/>
    <cellStyle name="Normal 9 4 5 2" xfId="6324"/>
    <cellStyle name="Normal 9 4 5 2 2" xfId="13847"/>
    <cellStyle name="Normal 9 4 5 2 2 2" xfId="28891"/>
    <cellStyle name="Normal 9 4 5 2 2 3" xfId="43934"/>
    <cellStyle name="Normal 9 4 5 2 3" xfId="21370"/>
    <cellStyle name="Normal 9 4 5 2 4" xfId="36413"/>
    <cellStyle name="Normal 9 4 5 3" xfId="10098"/>
    <cellStyle name="Normal 9 4 5 3 2" xfId="25142"/>
    <cellStyle name="Normal 9 4 5 3 3" xfId="40185"/>
    <cellStyle name="Normal 9 4 5 4" xfId="17621"/>
    <cellStyle name="Normal 9 4 5 5" xfId="32664"/>
    <cellStyle name="Normal 9 4 6" xfId="4456"/>
    <cellStyle name="Normal 9 4 6 2" xfId="11980"/>
    <cellStyle name="Normal 9 4 6 2 2" xfId="27024"/>
    <cellStyle name="Normal 9 4 6 2 3" xfId="42067"/>
    <cellStyle name="Normal 9 4 6 3" xfId="19503"/>
    <cellStyle name="Normal 9 4 6 4" xfId="34546"/>
    <cellStyle name="Normal 9 4 7" xfId="8219"/>
    <cellStyle name="Normal 9 4 7 2" xfId="23263"/>
    <cellStyle name="Normal 9 4 7 3" xfId="38306"/>
    <cellStyle name="Normal 9 4 8" xfId="15742"/>
    <cellStyle name="Normal 9 4 9" xfId="30785"/>
    <cellStyle name="Normal 9 5" xfId="569"/>
    <cellStyle name="Normal 9 5 2" xfId="570"/>
    <cellStyle name="Normal 9 5 2 2" xfId="1086"/>
    <cellStyle name="Normal 9 5 2 2 2" xfId="2045"/>
    <cellStyle name="Normal 9 5 2 2 2 2" xfId="3916"/>
    <cellStyle name="Normal 9 5 2 2 2 2 2" xfId="7711"/>
    <cellStyle name="Normal 9 5 2 2 2 2 2 2" xfId="15234"/>
    <cellStyle name="Normal 9 5 2 2 2 2 2 2 2" xfId="30278"/>
    <cellStyle name="Normal 9 5 2 2 2 2 2 2 3" xfId="45321"/>
    <cellStyle name="Normal 9 5 2 2 2 2 2 3" xfId="22757"/>
    <cellStyle name="Normal 9 5 2 2 2 2 2 4" xfId="37800"/>
    <cellStyle name="Normal 9 5 2 2 2 2 3" xfId="11485"/>
    <cellStyle name="Normal 9 5 2 2 2 2 3 2" xfId="26529"/>
    <cellStyle name="Normal 9 5 2 2 2 2 3 3" xfId="41572"/>
    <cellStyle name="Normal 9 5 2 2 2 2 4" xfId="19008"/>
    <cellStyle name="Normal 9 5 2 2 2 2 5" xfId="34051"/>
    <cellStyle name="Normal 9 5 2 2 2 3" xfId="5846"/>
    <cellStyle name="Normal 9 5 2 2 2 3 2" xfId="13369"/>
    <cellStyle name="Normal 9 5 2 2 2 3 2 2" xfId="28413"/>
    <cellStyle name="Normal 9 5 2 2 2 3 2 3" xfId="43456"/>
    <cellStyle name="Normal 9 5 2 2 2 3 3" xfId="20892"/>
    <cellStyle name="Normal 9 5 2 2 2 3 4" xfId="35935"/>
    <cellStyle name="Normal 9 5 2 2 2 4" xfId="9620"/>
    <cellStyle name="Normal 9 5 2 2 2 4 2" xfId="24664"/>
    <cellStyle name="Normal 9 5 2 2 2 4 3" xfId="39707"/>
    <cellStyle name="Normal 9 5 2 2 2 5" xfId="17143"/>
    <cellStyle name="Normal 9 5 2 2 2 6" xfId="32186"/>
    <cellStyle name="Normal 9 5 2 2 3" xfId="2984"/>
    <cellStyle name="Normal 9 5 2 2 3 2" xfId="6779"/>
    <cellStyle name="Normal 9 5 2 2 3 2 2" xfId="14302"/>
    <cellStyle name="Normal 9 5 2 2 3 2 2 2" xfId="29346"/>
    <cellStyle name="Normal 9 5 2 2 3 2 2 3" xfId="44389"/>
    <cellStyle name="Normal 9 5 2 2 3 2 3" xfId="21825"/>
    <cellStyle name="Normal 9 5 2 2 3 2 4" xfId="36868"/>
    <cellStyle name="Normal 9 5 2 2 3 3" xfId="10553"/>
    <cellStyle name="Normal 9 5 2 2 3 3 2" xfId="25597"/>
    <cellStyle name="Normal 9 5 2 2 3 3 3" xfId="40640"/>
    <cellStyle name="Normal 9 5 2 2 3 4" xfId="18076"/>
    <cellStyle name="Normal 9 5 2 2 3 5" xfId="33119"/>
    <cellStyle name="Normal 9 5 2 2 4" xfId="4914"/>
    <cellStyle name="Normal 9 5 2 2 4 2" xfId="12437"/>
    <cellStyle name="Normal 9 5 2 2 4 2 2" xfId="27481"/>
    <cellStyle name="Normal 9 5 2 2 4 2 3" xfId="42524"/>
    <cellStyle name="Normal 9 5 2 2 4 3" xfId="19960"/>
    <cellStyle name="Normal 9 5 2 2 4 4" xfId="35003"/>
    <cellStyle name="Normal 9 5 2 2 5" xfId="8688"/>
    <cellStyle name="Normal 9 5 2 2 5 2" xfId="23732"/>
    <cellStyle name="Normal 9 5 2 2 5 3" xfId="38775"/>
    <cellStyle name="Normal 9 5 2 2 6" xfId="16211"/>
    <cellStyle name="Normal 9 5 2 2 7" xfId="31254"/>
    <cellStyle name="Normal 9 5 2 3" xfId="1593"/>
    <cellStyle name="Normal 9 5 2 3 2" xfId="3464"/>
    <cellStyle name="Normal 9 5 2 3 2 2" xfId="7259"/>
    <cellStyle name="Normal 9 5 2 3 2 2 2" xfId="14782"/>
    <cellStyle name="Normal 9 5 2 3 2 2 2 2" xfId="29826"/>
    <cellStyle name="Normal 9 5 2 3 2 2 2 3" xfId="44869"/>
    <cellStyle name="Normal 9 5 2 3 2 2 3" xfId="22305"/>
    <cellStyle name="Normal 9 5 2 3 2 2 4" xfId="37348"/>
    <cellStyle name="Normal 9 5 2 3 2 3" xfId="11033"/>
    <cellStyle name="Normal 9 5 2 3 2 3 2" xfId="26077"/>
    <cellStyle name="Normal 9 5 2 3 2 3 3" xfId="41120"/>
    <cellStyle name="Normal 9 5 2 3 2 4" xfId="18556"/>
    <cellStyle name="Normal 9 5 2 3 2 5" xfId="33599"/>
    <cellStyle name="Normal 9 5 2 3 3" xfId="5394"/>
    <cellStyle name="Normal 9 5 2 3 3 2" xfId="12917"/>
    <cellStyle name="Normal 9 5 2 3 3 2 2" xfId="27961"/>
    <cellStyle name="Normal 9 5 2 3 3 2 3" xfId="43004"/>
    <cellStyle name="Normal 9 5 2 3 3 3" xfId="20440"/>
    <cellStyle name="Normal 9 5 2 3 3 4" xfId="35483"/>
    <cellStyle name="Normal 9 5 2 3 4" xfId="9168"/>
    <cellStyle name="Normal 9 5 2 3 4 2" xfId="24212"/>
    <cellStyle name="Normal 9 5 2 3 4 3" xfId="39255"/>
    <cellStyle name="Normal 9 5 2 3 5" xfId="16691"/>
    <cellStyle name="Normal 9 5 2 3 6" xfId="31734"/>
    <cellStyle name="Normal 9 5 2 4" xfId="2531"/>
    <cellStyle name="Normal 9 5 2 4 2" xfId="6327"/>
    <cellStyle name="Normal 9 5 2 4 2 2" xfId="13850"/>
    <cellStyle name="Normal 9 5 2 4 2 2 2" xfId="28894"/>
    <cellStyle name="Normal 9 5 2 4 2 2 3" xfId="43937"/>
    <cellStyle name="Normal 9 5 2 4 2 3" xfId="21373"/>
    <cellStyle name="Normal 9 5 2 4 2 4" xfId="36416"/>
    <cellStyle name="Normal 9 5 2 4 3" xfId="10101"/>
    <cellStyle name="Normal 9 5 2 4 3 2" xfId="25145"/>
    <cellStyle name="Normal 9 5 2 4 3 3" xfId="40188"/>
    <cellStyle name="Normal 9 5 2 4 4" xfId="17624"/>
    <cellStyle name="Normal 9 5 2 4 5" xfId="32667"/>
    <cellStyle name="Normal 9 5 2 5" xfId="4459"/>
    <cellStyle name="Normal 9 5 2 5 2" xfId="11983"/>
    <cellStyle name="Normal 9 5 2 5 2 2" xfId="27027"/>
    <cellStyle name="Normal 9 5 2 5 2 3" xfId="42070"/>
    <cellStyle name="Normal 9 5 2 5 3" xfId="19506"/>
    <cellStyle name="Normal 9 5 2 5 4" xfId="34549"/>
    <cellStyle name="Normal 9 5 2 6" xfId="8222"/>
    <cellStyle name="Normal 9 5 2 6 2" xfId="23266"/>
    <cellStyle name="Normal 9 5 2 6 3" xfId="38309"/>
    <cellStyle name="Normal 9 5 2 7" xfId="15745"/>
    <cellStyle name="Normal 9 5 2 8" xfId="30788"/>
    <cellStyle name="Normal 9 5 3" xfId="1085"/>
    <cellStyle name="Normal 9 5 3 2" xfId="2044"/>
    <cellStyle name="Normal 9 5 3 2 2" xfId="3915"/>
    <cellStyle name="Normal 9 5 3 2 2 2" xfId="7710"/>
    <cellStyle name="Normal 9 5 3 2 2 2 2" xfId="15233"/>
    <cellStyle name="Normal 9 5 3 2 2 2 2 2" xfId="30277"/>
    <cellStyle name="Normal 9 5 3 2 2 2 2 3" xfId="45320"/>
    <cellStyle name="Normal 9 5 3 2 2 2 3" xfId="22756"/>
    <cellStyle name="Normal 9 5 3 2 2 2 4" xfId="37799"/>
    <cellStyle name="Normal 9 5 3 2 2 3" xfId="11484"/>
    <cellStyle name="Normal 9 5 3 2 2 3 2" xfId="26528"/>
    <cellStyle name="Normal 9 5 3 2 2 3 3" xfId="41571"/>
    <cellStyle name="Normal 9 5 3 2 2 4" xfId="19007"/>
    <cellStyle name="Normal 9 5 3 2 2 5" xfId="34050"/>
    <cellStyle name="Normal 9 5 3 2 3" xfId="5845"/>
    <cellStyle name="Normal 9 5 3 2 3 2" xfId="13368"/>
    <cellStyle name="Normal 9 5 3 2 3 2 2" xfId="28412"/>
    <cellStyle name="Normal 9 5 3 2 3 2 3" xfId="43455"/>
    <cellStyle name="Normal 9 5 3 2 3 3" xfId="20891"/>
    <cellStyle name="Normal 9 5 3 2 3 4" xfId="35934"/>
    <cellStyle name="Normal 9 5 3 2 4" xfId="9619"/>
    <cellStyle name="Normal 9 5 3 2 4 2" xfId="24663"/>
    <cellStyle name="Normal 9 5 3 2 4 3" xfId="39706"/>
    <cellStyle name="Normal 9 5 3 2 5" xfId="17142"/>
    <cellStyle name="Normal 9 5 3 2 6" xfId="32185"/>
    <cellStyle name="Normal 9 5 3 3" xfId="2983"/>
    <cellStyle name="Normal 9 5 3 3 2" xfId="6778"/>
    <cellStyle name="Normal 9 5 3 3 2 2" xfId="14301"/>
    <cellStyle name="Normal 9 5 3 3 2 2 2" xfId="29345"/>
    <cellStyle name="Normal 9 5 3 3 2 2 3" xfId="44388"/>
    <cellStyle name="Normal 9 5 3 3 2 3" xfId="21824"/>
    <cellStyle name="Normal 9 5 3 3 2 4" xfId="36867"/>
    <cellStyle name="Normal 9 5 3 3 3" xfId="10552"/>
    <cellStyle name="Normal 9 5 3 3 3 2" xfId="25596"/>
    <cellStyle name="Normal 9 5 3 3 3 3" xfId="40639"/>
    <cellStyle name="Normal 9 5 3 3 4" xfId="18075"/>
    <cellStyle name="Normal 9 5 3 3 5" xfId="33118"/>
    <cellStyle name="Normal 9 5 3 4" xfId="4913"/>
    <cellStyle name="Normal 9 5 3 4 2" xfId="12436"/>
    <cellStyle name="Normal 9 5 3 4 2 2" xfId="27480"/>
    <cellStyle name="Normal 9 5 3 4 2 3" xfId="42523"/>
    <cellStyle name="Normal 9 5 3 4 3" xfId="19959"/>
    <cellStyle name="Normal 9 5 3 4 4" xfId="35002"/>
    <cellStyle name="Normal 9 5 3 5" xfId="8687"/>
    <cellStyle name="Normal 9 5 3 5 2" xfId="23731"/>
    <cellStyle name="Normal 9 5 3 5 3" xfId="38774"/>
    <cellStyle name="Normal 9 5 3 6" xfId="16210"/>
    <cellStyle name="Normal 9 5 3 7" xfId="31253"/>
    <cellStyle name="Normal 9 5 4" xfId="1592"/>
    <cellStyle name="Normal 9 5 4 2" xfId="3463"/>
    <cellStyle name="Normal 9 5 4 2 2" xfId="7258"/>
    <cellStyle name="Normal 9 5 4 2 2 2" xfId="14781"/>
    <cellStyle name="Normal 9 5 4 2 2 2 2" xfId="29825"/>
    <cellStyle name="Normal 9 5 4 2 2 2 3" xfId="44868"/>
    <cellStyle name="Normal 9 5 4 2 2 3" xfId="22304"/>
    <cellStyle name="Normal 9 5 4 2 2 4" xfId="37347"/>
    <cellStyle name="Normal 9 5 4 2 3" xfId="11032"/>
    <cellStyle name="Normal 9 5 4 2 3 2" xfId="26076"/>
    <cellStyle name="Normal 9 5 4 2 3 3" xfId="41119"/>
    <cellStyle name="Normal 9 5 4 2 4" xfId="18555"/>
    <cellStyle name="Normal 9 5 4 2 5" xfId="33598"/>
    <cellStyle name="Normal 9 5 4 3" xfId="5393"/>
    <cellStyle name="Normal 9 5 4 3 2" xfId="12916"/>
    <cellStyle name="Normal 9 5 4 3 2 2" xfId="27960"/>
    <cellStyle name="Normal 9 5 4 3 2 3" xfId="43003"/>
    <cellStyle name="Normal 9 5 4 3 3" xfId="20439"/>
    <cellStyle name="Normal 9 5 4 3 4" xfId="35482"/>
    <cellStyle name="Normal 9 5 4 4" xfId="9167"/>
    <cellStyle name="Normal 9 5 4 4 2" xfId="24211"/>
    <cellStyle name="Normal 9 5 4 4 3" xfId="39254"/>
    <cellStyle name="Normal 9 5 4 5" xfId="16690"/>
    <cellStyle name="Normal 9 5 4 6" xfId="31733"/>
    <cellStyle name="Normal 9 5 5" xfId="2530"/>
    <cellStyle name="Normal 9 5 5 2" xfId="6326"/>
    <cellStyle name="Normal 9 5 5 2 2" xfId="13849"/>
    <cellStyle name="Normal 9 5 5 2 2 2" xfId="28893"/>
    <cellStyle name="Normal 9 5 5 2 2 3" xfId="43936"/>
    <cellStyle name="Normal 9 5 5 2 3" xfId="21372"/>
    <cellStyle name="Normal 9 5 5 2 4" xfId="36415"/>
    <cellStyle name="Normal 9 5 5 3" xfId="10100"/>
    <cellStyle name="Normal 9 5 5 3 2" xfId="25144"/>
    <cellStyle name="Normal 9 5 5 3 3" xfId="40187"/>
    <cellStyle name="Normal 9 5 5 4" xfId="17623"/>
    <cellStyle name="Normal 9 5 5 5" xfId="32666"/>
    <cellStyle name="Normal 9 5 6" xfId="4458"/>
    <cellStyle name="Normal 9 5 6 2" xfId="11982"/>
    <cellStyle name="Normal 9 5 6 2 2" xfId="27026"/>
    <cellStyle name="Normal 9 5 6 2 3" xfId="42069"/>
    <cellStyle name="Normal 9 5 6 3" xfId="19505"/>
    <cellStyle name="Normal 9 5 6 4" xfId="34548"/>
    <cellStyle name="Normal 9 5 7" xfId="8221"/>
    <cellStyle name="Normal 9 5 7 2" xfId="23265"/>
    <cellStyle name="Normal 9 5 7 3" xfId="38308"/>
    <cellStyle name="Normal 9 5 8" xfId="15744"/>
    <cellStyle name="Normal 9 5 9" xfId="30787"/>
    <cellStyle name="Normal 9 6" xfId="571"/>
    <cellStyle name="Normal 9 6 2" xfId="1087"/>
    <cellStyle name="Normal 9 6 2 2" xfId="2046"/>
    <cellStyle name="Normal 9 6 2 2 2" xfId="3917"/>
    <cellStyle name="Normal 9 6 2 2 2 2" xfId="7712"/>
    <cellStyle name="Normal 9 6 2 2 2 2 2" xfId="15235"/>
    <cellStyle name="Normal 9 6 2 2 2 2 2 2" xfId="30279"/>
    <cellStyle name="Normal 9 6 2 2 2 2 2 3" xfId="45322"/>
    <cellStyle name="Normal 9 6 2 2 2 2 3" xfId="22758"/>
    <cellStyle name="Normal 9 6 2 2 2 2 4" xfId="37801"/>
    <cellStyle name="Normal 9 6 2 2 2 3" xfId="11486"/>
    <cellStyle name="Normal 9 6 2 2 2 3 2" xfId="26530"/>
    <cellStyle name="Normal 9 6 2 2 2 3 3" xfId="41573"/>
    <cellStyle name="Normal 9 6 2 2 2 4" xfId="19009"/>
    <cellStyle name="Normal 9 6 2 2 2 5" xfId="34052"/>
    <cellStyle name="Normal 9 6 2 2 3" xfId="5847"/>
    <cellStyle name="Normal 9 6 2 2 3 2" xfId="13370"/>
    <cellStyle name="Normal 9 6 2 2 3 2 2" xfId="28414"/>
    <cellStyle name="Normal 9 6 2 2 3 2 3" xfId="43457"/>
    <cellStyle name="Normal 9 6 2 2 3 3" xfId="20893"/>
    <cellStyle name="Normal 9 6 2 2 3 4" xfId="35936"/>
    <cellStyle name="Normal 9 6 2 2 4" xfId="9621"/>
    <cellStyle name="Normal 9 6 2 2 4 2" xfId="24665"/>
    <cellStyle name="Normal 9 6 2 2 4 3" xfId="39708"/>
    <cellStyle name="Normal 9 6 2 2 5" xfId="17144"/>
    <cellStyle name="Normal 9 6 2 2 6" xfId="32187"/>
    <cellStyle name="Normal 9 6 2 3" xfId="2985"/>
    <cellStyle name="Normal 9 6 2 3 2" xfId="6780"/>
    <cellStyle name="Normal 9 6 2 3 2 2" xfId="14303"/>
    <cellStyle name="Normal 9 6 2 3 2 2 2" xfId="29347"/>
    <cellStyle name="Normal 9 6 2 3 2 2 3" xfId="44390"/>
    <cellStyle name="Normal 9 6 2 3 2 3" xfId="21826"/>
    <cellStyle name="Normal 9 6 2 3 2 4" xfId="36869"/>
    <cellStyle name="Normal 9 6 2 3 3" xfId="10554"/>
    <cellStyle name="Normal 9 6 2 3 3 2" xfId="25598"/>
    <cellStyle name="Normal 9 6 2 3 3 3" xfId="40641"/>
    <cellStyle name="Normal 9 6 2 3 4" xfId="18077"/>
    <cellStyle name="Normal 9 6 2 3 5" xfId="33120"/>
    <cellStyle name="Normal 9 6 2 4" xfId="4915"/>
    <cellStyle name="Normal 9 6 2 4 2" xfId="12438"/>
    <cellStyle name="Normal 9 6 2 4 2 2" xfId="27482"/>
    <cellStyle name="Normal 9 6 2 4 2 3" xfId="42525"/>
    <cellStyle name="Normal 9 6 2 4 3" xfId="19961"/>
    <cellStyle name="Normal 9 6 2 4 4" xfId="35004"/>
    <cellStyle name="Normal 9 6 2 5" xfId="8689"/>
    <cellStyle name="Normal 9 6 2 5 2" xfId="23733"/>
    <cellStyle name="Normal 9 6 2 5 3" xfId="38776"/>
    <cellStyle name="Normal 9 6 2 6" xfId="16212"/>
    <cellStyle name="Normal 9 6 2 7" xfId="31255"/>
    <cellStyle name="Normal 9 6 3" xfId="1594"/>
    <cellStyle name="Normal 9 6 3 2" xfId="3465"/>
    <cellStyle name="Normal 9 6 3 2 2" xfId="7260"/>
    <cellStyle name="Normal 9 6 3 2 2 2" xfId="14783"/>
    <cellStyle name="Normal 9 6 3 2 2 2 2" xfId="29827"/>
    <cellStyle name="Normal 9 6 3 2 2 2 3" xfId="44870"/>
    <cellStyle name="Normal 9 6 3 2 2 3" xfId="22306"/>
    <cellStyle name="Normal 9 6 3 2 2 4" xfId="37349"/>
    <cellStyle name="Normal 9 6 3 2 3" xfId="11034"/>
    <cellStyle name="Normal 9 6 3 2 3 2" xfId="26078"/>
    <cellStyle name="Normal 9 6 3 2 3 3" xfId="41121"/>
    <cellStyle name="Normal 9 6 3 2 4" xfId="18557"/>
    <cellStyle name="Normal 9 6 3 2 5" xfId="33600"/>
    <cellStyle name="Normal 9 6 3 3" xfId="5395"/>
    <cellStyle name="Normal 9 6 3 3 2" xfId="12918"/>
    <cellStyle name="Normal 9 6 3 3 2 2" xfId="27962"/>
    <cellStyle name="Normal 9 6 3 3 2 3" xfId="43005"/>
    <cellStyle name="Normal 9 6 3 3 3" xfId="20441"/>
    <cellStyle name="Normal 9 6 3 3 4" xfId="35484"/>
    <cellStyle name="Normal 9 6 3 4" xfId="9169"/>
    <cellStyle name="Normal 9 6 3 4 2" xfId="24213"/>
    <cellStyle name="Normal 9 6 3 4 3" xfId="39256"/>
    <cellStyle name="Normal 9 6 3 5" xfId="16692"/>
    <cellStyle name="Normal 9 6 3 6" xfId="31735"/>
    <cellStyle name="Normal 9 6 4" xfId="2532"/>
    <cellStyle name="Normal 9 6 4 2" xfId="6328"/>
    <cellStyle name="Normal 9 6 4 2 2" xfId="13851"/>
    <cellStyle name="Normal 9 6 4 2 2 2" xfId="28895"/>
    <cellStyle name="Normal 9 6 4 2 2 3" xfId="43938"/>
    <cellStyle name="Normal 9 6 4 2 3" xfId="21374"/>
    <cellStyle name="Normal 9 6 4 2 4" xfId="36417"/>
    <cellStyle name="Normal 9 6 4 3" xfId="10102"/>
    <cellStyle name="Normal 9 6 4 3 2" xfId="25146"/>
    <cellStyle name="Normal 9 6 4 3 3" xfId="40189"/>
    <cellStyle name="Normal 9 6 4 4" xfId="17625"/>
    <cellStyle name="Normal 9 6 4 5" xfId="32668"/>
    <cellStyle name="Normal 9 6 5" xfId="4460"/>
    <cellStyle name="Normal 9 6 5 2" xfId="11984"/>
    <cellStyle name="Normal 9 6 5 2 2" xfId="27028"/>
    <cellStyle name="Normal 9 6 5 2 3" xfId="42071"/>
    <cellStyle name="Normal 9 6 5 3" xfId="19507"/>
    <cellStyle name="Normal 9 6 5 4" xfId="34550"/>
    <cellStyle name="Normal 9 6 6" xfId="8223"/>
    <cellStyle name="Normal 9 6 6 2" xfId="23267"/>
    <cellStyle name="Normal 9 6 6 3" xfId="38310"/>
    <cellStyle name="Normal 9 6 7" xfId="15746"/>
    <cellStyle name="Normal 9 6 8" xfId="30789"/>
    <cellStyle name="Normal 9 7" xfId="1064"/>
    <cellStyle name="Normal 9 7 2" xfId="2023"/>
    <cellStyle name="Normal 9 7 2 2" xfId="3894"/>
    <cellStyle name="Normal 9 7 2 2 2" xfId="7689"/>
    <cellStyle name="Normal 9 7 2 2 2 2" xfId="15212"/>
    <cellStyle name="Normal 9 7 2 2 2 2 2" xfId="30256"/>
    <cellStyle name="Normal 9 7 2 2 2 2 3" xfId="45299"/>
    <cellStyle name="Normal 9 7 2 2 2 3" xfId="22735"/>
    <cellStyle name="Normal 9 7 2 2 2 4" xfId="37778"/>
    <cellStyle name="Normal 9 7 2 2 3" xfId="11463"/>
    <cellStyle name="Normal 9 7 2 2 3 2" xfId="26507"/>
    <cellStyle name="Normal 9 7 2 2 3 3" xfId="41550"/>
    <cellStyle name="Normal 9 7 2 2 4" xfId="18986"/>
    <cellStyle name="Normal 9 7 2 2 5" xfId="34029"/>
    <cellStyle name="Normal 9 7 2 3" xfId="5824"/>
    <cellStyle name="Normal 9 7 2 3 2" xfId="13347"/>
    <cellStyle name="Normal 9 7 2 3 2 2" xfId="28391"/>
    <cellStyle name="Normal 9 7 2 3 2 3" xfId="43434"/>
    <cellStyle name="Normal 9 7 2 3 3" xfId="20870"/>
    <cellStyle name="Normal 9 7 2 3 4" xfId="35913"/>
    <cellStyle name="Normal 9 7 2 4" xfId="9598"/>
    <cellStyle name="Normal 9 7 2 4 2" xfId="24642"/>
    <cellStyle name="Normal 9 7 2 4 3" xfId="39685"/>
    <cellStyle name="Normal 9 7 2 5" xfId="17121"/>
    <cellStyle name="Normal 9 7 2 6" xfId="32164"/>
    <cellStyle name="Normal 9 7 3" xfId="2962"/>
    <cellStyle name="Normal 9 7 3 2" xfId="6757"/>
    <cellStyle name="Normal 9 7 3 2 2" xfId="14280"/>
    <cellStyle name="Normal 9 7 3 2 2 2" xfId="29324"/>
    <cellStyle name="Normal 9 7 3 2 2 3" xfId="44367"/>
    <cellStyle name="Normal 9 7 3 2 3" xfId="21803"/>
    <cellStyle name="Normal 9 7 3 2 4" xfId="36846"/>
    <cellStyle name="Normal 9 7 3 3" xfId="10531"/>
    <cellStyle name="Normal 9 7 3 3 2" xfId="25575"/>
    <cellStyle name="Normal 9 7 3 3 3" xfId="40618"/>
    <cellStyle name="Normal 9 7 3 4" xfId="18054"/>
    <cellStyle name="Normal 9 7 3 5" xfId="33097"/>
    <cellStyle name="Normal 9 7 4" xfId="4892"/>
    <cellStyle name="Normal 9 7 4 2" xfId="12415"/>
    <cellStyle name="Normal 9 7 4 2 2" xfId="27459"/>
    <cellStyle name="Normal 9 7 4 2 3" xfId="42502"/>
    <cellStyle name="Normal 9 7 4 3" xfId="19938"/>
    <cellStyle name="Normal 9 7 4 4" xfId="34981"/>
    <cellStyle name="Normal 9 7 5" xfId="8666"/>
    <cellStyle name="Normal 9 7 5 2" xfId="23710"/>
    <cellStyle name="Normal 9 7 5 3" xfId="38753"/>
    <cellStyle name="Normal 9 7 6" xfId="16189"/>
    <cellStyle name="Normal 9 7 7" xfId="31232"/>
    <cellStyle name="Normal 9 8" xfId="1571"/>
    <cellStyle name="Normal 9 8 2" xfId="3442"/>
    <cellStyle name="Normal 9 8 2 2" xfId="7237"/>
    <cellStyle name="Normal 9 8 2 2 2" xfId="14760"/>
    <cellStyle name="Normal 9 8 2 2 2 2" xfId="29804"/>
    <cellStyle name="Normal 9 8 2 2 2 3" xfId="44847"/>
    <cellStyle name="Normal 9 8 2 2 3" xfId="22283"/>
    <cellStyle name="Normal 9 8 2 2 4" xfId="37326"/>
    <cellStyle name="Normal 9 8 2 3" xfId="11011"/>
    <cellStyle name="Normal 9 8 2 3 2" xfId="26055"/>
    <cellStyle name="Normal 9 8 2 3 3" xfId="41098"/>
    <cellStyle name="Normal 9 8 2 4" xfId="18534"/>
    <cellStyle name="Normal 9 8 2 5" xfId="33577"/>
    <cellStyle name="Normal 9 8 3" xfId="5372"/>
    <cellStyle name="Normal 9 8 3 2" xfId="12895"/>
    <cellStyle name="Normal 9 8 3 2 2" xfId="27939"/>
    <cellStyle name="Normal 9 8 3 2 3" xfId="42982"/>
    <cellStyle name="Normal 9 8 3 3" xfId="20418"/>
    <cellStyle name="Normal 9 8 3 4" xfId="35461"/>
    <cellStyle name="Normal 9 8 4" xfId="9146"/>
    <cellStyle name="Normal 9 8 4 2" xfId="24190"/>
    <cellStyle name="Normal 9 8 4 3" xfId="39233"/>
    <cellStyle name="Normal 9 8 5" xfId="16669"/>
    <cellStyle name="Normal 9 8 6" xfId="31712"/>
    <cellStyle name="Normal 9 9" xfId="2509"/>
    <cellStyle name="Normal 9 9 2" xfId="6305"/>
    <cellStyle name="Normal 9 9 2 2" xfId="13828"/>
    <cellStyle name="Normal 9 9 2 2 2" xfId="28872"/>
    <cellStyle name="Normal 9 9 2 2 3" xfId="43915"/>
    <cellStyle name="Normal 9 9 2 3" xfId="21351"/>
    <cellStyle name="Normal 9 9 2 4" xfId="36394"/>
    <cellStyle name="Normal 9 9 3" xfId="10079"/>
    <cellStyle name="Normal 9 9 3 2" xfId="25123"/>
    <cellStyle name="Normal 9 9 3 3" xfId="40166"/>
    <cellStyle name="Normal 9 9 4" xfId="17602"/>
    <cellStyle name="Normal 9 9 5" xfId="32645"/>
    <cellStyle name="Normalny 2" xfId="1140"/>
    <cellStyle name="Normalny 2 2" xfId="2073"/>
    <cellStyle name="Normalny_Arkusz1" xfId="572"/>
    <cellStyle name="Note 2" xfId="573"/>
    <cellStyle name="Note 3" xfId="645"/>
    <cellStyle name="Note 3 2" xfId="1137"/>
    <cellStyle name="Note 3 2 2" xfId="2071"/>
    <cellStyle name="Note 3 2 2 2" xfId="3942"/>
    <cellStyle name="Note 3 2 2 2 2" xfId="7737"/>
    <cellStyle name="Note 3 2 2 2 2 2" xfId="15260"/>
    <cellStyle name="Note 3 2 2 2 2 2 2" xfId="30304"/>
    <cellStyle name="Note 3 2 2 2 2 2 3" xfId="45347"/>
    <cellStyle name="Note 3 2 2 2 2 3" xfId="22783"/>
    <cellStyle name="Note 3 2 2 2 2 4" xfId="37826"/>
    <cellStyle name="Note 3 2 2 2 3" xfId="11511"/>
    <cellStyle name="Note 3 2 2 2 3 2" xfId="26555"/>
    <cellStyle name="Note 3 2 2 2 3 3" xfId="41598"/>
    <cellStyle name="Note 3 2 2 2 4" xfId="19034"/>
    <cellStyle name="Note 3 2 2 2 5" xfId="34077"/>
    <cellStyle name="Note 3 2 2 3" xfId="5872"/>
    <cellStyle name="Note 3 2 2 3 2" xfId="13395"/>
    <cellStyle name="Note 3 2 2 3 2 2" xfId="28439"/>
    <cellStyle name="Note 3 2 2 3 2 3" xfId="43482"/>
    <cellStyle name="Note 3 2 2 3 3" xfId="20918"/>
    <cellStyle name="Note 3 2 2 3 4" xfId="35961"/>
    <cellStyle name="Note 3 2 2 4" xfId="9646"/>
    <cellStyle name="Note 3 2 2 4 2" xfId="24690"/>
    <cellStyle name="Note 3 2 2 4 3" xfId="39733"/>
    <cellStyle name="Note 3 2 2 5" xfId="17169"/>
    <cellStyle name="Note 3 2 2 6" xfId="32212"/>
    <cellStyle name="Note 3 2 3" xfId="3010"/>
    <cellStyle name="Note 3 2 3 2" xfId="6805"/>
    <cellStyle name="Note 3 2 3 2 2" xfId="14328"/>
    <cellStyle name="Note 3 2 3 2 2 2" xfId="29372"/>
    <cellStyle name="Note 3 2 3 2 2 3" xfId="44415"/>
    <cellStyle name="Note 3 2 3 2 3" xfId="21851"/>
    <cellStyle name="Note 3 2 3 2 4" xfId="36894"/>
    <cellStyle name="Note 3 2 3 3" xfId="10579"/>
    <cellStyle name="Note 3 2 3 3 2" xfId="25623"/>
    <cellStyle name="Note 3 2 3 3 3" xfId="40666"/>
    <cellStyle name="Note 3 2 3 4" xfId="18102"/>
    <cellStyle name="Note 3 2 3 5" xfId="33145"/>
    <cellStyle name="Note 3 2 4" xfId="4940"/>
    <cellStyle name="Note 3 2 4 2" xfId="12463"/>
    <cellStyle name="Note 3 2 4 2 2" xfId="27507"/>
    <cellStyle name="Note 3 2 4 2 3" xfId="42550"/>
    <cellStyle name="Note 3 2 4 3" xfId="19986"/>
    <cellStyle name="Note 3 2 4 4" xfId="35029"/>
    <cellStyle name="Note 3 2 5" xfId="8714"/>
    <cellStyle name="Note 3 2 5 2" xfId="23758"/>
    <cellStyle name="Note 3 2 5 3" xfId="38801"/>
    <cellStyle name="Note 3 2 6" xfId="16237"/>
    <cellStyle name="Note 3 2 7" xfId="31280"/>
    <cellStyle name="Note 3 3" xfId="1607"/>
    <cellStyle name="Note 3 3 2" xfId="3478"/>
    <cellStyle name="Note 3 3 2 2" xfId="7273"/>
    <cellStyle name="Note 3 3 2 2 2" xfId="14796"/>
    <cellStyle name="Note 3 3 2 2 2 2" xfId="29840"/>
    <cellStyle name="Note 3 3 2 2 2 3" xfId="44883"/>
    <cellStyle name="Note 3 3 2 2 3" xfId="22319"/>
    <cellStyle name="Note 3 3 2 2 4" xfId="37362"/>
    <cellStyle name="Note 3 3 2 3" xfId="11047"/>
    <cellStyle name="Note 3 3 2 3 2" xfId="26091"/>
    <cellStyle name="Note 3 3 2 3 3" xfId="41134"/>
    <cellStyle name="Note 3 3 2 4" xfId="18570"/>
    <cellStyle name="Note 3 3 2 5" xfId="33613"/>
    <cellStyle name="Note 3 3 3" xfId="5408"/>
    <cellStyle name="Note 3 3 3 2" xfId="12931"/>
    <cellStyle name="Note 3 3 3 2 2" xfId="27975"/>
    <cellStyle name="Note 3 3 3 2 3" xfId="43018"/>
    <cellStyle name="Note 3 3 3 3" xfId="20454"/>
    <cellStyle name="Note 3 3 3 4" xfId="35497"/>
    <cellStyle name="Note 3 3 4" xfId="9182"/>
    <cellStyle name="Note 3 3 4 2" xfId="24226"/>
    <cellStyle name="Note 3 3 4 3" xfId="39269"/>
    <cellStyle name="Note 3 3 5" xfId="16705"/>
    <cellStyle name="Note 3 3 6" xfId="31748"/>
    <cellStyle name="Note 3 4" xfId="2546"/>
    <cellStyle name="Note 3 4 2" xfId="6341"/>
    <cellStyle name="Note 3 4 2 2" xfId="13864"/>
    <cellStyle name="Note 3 4 2 2 2" xfId="28908"/>
    <cellStyle name="Note 3 4 2 2 3" xfId="43951"/>
    <cellStyle name="Note 3 4 2 3" xfId="21387"/>
    <cellStyle name="Note 3 4 2 4" xfId="36430"/>
    <cellStyle name="Note 3 4 3" xfId="10115"/>
    <cellStyle name="Note 3 4 3 2" xfId="25159"/>
    <cellStyle name="Note 3 4 3 3" xfId="40202"/>
    <cellStyle name="Note 3 4 4" xfId="17638"/>
    <cellStyle name="Note 3 4 5" xfId="32681"/>
    <cellStyle name="Note 3 5" xfId="4476"/>
    <cellStyle name="Note 3 5 2" xfId="11999"/>
    <cellStyle name="Note 3 5 2 2" xfId="27043"/>
    <cellStyle name="Note 3 5 2 3" xfId="42086"/>
    <cellStyle name="Note 3 5 3" xfId="19522"/>
    <cellStyle name="Note 3 5 4" xfId="34565"/>
    <cellStyle name="Note 3 6" xfId="8250"/>
    <cellStyle name="Note 3 6 2" xfId="23294"/>
    <cellStyle name="Note 3 6 3" xfId="38337"/>
    <cellStyle name="Note 3 7" xfId="15773"/>
    <cellStyle name="Note 3 8" xfId="30816"/>
    <cellStyle name="Note 4" xfId="3963"/>
    <cellStyle name="Note 5" xfId="3992"/>
    <cellStyle name="Note 5 2" xfId="7745"/>
    <cellStyle name="Note 5 2 2" xfId="15268"/>
    <cellStyle name="Note 5 2 2 2" xfId="30312"/>
    <cellStyle name="Note 5 2 2 3" xfId="45355"/>
    <cellStyle name="Note 5 2 3" xfId="22791"/>
    <cellStyle name="Note 5 2 4" xfId="37834"/>
    <cellStyle name="Note 5 3" xfId="11519"/>
    <cellStyle name="Note 5 3 2" xfId="26563"/>
    <cellStyle name="Note 5 3 3" xfId="41606"/>
    <cellStyle name="Note 5 4" xfId="19042"/>
    <cellStyle name="Note 5 5" xfId="34085"/>
    <cellStyle name="Note 6" xfId="7759"/>
    <cellStyle name="Note 6 2" xfId="15282"/>
    <cellStyle name="Note 6 2 2" xfId="30326"/>
    <cellStyle name="Note 6 2 3" xfId="45369"/>
    <cellStyle name="Note 6 3" xfId="22805"/>
    <cellStyle name="Note 6 4" xfId="37848"/>
    <cellStyle name="Obliczenia" xfId="574"/>
    <cellStyle name="Output" xfId="613" builtinId="21" customBuiltin="1"/>
    <cellStyle name="Output 2" xfId="575"/>
    <cellStyle name="Output 3" xfId="576"/>
    <cellStyle name="Output 4" xfId="1106"/>
    <cellStyle name="Output 5" xfId="3958"/>
    <cellStyle name="Percent 2" xfId="577"/>
    <cellStyle name="Percent 3" xfId="578"/>
    <cellStyle name="Suma" xfId="579"/>
    <cellStyle name="Tekst objaśnienia" xfId="580"/>
    <cellStyle name="Tekst ostrzeżenia" xfId="581"/>
    <cellStyle name="Title" xfId="607" builtinId="15" customBuiltin="1"/>
    <cellStyle name="Title 2" xfId="582"/>
    <cellStyle name="Title 3" xfId="1100"/>
    <cellStyle name="Title 4" xfId="2545"/>
    <cellStyle name="Title 5" xfId="3991"/>
    <cellStyle name="Title 6" xfId="4475"/>
    <cellStyle name="Total" xfId="619" builtinId="25" customBuiltin="1"/>
    <cellStyle name="Total 2" xfId="583"/>
    <cellStyle name="Total 3" xfId="584"/>
    <cellStyle name="Total 4" xfId="1112"/>
    <cellStyle name="Total 5" xfId="3965"/>
    <cellStyle name="Tytuł" xfId="585"/>
    <cellStyle name="Uwaga" xfId="586"/>
    <cellStyle name="Warning Text" xfId="617" builtinId="11" customBuiltin="1"/>
    <cellStyle name="Warning Text 2" xfId="587"/>
    <cellStyle name="Warning Text 3" xfId="588"/>
    <cellStyle name="Warning Text 4" xfId="1110"/>
    <cellStyle name="Warning Text 5" xfId="3962"/>
    <cellStyle name="Złe" xfId="589"/>
  </cellStyles>
  <dxfs count="137">
    <dxf>
      <numFmt numFmtId="0" formatCode="General"/>
    </dxf>
    <dxf>
      <numFmt numFmtId="0" formatCode="General"/>
    </dxf>
    <dxf>
      <numFmt numFmtId="0" formatCode="General"/>
    </dxf>
    <dxf>
      <numFmt numFmtId="0" formatCode="General"/>
    </dxf>
    <dxf>
      <numFmt numFmtId="0" formatCode="Genera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general" vertical="top"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Arial"/>
        <scheme val="minor"/>
      </font>
      <fill>
        <patternFill patternType="none">
          <fgColor indexed="64"/>
          <bgColor indexed="65"/>
        </patternFill>
      </fill>
      <alignment horizontal="left" vertical="bottom" textRotation="0" wrapText="0" indent="0" justifyLastLine="0" shrinkToFit="0" readingOrder="0"/>
      <border diagonalUp="0" diagonalDown="0">
        <left/>
        <right style="thin">
          <color theme="6"/>
        </right>
        <top style="thin">
          <color theme="6"/>
        </top>
        <bottom/>
        <vertical/>
        <horizontal/>
      </border>
    </dxf>
    <dxf>
      <font>
        <b val="0"/>
        <i val="0"/>
        <strike val="0"/>
        <condense val="0"/>
        <extend val="0"/>
        <outline val="0"/>
        <shadow val="0"/>
        <u val="none"/>
        <vertAlign val="baseline"/>
        <sz val="11"/>
        <color theme="1"/>
        <name val="Arial"/>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right/>
        <top style="thin">
          <color theme="6"/>
        </top>
        <bottom/>
        <vertical/>
        <horizontal/>
      </border>
    </dxf>
    <dxf>
      <font>
        <b/>
        <i/>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right/>
        <top style="thin">
          <color theme="6"/>
        </top>
        <bottom/>
        <vertical/>
        <horizontal/>
      </border>
    </dxf>
    <dxf>
      <font>
        <b val="0"/>
        <i val="0"/>
        <strike val="0"/>
        <condense val="0"/>
        <extend val="0"/>
        <outline val="0"/>
        <shadow val="0"/>
        <u val="none"/>
        <vertAlign val="baseline"/>
        <sz val="10"/>
        <color theme="1"/>
        <name val="Arial"/>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Arial"/>
        <scheme val="minor"/>
      </font>
      <numFmt numFmtId="0" formatCode="General"/>
      <alignment horizontal="general" vertical="top" textRotation="0" wrapText="0" indent="0" justifyLastLine="0" shrinkToFit="0" readingOrder="0"/>
      <border diagonalUp="0" diagonalDown="0" outline="0">
        <left/>
        <right/>
        <top style="thin">
          <color theme="8"/>
        </top>
        <bottom/>
      </border>
    </dxf>
    <dxf>
      <alignment horizontal="general" vertical="top" textRotation="0" wrapText="0" indent="0" justifyLastLine="0" shrinkToFit="0" readingOrder="0"/>
    </dxf>
    <dxf>
      <font>
        <b val="0"/>
        <i val="0"/>
        <strike val="0"/>
        <condense val="0"/>
        <extend val="0"/>
        <outline val="0"/>
        <shadow val="0"/>
        <u val="none"/>
        <vertAlign val="baseline"/>
        <sz val="11"/>
        <color theme="1"/>
        <name val="Arial"/>
        <scheme val="minor"/>
      </font>
      <border diagonalUp="0" diagonalDown="0">
        <left/>
        <right/>
        <top style="thin">
          <color theme="1"/>
        </top>
        <bottom/>
        <vertical/>
        <horizontal/>
      </border>
    </dxf>
    <dxf>
      <font>
        <sz val="8"/>
      </font>
      <fill>
        <patternFill patternType="none">
          <fgColor indexed="64"/>
          <bgColor indexed="65"/>
        </patternFill>
      </fill>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indexed="8"/>
        <name val="Calibri"/>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Arial"/>
        <scheme val="minor"/>
      </font>
      <border diagonalUp="0" diagonalDown="0">
        <left/>
        <right/>
        <top style="thin">
          <color theme="1"/>
        </top>
        <bottom style="thin">
          <color theme="1"/>
        </bottom>
        <vertical/>
        <horizontal/>
      </border>
    </dxf>
    <dxf>
      <font>
        <b val="0"/>
        <i val="0"/>
        <strike val="0"/>
        <condense val="0"/>
        <extend val="0"/>
        <outline val="0"/>
        <shadow val="0"/>
        <u val="none"/>
        <vertAlign val="baseline"/>
        <sz val="11"/>
        <color theme="1"/>
        <name val="Arial"/>
        <scheme val="minor"/>
      </font>
      <border diagonalUp="0" diagonalDown="0">
        <left/>
        <right/>
        <top style="thin">
          <color theme="1"/>
        </top>
        <bottom style="thin">
          <color theme="1"/>
        </bottom>
        <vertical/>
        <horizontal/>
      </border>
    </dxf>
    <dxf>
      <font>
        <b val="0"/>
        <i val="0"/>
        <strike val="0"/>
        <condense val="0"/>
        <extend val="0"/>
        <outline val="0"/>
        <shadow val="0"/>
        <u val="none"/>
        <vertAlign val="baseline"/>
        <sz val="11"/>
        <color theme="1"/>
        <name val="Arial"/>
        <scheme val="minor"/>
      </font>
      <border diagonalUp="0" diagonalDown="0">
        <left/>
        <right/>
        <top style="thin">
          <color theme="1"/>
        </top>
        <bottom style="thin">
          <color theme="1"/>
        </bottom>
        <vertical/>
        <horizontal/>
      </border>
    </dxf>
    <dxf>
      <font>
        <b val="0"/>
        <i val="0"/>
        <strike val="0"/>
        <condense val="0"/>
        <extend val="0"/>
        <outline val="0"/>
        <shadow val="0"/>
        <u val="none"/>
        <vertAlign val="baseline"/>
        <sz val="8"/>
        <color auto="1"/>
        <name val="Arial"/>
        <scheme val="none"/>
      </font>
      <numFmt numFmtId="30" formatCode="@"/>
      <fill>
        <patternFill patternType="solid">
          <fgColor indexed="64"/>
          <bgColor theme="9" tint="0.59999389629810485"/>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9" tint="0.59999389629810485"/>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scheme val="minor"/>
      </font>
      <numFmt numFmtId="30" formatCode="@"/>
      <alignment horizontal="general" vertical="top" textRotation="0" wrapText="0" indent="0" justifyLastLine="0" shrinkToFit="0" readingOrder="0"/>
      <border diagonalUp="0" diagonalDown="0" outline="0">
        <left/>
        <right/>
        <top style="thin">
          <color theme="6"/>
        </top>
        <bottom/>
      </border>
      <protection locked="1" hidden="1"/>
    </dxf>
    <dxf>
      <protection locked="1" hidden="1"/>
    </dxf>
    <dxf>
      <font>
        <b val="0"/>
        <i val="0"/>
        <strike val="0"/>
        <condense val="0"/>
        <extend val="0"/>
        <outline val="0"/>
        <shadow val="0"/>
        <u val="none"/>
        <vertAlign val="baseline"/>
        <sz val="10"/>
        <color rgb="FF4A4A4A"/>
        <name val="Calibri"/>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style="thin">
          <color rgb="FF000000"/>
        </top>
        <bottom/>
      </border>
      <protection locked="1" hidden="0"/>
    </dxf>
    <dxf>
      <font>
        <b val="0"/>
        <i val="0"/>
        <strike val="0"/>
        <condense val="0"/>
        <extend val="0"/>
        <outline val="0"/>
        <shadow val="0"/>
        <u val="none"/>
        <vertAlign val="baseline"/>
        <sz val="11"/>
        <color theme="1"/>
        <name val="Arial"/>
        <scheme val="minor"/>
      </font>
      <border diagonalUp="0" diagonalDown="0">
        <left/>
        <right/>
        <top style="thin">
          <color theme="6"/>
        </top>
        <bottom style="thin">
          <color theme="6"/>
        </bottom>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133350</xdr:colOff>
          <xdr:row>2</xdr:row>
          <xdr:rowOff>19050</xdr:rowOff>
        </xdr:from>
        <xdr:to>
          <xdr:col>7</xdr:col>
          <xdr:colOff>257175</xdr:colOff>
          <xdr:row>4</xdr:row>
          <xdr:rowOff>104775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285750</xdr:colOff>
          <xdr:row>2</xdr:row>
          <xdr:rowOff>19050</xdr:rowOff>
        </xdr:from>
        <xdr:to>
          <xdr:col>5</xdr:col>
          <xdr:colOff>228600</xdr:colOff>
          <xdr:row>4</xdr:row>
          <xdr:rowOff>104775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2</xdr:row>
          <xdr:rowOff>19050</xdr:rowOff>
        </xdr:from>
        <xdr:to>
          <xdr:col>8</xdr:col>
          <xdr:colOff>704850</xdr:colOff>
          <xdr:row>4</xdr:row>
          <xdr:rowOff>104775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Clear Results</a:t>
              </a:r>
            </a:p>
          </xdr:txBody>
        </xdr:sp>
        <xdr:clientData fPrintsWithSheet="0"/>
      </xdr:twoCellAnchor>
    </mc:Choice>
    <mc:Fallback/>
  </mc:AlternateContent>
  <xdr:oneCellAnchor>
    <xdr:from>
      <xdr:col>6</xdr:col>
      <xdr:colOff>0</xdr:colOff>
      <xdr:row>12</xdr:row>
      <xdr:rowOff>0</xdr:rowOff>
    </xdr:from>
    <xdr:ext cx="9525" cy="9525"/>
    <xdr:pic>
      <xdr:nvPicPr>
        <xdr:cNvPr id="5" name="Picture 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38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 name="Picture 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38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 name="Picture 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38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 name="Picture 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 name="Picture 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 name="Picture 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 name="Picture 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 name="Picture 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 name="Picture 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 name="Picture 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 name="Picture 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 name="Picture 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 name="Picture 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 name="Picture 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 name="Picture 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 name="Picture 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 name="Picture 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 name="Picture 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 name="Picture 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 name="Picture 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 name="Picture 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 name="Picture 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 name="Picture 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 name="Picture 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 name="Picture 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 name="Picture 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 name="Picture 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 name="Picture 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 name="Picture 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 name="Picture 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 name="Picture 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 name="Picture 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 name="Picture 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8" name="Picture 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9" name="Picture 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0" name="Picture 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1" name="Picture 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2" name="Picture 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3" name="Picture 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4" name="Picture 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5" name="Picture 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6" name="Picture 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7" name="Picture 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8" name="Picture 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9" name="Picture 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0" name="Picture 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1" name="Picture 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2" name="Picture 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3" name="Picture 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4" name="Picture 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5" name="Picture 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6" name="Picture 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7" name="Picture 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8" name="Picture 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9" name="Picture 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0" name="Picture 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1" name="Picture 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2" name="Picture 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3" name="Picture 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4" name="Picture 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5" name="Picture 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6" name="Picture 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7" name="Picture 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8" name="Picture 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9" name="Picture 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0" name="Picture 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1" name="Picture 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2" name="Picture 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3" name="Picture 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4" name="Picture 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5" name="Picture 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6" name="Picture 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7" name="Picture 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8" name="Picture 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9" name="Picture 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0" name="Picture 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1" name="Picture 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2" name="Picture 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3" name="Picture 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4" name="Picture 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5" name="Picture 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6" name="Picture 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7" name="Picture 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8" name="Picture 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9" name="Picture 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0" name="Picture 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1" name="Picture 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2" name="Picture 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3" name="Picture 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4" name="Picture 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5" name="Picture 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6" name="Picture 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7" name="Picture 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8" name="Picture 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9" name="Picture 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0" name="Picture 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1" name="Picture 1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2" name="Picture 1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3" name="Picture 1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4" name="Picture 1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5" name="Picture 1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6" name="Picture 1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7" name="Picture 1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8" name="Picture 1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9" name="Picture 1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0" name="Picture 1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1" name="Picture 1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2" name="Picture 1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3" name="Picture 1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4" name="Picture 1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5" name="Picture 1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6" name="Picture 1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7" name="Picture 1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8" name="Picture 1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9" name="Picture 1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0" name="Picture 1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1" name="Picture 1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2" name="Picture 1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3" name="Picture 1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4" name="Picture 1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5" name="Picture 1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6" name="Picture 1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7" name="Picture 1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8" name="Picture 1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9" name="Picture 1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0" name="Picture 1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1" name="Picture 1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2" name="Picture 1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3" name="Picture 1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4" name="Picture 1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5" name="Picture 1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6" name="Picture 1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7" name="Picture 1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8" name="Picture 1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9" name="Picture 1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0" name="Picture 1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1" name="Picture 1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2" name="Picture 1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3" name="Picture 1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4" name="Picture 1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5" name="Picture 1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6" name="Picture 1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7" name="Picture 1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8" name="Picture 1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9" name="Picture 1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0" name="Picture 1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1" name="Picture 1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2" name="Picture 1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3" name="Picture 1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4" name="Picture 1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5" name="Picture 1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6" name="Picture 1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7" name="Picture 1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8" name="Picture 1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9" name="Picture 1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0" name="Picture 1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1" name="Picture 1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2" name="Picture 1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3" name="Picture 1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4" name="Picture 1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5" name="Picture 1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6" name="Picture 1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7" name="Picture 1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8" name="Picture 1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9" name="Picture 1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0" name="Picture 1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1" name="Picture 1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2" name="Picture 1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3" name="Picture 1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4" name="Picture 1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5" name="Picture 1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6" name="Picture 1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7" name="Picture 1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8" name="Picture 1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9" name="Picture 1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0" name="Picture 1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1" name="Picture 1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2" name="Picture 1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3" name="Picture 1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4" name="Picture 1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5" name="Picture 1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6" name="Picture 1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7" name="Picture 1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8" name="Picture 1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9" name="Picture 1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0" name="Picture 1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1" name="Picture 1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2" name="Picture 1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3" name="Picture 1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4" name="Picture 1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5" name="Picture 1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6" name="Picture 1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7" name="Picture 1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8" name="Picture 1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9" name="Picture 1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0" name="Picture 1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1" name="Picture 2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2" name="Picture 2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3" name="Picture 2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4" name="Picture 2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5" name="Picture 2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6" name="Picture 2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7" name="Picture 2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8" name="Picture 2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9" name="Picture 2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0" name="Picture 2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1" name="Picture 2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2" name="Picture 2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3" name="Picture 2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4" name="Picture 2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5" name="Picture 2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6" name="Picture 2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7" name="Picture 2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8" name="Picture 2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9" name="Picture 2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0" name="Picture 2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1" name="Picture 2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2" name="Picture 2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3" name="Picture 2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4" name="Picture 2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5" name="Picture 2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6" name="Picture 2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7" name="Picture 2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8" name="Picture 2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9" name="Picture 2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0" name="Picture 2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1" name="Picture 2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2" name="Picture 2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3" name="Picture 2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4" name="Picture 2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5" name="Picture 2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6" name="Picture 2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7" name="Picture 2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8" name="Picture 2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9" name="Picture 2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0" name="Picture 2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1" name="Picture 2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2" name="Picture 2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3" name="Picture 2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4" name="Picture 2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5" name="Picture 2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6" name="Picture 2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7" name="Picture 2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8" name="Picture 2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9" name="Picture 2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0" name="Picture 2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1" name="Picture 2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2" name="Picture 2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3" name="Picture 2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4" name="Picture 2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5" name="Picture 2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6" name="Picture 2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7" name="Picture 2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8" name="Picture 2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9" name="Picture 2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0" name="Picture 2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1" name="Picture 2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2" name="Picture 2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3" name="Picture 2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4" name="Picture 2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5" name="Picture 2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6" name="Picture 2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7" name="Picture 2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8" name="Picture 2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9" name="Picture 2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0" name="Picture 2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1" name="Picture 2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2" name="Picture 2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3" name="Picture 2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4" name="Picture 2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5" name="Picture 2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6" name="Picture 2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7" name="Picture 2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8" name="Picture 2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9" name="Picture 2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0" name="Picture 2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1" name="Picture 2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2" name="Picture 2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3" name="Picture 2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4" name="Picture 2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5" name="Picture 2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6" name="Picture 2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7" name="Picture 2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8" name="Picture 2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9" name="Picture 2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0" name="Picture 2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1" name="Picture 2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2" name="Picture 2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3" name="Picture 2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4" name="Picture 2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5" name="Picture 2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6" name="Picture 2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7" name="Picture 2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8" name="Picture 2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9" name="Picture 2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0" name="Picture 2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1" name="Picture 3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2" name="Picture 3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3" name="Picture 3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4" name="Picture 3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5" name="Picture 3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6" name="Picture 3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7" name="Picture 3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8" name="Picture 3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9" name="Picture 3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0" name="Picture 3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1" name="Picture 3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2" name="Picture 3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3" name="Picture 3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4" name="Picture 3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5" name="Picture 3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6" name="Picture 3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7" name="Picture 3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8" name="Picture 3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9" name="Picture 3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0" name="Picture 3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1" name="Picture 3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2" name="Picture 3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3" name="Picture 3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4" name="Picture 3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5" name="Picture 3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6" name="Picture 3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7" name="Picture 3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8" name="Picture 3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9" name="Picture 3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0" name="Picture 3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1" name="Picture 3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2" name="Picture 3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3" name="Picture 3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4" name="Picture 3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5" name="Picture 3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6" name="Picture 3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7" name="Picture 3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8" name="Picture 3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9" name="Picture 3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0" name="Picture 3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1" name="Picture 3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2" name="Picture 3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3" name="Picture 3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4" name="Picture 3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5" name="Picture 3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6" name="Picture 3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7" name="Picture 3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8" name="Picture 3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9" name="Picture 3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0" name="Picture 3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1" name="Picture 3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2" name="Picture 3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3" name="Picture 3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4" name="Picture 3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5" name="Picture 3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6" name="Picture 3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7" name="Picture 3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8" name="Picture 3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9" name="Picture 3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0" name="Picture 3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1" name="Picture 3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2" name="Picture 3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3" name="Picture 3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4" name="Picture 3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5" name="Picture 3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6" name="Picture 3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7" name="Picture 3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8" name="Picture 3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9" name="Picture 3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0" name="Picture 3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1" name="Picture 3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2" name="Picture 3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3" name="Picture 3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4" name="Picture 3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5" name="Picture 3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6" name="Picture 3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7" name="Picture 3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8" name="Picture 3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9" name="Picture 3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80" name="Picture 3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81" name="Picture 3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82" name="Picture 3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3" name="Picture 3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4" name="Picture 3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5" name="Picture 3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6" name="Picture 3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7" name="Picture 3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8" name="Picture 3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9" name="Picture 3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0" name="Picture 3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1" name="Picture 3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2" name="Picture 3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3" name="Picture 3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4" name="Picture 3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5" name="Picture 3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6" name="Picture 3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7" name="Picture 3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8" name="Picture 3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9" name="Picture 3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0" name="Picture 3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1" name="Picture 4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2" name="Picture 4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3" name="Picture 4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4" name="Picture 4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5" name="Picture 4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6" name="Picture 4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7" name="Picture 4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8" name="Picture 4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9" name="Picture 4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0" name="Picture 4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1" name="Picture 4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2" name="Picture 4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3" name="Picture 4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4" name="Picture 4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5" name="Picture 4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6" name="Picture 4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7" name="Picture 4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8" name="Picture 4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9" name="Picture 4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0" name="Picture 4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1" name="Picture 4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2" name="Picture 4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3" name="Picture 4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4" name="Picture 4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5" name="Picture 4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6" name="Picture 4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7" name="Picture 4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8" name="Picture 4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9" name="Picture 4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0" name="Picture 4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1" name="Picture 4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2" name="Picture 4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3" name="Picture 4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4" name="Picture 4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5" name="Picture 4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6" name="Picture 4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7" name="Picture 4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8" name="Picture 4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9" name="Picture 4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0" name="Picture 4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1" name="Picture 4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2" name="Picture 4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3" name="Picture 4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4" name="Picture 4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5" name="Picture 4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6" name="Picture 4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7" name="Picture 4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8" name="Picture 4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9" name="Picture 4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0" name="Picture 4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1" name="Picture 4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2" name="Picture 4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3" name="Picture 4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4" name="Picture 4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5" name="Picture 4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6" name="Picture 4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7" name="Picture 4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8" name="Picture 4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9" name="Picture 4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0" name="Picture 4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1" name="Picture 4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2" name="Picture 4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3" name="Picture 4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4" name="Picture 4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5" name="Picture 4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6" name="Picture 4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7" name="Picture 4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8" name="Picture 4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9" name="Picture 4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0" name="Picture 4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1" name="Picture 4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2" name="Picture 4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3" name="Picture 4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4" name="Picture 4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5" name="Picture 4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6" name="Picture 4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7" name="Picture 4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8" name="Picture 4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9" name="Picture 4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0" name="Picture 4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1" name="Picture 4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2" name="Picture 4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3" name="Picture 4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4" name="Picture 4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5" name="Picture 4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6" name="Picture 4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7" name="Picture 4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8" name="Picture 4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9" name="Picture 4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0" name="Picture 4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1" name="Picture 4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2" name="Picture 4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3" name="Picture 4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4" name="Picture 4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5" name="Picture 4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6" name="Picture 4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7" name="Picture 4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8" name="Picture 4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9" name="Picture 4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0" name="Picture 4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1" name="Picture 5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2" name="Picture 5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3" name="Picture 5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4" name="Picture 5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5" name="Picture 5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6" name="Picture 5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7" name="Picture 5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8" name="Picture 5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9" name="Picture 5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0" name="Picture 5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1" name="Picture 5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2" name="Picture 5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3" name="Picture 5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4" name="Picture 5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5" name="Picture 5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6" name="Picture 5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7" name="Picture 5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8" name="Picture 5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9" name="Picture 5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0" name="Picture 5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1" name="Picture 5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2" name="Picture 5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3" name="Picture 5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4" name="Picture 5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5" name="Picture 5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6" name="Picture 5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7" name="Picture 5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8" name="Picture 5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9" name="Picture 5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0" name="Picture 5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1" name="Picture 5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2" name="Picture 5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3" name="Picture 5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4" name="Picture 5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5" name="Picture 5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6" name="Picture 5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7" name="Picture 5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8" name="Picture 5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9" name="Picture 5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0" name="Picture 5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1" name="Picture 5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2" name="Picture 5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3" name="Picture 5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4" name="Picture 5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5" name="Picture 5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6" name="Picture 5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7" name="Picture 5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8" name="Picture 5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9" name="Picture 5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0" name="Picture 5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1" name="Picture 5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2" name="Picture 5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3" name="Picture 5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4" name="Picture 5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5" name="Picture 5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6" name="Picture 5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7" name="Picture 5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8" name="Picture 5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9" name="Picture 5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0" name="Picture 5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1" name="Picture 5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2" name="Picture 5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3" name="Picture 5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4" name="Picture 5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5" name="Picture 5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6" name="Picture 5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7" name="Picture 5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8" name="Picture 5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9" name="Picture 5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0" name="Picture 5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1" name="Picture 5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2" name="Picture 5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3" name="Picture 5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4" name="Picture 5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5" name="Picture 5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6" name="Picture 5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7" name="Picture 5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8" name="Picture 5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9" name="Picture 5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0" name="Picture 5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1" name="Picture 5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2" name="Picture 5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3" name="Picture 5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4" name="Picture 5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5" name="Picture 5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6" name="Picture 5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7" name="Picture 5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8" name="Picture 5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9" name="Picture 5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0" name="Picture 5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1" name="Picture 5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2" name="Picture 5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3" name="Picture 5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4" name="Picture 5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5" name="Picture 5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6" name="Picture 5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7" name="Picture 5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8" name="Picture 5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9" name="Picture 5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0" name="Picture 5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1" name="Picture 6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2" name="Picture 6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3" name="Picture 6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4" name="Picture 6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5" name="Picture 6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6" name="Picture 6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7" name="Picture 6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8" name="Picture 6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9" name="Picture 6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0" name="Picture 6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1" name="Picture 6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2" name="Picture 6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3" name="Picture 6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4" name="Picture 6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5" name="Picture 6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6" name="Picture 6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7" name="Picture 6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8" name="Picture 6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9" name="Picture 6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0" name="Picture 6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1" name="Picture 6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2" name="Picture 6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3" name="Picture 6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4" name="Picture 6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5" name="Picture 6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6" name="Picture 6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7" name="Picture 6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8" name="Picture 6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9" name="Picture 6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0" name="Picture 6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1" name="Picture 6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2" name="Picture 6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3" name="Picture 6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4" name="Picture 6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5" name="Picture 6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6" name="Picture 6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7" name="Picture 6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8" name="Picture 6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9" name="Picture 6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0" name="Picture 6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1" name="Picture 6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2" name="Picture 6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3" name="Picture 6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4" name="Picture 6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5" name="Picture 6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6" name="Picture 6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7" name="Picture 6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8" name="Picture 6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9" name="Picture 6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0" name="Picture 6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1" name="Picture 6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2" name="Picture 6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3" name="Picture 6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4" name="Picture 6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5" name="Picture 6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6" name="Picture 6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7" name="Picture 6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8" name="Picture 6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9" name="Picture 6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0" name="Picture 6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1" name="Picture 6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2" name="Picture 6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3" name="Picture 6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4" name="Picture 6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5" name="Picture 6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6" name="Picture 6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7" name="Picture 6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8" name="Picture 6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9" name="Picture 6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0" name="Picture 6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1" name="Picture 6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2" name="Picture 6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3" name="Picture 6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4" name="Picture 6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5" name="Picture 6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6" name="Picture 6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7" name="Picture 6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8" name="Picture 6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9" name="Picture 6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0" name="Picture 6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1" name="Picture 6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2" name="Picture 6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3" name="Picture 6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4" name="Picture 6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5" name="Picture 6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6" name="Picture 6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7" name="Picture 6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8" name="Picture 6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9" name="Picture 6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0" name="Picture 6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1" name="Picture 6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2" name="Picture 6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3" name="Picture 6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4" name="Picture 6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5" name="Picture 6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6" name="Picture 6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7" name="Picture 6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8" name="Picture 6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9" name="Picture 6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0" name="Picture 6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1" name="Picture 7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2" name="Picture 7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3" name="Picture 7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4" name="Picture 7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5" name="Picture 7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6" name="Picture 7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7" name="Picture 7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8" name="Picture 7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9" name="Picture 7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0" name="Picture 7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1" name="Picture 7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2" name="Picture 7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3" name="Picture 7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4" name="Picture 7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5" name="Picture 7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6" name="Picture 7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7" name="Picture 7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8" name="Picture 7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9" name="Picture 7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0" name="Picture 7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1" name="Picture 7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2" name="Picture 7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3" name="Picture 7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4" name="Picture 7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5" name="Picture 7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6" name="Picture 7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7" name="Picture 7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8" name="Picture 7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9" name="Picture 7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0" name="Picture 7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1" name="Picture 7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2" name="Picture 7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3" name="Picture 7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4" name="Picture 7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5" name="Picture 7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6" name="Picture 7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7" name="Picture 7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8" name="Picture 7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9" name="Picture 7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0" name="Picture 7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1" name="Picture 7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2" name="Picture 7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3" name="Picture 7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4" name="Picture 7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5" name="Picture 7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6" name="Picture 7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7" name="Picture 7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8" name="Picture 7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9" name="Picture 7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0" name="Picture 7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1" name="Picture 7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2" name="Picture 7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3" name="Picture 7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4" name="Picture 7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5" name="Picture 7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6" name="Picture 7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7" name="Picture 7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8" name="Picture 7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9" name="Picture 7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0" name="Picture 7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1" name="Picture 7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2" name="Picture 7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3" name="Picture 7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4" name="Picture 7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5" name="Picture 7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6" name="Picture 7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7" name="Picture 7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8" name="Picture 7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9" name="Picture 7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0" name="Picture 7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1" name="Picture 7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2" name="Picture 7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3" name="Picture 7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4" name="Picture 7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5" name="Picture 7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6" name="Picture 7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7" name="Picture 7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8" name="Picture 7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9" name="Picture 7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0" name="Picture 7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1" name="Picture 7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2" name="Picture 7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3" name="Picture 7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4" name="Picture 7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5" name="Picture 7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6" name="Picture 7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7" name="Picture 7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8" name="Picture 7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9" name="Picture 7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90" name="Picture 7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91" name="Picture 7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92" name="Picture 7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93" name="Picture 7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9525</xdr:colOff>
      <xdr:row>2</xdr:row>
      <xdr:rowOff>0</xdr:rowOff>
    </xdr:to>
    <xdr:pic>
      <xdr:nvPicPr>
        <xdr:cNvPr id="2" name="Picture 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09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2</xdr:row>
      <xdr:rowOff>0</xdr:rowOff>
    </xdr:from>
    <xdr:ext cx="9525" cy="9525"/>
    <xdr:pic>
      <xdr:nvPicPr>
        <xdr:cNvPr id="3" name="Picture 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47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9525" cy="9525"/>
    <xdr:pic>
      <xdr:nvPicPr>
        <xdr:cNvPr id="4" name="Picture 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47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9525" cy="9525"/>
    <xdr:pic>
      <xdr:nvPicPr>
        <xdr:cNvPr id="5" name="Picture 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47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5</xdr:col>
      <xdr:colOff>381000</xdr:colOff>
      <xdr:row>14</xdr:row>
      <xdr:rowOff>19050</xdr:rowOff>
    </xdr:to>
    <xdr:sp macro="" textlink="">
      <xdr:nvSpPr>
        <xdr:cNvPr id="2" name="TheJack"/>
        <xdr:cNvSpPr txBox="1"/>
      </xdr:nvSpPr>
      <xdr:spPr>
        <a:xfrm>
          <a:off x="66675" y="1085850"/>
          <a:ext cx="9010650" cy="1466850"/>
        </a:xfrm>
        <a:prstGeom prst="rect">
          <a:avLst/>
        </a:prstGeom>
        <a:noFill/>
      </xdr:spPr>
      <xdr:txBody>
        <a:bodyPr vertOverflow="clip" horzOverflow="clip" wrap="square" lIns="0" tIns="0" rIns="0" bIns="0" rtlCol="0" anchor="t">
          <a:noAutofit/>
        </a:bodyPr>
        <a:lstStyle/>
        <a:p>
          <a:pPr indent="-274320">
            <a:spcAft>
              <a:spcPts val="900"/>
            </a:spcAft>
          </a:pPr>
          <a:r>
            <a:rPr lang="en-US" sz="800" dirty="0" err="1" smtClean="0">
              <a:latin typeface="+mn-lt"/>
            </a:rPr>
            <a:t># 2015/08/18 -- code description</a:t>
          </a:r>
        </a:p>
        <a:p>
          <a:pPr indent="-274320">
            <a:spcAft>
              <a:spcPts val="900"/>
            </a:spcAft>
          </a:pPr>
          <a:r>
            <a:rPr lang="en-US" sz="800" dirty="0" err="1" smtClean="0">
              <a:latin typeface="+mn-lt"/>
            </a:rPr>
            <a:t># 2015/08/18 -- add progress description</a:t>
          </a:r>
        </a:p>
        <a:p>
          <a:pPr indent="-274320">
            <a:spcAft>
              <a:spcPts val="900"/>
            </a:spcAft>
          </a:pPr>
          <a:r>
            <a:rPr lang="en-US" sz="800" dirty="0" err="1" smtClean="0">
              <a:latin typeface="+mn-lt"/>
            </a:rPr>
            <a:t># 2015/08/18 -- add results description</a:t>
          </a:r>
        </a:p>
        <a:p>
          <a:pPr indent="-274320">
            <a:spcAft>
              <a:spcPts val="900"/>
            </a:spcAft>
          </a:pPr>
          <a:r>
            <a:rPr lang="en-US" sz="800" dirty="0" err="1" smtClean="0">
              <a:latin typeface="+mn-lt"/>
            </a:rPr>
            <a:t># 2015/08/18 -- add ipg_history</a:t>
          </a:r>
        </a:p>
        <a:p>
          <a:pPr indent="-274320">
            <a:spcAft>
              <a:spcPts val="900"/>
            </a:spcAft>
          </a:pPr>
          <a:r>
            <a:rPr lang="en-US" sz="800" dirty="0" err="1" smtClean="0">
              <a:latin typeface="+mn-lt"/>
            </a:rPr>
            <a:t># 2015/08/17 -- code consolidation</a:t>
          </a:r>
        </a:p>
        <a:p>
          <a:pPr indent="-274320">
            <a:spcAft>
              <a:spcPts val="900"/>
            </a:spcAft>
          </a:pPr>
          <a:r>
            <a:rPr lang="en-US" sz="800" dirty="0" err="1" smtClean="0">
              <a:latin typeface="+mn-lt"/>
            </a:rPr>
            <a:t># 2015/08/10 -- do okreslonych kolumn</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2015/06/18 -- dodano check na niepoprawny</a:t>
          </a:r>
        </a:p>
        <a:p>
          <a:pPr indent="-274320">
            <a:spcAft>
              <a:spcPts val="900"/>
            </a:spcAft>
          </a:pPr>
          <a:r>
            <a:rPr lang="en-US" sz="800" dirty="0" err="1" smtClean="0">
              <a:latin typeface="+mn-lt"/>
            </a:rPr>
            <a:t># 2015/06/18 -- czas oczekiwania po wyszukiwaniu zmniejszono do 10 sec</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25.05 -- zaciąganie informacji dt. podmiotu "as is" bez skreślonych rzeczy</a:t>
          </a:r>
        </a:p>
        <a:p>
          <a:pPr indent="-274320">
            <a:spcAft>
              <a:spcPts val="900"/>
            </a:spcAft>
          </a:pPr>
          <a:r>
            <a:rPr lang="en-US" sz="800" dirty="0" err="1" smtClean="0">
              <a:latin typeface="+mn-lt"/>
            </a:rPr>
            <a:t># 25.05 -- optymalizacja silnika</a:t>
          </a:r>
        </a:p>
        <a:p>
          <a:pPr indent="-274320">
            <a:spcAft>
              <a:spcPts val="900"/>
            </a:spcAft>
          </a:pPr>
          <a:r>
            <a:rPr lang="en-US" sz="800" dirty="0" err="1" smtClean="0">
              <a:latin typeface="+mn-lt"/>
            </a:rPr>
            <a:t># 25.05 -- rozbito zaciąganie adresu na ulicę, zip i miasto</a:t>
          </a:r>
        </a:p>
        <a:p>
          <a:pPr indent="-274320">
            <a:spcAft>
              <a:spcPts val="900"/>
            </a:spcAft>
          </a:pPr>
          <a:r>
            <a:rPr lang="en-US" sz="800" dirty="0" err="1" smtClean="0">
              <a:latin typeface="+mn-lt"/>
            </a:rPr>
            <a:t># 25.05 -- kolumny REPREZENTACJA, WSPÓLNICY, NADZÓR i UWAGI zaciągane bezpośrednio</a:t>
          </a:r>
        </a:p>
        <a:p>
          <a:pPr indent="-274320">
            <a:spcAft>
              <a:spcPts val="900"/>
            </a:spcAft>
          </a:pPr>
          <a:r>
            <a:rPr lang="en-US" sz="800" dirty="0" err="1" smtClean="0">
              <a:latin typeface="+mn-lt"/>
            </a:rPr>
            <a:t># 19.05 -- dodano kolumnę skreślone pozycje</a:t>
          </a:r>
        </a:p>
        <a:p>
          <a:pPr indent="-274320">
            <a:spcAft>
              <a:spcPts val="900"/>
            </a:spcAft>
          </a:pPr>
          <a:r>
            <a:rPr lang="en-US" sz="800" dirty="0" err="1" smtClean="0">
              <a:latin typeface="+mn-lt"/>
            </a:rPr>
            <a:t># 15.05 -- dodano "testowe" wyszukiwanie</a:t>
          </a:r>
        </a:p>
        <a:p>
          <a:pPr indent="-274320">
            <a:spcAft>
              <a:spcPts val="900"/>
            </a:spcAft>
          </a:pPr>
          <a:r>
            <a:rPr lang="en-US" sz="800" dirty="0" err="1" smtClean="0">
              <a:latin typeface="+mn-lt"/>
            </a:rPr>
            <a:t># 04.05 -- optymalizacja silnika; dodano informacje o wyniku</a:t>
          </a:r>
        </a:p>
        <a:p>
          <a:pPr indent="-274320">
            <a:spcAft>
              <a:spcPts val="900"/>
            </a:spcAft>
          </a:pPr>
          <a:r>
            <a:rPr lang="en-US" sz="800" dirty="0" err="1" smtClean="0">
              <a:latin typeface="+mn-lt"/>
            </a:rPr>
            <a:t># 28.04 -- zaciąga wszystkie pola! yipikaye</a:t>
          </a:r>
        </a:p>
        <a:p>
          <a:pPr indent="-274320">
            <a:spcAft>
              <a:spcPts val="900"/>
            </a:spcAft>
          </a:pPr>
          <a:r>
            <a:rPr lang="en-US" sz="800" dirty="0" err="1" smtClean="0">
              <a:latin typeface="+mn-lt"/>
            </a:rPr>
            <a:t># 28.04 -- zaciąga cale pole z nazwą</a:t>
          </a:r>
        </a:p>
        <a:p>
          <a:pPr indent="-274320">
            <a:spcAft>
              <a:spcPts val="900"/>
            </a:spcAft>
          </a:pPr>
          <a:r>
            <a:rPr lang="en-US" sz="800" dirty="0" err="1" smtClean="0">
              <a:latin typeface="+mn-lt"/>
            </a:rPr>
            <a:t># 28.04 -- jeżeli wystepuje błąd na stronie wyszukiwarka maksymalnie się zatrzumuje na 2 min</a:t>
          </a:r>
        </a:p>
        <a:p>
          <a:pPr indent="-274320">
            <a:spcAft>
              <a:spcPts val="900"/>
            </a:spcAft>
          </a:pPr>
          <a:r>
            <a:rPr lang="en-US" sz="800" dirty="0" err="1" smtClean="0">
              <a:latin typeface="+mn-lt"/>
            </a:rPr>
            <a:t># 28.04 -- error handler zamieniono na czas oczekiwania przed/po kopiowaniu danych i przed/po wyszukiwaniem</a:t>
          </a:r>
        </a:p>
        <a:p>
          <a:pPr indent="-274320">
            <a:spcAft>
              <a:spcPts val="900"/>
            </a:spcAft>
          </a:pPr>
          <a:r>
            <a:rPr lang="en-US" sz="800" dirty="0" err="1" smtClean="0">
              <a:latin typeface="+mn-lt"/>
            </a:rPr>
            <a:t># 27.04 -- dodano error handler na "Błąd przetwarzania" - :id okno_l_c_r</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require_gems: start #################################################</a:t>
          </a:r>
        </a:p>
        <a:p>
          <a:pPr indent="-274320">
            <a:spcAft>
              <a:spcPts val="900"/>
            </a:spcAft>
          </a:pPr>
          <a:r>
            <a:rPr lang="en-US" sz="800" dirty="0" err="1" smtClean="0">
              <a:latin typeface="+mn-lt"/>
            </a:rPr>
            <a:t>require 'watir'</a:t>
          </a:r>
        </a:p>
        <a:p>
          <a:pPr indent="-274320">
            <a:spcAft>
              <a:spcPts val="900"/>
            </a:spcAft>
          </a:pPr>
          <a:r>
            <a:rPr lang="en-US" sz="800" dirty="0" err="1" smtClean="0">
              <a:latin typeface="+mn-lt"/>
            </a:rPr>
            <a:t>require 'win32ole'</a:t>
          </a:r>
        </a:p>
        <a:p>
          <a:pPr indent="-274320">
            <a:spcAft>
              <a:spcPts val="900"/>
            </a:spcAft>
          </a:pPr>
          <a:r>
            <a:rPr lang="en-US" sz="800" dirty="0" err="1" smtClean="0">
              <a:latin typeface="+mn-lt"/>
            </a:rPr>
            <a:t>################################################### require_gems: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launch_browser: start ################################################</a:t>
          </a:r>
        </a:p>
        <a:p>
          <a:pPr indent="-274320">
            <a:spcAft>
              <a:spcPts val="900"/>
            </a:spcAft>
          </a:pPr>
          <a:r>
            <a:rPr lang="en-US" sz="800" dirty="0" err="1" smtClean="0">
              <a:latin typeface="+mn-lt"/>
            </a:rPr>
            <a:t>system('taskkill /IM iexplore.exe /F')</a:t>
          </a:r>
        </a:p>
        <a:p>
          <a:pPr indent="-274320">
            <a:spcAft>
              <a:spcPts val="900"/>
            </a:spcAft>
          </a:pPr>
          <a:r>
            <a:rPr lang="en-US" sz="800" dirty="0" err="1" smtClean="0">
              <a:latin typeface="+mn-lt"/>
            </a:rPr>
            <a:t>$b = Watir::Browser.new</a:t>
          </a:r>
        </a:p>
        <a:p>
          <a:pPr indent="-274320">
            <a:spcAft>
              <a:spcPts val="900"/>
            </a:spcAft>
          </a:pPr>
          <a:r>
            <a:rPr lang="en-US" sz="800" dirty="0" err="1" smtClean="0">
              <a:latin typeface="+mn-lt"/>
            </a:rPr>
            <a:t>$f = $b.frame(:id =&gt; 'contentFrameRT')</a:t>
          </a:r>
        </a:p>
        <a:p>
          <a:pPr indent="-274320">
            <a:spcAft>
              <a:spcPts val="900"/>
            </a:spcAft>
          </a:pPr>
          <a:r>
            <a:rPr lang="en-US" sz="800" dirty="0" err="1" smtClean="0">
              <a:latin typeface="+mn-lt"/>
            </a:rPr>
            <a:t>$b.goto 'http://logowanie.wolterskluwer.pl'</a:t>
          </a:r>
        </a:p>
        <a:p>
          <a:pPr indent="-274320">
            <a:spcAft>
              <a:spcPts val="900"/>
            </a:spcAft>
          </a:pPr>
          <a:r>
            <a:rPr lang="en-US" sz="800" dirty="0" err="1" smtClean="0">
              <a:latin typeface="+mn-lt"/>
            </a:rPr>
            <a:t>################################################## launch_browser: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login_wolterskluwer: start #############################################</a:t>
          </a:r>
        </a:p>
        <a:p>
          <a:pPr indent="-274320">
            <a:spcAft>
              <a:spcPts val="900"/>
            </a:spcAft>
          </a:pPr>
          <a:r>
            <a:rPr lang="en-US" sz="800" dirty="0" err="1" smtClean="0">
              <a:latin typeface="+mn-lt"/>
            </a:rPr>
            <a:t>if $b.img(:alt,'ON-LINE IPG GOLD').exist? then</a:t>
          </a:r>
        </a:p>
        <a:p>
          <a:pPr indent="-274320">
            <a:spcAft>
              <a:spcPts val="900"/>
            </a:spcAft>
          </a:pPr>
          <a:r>
            <a:rPr lang="en-US" sz="800" dirty="0" err="1" smtClean="0">
              <a:latin typeface="+mn-lt"/>
            </a:rPr>
            <a:t>$b.img(:alt =&gt; 'ON-LINE IPG GOLD').when_present.click else</a:t>
          </a:r>
        </a:p>
        <a:p>
          <a:pPr indent="-274320">
            <a:spcAft>
              <a:spcPts val="900"/>
            </a:spcAft>
          </a:pPr>
          <a:r>
            <a:rPr lang="en-US" sz="800" dirty="0" err="1" smtClean="0">
              <a:latin typeface="+mn-lt"/>
            </a:rPr>
            <a:t>$b.text_field(:id,'login').when_present.set 'jakub.kur@pl.pwc.com'</a:t>
          </a:r>
        </a:p>
        <a:p>
          <a:pPr indent="-274320">
            <a:spcAft>
              <a:spcPts val="900"/>
            </a:spcAft>
          </a:pPr>
          <a:r>
            <a:rPr lang="en-US" sz="800" dirty="0" err="1" smtClean="0">
              <a:latin typeface="+mn-lt"/>
            </a:rPr>
            <a:t>$b.text_field(:id,'password').when_present.set '1qaz@WSX'</a:t>
          </a:r>
        </a:p>
        <a:p>
          <a:pPr indent="-274320">
            <a:spcAft>
              <a:spcPts val="900"/>
            </a:spcAft>
          </a:pPr>
          <a:r>
            <a:rPr lang="en-US" sz="800" dirty="0" err="1" smtClean="0">
              <a:latin typeface="+mn-lt"/>
            </a:rPr>
            <a:t>$b.button(:id =&gt; 'login_btn').when_present.click</a:t>
          </a:r>
        </a:p>
        <a:p>
          <a:pPr indent="-274320">
            <a:spcAft>
              <a:spcPts val="900"/>
            </a:spcAft>
          </a:pPr>
          <a:r>
            <a:rPr lang="en-US" sz="800" dirty="0" err="1" smtClean="0">
              <a:latin typeface="+mn-lt"/>
            </a:rPr>
            <a:t>$b.img(:alt =&gt; 'ON-LINE IPG GOLD').when_present.click end</a:t>
          </a:r>
        </a:p>
        <a:p>
          <a:pPr indent="-274320">
            <a:spcAft>
              <a:spcPts val="900"/>
            </a:spcAft>
          </a:pPr>
          <a:r>
            <a:rPr lang="en-US" sz="800" dirty="0" err="1" smtClean="0">
              <a:latin typeface="+mn-lt"/>
            </a:rPr>
            <a:t>$b.close</a:t>
          </a:r>
        </a:p>
        <a:p>
          <a:pPr indent="-274320">
            <a:spcAft>
              <a:spcPts val="900"/>
            </a:spcAft>
          </a:pPr>
          <a:r>
            <a:rPr lang="en-US" sz="800" dirty="0" err="1" smtClean="0">
              <a:latin typeface="+mn-lt"/>
            </a:rPr>
            <a:t>$b.window.use</a:t>
          </a:r>
        </a:p>
        <a:p>
          <a:pPr indent="-274320">
            <a:spcAft>
              <a:spcPts val="900"/>
            </a:spcAft>
          </a:pPr>
          <a:r>
            <a:rPr lang="en-US" sz="800" dirty="0" err="1" smtClean="0">
              <a:latin typeface="+mn-lt"/>
            </a:rPr>
            <a:t>################################################ login_wolterskluwer: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close_popup: start #################################################</a:t>
          </a:r>
        </a:p>
        <a:p>
          <a:pPr indent="-274320">
            <a:spcAft>
              <a:spcPts val="900"/>
            </a:spcAft>
          </a:pPr>
          <a:r>
            <a:rPr lang="en-US" sz="800" dirty="0" err="1" smtClean="0">
              <a:latin typeface="+mn-lt"/>
            </a:rPr>
            <a:t>begin</a:t>
          </a:r>
        </a:p>
        <a:p>
          <a:pPr indent="-274320">
            <a:spcAft>
              <a:spcPts val="900"/>
            </a:spcAft>
          </a:pPr>
          <a:r>
            <a:rPr lang="en-US" sz="800" dirty="0" err="1" smtClean="0">
              <a:latin typeface="+mn-lt"/>
            </a:rPr>
            <a:t>$b.div(:class,'close').when_present(10).click</a:t>
          </a:r>
        </a:p>
        <a:p>
          <a:pPr indent="-274320">
            <a:spcAft>
              <a:spcPts val="900"/>
            </a:spcAft>
          </a:pPr>
          <a:r>
            <a:rPr lang="en-US" sz="800" dirty="0" err="1" smtClean="0">
              <a:latin typeface="+mn-lt"/>
            </a:rPr>
            <a:t>rescue</a:t>
          </a:r>
        </a:p>
        <a:p>
          <a:pPr indent="-274320">
            <a:spcAft>
              <a:spcPts val="900"/>
            </a:spcAft>
          </a:pPr>
          <a:r>
            <a:rPr lang="en-US" sz="800" dirty="0" err="1" smtClean="0">
              <a:latin typeface="+mn-lt"/>
            </a:rPr>
            <a:t>end</a:t>
          </a:r>
        </a:p>
        <a:p>
          <a:pPr indent="-274320">
            <a:spcAft>
              <a:spcPts val="900"/>
            </a:spcAft>
          </a:pPr>
          <a:r>
            <a:rPr lang="en-US" sz="800" dirty="0" err="1" smtClean="0">
              <a:latin typeface="+mn-lt"/>
            </a:rPr>
            <a:t>$b.window.use</a:t>
          </a:r>
        </a:p>
        <a:p>
          <a:pPr indent="-274320">
            <a:spcAft>
              <a:spcPts val="900"/>
            </a:spcAft>
          </a:pPr>
          <a:r>
            <a:rPr lang="en-US" sz="800" dirty="0" err="1" smtClean="0">
              <a:latin typeface="+mn-lt"/>
            </a:rPr>
            <a:t>#################################################### close_popup: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excel_connect: start ################################################</a:t>
          </a:r>
        </a:p>
        <a:p>
          <a:pPr indent="-274320">
            <a:spcAft>
              <a:spcPts val="900"/>
            </a:spcAft>
          </a:pPr>
          <a:r>
            <a:rPr lang="en-US" sz="800" dirty="0" err="1" smtClean="0">
              <a:latin typeface="+mn-lt"/>
            </a:rPr>
            <a:t>excel = WIN32OLE.connect('Excel.Application')</a:t>
          </a:r>
        </a:p>
        <a:p>
          <a:pPr indent="-274320">
            <a:spcAft>
              <a:spcPts val="900"/>
            </a:spcAft>
          </a:pPr>
          <a:r>
            <a:rPr lang="en-US" sz="800" dirty="0" err="1" smtClean="0">
              <a:latin typeface="+mn-lt"/>
            </a:rPr>
            <a:t>$t_input = excel.ActiveWorkbook.WorkSheets("input").ListObjects("input")</a:t>
          </a:r>
        </a:p>
        <a:p>
          <a:pPr indent="-274320">
            <a:spcAft>
              <a:spcPts val="900"/>
            </a:spcAft>
          </a:pPr>
          <a:r>
            <a:rPr lang="en-US" sz="800" dirty="0" err="1" smtClean="0">
              <a:latin typeface="+mn-lt"/>
            </a:rPr>
            <a:t>$t_input2 = excel.ActiveWorkbook.WorkSheets("input").ListObjects("input2")</a:t>
          </a:r>
        </a:p>
        <a:p>
          <a:pPr indent="-274320">
            <a:spcAft>
              <a:spcPts val="900"/>
            </a:spcAft>
          </a:pPr>
          <a:r>
            <a:rPr lang="en-US" sz="800" dirty="0" err="1" smtClean="0">
              <a:latin typeface="+mn-lt"/>
            </a:rPr>
            <a:t>$e_input = excel.ActiveWorkbook.WorkSheets("input")</a:t>
          </a:r>
        </a:p>
        <a:p>
          <a:pPr indent="-274320">
            <a:spcAft>
              <a:spcPts val="900"/>
            </a:spcAft>
          </a:pPr>
          <a:r>
            <a:rPr lang="en-US" sz="800" dirty="0" err="1" smtClean="0">
              <a:latin typeface="+mn-lt"/>
            </a:rPr>
            <a:t>$t_output = excel.ActiveWorkbook.WorkSheets("results").ListObjects("clear_result")</a:t>
          </a:r>
        </a:p>
        <a:p>
          <a:pPr indent="-274320">
            <a:spcAft>
              <a:spcPts val="900"/>
            </a:spcAft>
          </a:pPr>
          <a:r>
            <a:rPr lang="en-US" sz="800" dirty="0" err="1" smtClean="0">
              <a:latin typeface="+mn-lt"/>
            </a:rPr>
            <a:t>################################################### excel_connect: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excel_input_parameters: start ############################################</a:t>
          </a:r>
        </a:p>
        <a:p>
          <a:pPr indent="-274320">
            <a:spcAft>
              <a:spcPts val="900"/>
            </a:spcAft>
          </a:pPr>
          <a:r>
            <a:rPr lang="en-US" sz="800" dirty="0" err="1" smtClean="0">
              <a:latin typeface="+mn-lt"/>
            </a:rPr>
            <a:t>######################################### excel_input_parameters_podmioty: start #######################################</a:t>
          </a:r>
        </a:p>
        <a:p>
          <a:pPr indent="-274320">
            <a:spcAft>
              <a:spcPts val="900"/>
            </a:spcAft>
          </a:pPr>
          <a:r>
            <a:rPr lang="en-US" sz="800" dirty="0" err="1" smtClean="0">
              <a:latin typeface="+mn-lt"/>
            </a:rPr>
            <a:t>if $t_input.Listrows.count &gt; 1 then</a:t>
          </a:r>
        </a:p>
        <a:p>
          <a:pPr indent="-274320">
            <a:spcAft>
              <a:spcPts val="900"/>
            </a:spcAft>
          </a:pPr>
          <a:r>
            <a:rPr lang="en-US" sz="800" dirty="0" err="1" smtClean="0">
              <a:latin typeface="+mn-lt"/>
            </a:rPr>
            <a:t>###################################### excel_input_parameters_podmioty_array: start ####################################</a:t>
          </a:r>
        </a:p>
        <a:p>
          <a:pPr indent="-274320">
            <a:spcAft>
              <a:spcPts val="900"/>
            </a:spcAft>
          </a:pPr>
          <a:r>
            <a:rPr lang="en-US" sz="800" dirty="0" err="1" smtClean="0">
              <a:latin typeface="+mn-lt"/>
            </a:rPr>
            <a:t>$Test = $t_input.ListColumns("Test").DataBodyRange.value.to_a</a:t>
          </a:r>
        </a:p>
        <a:p>
          <a:pPr indent="-274320">
            <a:spcAft>
              <a:spcPts val="900"/>
            </a:spcAft>
          </a:pPr>
          <a:r>
            <a:rPr lang="en-US" sz="800" dirty="0" err="1" smtClean="0">
              <a:latin typeface="+mn-lt"/>
            </a:rPr>
            <a:t>$History = $t_input.ListColumns("History").DataBodyRange.value.to_a</a:t>
          </a:r>
        </a:p>
        <a:p>
          <a:pPr indent="-274320">
            <a:spcAft>
              <a:spcPts val="900"/>
            </a:spcAft>
          </a:pPr>
          <a:r>
            <a:rPr lang="en-US" sz="800" dirty="0" err="1" smtClean="0">
              <a:latin typeface="+mn-lt"/>
            </a:rPr>
            <a:t>$Nazwa = $t_input.ListColumns("Nazwa").DataBodyRange.value.to_a</a:t>
          </a:r>
        </a:p>
        <a:p>
          <a:pPr indent="-274320">
            <a:spcAft>
              <a:spcPts val="900"/>
            </a:spcAft>
          </a:pPr>
          <a:r>
            <a:rPr lang="en-US" sz="800" dirty="0" err="1" smtClean="0">
              <a:latin typeface="+mn-lt"/>
            </a:rPr>
            <a:t>$KRS = $t_input.ListColumns("KRS").DataBodyRange.value.to_a</a:t>
          </a:r>
        </a:p>
        <a:p>
          <a:pPr indent="-274320">
            <a:spcAft>
              <a:spcPts val="900"/>
            </a:spcAft>
          </a:pPr>
          <a:r>
            <a:rPr lang="en-US" sz="800" dirty="0" err="1" smtClean="0">
              <a:latin typeface="+mn-lt"/>
            </a:rPr>
            <a:t>$REGON = $t_input.ListColumns("REGON").DataBodyRange.value.to_a</a:t>
          </a:r>
        </a:p>
        <a:p>
          <a:pPr indent="-274320">
            <a:spcAft>
              <a:spcPts val="900"/>
            </a:spcAft>
          </a:pPr>
          <a:r>
            <a:rPr lang="en-US" sz="800" dirty="0" err="1" smtClean="0">
              <a:latin typeface="+mn-lt"/>
            </a:rPr>
            <a:t>$NIP = $t_input.ListColumns("NIP").DataBodyRange.value.to_a</a:t>
          </a:r>
        </a:p>
        <a:p>
          <a:pPr indent="-274320">
            <a:spcAft>
              <a:spcPts val="900"/>
            </a:spcAft>
          </a:pPr>
          <a:r>
            <a:rPr lang="en-US" sz="800" dirty="0" err="1" smtClean="0">
              <a:latin typeface="+mn-lt"/>
            </a:rPr>
            <a:t>$Miejscowosc = $t_input.ListColumns("Miejscowosc").DataBodyRange.value.to_a</a:t>
          </a:r>
        </a:p>
        <a:p>
          <a:pPr indent="-274320">
            <a:spcAft>
              <a:spcPts val="900"/>
            </a:spcAft>
          </a:pPr>
          <a:r>
            <a:rPr lang="en-US" sz="800" dirty="0" err="1" smtClean="0">
              <a:latin typeface="+mn-lt"/>
            </a:rPr>
            <a:t>$Ulica = $t_input.ListColumns("Ulica").DataBodyRange.value.to_a</a:t>
          </a:r>
        </a:p>
        <a:p>
          <a:pPr indent="-274320">
            <a:spcAft>
              <a:spcPts val="900"/>
            </a:spcAft>
          </a:pPr>
          <a:r>
            <a:rPr lang="en-US" sz="800" dirty="0" err="1" smtClean="0">
              <a:latin typeface="+mn-lt"/>
            </a:rPr>
            <a:t>$Kod_Pocztowy = $t_input.ListColumns("ZIP").DataBodyRange.value.to_a</a:t>
          </a:r>
        </a:p>
        <a:p>
          <a:pPr indent="-274320">
            <a:spcAft>
              <a:spcPts val="900"/>
            </a:spcAft>
          </a:pPr>
          <a:r>
            <a:rPr lang="en-US" sz="800" dirty="0" err="1" smtClean="0">
              <a:latin typeface="+mn-lt"/>
            </a:rPr>
            <a:t>####################################### excel_input_parameters_podmioty_array: end #####################################</a:t>
          </a:r>
        </a:p>
        <a:p>
          <a:pPr indent="-274320">
            <a:spcAft>
              <a:spcPts val="900"/>
            </a:spcAft>
          </a:pPr>
          <a:r>
            <a:rPr lang="en-US" sz="800" dirty="0" err="1" smtClean="0">
              <a:latin typeface="+mn-lt"/>
            </a:rPr>
            <a:t>elsif $t_input.Listrows.count == 1 then</a:t>
          </a:r>
        </a:p>
        <a:p>
          <a:pPr indent="-274320">
            <a:spcAft>
              <a:spcPts val="900"/>
            </a:spcAft>
          </a:pPr>
          <a:r>
            <a:rPr lang="en-US" sz="800" dirty="0" err="1" smtClean="0">
              <a:latin typeface="+mn-lt"/>
            </a:rPr>
            <a:t>###################################### excel_input_parameters_podmioty_line: start #####################################</a:t>
          </a:r>
        </a:p>
        <a:p>
          <a:pPr indent="-274320">
            <a:spcAft>
              <a:spcPts val="900"/>
            </a:spcAft>
          </a:pPr>
          <a:r>
            <a:rPr lang="en-US" sz="800" dirty="0" err="1" smtClean="0">
              <a:latin typeface="+mn-lt"/>
            </a:rPr>
            <a:t>$Test = $t_input.ListColumns("Test").DataBodyRange.value</a:t>
          </a:r>
        </a:p>
        <a:p>
          <a:pPr indent="-274320">
            <a:spcAft>
              <a:spcPts val="900"/>
            </a:spcAft>
          </a:pPr>
          <a:r>
            <a:rPr lang="en-US" sz="800" dirty="0" err="1" smtClean="0">
              <a:latin typeface="+mn-lt"/>
            </a:rPr>
            <a:t>$History = $t_input.ListColumns("History").DataBodyRange.value</a:t>
          </a:r>
        </a:p>
        <a:p>
          <a:pPr indent="-274320">
            <a:spcAft>
              <a:spcPts val="900"/>
            </a:spcAft>
          </a:pPr>
          <a:r>
            <a:rPr lang="en-US" sz="800" dirty="0" err="1" smtClean="0">
              <a:latin typeface="+mn-lt"/>
            </a:rPr>
            <a:t>$Nazwa = $t_input.ListColumns("Nazwa").DataBodyRange.value</a:t>
          </a:r>
        </a:p>
        <a:p>
          <a:pPr indent="-274320">
            <a:spcAft>
              <a:spcPts val="900"/>
            </a:spcAft>
          </a:pPr>
          <a:r>
            <a:rPr lang="en-US" sz="800" dirty="0" err="1" smtClean="0">
              <a:latin typeface="+mn-lt"/>
            </a:rPr>
            <a:t>$KRS = $t_input.ListColumns("KRS").DataBodyRange.value</a:t>
          </a:r>
        </a:p>
        <a:p>
          <a:pPr indent="-274320">
            <a:spcAft>
              <a:spcPts val="900"/>
            </a:spcAft>
          </a:pPr>
          <a:r>
            <a:rPr lang="en-US" sz="800" dirty="0" err="1" smtClean="0">
              <a:latin typeface="+mn-lt"/>
            </a:rPr>
            <a:t>$REGON = $t_input.ListColumns("REGON").DataBodyRange.value</a:t>
          </a:r>
        </a:p>
        <a:p>
          <a:pPr indent="-274320">
            <a:spcAft>
              <a:spcPts val="900"/>
            </a:spcAft>
          </a:pPr>
          <a:r>
            <a:rPr lang="en-US" sz="800" dirty="0" err="1" smtClean="0">
              <a:latin typeface="+mn-lt"/>
            </a:rPr>
            <a:t>$NIP = $t_input.ListColumns("NIP").DataBodyRange.value</a:t>
          </a:r>
        </a:p>
        <a:p>
          <a:pPr indent="-274320">
            <a:spcAft>
              <a:spcPts val="900"/>
            </a:spcAft>
          </a:pPr>
          <a:r>
            <a:rPr lang="en-US" sz="800" dirty="0" err="1" smtClean="0">
              <a:latin typeface="+mn-lt"/>
            </a:rPr>
            <a:t>$Miejscowosc = $t_input.ListColumns("Miejscowosc").DataBodyRange.value</a:t>
          </a:r>
        </a:p>
        <a:p>
          <a:pPr indent="-274320">
            <a:spcAft>
              <a:spcPts val="900"/>
            </a:spcAft>
          </a:pPr>
          <a:r>
            <a:rPr lang="en-US" sz="800" dirty="0" err="1" smtClean="0">
              <a:latin typeface="+mn-lt"/>
            </a:rPr>
            <a:t>$Ulica = $t_input.ListColumns("Ulica").DataBodyRange.value</a:t>
          </a:r>
        </a:p>
        <a:p>
          <a:pPr indent="-274320">
            <a:spcAft>
              <a:spcPts val="900"/>
            </a:spcAft>
          </a:pPr>
          <a:r>
            <a:rPr lang="en-US" sz="800" dirty="0" err="1" smtClean="0">
              <a:latin typeface="+mn-lt"/>
            </a:rPr>
            <a:t>$Kod_Pocztowy = $t_input.ListColumns("ZIP").DataBodyRange.value</a:t>
          </a:r>
        </a:p>
        <a:p>
          <a:pPr indent="-274320">
            <a:spcAft>
              <a:spcPts val="900"/>
            </a:spcAft>
          </a:pPr>
          <a:r>
            <a:rPr lang="en-US" sz="800" dirty="0" err="1" smtClean="0">
              <a:latin typeface="+mn-lt"/>
            </a:rPr>
            <a:t>####################################### excel_input_parameters_podmioty_line: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excel_input_parameters_podmioty: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excel_input_parameters_powiazania: start ######################################</a:t>
          </a:r>
        </a:p>
        <a:p>
          <a:pPr indent="-274320">
            <a:spcAft>
              <a:spcPts val="900"/>
            </a:spcAft>
          </a:pPr>
          <a:r>
            <a:rPr lang="en-US" sz="800" dirty="0" err="1" smtClean="0">
              <a:latin typeface="+mn-lt"/>
            </a:rPr>
            <a:t>if $t_input2.Listrows.count &gt; 1 then</a:t>
          </a:r>
        </a:p>
        <a:p>
          <a:pPr indent="-274320">
            <a:spcAft>
              <a:spcPts val="900"/>
            </a:spcAft>
          </a:pPr>
          <a:r>
            <a:rPr lang="en-US" sz="800" dirty="0" err="1" smtClean="0">
              <a:latin typeface="+mn-lt"/>
            </a:rPr>
            <a:t>##################################### excel_input_parameters_powiazania_array: start ###################################</a:t>
          </a:r>
        </a:p>
        <a:p>
          <a:pPr indent="-274320">
            <a:spcAft>
              <a:spcPts val="900"/>
            </a:spcAft>
          </a:pPr>
          <a:r>
            <a:rPr lang="en-US" sz="800" dirty="0" err="1" smtClean="0">
              <a:latin typeface="+mn-lt"/>
            </a:rPr>
            <a:t>$Test2 = $t_input2.ListColumns("Test").DataBodyRange.value.to_a</a:t>
          </a:r>
        </a:p>
        <a:p>
          <a:pPr indent="-274320">
            <a:spcAft>
              <a:spcPts val="900"/>
            </a:spcAft>
          </a:pPr>
          <a:r>
            <a:rPr lang="en-US" sz="800" dirty="0" err="1" smtClean="0">
              <a:latin typeface="+mn-lt"/>
            </a:rPr>
            <a:t>$History2 = $t_input2.ListColumns("History").DataBodyRange.value.to_a</a:t>
          </a:r>
        </a:p>
        <a:p>
          <a:pPr indent="-274320">
            <a:spcAft>
              <a:spcPts val="900"/>
            </a:spcAft>
          </a:pPr>
          <a:r>
            <a:rPr lang="en-US" sz="800" dirty="0" err="1" smtClean="0">
              <a:latin typeface="+mn-lt"/>
            </a:rPr>
            <a:t>$Nazwa2 = $t_input2.ListColumns("Podmiot_Osoba").DataBodyRange.value.to_a</a:t>
          </a:r>
        </a:p>
        <a:p>
          <a:pPr indent="-274320">
            <a:spcAft>
              <a:spcPts val="900"/>
            </a:spcAft>
          </a:pPr>
          <a:r>
            <a:rPr lang="en-US" sz="800" dirty="0" err="1" smtClean="0">
              <a:latin typeface="+mn-lt"/>
            </a:rPr>
            <a:t>$Imie2 = $t_input2.ListColumns("Imie").DataBodyRange.value.to_a</a:t>
          </a:r>
        </a:p>
        <a:p>
          <a:pPr indent="-274320">
            <a:spcAft>
              <a:spcPts val="900"/>
            </a:spcAft>
          </a:pPr>
          <a:r>
            <a:rPr lang="en-US" sz="800" dirty="0" err="1" smtClean="0">
              <a:latin typeface="+mn-lt"/>
            </a:rPr>
            <a:t>$PESEL2 = $t_input2.ListColumns("PESEL").DataBodyRange.value.to_a</a:t>
          </a:r>
        </a:p>
        <a:p>
          <a:pPr indent="-274320">
            <a:spcAft>
              <a:spcPts val="900"/>
            </a:spcAft>
          </a:pPr>
          <a:r>
            <a:rPr lang="en-US" sz="800" dirty="0" err="1" smtClean="0">
              <a:latin typeface="+mn-lt"/>
            </a:rPr>
            <a:t>$KRS2 = $t_input2.ListColumns("KRS").DataBodyRange.value.to_a</a:t>
          </a:r>
        </a:p>
        <a:p>
          <a:pPr indent="-274320">
            <a:spcAft>
              <a:spcPts val="900"/>
            </a:spcAft>
          </a:pPr>
          <a:r>
            <a:rPr lang="en-US" sz="800" dirty="0" err="1" smtClean="0">
              <a:latin typeface="+mn-lt"/>
            </a:rPr>
            <a:t>$REGON2 = $t_input2.ListColumns("REGON").DataBodyRange.value.to_a</a:t>
          </a:r>
        </a:p>
        <a:p>
          <a:pPr indent="-274320">
            <a:spcAft>
              <a:spcPts val="900"/>
            </a:spcAft>
          </a:pPr>
          <a:r>
            <a:rPr lang="en-US" sz="800" dirty="0" err="1" smtClean="0">
              <a:latin typeface="+mn-lt"/>
            </a:rPr>
            <a:t>$PODMIOT2 = $t_input2.ListColumns("Nazwa_podmiotu").DataBodyRange.value.to_a</a:t>
          </a:r>
        </a:p>
        <a:p>
          <a:pPr indent="-274320">
            <a:spcAft>
              <a:spcPts val="900"/>
            </a:spcAft>
          </a:pPr>
          <a:r>
            <a:rPr lang="en-US" sz="800" dirty="0" err="1" smtClean="0">
              <a:latin typeface="+mn-lt"/>
            </a:rPr>
            <a:t>$Miejscowosc2 = $t_input2.ListColumns("Miejscowosc").DataBodyRange.value.to_a</a:t>
          </a:r>
        </a:p>
        <a:p>
          <a:pPr indent="-274320">
            <a:spcAft>
              <a:spcPts val="900"/>
            </a:spcAft>
          </a:pPr>
          <a:r>
            <a:rPr lang="en-US" sz="800" dirty="0" err="1" smtClean="0">
              <a:latin typeface="+mn-lt"/>
            </a:rPr>
            <a:t>$Ulica2 = $t_input2.ListColumns("Ulica").DataBodyRange.value.to_a</a:t>
          </a:r>
        </a:p>
        <a:p>
          <a:pPr indent="-274320">
            <a:spcAft>
              <a:spcPts val="900"/>
            </a:spcAft>
          </a:pPr>
          <a:r>
            <a:rPr lang="en-US" sz="800" dirty="0" err="1" smtClean="0">
              <a:latin typeface="+mn-lt"/>
            </a:rPr>
            <a:t>$Kod_Pocztowy2 = $t_input2.ListColumns("ZIP").DataBodyRange.value.to_a</a:t>
          </a:r>
        </a:p>
        <a:p>
          <a:pPr indent="-274320">
            <a:spcAft>
              <a:spcPts val="900"/>
            </a:spcAft>
          </a:pPr>
          <a:r>
            <a:rPr lang="en-US" sz="800" dirty="0" err="1" smtClean="0">
              <a:latin typeface="+mn-lt"/>
            </a:rPr>
            <a:t>###################################### excel_input_parameters_powiazania_array: end ####################################</a:t>
          </a:r>
        </a:p>
        <a:p>
          <a:pPr indent="-274320">
            <a:spcAft>
              <a:spcPts val="900"/>
            </a:spcAft>
          </a:pPr>
          <a:r>
            <a:rPr lang="en-US" sz="800" dirty="0" err="1" smtClean="0">
              <a:latin typeface="+mn-lt"/>
            </a:rPr>
            <a:t>elsif $t_input2.Listrows.count == 1 then</a:t>
          </a:r>
        </a:p>
        <a:p>
          <a:pPr indent="-274320">
            <a:spcAft>
              <a:spcPts val="900"/>
            </a:spcAft>
          </a:pPr>
          <a:r>
            <a:rPr lang="en-US" sz="800" dirty="0" err="1" smtClean="0">
              <a:latin typeface="+mn-lt"/>
            </a:rPr>
            <a:t>##################################### excel_input_parameters_powiazania_line: start ####################################</a:t>
          </a:r>
        </a:p>
        <a:p>
          <a:pPr indent="-274320">
            <a:spcAft>
              <a:spcPts val="900"/>
            </a:spcAft>
          </a:pPr>
          <a:r>
            <a:rPr lang="en-US" sz="800" dirty="0" err="1" smtClean="0">
              <a:latin typeface="+mn-lt"/>
            </a:rPr>
            <a:t>$Test2 = $t_input2.ListColumns("Test").DataBodyRange.value</a:t>
          </a:r>
        </a:p>
        <a:p>
          <a:pPr indent="-274320">
            <a:spcAft>
              <a:spcPts val="900"/>
            </a:spcAft>
          </a:pPr>
          <a:r>
            <a:rPr lang="en-US" sz="800" dirty="0" err="1" smtClean="0">
              <a:latin typeface="+mn-lt"/>
            </a:rPr>
            <a:t>$History2 = $t_input2.ListColumns("History").DataBodyRange.value</a:t>
          </a:r>
        </a:p>
        <a:p>
          <a:pPr indent="-274320">
            <a:spcAft>
              <a:spcPts val="900"/>
            </a:spcAft>
          </a:pPr>
          <a:r>
            <a:rPr lang="en-US" sz="800" dirty="0" err="1" smtClean="0">
              <a:latin typeface="+mn-lt"/>
            </a:rPr>
            <a:t>$Nazwa2 = $t_input2.ListColumns("Podmiot_Osoba").DataBodyRange.value</a:t>
          </a:r>
        </a:p>
        <a:p>
          <a:pPr indent="-274320">
            <a:spcAft>
              <a:spcPts val="900"/>
            </a:spcAft>
          </a:pPr>
          <a:r>
            <a:rPr lang="en-US" sz="800" dirty="0" err="1" smtClean="0">
              <a:latin typeface="+mn-lt"/>
            </a:rPr>
            <a:t>$Imie2 = $t_input2.ListColumns("Imie").DataBodyRange.value</a:t>
          </a:r>
        </a:p>
        <a:p>
          <a:pPr indent="-274320">
            <a:spcAft>
              <a:spcPts val="900"/>
            </a:spcAft>
          </a:pPr>
          <a:r>
            <a:rPr lang="en-US" sz="800" dirty="0" err="1" smtClean="0">
              <a:latin typeface="+mn-lt"/>
            </a:rPr>
            <a:t>$PESEL2 = $t_input2.ListColumns("PESEL").DataBodyRange.value</a:t>
          </a:r>
        </a:p>
        <a:p>
          <a:pPr indent="-274320">
            <a:spcAft>
              <a:spcPts val="900"/>
            </a:spcAft>
          </a:pPr>
          <a:r>
            <a:rPr lang="en-US" sz="800" dirty="0" err="1" smtClean="0">
              <a:latin typeface="+mn-lt"/>
            </a:rPr>
            <a:t>$KRS2 = $t_input2.ListColumns("KRS").DataBodyRange.value</a:t>
          </a:r>
        </a:p>
        <a:p>
          <a:pPr indent="-274320">
            <a:spcAft>
              <a:spcPts val="900"/>
            </a:spcAft>
          </a:pPr>
          <a:r>
            <a:rPr lang="en-US" sz="800" dirty="0" err="1" smtClean="0">
              <a:latin typeface="+mn-lt"/>
            </a:rPr>
            <a:t>$REGON2 = $t_input2.ListColumns("REGON").DataBodyRange.value</a:t>
          </a:r>
        </a:p>
        <a:p>
          <a:pPr indent="-274320">
            <a:spcAft>
              <a:spcPts val="900"/>
            </a:spcAft>
          </a:pPr>
          <a:r>
            <a:rPr lang="en-US" sz="800" dirty="0" err="1" smtClean="0">
              <a:latin typeface="+mn-lt"/>
            </a:rPr>
            <a:t>$PODMIOT2 = $t_input2.ListColumns("Nazwa_podmiotu").DataBodyRange.value</a:t>
          </a:r>
        </a:p>
        <a:p>
          <a:pPr indent="-274320">
            <a:spcAft>
              <a:spcPts val="900"/>
            </a:spcAft>
          </a:pPr>
          <a:r>
            <a:rPr lang="en-US" sz="800" dirty="0" err="1" smtClean="0">
              <a:latin typeface="+mn-lt"/>
            </a:rPr>
            <a:t>$Miejscowosc2 = $t_input2.ListColumns("Miejscowosc").DataBodyRange.value</a:t>
          </a:r>
        </a:p>
        <a:p>
          <a:pPr indent="-274320">
            <a:spcAft>
              <a:spcPts val="900"/>
            </a:spcAft>
          </a:pPr>
          <a:r>
            <a:rPr lang="en-US" sz="800" dirty="0" err="1" smtClean="0">
              <a:latin typeface="+mn-lt"/>
            </a:rPr>
            <a:t>$Ulica2 = $t_input2.ListColumns("Ulica").DataBodyRange.value</a:t>
          </a:r>
        </a:p>
        <a:p>
          <a:pPr indent="-274320">
            <a:spcAft>
              <a:spcPts val="900"/>
            </a:spcAft>
          </a:pPr>
          <a:r>
            <a:rPr lang="en-US" sz="800" dirty="0" err="1" smtClean="0">
              <a:latin typeface="+mn-lt"/>
            </a:rPr>
            <a:t>$Kod_Pocztowy2 = $t_input2.ListColumns("ZIP").DataBodyRange.value</a:t>
          </a:r>
        </a:p>
        <a:p>
          <a:pPr indent="-274320">
            <a:spcAft>
              <a:spcPts val="900"/>
            </a:spcAft>
          </a:pPr>
          <a:r>
            <a:rPr lang="en-US" sz="800" dirty="0" err="1" smtClean="0">
              <a:latin typeface="+mn-lt"/>
            </a:rPr>
            <a:t>###################################### excel_input_parameters_powiazania_line: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excel_input_parameters_powiazania: end #######################################</a:t>
          </a:r>
        </a:p>
        <a:p>
          <a:pPr indent="-274320">
            <a:spcAft>
              <a:spcPts val="900"/>
            </a:spcAft>
          </a:pPr>
          <a:r>
            <a:rPr lang="en-US" sz="800" dirty="0" err="1" smtClean="0">
              <a:latin typeface="+mn-lt"/>
            </a:rPr>
            <a:t>############################################## excel_input_parameters: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create_key: start ##################################################</a:t>
          </a:r>
        </a:p>
        <a:p>
          <a:pPr indent="-274320">
            <a:spcAft>
              <a:spcPts val="900"/>
            </a:spcAft>
          </a:pPr>
          <a:r>
            <a:rPr lang="en-US" sz="800" dirty="0" err="1" smtClean="0">
              <a:latin typeface="+mn-lt"/>
            </a:rPr>
            <a:t>########################################## create_key_set_column_number: start #########################################</a:t>
          </a:r>
        </a:p>
        <a:p>
          <a:pPr indent="-274320">
            <a:spcAft>
              <a:spcPts val="900"/>
            </a:spcAft>
          </a:pPr>
          <a:r>
            <a:rPr lang="en-US" sz="800" dirty="0" err="1" smtClean="0">
              <a:latin typeface="+mn-lt"/>
            </a:rPr>
            <a:t>$c_input = 0</a:t>
          </a:r>
        </a:p>
        <a:p>
          <a:pPr indent="-274320">
            <a:spcAft>
              <a:spcPts val="900"/>
            </a:spcAft>
          </a:pPr>
          <a:r>
            <a:rPr lang="en-US" sz="800" dirty="0" err="1" smtClean="0">
              <a:latin typeface="+mn-lt"/>
            </a:rPr>
            <a:t>$c_test = $c_input + 1</a:t>
          </a:r>
        </a:p>
        <a:p>
          <a:pPr indent="-274320">
            <a:spcAft>
              <a:spcPts val="900"/>
            </a:spcAft>
          </a:pPr>
          <a:r>
            <a:rPr lang="en-US" sz="800" dirty="0" err="1" smtClean="0">
              <a:latin typeface="+mn-lt"/>
            </a:rPr>
            <a:t>$c_history = $c_test + 1</a:t>
          </a:r>
        </a:p>
        <a:p>
          <a:pPr indent="-274320">
            <a:spcAft>
              <a:spcPts val="900"/>
            </a:spcAft>
          </a:pPr>
          <a:r>
            <a:rPr lang="en-US" sz="800" dirty="0" err="1" smtClean="0">
              <a:latin typeface="+mn-lt"/>
            </a:rPr>
            <a:t>$c_nazwa = $c_history + 1</a:t>
          </a:r>
        </a:p>
        <a:p>
          <a:pPr indent="-274320">
            <a:spcAft>
              <a:spcPts val="900"/>
            </a:spcAft>
          </a:pPr>
          <a:r>
            <a:rPr lang="en-US" sz="800" dirty="0" err="1" smtClean="0">
              <a:latin typeface="+mn-lt"/>
            </a:rPr>
            <a:t>$c_krs = $c_nazwa + 1</a:t>
          </a:r>
        </a:p>
        <a:p>
          <a:pPr indent="-274320">
            <a:spcAft>
              <a:spcPts val="900"/>
            </a:spcAft>
          </a:pPr>
          <a:r>
            <a:rPr lang="en-US" sz="800" dirty="0" err="1" smtClean="0">
              <a:latin typeface="+mn-lt"/>
            </a:rPr>
            <a:t>$c_regon = $c_krs + 1</a:t>
          </a:r>
        </a:p>
        <a:p>
          <a:pPr indent="-274320">
            <a:spcAft>
              <a:spcPts val="900"/>
            </a:spcAft>
          </a:pPr>
          <a:r>
            <a:rPr lang="en-US" sz="800" dirty="0" err="1" smtClean="0">
              <a:latin typeface="+mn-lt"/>
            </a:rPr>
            <a:t>$c_nip = $c_regon + 1</a:t>
          </a:r>
        </a:p>
        <a:p>
          <a:pPr indent="-274320">
            <a:spcAft>
              <a:spcPts val="900"/>
            </a:spcAft>
          </a:pPr>
          <a:r>
            <a:rPr lang="en-US" sz="800" dirty="0" err="1" smtClean="0">
              <a:latin typeface="+mn-lt"/>
            </a:rPr>
            <a:t>$c_pesel = $c_nip</a:t>
          </a:r>
        </a:p>
        <a:p>
          <a:pPr indent="-274320">
            <a:spcAft>
              <a:spcPts val="900"/>
            </a:spcAft>
          </a:pPr>
          <a:r>
            <a:rPr lang="en-US" sz="800" dirty="0" err="1" smtClean="0">
              <a:latin typeface="+mn-lt"/>
            </a:rPr>
            <a:t>$c_miejscowosc = $c_nip + 1</a:t>
          </a:r>
        </a:p>
        <a:p>
          <a:pPr indent="-274320">
            <a:spcAft>
              <a:spcPts val="900"/>
            </a:spcAft>
          </a:pPr>
          <a:r>
            <a:rPr lang="en-US" sz="800" dirty="0" err="1" smtClean="0">
              <a:latin typeface="+mn-lt"/>
            </a:rPr>
            <a:t>$c_ulica = $c_miejscowosc + 1</a:t>
          </a:r>
        </a:p>
        <a:p>
          <a:pPr indent="-274320">
            <a:spcAft>
              <a:spcPts val="900"/>
            </a:spcAft>
          </a:pPr>
          <a:r>
            <a:rPr lang="en-US" sz="800" dirty="0" err="1" smtClean="0">
              <a:latin typeface="+mn-lt"/>
            </a:rPr>
            <a:t>$c_kod = $c_ulica + 1</a:t>
          </a:r>
        </a:p>
        <a:p>
          <a:pPr indent="-274320">
            <a:spcAft>
              <a:spcPts val="900"/>
            </a:spcAft>
          </a:pPr>
          <a:r>
            <a:rPr lang="en-US" sz="800" dirty="0" err="1" smtClean="0">
              <a:latin typeface="+mn-lt"/>
            </a:rPr>
            <a:t>$c_imie = $c_kod + 1</a:t>
          </a:r>
        </a:p>
        <a:p>
          <a:pPr indent="-274320">
            <a:spcAft>
              <a:spcPts val="900"/>
            </a:spcAft>
          </a:pPr>
          <a:r>
            <a:rPr lang="en-US" sz="800" dirty="0" err="1" smtClean="0">
              <a:latin typeface="+mn-lt"/>
            </a:rPr>
            <a:t>$c_podmiot = $c_imie + 1</a:t>
          </a:r>
        </a:p>
        <a:p>
          <a:pPr indent="-274320">
            <a:spcAft>
              <a:spcPts val="900"/>
            </a:spcAft>
          </a:pPr>
          <a:r>
            <a:rPr lang="en-US" sz="800" dirty="0" err="1" smtClean="0">
              <a:latin typeface="+mn-lt"/>
            </a:rPr>
            <a:t>########################################### create_key_set_column_number: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create_key_set_input_marker: start #########################################</a:t>
          </a:r>
        </a:p>
        <a:p>
          <a:pPr indent="-274320">
            <a:spcAft>
              <a:spcPts val="900"/>
            </a:spcAft>
          </a:pPr>
          <a:r>
            <a:rPr lang="en-US" sz="800" dirty="0" err="1" smtClean="0">
              <a:latin typeface="+mn-lt"/>
            </a:rPr>
            <a:t>$podmiot = [0]</a:t>
          </a:r>
        </a:p>
        <a:p>
          <a:pPr indent="-274320">
            <a:spcAft>
              <a:spcPts val="900"/>
            </a:spcAft>
          </a:pPr>
          <a:r>
            <a:rPr lang="en-US" sz="800" dirty="0" err="1" smtClean="0">
              <a:latin typeface="+mn-lt"/>
            </a:rPr>
            <a:t>$powiazanie = [1]</a:t>
          </a:r>
        </a:p>
        <a:p>
          <a:pPr indent="-274320">
            <a:spcAft>
              <a:spcPts val="900"/>
            </a:spcAft>
          </a:pPr>
          <a:r>
            <a:rPr lang="en-US" sz="800" dirty="0" err="1" smtClean="0">
              <a:latin typeface="+mn-lt"/>
            </a:rPr>
            <a:t>############################################ create_key_set_input_marker: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create_key_array: start ###############################################</a:t>
          </a:r>
        </a:p>
        <a:p>
          <a:pPr indent="-274320">
            <a:spcAft>
              <a:spcPts val="900"/>
            </a:spcAft>
          </a:pPr>
          <a:r>
            <a:rPr lang="en-US" sz="800" dirty="0" err="1" smtClean="0">
              <a:latin typeface="+mn-lt"/>
            </a:rPr>
            <a:t>############################################ create_key_array_podmioty: start ##########################################</a:t>
          </a:r>
        </a:p>
        <a:p>
          <a:pPr indent="-274320">
            <a:spcAft>
              <a:spcPts val="900"/>
            </a:spcAft>
          </a:pPr>
          <a:r>
            <a:rPr lang="en-US" sz="800" dirty="0" err="1" smtClean="0">
              <a:latin typeface="+mn-lt"/>
            </a:rPr>
            <a:t>case</a:t>
          </a:r>
        </a:p>
        <a:p>
          <a:pPr indent="-274320">
            <a:spcAft>
              <a:spcPts val="900"/>
            </a:spcAft>
          </a:pPr>
          <a:r>
            <a:rPr lang="en-US" sz="800" dirty="0" err="1" smtClean="0">
              <a:latin typeface="+mn-lt"/>
            </a:rPr>
            <a:t>when $t_input.Listrows.count &gt; 1 then $key = ($podmiot * $Test.length).zip($Test,$History,$Nazwa,$KRS,$REGON,$NIP,$Miejscowosc,$Ulica,$Kod_Pocztowy).map{|element| element.flatten}</a:t>
          </a:r>
        </a:p>
        <a:p>
          <a:pPr indent="-274320">
            <a:spcAft>
              <a:spcPts val="900"/>
            </a:spcAft>
          </a:pPr>
          <a:r>
            <a:rPr lang="en-US" sz="800" dirty="0" err="1" smtClean="0">
              <a:latin typeface="+mn-lt"/>
            </a:rPr>
            <a:t>when $t_input.Listrows.count == 1 then $key = [$podmiot.zip([$Test],[$History],[$Nazwa],[$KRS],[$REGON],[$NIP],[$Miejscowosc],[$Ulica],[$Kod_Pocztowy]).flatten]</a:t>
          </a:r>
        </a:p>
        <a:p>
          <a:pPr indent="-274320">
            <a:spcAft>
              <a:spcPts val="900"/>
            </a:spcAft>
          </a:pPr>
          <a:r>
            <a:rPr lang="en-US" sz="800" dirty="0" err="1" smtClean="0">
              <a:latin typeface="+mn-lt"/>
            </a:rPr>
            <a:t>else $key = [] end</a:t>
          </a:r>
        </a:p>
        <a:p>
          <a:pPr indent="-274320">
            <a:spcAft>
              <a:spcPts val="900"/>
            </a:spcAft>
          </a:pPr>
          <a:r>
            <a:rPr lang="en-US" sz="800" dirty="0" err="1" smtClean="0">
              <a:latin typeface="+mn-lt"/>
            </a:rPr>
            <a:t>############################################# create_key_array_podmioty: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create_key_array_powiazania: start #########################################</a:t>
          </a:r>
        </a:p>
        <a:p>
          <a:pPr indent="-274320">
            <a:spcAft>
              <a:spcPts val="900"/>
            </a:spcAft>
          </a:pPr>
          <a:r>
            <a:rPr lang="en-US" sz="800" dirty="0" err="1" smtClean="0">
              <a:latin typeface="+mn-lt"/>
            </a:rPr>
            <a:t>case</a:t>
          </a:r>
        </a:p>
        <a:p>
          <a:pPr indent="-274320">
            <a:spcAft>
              <a:spcPts val="900"/>
            </a:spcAft>
          </a:pPr>
          <a:r>
            <a:rPr lang="en-US" sz="800" dirty="0" err="1" smtClean="0">
              <a:latin typeface="+mn-lt"/>
            </a:rPr>
            <a:t>when $t_input2.Listrows.count &gt; 1 then $key += ($powiazanie * $Test2.length).zip($Test2,$History2,$Nazwa2,$KRS2,$REGON2,$PESEL2,$Miejscowosc2,$Ulica2,$Kod_Pocztowy2,$Imie2,$PODMIOT2).map{|element| element.flatten}</a:t>
          </a:r>
        </a:p>
        <a:p>
          <a:pPr indent="-274320">
            <a:spcAft>
              <a:spcPts val="900"/>
            </a:spcAft>
          </a:pPr>
          <a:r>
            <a:rPr lang="en-US" sz="800" dirty="0" err="1" smtClean="0">
              <a:latin typeface="+mn-lt"/>
            </a:rPr>
            <a:t>when $t_input2.Listrows.count == 1 then $key += [$powiazanie.zip([$Test2],[$History2],[$Nazwa2],[$KRS2],[$REGON2],[$PESEL2],[$Miejscowosc2],[$Ulica2],[$Kod_Pocztowy2],[$Imie2],[$PODMIOT2]).flatten]</a:t>
          </a:r>
        </a:p>
        <a:p>
          <a:pPr indent="-274320">
            <a:spcAft>
              <a:spcPts val="900"/>
            </a:spcAft>
          </a:pPr>
          <a:r>
            <a:rPr lang="en-US" sz="800" dirty="0" err="1" smtClean="0">
              <a:latin typeface="+mn-lt"/>
            </a:rPr>
            <a:t>else end</a:t>
          </a:r>
        </a:p>
        <a:p>
          <a:pPr indent="-274320">
            <a:spcAft>
              <a:spcPts val="900"/>
            </a:spcAft>
          </a:pPr>
          <a:r>
            <a:rPr lang="en-US" sz="800" dirty="0" err="1" smtClean="0">
              <a:latin typeface="+mn-lt"/>
            </a:rPr>
            <a:t>############################################ create_key_array_powiazania: end ##########################################</a:t>
          </a:r>
        </a:p>
        <a:p>
          <a:pPr indent="-274320">
            <a:spcAft>
              <a:spcPts val="900"/>
            </a:spcAft>
          </a:pPr>
          <a:r>
            <a:rPr lang="en-US" sz="800" dirty="0" err="1" smtClean="0">
              <a:latin typeface="+mn-lt"/>
            </a:rPr>
            <a:t>################################################# create_key_array: end ################################################</a:t>
          </a:r>
        </a:p>
        <a:p>
          <a:pPr indent="-274320">
            <a:spcAft>
              <a:spcPts val="900"/>
            </a:spcAft>
          </a:pPr>
          <a:r>
            <a:rPr lang="en-US" sz="800" dirty="0" err="1" smtClean="0">
              <a:latin typeface="+mn-lt"/>
            </a:rPr>
            <a:t>#################################################### create_key: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method_search: start ################################################</a:t>
          </a:r>
        </a:p>
        <a:p>
          <a:pPr indent="-274320">
            <a:spcAft>
              <a:spcPts val="900"/>
            </a:spcAft>
          </a:pPr>
          <a:r>
            <a:rPr lang="en-US" sz="800" dirty="0" err="1" smtClean="0">
              <a:latin typeface="+mn-lt"/>
            </a:rPr>
            <a:t>############################################# method_search_podmioty: start ############################################</a:t>
          </a:r>
        </a:p>
        <a:p>
          <a:pPr indent="-274320">
            <a:spcAft>
              <a:spcPts val="900"/>
            </a:spcAft>
          </a:pPr>
          <a:r>
            <a:rPr lang="en-US" sz="800" dirty="0" err="1" smtClean="0">
              <a:latin typeface="+mn-lt"/>
            </a:rPr>
            <a:t>def method_search_podmioty</a:t>
          </a:r>
        </a:p>
        <a:p>
          <a:pPr indent="-274320">
            <a:spcAft>
              <a:spcPts val="900"/>
            </a:spcAft>
          </a:pPr>
          <a:r>
            <a:rPr lang="en-US" sz="800" dirty="0" err="1" smtClean="0">
              <a:latin typeface="+mn-lt"/>
            </a:rPr>
            <a:t>$b.goto 'http://lex.online.wolterskluwer.pl/WKPLOnline/index.rpc?leftNodeId=lmtree-item-219810&amp;lmId=lm_baza'</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$b.a(:id,'filtrMniejHref').when_present.click</a:t>
          </a:r>
        </a:p>
        <a:p>
          <a:pPr indent="-274320">
            <a:spcAft>
              <a:spcPts val="900"/>
            </a:spcAft>
          </a:pPr>
          <a:r>
            <a:rPr lang="en-US" sz="800" dirty="0" err="1" smtClean="0">
              <a:latin typeface="+mn-lt"/>
            </a:rPr>
            <a:t>$b.radio(:id,'wraperCzyCaleWyr1').when_present.clear</a:t>
          </a:r>
        </a:p>
        <a:p>
          <a:pPr indent="-274320">
            <a:spcAft>
              <a:spcPts val="900"/>
            </a:spcAft>
          </a:pPr>
          <a:r>
            <a:rPr lang="en-US" sz="800" dirty="0" err="1" smtClean="0">
              <a:latin typeface="+mn-lt"/>
            </a:rPr>
            <a:t>$b.radio(:id,'wraperCzyCaleWyr2').when_present.set</a:t>
          </a:r>
        </a:p>
        <a:p>
          <a:pPr indent="-274320">
            <a:spcAft>
              <a:spcPts val="900"/>
            </a:spcAft>
          </a:pPr>
          <a:r>
            <a:rPr lang="en-US" sz="800" dirty="0" err="1" smtClean="0">
              <a:latin typeface="+mn-lt"/>
            </a:rPr>
            <a:t>$b.radio(:id,'wyborKrsRegonNip1').when_present.clear</a:t>
          </a:r>
        </a:p>
        <a:p>
          <a:pPr indent="-274320">
            <a:spcAft>
              <a:spcPts val="900"/>
            </a:spcAft>
          </a:pPr>
          <a:r>
            <a:rPr lang="en-US" sz="800" dirty="0" err="1" smtClean="0">
              <a:latin typeface="+mn-lt"/>
            </a:rPr>
            <a:t>$b.radio(:id,'wyborKrsRegonNip2').when_present.clear</a:t>
          </a:r>
        </a:p>
        <a:p>
          <a:pPr indent="-274320">
            <a:spcAft>
              <a:spcPts val="900"/>
            </a:spcAft>
          </a:pPr>
          <a:r>
            <a:rPr lang="en-US" sz="800" dirty="0" err="1" smtClean="0">
              <a:latin typeface="+mn-lt"/>
            </a:rPr>
            <a:t>$b.radio(:id,'wyborKrsRegonNip3').when_present.clear</a:t>
          </a:r>
        </a:p>
        <a:p>
          <a:pPr indent="-274320">
            <a:spcAft>
              <a:spcPts val="900"/>
            </a:spcAft>
          </a:pPr>
          <a:r>
            <a:rPr lang="en-US" sz="800" dirty="0" err="1" smtClean="0">
              <a:latin typeface="+mn-lt"/>
            </a:rPr>
            <a:t>############################################### search_by_key_input: start #############################################</a:t>
          </a:r>
        </a:p>
        <a:p>
          <a:pPr indent="-274320">
            <a:spcAft>
              <a:spcPts val="900"/>
            </a:spcAft>
          </a:pPr>
          <a:r>
            <a:rPr lang="en-US" sz="800" dirty="0" err="1" smtClean="0">
              <a:latin typeface="+mn-lt"/>
            </a:rPr>
            <a:t>if $key[$i][$c_nazwa] != nil then $b.text_field(:id,'nazwa').when_present.set $key[$i][$c_nazwa].to_s end</a:t>
          </a:r>
        </a:p>
        <a:p>
          <a:pPr indent="-274320">
            <a:spcAft>
              <a:spcPts val="900"/>
            </a:spcAft>
          </a:pPr>
          <a:r>
            <a:rPr lang="en-US" sz="800" dirty="0" err="1" smtClean="0">
              <a:latin typeface="+mn-lt"/>
            </a:rPr>
            <a:t>if $key[$i][$c_krs] != nil then $b.radio(:id,'wyborKrsRegonNip1').when_present.set; $b.text_field(:id,'wraperKrsRegonNip').when_present.set $key[$i][$c_krs].to_i.to_s end</a:t>
          </a:r>
        </a:p>
        <a:p>
          <a:pPr indent="-274320">
            <a:spcAft>
              <a:spcPts val="900"/>
            </a:spcAft>
          </a:pPr>
          <a:r>
            <a:rPr lang="en-US" sz="800" dirty="0" err="1" smtClean="0">
              <a:latin typeface="+mn-lt"/>
            </a:rPr>
            <a:t>if $key[$i][$c_regon] != nil then $b.radio(:id,'wyborKrsRegonNip2').when_present.set; $b.text_field(:id,'wraperKrsRegonNip').when_present.set '%09d'% $key[$i][$c_regon].to_i.to_s end</a:t>
          </a:r>
        </a:p>
        <a:p>
          <a:pPr indent="-274320">
            <a:spcAft>
              <a:spcPts val="900"/>
            </a:spcAft>
          </a:pPr>
          <a:r>
            <a:rPr lang="en-US" sz="800" dirty="0" err="1" smtClean="0">
              <a:latin typeface="+mn-lt"/>
            </a:rPr>
            <a:t>if $key[$i][$c_nip] != nil then $b.radio(:id,'wyborKrsRegonNip3').when_present.set; $b.text_field(:id,'wraperKrsRegonNip').when_present.set '%010d'% $key[$i][$c_nip].to_i.to_s end</a:t>
          </a:r>
        </a:p>
        <a:p>
          <a:pPr indent="-274320">
            <a:spcAft>
              <a:spcPts val="900"/>
            </a:spcAft>
          </a:pPr>
          <a:r>
            <a:rPr lang="en-US" sz="800" dirty="0" err="1" smtClean="0">
              <a:latin typeface="+mn-lt"/>
            </a:rPr>
            <a:t>if $key[$i][$c_miejscowosc] != nil then $b.text_field(:id,'siedziba').when_present.set $key[$i][$c_miejscowosc].to_s end</a:t>
          </a:r>
        </a:p>
        <a:p>
          <a:pPr indent="-274320">
            <a:spcAft>
              <a:spcPts val="900"/>
            </a:spcAft>
          </a:pPr>
          <a:r>
            <a:rPr lang="en-US" sz="800" dirty="0" err="1" smtClean="0">
              <a:latin typeface="+mn-lt"/>
            </a:rPr>
            <a:t>if $key[$i][$c_ulica] != nil then $b.text_field(:id,'ulica').when_present.set $key[$i][$c_ulica].to_s end</a:t>
          </a:r>
        </a:p>
        <a:p>
          <a:pPr indent="-274320">
            <a:spcAft>
              <a:spcPts val="900"/>
            </a:spcAft>
          </a:pPr>
          <a:r>
            <a:rPr lang="en-US" sz="800" dirty="0" err="1" smtClean="0">
              <a:latin typeface="+mn-lt"/>
            </a:rPr>
            <a:t>if $key[$i][$c_kod] != nil then</a:t>
          </a:r>
        </a:p>
        <a:p>
          <a:pPr indent="-274320">
            <a:spcAft>
              <a:spcPts val="900"/>
            </a:spcAft>
          </a:pPr>
          <a:r>
            <a:rPr lang="en-US" sz="800" dirty="0" err="1" smtClean="0">
              <a:latin typeface="+mn-lt"/>
            </a:rPr>
            <a:t>$b.text_field(:id,'kodPocztowy1').when_present.set ('%05d'% $key[$i][$c_kod].to_i.to_s)[0..1]</a:t>
          </a:r>
        </a:p>
        <a:p>
          <a:pPr indent="-274320">
            <a:spcAft>
              <a:spcPts val="900"/>
            </a:spcAft>
          </a:pPr>
          <a:r>
            <a:rPr lang="en-US" sz="800" dirty="0" err="1" smtClean="0">
              <a:latin typeface="+mn-lt"/>
            </a:rPr>
            <a:t>$b.text_field(:id,'kodPocztowy2').when_present.set ('%05d'% $key[$i][$c_kod].to_i.to_s)[2..4] end</a:t>
          </a:r>
        </a:p>
        <a:p>
          <a:pPr indent="-274320">
            <a:spcAft>
              <a:spcPts val="900"/>
            </a:spcAft>
          </a:pPr>
          <a:r>
            <a:rPr lang="en-US" sz="800" dirty="0" err="1" smtClean="0">
              <a:latin typeface="+mn-lt"/>
            </a:rPr>
            <a:t>################################################ search_by_key_input: end ##############################################</a:t>
          </a:r>
        </a:p>
        <a:p>
          <a:pPr indent="-274320">
            <a:spcAft>
              <a:spcPts val="900"/>
            </a:spcAft>
          </a:pPr>
          <a:r>
            <a:rPr lang="en-US" sz="800" dirty="0" err="1" smtClean="0">
              <a:latin typeface="+mn-lt"/>
            </a:rPr>
            <a:t>$b.form(:id,'filtr').when_present.submit</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method_search_podmioty: end #############################################</a:t>
          </a:r>
        </a:p>
        <a:p>
          <a:pPr indent="-274320">
            <a:spcAft>
              <a:spcPts val="900"/>
            </a:spcAft>
          </a:pPr>
          <a:r>
            <a:rPr lang="en-US" sz="800" dirty="0" err="1" smtClean="0">
              <a:latin typeface="+mn-lt"/>
            </a:rPr>
            <a:t>############################################ method_search_powiazania: start ###########################################</a:t>
          </a:r>
        </a:p>
        <a:p>
          <a:pPr indent="-274320">
            <a:spcAft>
              <a:spcPts val="900"/>
            </a:spcAft>
          </a:pPr>
          <a:r>
            <a:rPr lang="en-US" sz="800" dirty="0" err="1" smtClean="0">
              <a:latin typeface="+mn-lt"/>
            </a:rPr>
            <a:t>def method_search_powiazania</a:t>
          </a:r>
        </a:p>
        <a:p>
          <a:pPr indent="-274320">
            <a:spcAft>
              <a:spcPts val="900"/>
            </a:spcAft>
          </a:pPr>
          <a:r>
            <a:rPr lang="en-US" sz="800" dirty="0" err="1" smtClean="0">
              <a:latin typeface="+mn-lt"/>
            </a:rPr>
            <a:t>$b.goto 'http://lex.online.wolterskluwer.pl/WKPLOnline/index.rpc?leftNodeId=lmtree-item-219813&amp;lmId=lm_baza'</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$b.radio(:id,'wraperCzyCaleWyr1').when_present.clear</a:t>
          </a:r>
        </a:p>
        <a:p>
          <a:pPr indent="-274320">
            <a:spcAft>
              <a:spcPts val="900"/>
            </a:spcAft>
          </a:pPr>
          <a:r>
            <a:rPr lang="en-US" sz="800" dirty="0" err="1" smtClean="0">
              <a:latin typeface="+mn-lt"/>
            </a:rPr>
            <a:t>$b.radio(:id,'wraperCzyCaleWyr2').when_present.set</a:t>
          </a:r>
        </a:p>
        <a:p>
          <a:pPr indent="-274320">
            <a:spcAft>
              <a:spcPts val="900"/>
            </a:spcAft>
          </a:pPr>
          <a:r>
            <a:rPr lang="en-US" sz="800" dirty="0" err="1" smtClean="0">
              <a:latin typeface="+mn-lt"/>
            </a:rPr>
            <a:t>$b.radio(:id,'z1').when_present.clear</a:t>
          </a:r>
        </a:p>
        <a:p>
          <a:pPr indent="-274320">
            <a:spcAft>
              <a:spcPts val="900"/>
            </a:spcAft>
          </a:pPr>
          <a:r>
            <a:rPr lang="en-US" sz="800" dirty="0" err="1" smtClean="0">
              <a:latin typeface="+mn-lt"/>
            </a:rPr>
            <a:t>$b.radio(:id,'z2').when_present.clear</a:t>
          </a:r>
        </a:p>
        <a:p>
          <a:pPr indent="-274320">
            <a:spcAft>
              <a:spcPts val="900"/>
            </a:spcAft>
          </a:pPr>
          <a:r>
            <a:rPr lang="en-US" sz="800" dirty="0" err="1" smtClean="0">
              <a:latin typeface="+mn-lt"/>
            </a:rPr>
            <a:t>$b.radio(:id,'z3').when_present.clear</a:t>
          </a:r>
        </a:p>
        <a:p>
          <a:pPr indent="-274320">
            <a:spcAft>
              <a:spcPts val="900"/>
            </a:spcAft>
          </a:pPr>
          <a:r>
            <a:rPr lang="en-US" sz="800" dirty="0" err="1" smtClean="0">
              <a:latin typeface="+mn-lt"/>
            </a:rPr>
            <a:t>############################################### search_by_key_input: start #############################################</a:t>
          </a:r>
        </a:p>
        <a:p>
          <a:pPr indent="-274320">
            <a:spcAft>
              <a:spcPts val="900"/>
            </a:spcAft>
          </a:pPr>
          <a:r>
            <a:rPr lang="en-US" sz="800" dirty="0" err="1" smtClean="0">
              <a:latin typeface="+mn-lt"/>
            </a:rPr>
            <a:t>if $key[$i][$c_nazwa] != nil then $b.text_field(:id,'powNazwa').when_present.set $key[$i][$c_nazwa].to_s end</a:t>
          </a:r>
        </a:p>
        <a:p>
          <a:pPr indent="-274320">
            <a:spcAft>
              <a:spcPts val="900"/>
            </a:spcAft>
          </a:pPr>
          <a:r>
            <a:rPr lang="en-US" sz="800" dirty="0" err="1" smtClean="0">
              <a:latin typeface="+mn-lt"/>
            </a:rPr>
            <a:t>if $key[$i][$c_imie] != nil then $b.text_field(:id,'powImie').when_present.set $key[$i][$c_imie].to_s end</a:t>
          </a:r>
        </a:p>
        <a:p>
          <a:pPr indent="-274320">
            <a:spcAft>
              <a:spcPts val="900"/>
            </a:spcAft>
          </a:pPr>
          <a:r>
            <a:rPr lang="en-US" sz="800" dirty="0" err="1" smtClean="0">
              <a:latin typeface="+mn-lt"/>
            </a:rPr>
            <a:t>if $key[$i][$c_pesel] != nil then $b.radio(:id,'z1').when_present.set; $b.text_field(:id,'wraperPeselKrsRegon').when_present.set $key[$i][$c_pesel].to_i.to_s end</a:t>
          </a:r>
        </a:p>
        <a:p>
          <a:pPr indent="-274320">
            <a:spcAft>
              <a:spcPts val="900"/>
            </a:spcAft>
          </a:pPr>
          <a:r>
            <a:rPr lang="en-US" sz="800" dirty="0" err="1" smtClean="0">
              <a:latin typeface="+mn-lt"/>
            </a:rPr>
            <a:t>if $key[$i][$c_krs] != nil then $b.radio(:id,'z2').when_present.set; $b.text_field(:id,'wraperPeselKrsRegon').when_present.set $key[$i][$c_krs].to_i.to_s end</a:t>
          </a:r>
        </a:p>
        <a:p>
          <a:pPr indent="-274320">
            <a:spcAft>
              <a:spcPts val="900"/>
            </a:spcAft>
          </a:pPr>
          <a:r>
            <a:rPr lang="en-US" sz="800" dirty="0" err="1" smtClean="0">
              <a:latin typeface="+mn-lt"/>
            </a:rPr>
            <a:t>if $key[$i][$c_regon] != nil then $b.radio(:id,'z3').when_present.set; $b.text_field(:id,'wraperPeselKrsRegon').when_present.set '%09d'% $key[$i][$c_regon].to_i.to_s end</a:t>
          </a:r>
        </a:p>
        <a:p>
          <a:pPr indent="-274320">
            <a:spcAft>
              <a:spcPts val="900"/>
            </a:spcAft>
          </a:pPr>
          <a:r>
            <a:rPr lang="en-US" sz="800" dirty="0" err="1" smtClean="0">
              <a:latin typeface="+mn-lt"/>
            </a:rPr>
            <a:t>if $key[$i][$c_podmiot] != nil then $b.text_field(:id,'nazwa').when_present.set $key[$i][$c_podmiot].to_s end</a:t>
          </a:r>
        </a:p>
        <a:p>
          <a:pPr indent="-274320">
            <a:spcAft>
              <a:spcPts val="900"/>
            </a:spcAft>
          </a:pPr>
          <a:r>
            <a:rPr lang="en-US" sz="800" dirty="0" err="1" smtClean="0">
              <a:latin typeface="+mn-lt"/>
            </a:rPr>
            <a:t>if $key[$i][$c_miejscowosc] != nil then $b.text_field(:id,'siedziba').when_present.set $key[$i][$c_miejscowosc].to_s end</a:t>
          </a:r>
        </a:p>
        <a:p>
          <a:pPr indent="-274320">
            <a:spcAft>
              <a:spcPts val="900"/>
            </a:spcAft>
          </a:pPr>
          <a:r>
            <a:rPr lang="en-US" sz="800" dirty="0" err="1" smtClean="0">
              <a:latin typeface="+mn-lt"/>
            </a:rPr>
            <a:t>if $key[$i][$c_ulica] != nil then $b.text_field(:id,'ulica').when_present.set $key[$i][$c_ulica].to_s end</a:t>
          </a:r>
        </a:p>
        <a:p>
          <a:pPr indent="-274320">
            <a:spcAft>
              <a:spcPts val="900"/>
            </a:spcAft>
          </a:pPr>
          <a:r>
            <a:rPr lang="en-US" sz="800" dirty="0" err="1" smtClean="0">
              <a:latin typeface="+mn-lt"/>
            </a:rPr>
            <a:t>if $key[$i][$c_kod] != nil then</a:t>
          </a:r>
        </a:p>
        <a:p>
          <a:pPr indent="-274320">
            <a:spcAft>
              <a:spcPts val="900"/>
            </a:spcAft>
          </a:pPr>
          <a:r>
            <a:rPr lang="en-US" sz="800" dirty="0" err="1" smtClean="0">
              <a:latin typeface="+mn-lt"/>
            </a:rPr>
            <a:t>$b.text_field(:id,'kodPocztowy1').when_present.set ('%05d'% $key[$i][$c_kod].to_i.to_s)[0..1]</a:t>
          </a:r>
        </a:p>
        <a:p>
          <a:pPr indent="-274320">
            <a:spcAft>
              <a:spcPts val="900"/>
            </a:spcAft>
          </a:pPr>
          <a:r>
            <a:rPr lang="en-US" sz="800" dirty="0" err="1" smtClean="0">
              <a:latin typeface="+mn-lt"/>
            </a:rPr>
            <a:t>$b.text_field(:id,'kodPocztowy2').when_present.set ('%05d'% $key[$i][$c_kod].to_i.to_s)[2..4] end</a:t>
          </a:r>
        </a:p>
        <a:p>
          <a:pPr indent="-274320">
            <a:spcAft>
              <a:spcPts val="900"/>
            </a:spcAft>
          </a:pPr>
          <a:r>
            <a:rPr lang="en-US" sz="800" dirty="0" err="1" smtClean="0">
              <a:latin typeface="+mn-lt"/>
            </a:rPr>
            <a:t>################################################ search_by_key_input: end ##############################################</a:t>
          </a:r>
        </a:p>
        <a:p>
          <a:pPr indent="-274320">
            <a:spcAft>
              <a:spcPts val="900"/>
            </a:spcAft>
          </a:pPr>
          <a:r>
            <a:rPr lang="en-US" sz="800" dirty="0" err="1" smtClean="0">
              <a:latin typeface="+mn-lt"/>
            </a:rPr>
            <a:t>$b.button(:id,'btnIpgSubmit').when_present.click</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method_search_powiazania: end ############################################</a:t>
          </a:r>
        </a:p>
        <a:p>
          <a:pPr indent="-274320">
            <a:spcAft>
              <a:spcPts val="900"/>
            </a:spcAft>
          </a:pPr>
          <a:r>
            <a:rPr lang="en-US" sz="800" dirty="0" err="1" smtClean="0">
              <a:latin typeface="+mn-lt"/>
            </a:rPr>
            <a:t>################################################### method_search: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page_refreshed_and_ready: start ###########################################</a:t>
          </a:r>
        </a:p>
        <a:p>
          <a:pPr indent="-274320">
            <a:spcAft>
              <a:spcPts val="900"/>
            </a:spcAft>
          </a:pPr>
          <a:r>
            <a:rPr lang="en-US" sz="800" dirty="0" err="1" smtClean="0">
              <a:latin typeface="+mn-lt"/>
            </a:rPr>
            <a:t>############################################## method_page_is_ready: start #############################################</a:t>
          </a:r>
        </a:p>
        <a:p>
          <a:pPr indent="-274320">
            <a:spcAft>
              <a:spcPts val="900"/>
            </a:spcAft>
          </a:pPr>
          <a:r>
            <a:rPr lang="en-US" sz="800" dirty="0" err="1" smtClean="0">
              <a:latin typeface="+mn-lt"/>
            </a:rPr>
            <a:t>def method_page_is_ready</a:t>
          </a:r>
        </a:p>
        <a:p>
          <a:pPr indent="-274320">
            <a:spcAft>
              <a:spcPts val="900"/>
            </a:spcAft>
          </a:pPr>
          <a:r>
            <a:rPr lang="en-US" sz="800" dirty="0" err="1" smtClean="0">
              <a:latin typeface="+mn-lt"/>
            </a:rPr>
            <a:t>kil = 0</a:t>
          </a:r>
        </a:p>
        <a:p>
          <a:pPr indent="-274320">
            <a:spcAft>
              <a:spcPts val="900"/>
            </a:spcAft>
          </a:pPr>
          <a:r>
            <a:rPr lang="en-US" sz="800" dirty="0" err="1" smtClean="0">
              <a:latin typeface="+mn-lt"/>
            </a:rPr>
            <a:t>until $b.tr(:class,'tr-elem-wersja').exist? or $b.td(:id,'allResults').exist? or $b.text.include? 'Brak dokumen' or $b.text.include? 'Niepoprawny'</a:t>
          </a:r>
        </a:p>
        <a:p>
          <a:pPr indent="-274320">
            <a:spcAft>
              <a:spcPts val="900"/>
            </a:spcAft>
          </a:pPr>
          <a:r>
            <a:rPr lang="en-US" sz="800" dirty="0" err="1" smtClean="0">
              <a:latin typeface="+mn-lt"/>
            </a:rPr>
            <a:t>sleep(2)</a:t>
          </a:r>
        </a:p>
        <a:p>
          <a:pPr indent="-274320">
            <a:spcAft>
              <a:spcPts val="900"/>
            </a:spcAft>
          </a:pPr>
          <a:r>
            <a:rPr lang="en-US" sz="800" dirty="0" err="1" smtClean="0">
              <a:latin typeface="+mn-lt"/>
            </a:rPr>
            <a:t>kil = kil + 1</a:t>
          </a:r>
        </a:p>
        <a:p>
          <a:pPr indent="-274320">
            <a:spcAft>
              <a:spcPts val="900"/>
            </a:spcAft>
          </a:pPr>
          <a:r>
            <a:rPr lang="en-US" sz="800" dirty="0" err="1" smtClean="0">
              <a:latin typeface="+mn-lt"/>
            </a:rPr>
            <a:t>break if kil == 5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method_page_is_ready: end ##############################################</a:t>
          </a:r>
        </a:p>
        <a:p>
          <a:pPr indent="-274320">
            <a:spcAft>
              <a:spcPts val="900"/>
            </a:spcAft>
          </a:pPr>
          <a:r>
            <a:rPr lang="en-US" sz="800" dirty="0" err="1" smtClean="0">
              <a:latin typeface="+mn-lt"/>
            </a:rPr>
            <a:t>########################################### method_distinct_page_ready: start ##########################################</a:t>
          </a:r>
        </a:p>
        <a:p>
          <a:pPr indent="-274320">
            <a:spcAft>
              <a:spcPts val="900"/>
            </a:spcAft>
          </a:pPr>
          <a:r>
            <a:rPr lang="en-US" sz="800" dirty="0" err="1" smtClean="0">
              <a:latin typeface="+mn-lt"/>
            </a:rPr>
            <a:t>def method_distinct_page_ready</a:t>
          </a:r>
        </a:p>
        <a:p>
          <a:pPr indent="-274320">
            <a:spcAft>
              <a:spcPts val="900"/>
            </a:spcAft>
          </a:pPr>
          <a:r>
            <a:rPr lang="en-US" sz="800" dirty="0" err="1" smtClean="0">
              <a:latin typeface="+mn-lt"/>
            </a:rPr>
            <a:t>until $b.tr(:class,'tr-elem-wersja').exist?</a:t>
          </a:r>
        </a:p>
        <a:p>
          <a:pPr indent="-274320">
            <a:spcAft>
              <a:spcPts val="900"/>
            </a:spcAft>
          </a:pPr>
          <a:r>
            <a:rPr lang="en-US" sz="800" dirty="0" err="1" smtClean="0">
              <a:latin typeface="+mn-lt"/>
            </a:rPr>
            <a:t>kil = 0</a:t>
          </a:r>
        </a:p>
        <a:p>
          <a:pPr indent="-274320">
            <a:spcAft>
              <a:spcPts val="900"/>
            </a:spcAft>
          </a:pPr>
          <a:r>
            <a:rPr lang="en-US" sz="800" dirty="0" err="1" smtClean="0">
              <a:latin typeface="+mn-lt"/>
            </a:rPr>
            <a:t>until $b.tr(:class,'tr-elem-wersja').exist? and $f.when_present.divs(:class =&gt; /entityBox./).map(&amp;:text).join =~ /RAPORTY HANDLOWE INFOCREDIT/ ; sleep(1); kil = kil + 1; break if kil == 10 end</a:t>
          </a:r>
        </a:p>
        <a:p>
          <a:pPr indent="-274320">
            <a:spcAft>
              <a:spcPts val="900"/>
            </a:spcAft>
          </a:pPr>
          <a:r>
            <a:rPr lang="en-US" sz="800" dirty="0" err="1" smtClean="0">
              <a:latin typeface="+mn-lt"/>
            </a:rPr>
            <a:t>if $b.tr(:class,'tr-elem-wersja').exist? == false then $b.refresh;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method_distinct_page_ready: end ###########################################</a:t>
          </a:r>
        </a:p>
        <a:p>
          <a:pPr indent="-274320">
            <a:spcAft>
              <a:spcPts val="900"/>
            </a:spcAft>
          </a:pPr>
          <a:r>
            <a:rPr lang="en-US" sz="800" dirty="0" err="1" smtClean="0">
              <a:latin typeface="+mn-lt"/>
            </a:rPr>
            <a:t>############################################# page_refreshed_and_ready: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method_output_to_input_table: start #########################################</a:t>
          </a:r>
        </a:p>
        <a:p>
          <a:pPr indent="-274320">
            <a:spcAft>
              <a:spcPts val="900"/>
            </a:spcAft>
          </a:pPr>
          <a:r>
            <a:rPr lang="en-US" sz="800" dirty="0" err="1" smtClean="0">
              <a:latin typeface="+mn-lt"/>
            </a:rPr>
            <a:t>def method_output_to_input_table</a:t>
          </a:r>
        </a:p>
        <a:p>
          <a:pPr indent="-274320">
            <a:spcAft>
              <a:spcPts val="900"/>
            </a:spcAft>
          </a:pPr>
          <a:r>
            <a:rPr lang="en-US" sz="800" dirty="0" err="1" smtClean="0">
              <a:latin typeface="+mn-lt"/>
            </a:rPr>
            <a:t>if	$key[$i][$c_input] == 0 then $output_string = $t_input.ListColumns("Wynik").DataBodyRange; $input_i = $i + 1</a:t>
          </a:r>
        </a:p>
        <a:p>
          <a:pPr indent="-274320">
            <a:spcAft>
              <a:spcPts val="900"/>
            </a:spcAft>
          </a:pPr>
          <a:r>
            <a:rPr lang="en-US" sz="800" dirty="0" err="1" smtClean="0">
              <a:latin typeface="+mn-lt"/>
            </a:rPr>
            <a:t>elsif	$key[$i][$c_input] == 1 then $output_string = $t_input2.ListColumns("Wynik").DataBodyRange; $input_i = $i - $t_input.listrows.count + 1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method_output_to_input_table: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method_lack_of_result: start ############################################</a:t>
          </a:r>
        </a:p>
        <a:p>
          <a:pPr indent="-274320">
            <a:spcAft>
              <a:spcPts val="900"/>
            </a:spcAft>
          </a:pPr>
          <a:r>
            <a:rPr lang="en-US" sz="800" dirty="0" err="1" smtClean="0">
              <a:latin typeface="+mn-lt"/>
            </a:rPr>
            <a:t>def method_lack_of_result</a:t>
          </a:r>
        </a:p>
        <a:p>
          <a:pPr indent="-274320">
            <a:spcAft>
              <a:spcPts val="900"/>
            </a:spcAft>
          </a:pPr>
          <a:r>
            <a:rPr lang="en-US" sz="800" dirty="0" err="1" smtClean="0">
              <a:latin typeface="+mn-lt"/>
            </a:rPr>
            <a:t>method_output_to_input_table</a:t>
          </a:r>
        </a:p>
        <a:p>
          <a:pPr indent="-274320">
            <a:spcAft>
              <a:spcPts val="900"/>
            </a:spcAft>
          </a:pPr>
          <a:r>
            <a:rPr lang="en-US" sz="800" dirty="0" err="1" smtClean="0">
              <a:latin typeface="+mn-lt"/>
            </a:rPr>
            <a:t>if $b.text.include? 'Niepoprawny' then $output_string.Cells($input_i,1).value = 'Niepoprawny numer'</a:t>
          </a:r>
        </a:p>
        <a:p>
          <a:pPr indent="-274320">
            <a:spcAft>
              <a:spcPts val="900"/>
            </a:spcAft>
          </a:pPr>
          <a:r>
            <a:rPr lang="en-US" sz="800" dirty="0" err="1" smtClean="0">
              <a:latin typeface="+mn-lt"/>
            </a:rPr>
            <a:t>elsif $b.text.include? 'Brak dokumen' then $output_string.Cells($input_i,1).value = 'Brak dokumentów spełniających kryteria zapytania.'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method_lack_of_result: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entity_description: start ##############################################</a:t>
          </a:r>
        </a:p>
        <a:p>
          <a:pPr indent="-274320">
            <a:spcAft>
              <a:spcPts val="900"/>
            </a:spcAft>
          </a:pPr>
          <a:r>
            <a:rPr lang="en-US" sz="800" dirty="0" err="1" smtClean="0">
              <a:latin typeface="+mn-lt"/>
            </a:rPr>
            <a:t>############################################## method_key_basic_info: start ############################################</a:t>
          </a:r>
        </a:p>
        <a:p>
          <a:pPr indent="-274320">
            <a:spcAft>
              <a:spcPts val="900"/>
            </a:spcAft>
          </a:pPr>
          <a:r>
            <a:rPr lang="en-US" sz="800" dirty="0" err="1" smtClean="0">
              <a:latin typeface="+mn-lt"/>
            </a:rPr>
            <a:t>def method_key_basic_info</a:t>
          </a:r>
        </a:p>
        <a:p>
          <a:pPr indent="-274320">
            <a:spcAft>
              <a:spcPts val="900"/>
            </a:spcAft>
          </a:pPr>
          <a:r>
            <a:rPr lang="en-US" sz="800" dirty="0" err="1" smtClean="0">
              <a:latin typeface="+mn-lt"/>
            </a:rPr>
            <a:t>$t_output.listcolumns("key").Range.Cells($cel_count,1).Value = $key[$i][$c_nazwa..-1].join</a:t>
          </a:r>
        </a:p>
        <a:p>
          <a:pPr indent="-274320">
            <a:spcAft>
              <a:spcPts val="900"/>
            </a:spcAft>
          </a:pPr>
          <a:r>
            <a:rPr lang="en-US" sz="800" dirty="0" err="1" smtClean="0">
              <a:latin typeface="+mn-lt"/>
            </a:rPr>
            <a:t>$t_output.listcolumns("hit").Range.Cells($cel_count,1).Value = $hit_info</a:t>
          </a:r>
        </a:p>
        <a:p>
          <a:pPr indent="-274320">
            <a:spcAft>
              <a:spcPts val="900"/>
            </a:spcAft>
          </a:pPr>
          <a:r>
            <a:rPr lang="en-US" sz="800" dirty="0" err="1" smtClean="0">
              <a:latin typeface="+mn-lt"/>
            </a:rPr>
            <a:t>nro = $b.iframe(:id,'contentFrameRT').when_present.url.split("nro=")[1].split("&amp;")[0]</a:t>
          </a:r>
        </a:p>
        <a:p>
          <a:pPr indent="-274320">
            <a:spcAft>
              <a:spcPts val="900"/>
            </a:spcAft>
          </a:pPr>
          <a:r>
            <a:rPr lang="en-US" sz="800" dirty="0" err="1" smtClean="0">
              <a:latin typeface="+mn-lt"/>
            </a:rPr>
            <a:t>li = ('http://lex.online.wolterskluwer.pl/WKPLOnline/index.rpc?#content.rpc?nro='+nro)</a:t>
          </a:r>
        </a:p>
        <a:p>
          <a:pPr indent="-274320">
            <a:spcAft>
              <a:spcPts val="900"/>
            </a:spcAft>
          </a:pPr>
          <a:r>
            <a:rPr lang="en-US" sz="800" dirty="0" err="1" smtClean="0">
              <a:latin typeface="+mn-lt"/>
            </a:rPr>
            <a:t>$t_output.listcolumns("link").Range.Cells($cel_count,1).Value = li</a:t>
          </a:r>
        </a:p>
        <a:p>
          <a:pPr indent="-274320">
            <a:spcAft>
              <a:spcPts val="900"/>
            </a:spcAft>
          </a:pPr>
          <a:r>
            <a:rPr lang="en-US" sz="800" dirty="0" err="1" smtClean="0">
              <a:latin typeface="+mn-lt"/>
            </a:rPr>
            <a:t>$t_output.listcolumns("MSiG").Range.Cells($cel_count,1).Value = $f.when_present.span(:class,'regSgt').text #add to basic info</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method_key_basic_info: end #############################################</a:t>
          </a:r>
        </a:p>
        <a:p>
          <a:pPr indent="-274320">
            <a:spcAft>
              <a:spcPts val="900"/>
            </a:spcAft>
          </a:pPr>
          <a:r>
            <a:rPr lang="en-US" sz="800" dirty="0" err="1" smtClean="0">
              <a:latin typeface="+mn-lt"/>
            </a:rPr>
            <a:t>############################################# method_entity_main_info: start ###########################################</a:t>
          </a:r>
        </a:p>
        <a:p>
          <a:pPr indent="-274320">
            <a:spcAft>
              <a:spcPts val="900"/>
            </a:spcAft>
          </a:pPr>
          <a:r>
            <a:rPr lang="en-US" sz="800" dirty="0" err="1" smtClean="0">
              <a:latin typeface="+mn-lt"/>
            </a:rPr>
            <a:t>def method_entity_main_info</a:t>
          </a:r>
        </a:p>
        <a:p>
          <a:pPr indent="-274320">
            <a:spcAft>
              <a:spcPts val="900"/>
            </a:spcAft>
          </a:pPr>
          <a:r>
            <a:rPr lang="en-US" sz="800" dirty="0" err="1" smtClean="0">
              <a:latin typeface="+mn-lt"/>
            </a:rPr>
            <a:t>begin; $t_output.listcolumns("nazwa").Range.Cells($cel_count,1).Value = $f.when_present.table(:class,'tb-firm-name').when_present.spans.collect(&amp;:text).reject(&amp;:empty? ).uniq.join("\r\n"); rescue; end</a:t>
          </a:r>
        </a:p>
        <a:p>
          <a:pPr indent="-274320">
            <a:spcAft>
              <a:spcPts val="900"/>
            </a:spcAft>
          </a:pPr>
          <a:r>
            <a:rPr lang="en-US" sz="800" dirty="0" err="1" smtClean="0">
              <a:latin typeface="+mn-lt"/>
            </a:rPr>
            <a:t>begin; $t_output.listcolumns("typ").Range.Cells($cel_count,1).Value = $f.when_present.table(:class =&gt; 'tb-first-line').when_present.spans.collect(&amp;:text).reject(&amp;:empty? )[0]; rescue; end</a:t>
          </a:r>
        </a:p>
        <a:p>
          <a:pPr indent="-274320">
            <a:spcAft>
              <a:spcPts val="900"/>
            </a:spcAft>
          </a:pPr>
          <a:r>
            <a:rPr lang="en-US" sz="800" dirty="0" err="1" smtClean="0">
              <a:latin typeface="+mn-lt"/>
            </a:rPr>
            <a:t>begin; $t_output.listcolumns("KRS").Range.Cells($cel_count,1).Value = $f.when_present.table(:class =&gt; 'tb-first-line').when_present.spans.map(&amp;:text).select{|element| element =~/KRS/}[0].split(":")[1].strip; rescue; end</a:t>
          </a:r>
        </a:p>
        <a:p>
          <a:pPr indent="-274320">
            <a:spcAft>
              <a:spcPts val="900"/>
            </a:spcAft>
          </a:pPr>
          <a:r>
            <a:rPr lang="en-US" sz="800" dirty="0" err="1" smtClean="0">
              <a:latin typeface="+mn-lt"/>
            </a:rPr>
            <a:t>begin; $t_output.listcolumns("NIP").Range.Cells($cel_count,1).Value = $f.when_present.table(:class =&gt; 'tb-first-line').when_present.spans.map(&amp;:text).select{|element| element =~/NIP/}[0].split(":")[1].strip; rescue; end</a:t>
          </a:r>
        </a:p>
        <a:p>
          <a:pPr indent="-274320">
            <a:spcAft>
              <a:spcPts val="900"/>
            </a:spcAft>
          </a:pPr>
          <a:r>
            <a:rPr lang="en-US" sz="800" dirty="0" err="1" smtClean="0">
              <a:latin typeface="+mn-lt"/>
            </a:rPr>
            <a:t>begin; $t_output.listcolumns("REGON").Range.Cells($cel_count,1).Value = $f.when_present.table(:class =&gt; 'tb-first-line').when_present.spans.map(&amp;:text).select{|element| element =~/REGON/}[0].split(":")[1].strip; rescue; end</a:t>
          </a:r>
        </a:p>
        <a:p>
          <a:pPr indent="-274320">
            <a:spcAft>
              <a:spcPts val="900"/>
            </a:spcAft>
          </a:pPr>
          <a:r>
            <a:rPr lang="en-US" sz="800" dirty="0" err="1" smtClean="0">
              <a:latin typeface="+mn-lt"/>
            </a:rPr>
            <a:t>begin; $t_output.listcolumns("KAPITAL").Range.Cells($cel_count,1).Value = $f.when_present.table(:class =&gt; 'tb-first-line').when_present.spans.map(&amp;:text).select{|element| element =~/KAPITA/}[0].split(":")[1].strip; rescue; end</a:t>
          </a:r>
        </a:p>
        <a:p>
          <a:pPr indent="-274320">
            <a:spcAft>
              <a:spcPts val="900"/>
            </a:spcAft>
          </a:pPr>
          <a:r>
            <a:rPr lang="en-US" sz="800" dirty="0" err="1" smtClean="0">
              <a:latin typeface="+mn-lt"/>
            </a:rPr>
            <a:t>begin; $t_output.listcolumns("data_wpisu_do_rejestru").Range.Cells($cel_count,1).Value = $f.when_present.table(:class =&gt; 'tb-first-line').when_present.text.split(":")[-1].strip; rescue;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method_entity_main_info: end ############################################</a:t>
          </a:r>
        </a:p>
        <a:p>
          <a:pPr indent="-274320">
            <a:spcAft>
              <a:spcPts val="900"/>
            </a:spcAft>
          </a:pPr>
          <a:r>
            <a:rPr lang="en-US" sz="800" dirty="0" err="1" smtClean="0">
              <a:latin typeface="+mn-lt"/>
            </a:rPr>
            <a:t>############################################## method_entity_address: start ############################################</a:t>
          </a:r>
        </a:p>
        <a:p>
          <a:pPr indent="-274320">
            <a:spcAft>
              <a:spcPts val="900"/>
            </a:spcAft>
          </a:pPr>
          <a:r>
            <a:rPr lang="en-US" sz="800" dirty="0" err="1" smtClean="0">
              <a:latin typeface="+mn-lt"/>
            </a:rPr>
            <a:t>def method_entity_address</a:t>
          </a:r>
        </a:p>
        <a:p>
          <a:pPr indent="-274320">
            <a:spcAft>
              <a:spcPts val="900"/>
            </a:spcAft>
          </a:pPr>
          <a:r>
            <a:rPr lang="en-US" sz="800" dirty="0" err="1" smtClean="0">
              <a:latin typeface="+mn-lt"/>
            </a:rPr>
            <a:t>begin; $t_output.listcolumns("adres").Range.Cells($cel_count,1).Value = $f.when_present.table(:class =&gt; 'tb-second-line').when_present.spans.collect(&amp;:text).reject(&amp;:empty? )[0]; rescue; end</a:t>
          </a:r>
        </a:p>
        <a:p>
          <a:pPr indent="-274320">
            <a:spcAft>
              <a:spcPts val="900"/>
            </a:spcAft>
          </a:pPr>
          <a:r>
            <a:rPr lang="en-US" sz="800" dirty="0" err="1" smtClean="0">
              <a:latin typeface="+mn-lt"/>
            </a:rPr>
            <a:t>begin; $t_output.listcolumns("wojewodztwo").Range.Cells($cel_count,1).Value = $f.when_present.table(:class =&gt; 'tb-second-line').when_present.spans.collect(&amp;:text).select{|element| element =~ /Wojew/}[0].split(":")[1].strip; rescue; end</a:t>
          </a:r>
        </a:p>
        <a:p>
          <a:pPr indent="-274320">
            <a:spcAft>
              <a:spcPts val="900"/>
            </a:spcAft>
          </a:pPr>
          <a:r>
            <a:rPr lang="en-US" sz="800" dirty="0" err="1" smtClean="0">
              <a:latin typeface="+mn-lt"/>
            </a:rPr>
            <a:t>begin; $t_output.listcolumns("powiat").Range.Cells($cel_count,1).Value = $f.when_present.table(:class =&gt; 'tb-second-line').when_present.spans.collect(&amp;:text).select{|element| element =~ /Powiat/}[0].split(":")[1].strip; rescue; end</a:t>
          </a:r>
        </a:p>
        <a:p>
          <a:pPr indent="-274320">
            <a:spcAft>
              <a:spcPts val="900"/>
            </a:spcAft>
          </a:pPr>
          <a:r>
            <a:rPr lang="en-US" sz="800" dirty="0" err="1" smtClean="0">
              <a:latin typeface="+mn-lt"/>
            </a:rPr>
            <a:t>begin; $t_output.listcolumns("gmina").Range.Cells($cel_count,1).Value = $f.when_present.table(:class =&gt; 'tb-second-line').when_present.spans.collect(&amp;:text).select{|element| element =~ /Gmina/}[0].split(":")[1].strip; rescue; end</a:t>
          </a:r>
        </a:p>
        <a:p>
          <a:pPr indent="-274320">
            <a:spcAft>
              <a:spcPts val="900"/>
            </a:spcAft>
          </a:pPr>
          <a:r>
            <a:rPr lang="en-US" sz="800" dirty="0" err="1" smtClean="0">
              <a:latin typeface="+mn-lt"/>
            </a:rPr>
            <a:t>begin; $t_output.listcolumns("miejsowosc").Range.Cells($cel_count,1).Value = $f.when_present.table(:class =&gt; 'tb-second-line').when_present.spans.collect(&amp;:text).select{|element| element =~ /Miejscowo/}[0].split(":")[1].strip; rescue; end</a:t>
          </a:r>
        </a:p>
        <a:p>
          <a:pPr indent="-274320">
            <a:spcAft>
              <a:spcPts val="900"/>
            </a:spcAft>
          </a:pPr>
          <a:r>
            <a:rPr lang="en-US" sz="800" dirty="0" err="1" smtClean="0">
              <a:latin typeface="+mn-lt"/>
            </a:rPr>
            <a:t>begin; $t_output.listcolumns("www").Range.Cells($cel_count,1).Value = $f.when_present.table(:class =&gt; 'tb-second-line').when_present.spans.collect(&amp;:text).select{|element| element =~ /WWW/}[0].split(":")[1].strip; rescue; end</a:t>
          </a:r>
        </a:p>
        <a:p>
          <a:pPr indent="-274320">
            <a:spcAft>
              <a:spcPts val="900"/>
            </a:spcAft>
          </a:pPr>
          <a:r>
            <a:rPr lang="en-US" sz="800" dirty="0" err="1" smtClean="0">
              <a:latin typeface="+mn-lt"/>
            </a:rPr>
            <a:t>begin; $t_output.listcolumns("email").Range.Cells($cel_count,1).Value = $f.when_present.table(:class =&gt; 'tb-second-line').when_present.spans.collect(&amp;:text).select{|element| element =~ /EMAIL/}[0].split(":")[1].strip; rescue;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method_entity_address: end #############################################</a:t>
          </a:r>
        </a:p>
        <a:p>
          <a:pPr indent="-274320">
            <a:spcAft>
              <a:spcPts val="900"/>
            </a:spcAft>
          </a:pPr>
          <a:r>
            <a:rPr lang="en-US" sz="800" dirty="0" err="1" smtClean="0">
              <a:latin typeface="+mn-lt"/>
            </a:rPr>
            <a:t>############################################## method_entityBox_data: start ############################################</a:t>
          </a:r>
        </a:p>
        <a:p>
          <a:pPr indent="-274320">
            <a:spcAft>
              <a:spcPts val="900"/>
            </a:spcAft>
          </a:pPr>
          <a:r>
            <a:rPr lang="en-US" sz="800" dirty="0" err="1" smtClean="0">
              <a:latin typeface="+mn-lt"/>
            </a:rPr>
            <a:t>def method_entityBox_data</a:t>
          </a:r>
        </a:p>
        <a:p>
          <a:pPr indent="-274320">
            <a:spcAft>
              <a:spcPts val="900"/>
            </a:spcAft>
          </a:pPr>
          <a:r>
            <a:rPr lang="en-US" sz="800" dirty="0" err="1" smtClean="0">
              <a:latin typeface="+mn-lt"/>
            </a:rPr>
            <a:t>begin; $t_output.listcolumns("reprezentacja").Range($cel_count,1).Value = $f.when_present.divs(:class =&gt; 'entityBox').map(&amp;:text).select{|element| element.split("\r\n")[0] =~ /REPREZENTACJA/}.join.split("\r\n").map{|i| i.strip}.reject(&amp;:empty? ).join("\r\n"); rescue;end</a:t>
          </a:r>
        </a:p>
        <a:p>
          <a:pPr indent="-274320">
            <a:spcAft>
              <a:spcPts val="900"/>
            </a:spcAft>
          </a:pPr>
          <a:r>
            <a:rPr lang="en-US" sz="800" dirty="0" err="1" smtClean="0">
              <a:latin typeface="+mn-lt"/>
            </a:rPr>
            <a:t>begin; $t_output.listcolumns("wspolnicy").Range($cel_count,1).Value = $f.when_present.divs(:class =&gt; 'entityBox').map(&amp;:text).select{|element| element.split("\r\n")[0] =~ /WSP.LNICY/}.join.split("\r\n").map{|i| i.strip}.reject(&amp;:empty? ).join("\r\n"); rescue;end</a:t>
          </a:r>
        </a:p>
        <a:p>
          <a:pPr indent="-274320">
            <a:spcAft>
              <a:spcPts val="900"/>
            </a:spcAft>
          </a:pPr>
          <a:r>
            <a:rPr lang="en-US" sz="800" dirty="0" err="1" smtClean="0">
              <a:latin typeface="+mn-lt"/>
            </a:rPr>
            <a:t>begin; $t_output.listcolumns("nadzor").Range($cel_count,1).Value = $f.when_present.divs(:class =&gt; 'entityBox').map(&amp;:text).select{|element| element.split("\r\n")[0] =~ /NADZ.R/}.join.split("\r\n").map{|i| i.strip}.reject(&amp;:empty? ).join("\r\n"); rescue;end</a:t>
          </a:r>
        </a:p>
        <a:p>
          <a:pPr indent="-274320">
            <a:spcAft>
              <a:spcPts val="900"/>
            </a:spcAft>
          </a:pPr>
          <a:r>
            <a:rPr lang="en-US" sz="800" dirty="0" err="1" smtClean="0">
              <a:latin typeface="+mn-lt"/>
            </a:rPr>
            <a:t>begin; $t_output.listcolumns("kurator").Range($cel_count,1).Value = $f.when_present.divs(:class =&gt; 'entityBox').map(&amp;:text).select{|element| element.split("\r\n")[0] =~ /KURATOR/}.join.split("\r\n").map{|i| i.strip}.reject(&amp;:empty? ).join("\r\n"); rescue;end</a:t>
          </a:r>
        </a:p>
        <a:p>
          <a:pPr indent="-274320">
            <a:spcAft>
              <a:spcPts val="900"/>
            </a:spcAft>
          </a:pPr>
          <a:r>
            <a:rPr lang="en-US" sz="800" dirty="0" err="1" smtClean="0">
              <a:latin typeface="+mn-lt"/>
            </a:rPr>
            <a:t>begin; $t_output.listcolumns("jedyny_akcjonariusz").Range($cel_count,1).Value = $f.when_present.divs(:class =&gt; 'entityBox').map(&amp;:text).select{|element| element.split("\r\n")[0] =~ /JEDYNY AKCJONARIUSZ/}.join.split("\r\n").map{|i| i.strip}.reject(&amp;:empty? ).join("\r\n"); rescue;end</a:t>
          </a:r>
        </a:p>
        <a:p>
          <a:pPr indent="-274320">
            <a:spcAft>
              <a:spcPts val="900"/>
            </a:spcAft>
          </a:pPr>
          <a:r>
            <a:rPr lang="en-US" sz="800" dirty="0" err="1" smtClean="0">
              <a:latin typeface="+mn-lt"/>
            </a:rPr>
            <a:t>begin; $t_output.listcolumns("partnerzy").Range($cel_count,1).Value = $f.when_present.divs(:class =&gt; 'entityBox').map(&amp;:text).select{|element| element.split("\r\n")[0] =~ /PARTNERZY/}.join.split("\r\n").map{|i| i.strip}.reject(&amp;:empty? ).join("\r\n"); rescue;end</a:t>
          </a:r>
        </a:p>
        <a:p>
          <a:pPr indent="-274320">
            <a:spcAft>
              <a:spcPts val="900"/>
            </a:spcAft>
          </a:pPr>
          <a:r>
            <a:rPr lang="en-US" sz="800" dirty="0" err="1" smtClean="0">
              <a:latin typeface="+mn-lt"/>
            </a:rPr>
            <a:t>begin; $t_output.listcolumns("osoba_powolana").Range($cel_count,1).Value = $f.when_present.divs(:class =&gt; 'entityBox').map(&amp;:text).select{|element| element.split("\r\n")[0] =~ /OSOBA POWO.ANA/}.join.split("\r\n").map{|i|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$t_output.listcolumns("organ_zalozycielski_podmiot_tworzacy").Range($cel_count,1).Value = $f.when_present.divs(:class =&gt; 'entityBox').map(&amp;:text).select{|element| element.split("\r\n")[0] =~ /ORGAN ZA.O.YCIELSKI|PODMIOT TWORZ.CY/}.join.split("\r\n").map{|i| i.strip}.reject(&amp;:empty? ).join("\r\n"); rescue;end</a:t>
          </a:r>
        </a:p>
        <a:p>
          <a:pPr indent="-274320">
            <a:spcAft>
              <a:spcPts val="900"/>
            </a:spcAft>
          </a:pPr>
          <a:r>
            <a:rPr lang="en-US" sz="800" dirty="0" err="1" smtClean="0">
              <a:latin typeface="+mn-lt"/>
            </a:rPr>
            <a:t>begin; $t_output.listcolumns("powstanie").Range($cel_count,1).Value = $f.when_present.divs(:class =&gt; 'entityBox').map(&amp;:text).select{|element| element.split("\r\n")[0] =~ /POWSTANIE/}.join.split("\r\n").map{|i| i.strip}.reject(&amp;:empty? ).join("\r\n"); rescue;end</a:t>
          </a:r>
        </a:p>
        <a:p>
          <a:pPr indent="-274320">
            <a:spcAft>
              <a:spcPts val="900"/>
            </a:spcAft>
          </a:pPr>
          <a:r>
            <a:rPr lang="en-US" sz="800" dirty="0" err="1" smtClean="0">
              <a:latin typeface="+mn-lt"/>
            </a:rPr>
            <a:t>begin; $t_output.listcolumns("przeksztalcenie").Range($cel_count,1).Value = $f.when_present.divs(:class =&gt; 'entityBox').map(&amp;:text).select{|element| element.split("\r\n")[0] =~ /PRZEKSZTA.CENIE/}.join.split("\r\n").map{|i|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$t_output.listcolumns("likwidacja").Range($cel_count,1).Value = $f.when_present.divs(:class =&gt; 'entityBox').map(&amp;:text).select{|element| element.split("\r\n")[0] =~ /LIKWIDACJA/}.join.split("\r\n").map{|i| i.strip}.reject(&amp;:empty? ).join("\r\n"); rescue;end</a:t>
          </a:r>
        </a:p>
        <a:p>
          <a:pPr indent="-274320">
            <a:spcAft>
              <a:spcPts val="900"/>
            </a:spcAft>
          </a:pPr>
          <a:r>
            <a:rPr lang="en-US" sz="800" dirty="0" err="1" smtClean="0">
              <a:latin typeface="+mn-lt"/>
            </a:rPr>
            <a:t>begin; $t_output.listcolumns("oddzialy").Range($cel_count,1).Value = $f.when_present.divs(:class =&gt; 'entityBox').map(&amp;:text).select{|element| element.split("\r\n")[0] =~ /ODDZIA.Y/}.join.split("\r\n").map{|i| i.strip}.reject(&amp;:empty? ).join("\r\n"); rescue;end</a:t>
          </a:r>
        </a:p>
        <a:p>
          <a:pPr indent="-274320">
            <a:spcAft>
              <a:spcPts val="900"/>
            </a:spcAft>
          </a:pPr>
          <a:r>
            <a:rPr lang="en-US" sz="800" dirty="0" err="1" smtClean="0">
              <a:latin typeface="+mn-lt"/>
            </a:rPr>
            <a:t>begin; $t_output.listcolumns("podmioty_przejete").Range($cel_count,1).Value = $f.when_present.divs(:class =&gt; 'entityBox').map(&amp;:text).select{|element| element.split("\r\n")[0] =~ /PODMIOTY PRZEJ.TE/}.join.split("\r\n").map{|i| i.strip}.reject(&amp;:empty? ).join("\r\n"); rescue;end</a:t>
          </a:r>
        </a:p>
        <a:p>
          <a:pPr indent="-274320">
            <a:spcAft>
              <a:spcPts val="900"/>
            </a:spcAft>
          </a:pPr>
          <a:r>
            <a:rPr lang="en-US" sz="800" dirty="0" err="1" smtClean="0">
              <a:latin typeface="+mn-lt"/>
            </a:rPr>
            <a:t>begin; $t_output.listcolumns("postepowanie_upadlosciowe").Range($cel_count,1).Value = $f.when_present.divs(:class =&gt; 'entityBox').map(&amp;:text).select{|element| element.split("\r\n")[0] =~ /POST.POWANIE UPAD.O.CIOWE/}.join.split("\r\n").map{|i| i.strip}.reject(&amp;:empty? ).join("\r\n"); rescue;end</a:t>
          </a:r>
        </a:p>
        <a:p>
          <a:pPr indent="-274320">
            <a:spcAft>
              <a:spcPts val="900"/>
            </a:spcAft>
          </a:pPr>
          <a:r>
            <a:rPr lang="en-US" sz="800" dirty="0" err="1" smtClean="0">
              <a:latin typeface="+mn-lt"/>
            </a:rPr>
            <a:t>begin; $t_output.listcolumns("rozwiazanie_uniewaznienie").Range($cel_count,1).Value = $f.when_present.divs(:class =&gt; 'entityBox').map(&amp;:text).select{|element| element.split("\r\n")[0] =~ /ROZWI.ZANIE|UNIEWA.NIENIE/}.join.split("\r\n").map{|i|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$t_output.listcolumns("cel_dzialania_organizacji").Range($cel_count,1).Value = $f.when_present.divs(:class =&gt; 'entityBox').map(&amp;:text).select{|element| element.split("\r\n")[0] =~ /CEL DZIA.ANIA ORGANIZACJI/}.join.split("\r\n").map{|i| i.strip}.reject(&amp;:empty? ).join("\r\n"); rescue;end</a:t>
          </a:r>
        </a:p>
        <a:p>
          <a:pPr indent="-274320">
            <a:spcAft>
              <a:spcPts val="900"/>
            </a:spcAft>
          </a:pPr>
          <a:r>
            <a:rPr lang="en-US" sz="800" dirty="0" err="1" smtClean="0">
              <a:latin typeface="+mn-lt"/>
            </a:rPr>
            <a:t>begin; $t_output.listcolumns("przedmiot_dzialalnosci").Range($cel_count,1).Value = $f.when_present.divs(:class =&gt; 'entityBox').map(&amp;:text).select{|element| element.split("\r\n")[0] =~ /PRZEDMIOT DZIA.ALNO.CI/}.join.split("\r\n").map{|i|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$t_output.listcolumns("ogloszenia").Range($cel_count,1).Value = $f.when_present.divs(:class =&gt; 'entityBox').map(&amp;:text).select{|element| element.split("\r\n")[0] =~ /OG.OSZENIA/}.join.split("\r\n").map{|i| i.strip}.reject(&amp;:empty? ).join("\r\n"); rescue;end</a:t>
          </a:r>
        </a:p>
        <a:p>
          <a:pPr indent="-274320">
            <a:spcAft>
              <a:spcPts val="900"/>
            </a:spcAft>
          </a:pPr>
          <a:r>
            <a:rPr lang="en-US" sz="800" dirty="0" err="1" smtClean="0">
              <a:latin typeface="+mn-lt"/>
            </a:rPr>
            <a:t>begin; $t_output.listcolumns("informacje_o_zlozonych_sprawozdaniach").Range($cel_count,1).Value = $f.when_present.divs(:class =&gt; 'entityBox').map(&amp;:text).select{|element| element.split("\r\n")[0] =~ /INFORMACJE O Z.O.ONYCH SPRAWOZDANIACH/}.join.split("\r\n").map{|i| i.strip}.reject(&amp;:empty? ).join("\r\n"); rescue;end</a:t>
          </a:r>
        </a:p>
        <a:p>
          <a:pPr indent="-274320">
            <a:spcAft>
              <a:spcPts val="900"/>
            </a:spcAft>
          </a:pPr>
          <a:r>
            <a:rPr lang="en-US" sz="800" dirty="0" err="1" smtClean="0">
              <a:latin typeface="+mn-lt"/>
            </a:rPr>
            <a:t>begin; $t_output.listcolumns("raporty_handlowe_infocredit").Range($cel_count,1).Value = $f.when_present.divs(:class =&gt; 'entityBox').map(&amp;:text).select{|element| element.split("\r\n")[0] =~ /RAPORTY HANDLOWE INFOCREDIT/}.join.split("\r\n").map{|i| i.strip}.reject(&amp;:empty? ).join("\r\n"); rescue;end</a:t>
          </a:r>
        </a:p>
        <a:p>
          <a:pPr indent="-274320">
            <a:spcAft>
              <a:spcPts val="900"/>
            </a:spcAft>
          </a:pPr>
          <a:r>
            <a:rPr lang="en-US" sz="800" dirty="0" err="1" smtClean="0">
              <a:latin typeface="+mn-lt"/>
            </a:rPr>
            <a:t>begin; $t_output.listcolumns("sprawozdania_finansowe").Range($cel_count,1).Value = $f.when_present.divs(:class =&gt; 'entityBox').map(&amp;:text).select{|element| element.split("\r\n")[0] =~ /SPRAWOZDAN.. FINANSOWE/}.join.split("\r\n").map{|i| i.strip}.reject(&amp;:empty? ).join("\r\n"); rescue;end</a:t>
          </a:r>
        </a:p>
        <a:p>
          <a:pPr indent="-274320">
            <a:spcAft>
              <a:spcPts val="900"/>
            </a:spcAft>
          </a:pPr>
          <a:r>
            <a:rPr lang="en-US" sz="800" dirty="0" err="1" smtClean="0">
              <a:latin typeface="+mn-lt"/>
            </a:rPr>
            <a:t>begin; $t_output.listcolumns("uwagi").Range($cel_count,1).Value = $f.when_present.divs(:class =&gt; 'entityBox').map(&amp;:text).select{|element| element.split("\r\n")[0] =~ /UWAGI/}.join.split("\r\n").map{|i|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$t_output.listcolumns("data_wykreslenia_z_KRS").Range($cel_count,1).Value = $f.when_present.divs(:class =&gt; 'entityBox').map(&amp;:text).map{|element| element.split("\r\n")}.flatten.select{|element| element =~ /Data.+wykre.lenia z /}.join[-10..-1]; rescue;end</a:t>
          </a:r>
        </a:p>
        <a:p>
          <a:pPr indent="-274320">
            <a:spcAft>
              <a:spcPts val="900"/>
            </a:spcAft>
          </a:pPr>
          <a:r>
            <a:rPr lang="en-US" sz="800" dirty="0" err="1" smtClean="0">
              <a:latin typeface="+mn-lt"/>
            </a:rPr>
            <a:t>begin; $t_output.listcolumns("ulica").Range($cel_count,1).Value = $f.when_present.table(:class =&gt; 'tb-second-line').when_present.spans.collect(&amp;:text).reject(&amp;:empty? )[0].split(/[0-9]{2}.[0-9]{3}/)[0];rescue;end</a:t>
          </a:r>
        </a:p>
        <a:p>
          <a:pPr indent="-274320">
            <a:spcAft>
              <a:spcPts val="900"/>
            </a:spcAft>
          </a:pPr>
          <a:r>
            <a:rPr lang="en-US" sz="800" dirty="0" err="1" smtClean="0">
              <a:latin typeface="+mn-lt"/>
            </a:rPr>
            <a:t>begin; $t_output.listcolumns("ZIP").Range($cel_count,1).Value = $f.when_present.table(:class =&gt; 'tb-second-line').when_present.spans.collect(&amp;:text).reject(&amp;:empty? )[0].split.select{|element| element =~ /[0-9]{2}.[0-9]{3}/};rescue;end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method_entityBox_data: end #############################################</a:t>
          </a:r>
        </a:p>
        <a:p>
          <a:pPr indent="-274320">
            <a:spcAft>
              <a:spcPts val="900"/>
            </a:spcAft>
          </a:pPr>
          <a:r>
            <a:rPr lang="en-US" sz="800" dirty="0" err="1" smtClean="0">
              <a:latin typeface="+mn-lt"/>
            </a:rPr>
            <a:t>################################################ entity_description: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method_direct_page_excel_output: start #######################################</a:t>
          </a:r>
        </a:p>
        <a:p>
          <a:pPr indent="-274320">
            <a:spcAft>
              <a:spcPts val="900"/>
            </a:spcAft>
          </a:pPr>
          <a:r>
            <a:rPr lang="en-US" sz="800" dirty="0" err="1" smtClean="0">
              <a:latin typeface="+mn-lt"/>
            </a:rPr>
            <a:t>def method_direct_page_excel_output</a:t>
          </a:r>
        </a:p>
        <a:p>
          <a:pPr indent="-274320">
            <a:spcAft>
              <a:spcPts val="900"/>
            </a:spcAft>
          </a:pPr>
          <a:r>
            <a:rPr lang="en-US" sz="800" dirty="0" err="1" smtClean="0">
              <a:latin typeface="+mn-lt"/>
            </a:rPr>
            <a:t>########################################### check_if_direct_page_loaded: start #########################################</a:t>
          </a:r>
        </a:p>
        <a:p>
          <a:pPr indent="-274320">
            <a:spcAft>
              <a:spcPts val="900"/>
            </a:spcAft>
          </a:pPr>
          <a:r>
            <a:rPr lang="en-US" sz="800" dirty="0" err="1" smtClean="0">
              <a:latin typeface="+mn-lt"/>
            </a:rPr>
            <a:t>if $b.tr(:class,'tr-elem-wersja').exist? then</a:t>
          </a:r>
        </a:p>
        <a:p>
          <a:pPr indent="-274320">
            <a:spcAft>
              <a:spcPts val="900"/>
            </a:spcAft>
          </a:pPr>
          <a:r>
            <a:rPr lang="en-US" sz="800" dirty="0" err="1" smtClean="0">
              <a:latin typeface="+mn-lt"/>
            </a:rPr>
            <a:t>############################################ direct_page_excel_output: start ###########################################</a:t>
          </a:r>
        </a:p>
        <a:p>
          <a:pPr indent="-274320">
            <a:spcAft>
              <a:spcPts val="900"/>
            </a:spcAft>
          </a:pPr>
          <a:r>
            <a:rPr lang="en-US" sz="800" dirty="0" err="1" smtClean="0">
              <a:latin typeface="+mn-lt"/>
            </a:rPr>
            <a:t>############################################## check_if_test_search: start #############################################</a:t>
          </a:r>
        </a:p>
        <a:p>
          <a:pPr indent="-274320">
            <a:spcAft>
              <a:spcPts val="900"/>
            </a:spcAft>
          </a:pPr>
          <a:r>
            <a:rPr lang="en-US" sz="800" dirty="0" err="1" smtClean="0">
              <a:latin typeface="+mn-lt"/>
            </a:rPr>
            <a:t>if $key[$i][$c_test] != 1 then</a:t>
          </a:r>
        </a:p>
        <a:p>
          <a:pPr indent="-274320">
            <a:spcAft>
              <a:spcPts val="900"/>
            </a:spcAft>
          </a:pPr>
          <a:r>
            <a:rPr lang="en-US" sz="800" dirty="0" err="1" smtClean="0">
              <a:latin typeface="+mn-lt"/>
            </a:rPr>
            <a:t>######################################### check_if_entity_history_needed: start ########################################</a:t>
          </a:r>
        </a:p>
        <a:p>
          <a:pPr indent="-274320">
            <a:spcAft>
              <a:spcPts val="900"/>
            </a:spcAft>
          </a:pPr>
          <a:r>
            <a:rPr lang="en-US" sz="800" dirty="0" err="1" smtClean="0">
              <a:latin typeface="+mn-lt"/>
            </a:rPr>
            <a:t>if	$key[$i][$c_history] != 1 then</a:t>
          </a:r>
        </a:p>
        <a:p>
          <a:pPr indent="-274320">
            <a:spcAft>
              <a:spcPts val="900"/>
            </a:spcAft>
          </a:pPr>
          <a:r>
            <a:rPr lang="en-US" sz="800" dirty="0" err="1" smtClean="0">
              <a:latin typeface="+mn-lt"/>
            </a:rPr>
            <a:t>$cel_count = $t_output.listrows.count + 2</a:t>
          </a:r>
        </a:p>
        <a:p>
          <a:pPr indent="-274320">
            <a:spcAft>
              <a:spcPts val="900"/>
            </a:spcAft>
          </a:pPr>
          <a:endParaRPr lang="en-US" sz="800" dirty="0" err="1" smtClean="0">
            <a:latin typeface="+mn-lt"/>
          </a:endParaRPr>
        </a:p>
        <a:p>
          <a:pPr indent="-274320">
            <a:spcAft>
              <a:spcPts val="900"/>
            </a:spcAft>
          </a:pPr>
          <a:r>
            <a:rPr lang="en-US" sz="800" dirty="0" err="1" smtClean="0">
              <a:latin typeface="+mn-lt"/>
            </a:rPr>
            <a:t>$f = $b.frame(:id =&gt; 'contentFrameRT')</a:t>
          </a:r>
        </a:p>
        <a:p>
          <a:pPr indent="-274320">
            <a:spcAft>
              <a:spcPts val="900"/>
            </a:spcAft>
          </a:pPr>
          <a:r>
            <a:rPr lang="en-US" sz="800" dirty="0" err="1" smtClean="0">
              <a:latin typeface="+mn-lt"/>
            </a:rPr>
            <a:t>method_distinct_page_ready</a:t>
          </a:r>
        </a:p>
        <a:p>
          <a:pPr indent="-274320">
            <a:spcAft>
              <a:spcPts val="900"/>
            </a:spcAft>
          </a:pPr>
          <a:r>
            <a:rPr lang="en-US" sz="800" dirty="0" err="1" smtClean="0">
              <a:latin typeface="+mn-lt"/>
            </a:rPr>
            <a:t>############################################ output_entity_description: start ##########################################</a:t>
          </a:r>
        </a:p>
        <a:p>
          <a:pPr indent="-274320">
            <a:spcAft>
              <a:spcPts val="900"/>
            </a:spcAft>
          </a:pPr>
          <a:r>
            <a:rPr lang="en-US" sz="800" dirty="0" err="1" smtClean="0">
              <a:latin typeface="+mn-lt"/>
            </a:rPr>
            <a:t>method_key_basic_info</a:t>
          </a:r>
        </a:p>
        <a:p>
          <a:pPr indent="-274320">
            <a:spcAft>
              <a:spcPts val="900"/>
            </a:spcAft>
          </a:pPr>
          <a:r>
            <a:rPr lang="en-US" sz="800" dirty="0" err="1" smtClean="0">
              <a:latin typeface="+mn-lt"/>
            </a:rPr>
            <a:t>method_entity_main_info</a:t>
          </a:r>
        </a:p>
        <a:p>
          <a:pPr indent="-274320">
            <a:spcAft>
              <a:spcPts val="900"/>
            </a:spcAft>
          </a:pPr>
          <a:r>
            <a:rPr lang="en-US" sz="800" dirty="0" err="1" smtClean="0">
              <a:latin typeface="+mn-lt"/>
            </a:rPr>
            <a:t>method_entity_address</a:t>
          </a:r>
        </a:p>
        <a:p>
          <a:pPr indent="-274320">
            <a:spcAft>
              <a:spcPts val="900"/>
            </a:spcAft>
          </a:pPr>
          <a:r>
            <a:rPr lang="en-US" sz="800" dirty="0" err="1" smtClean="0">
              <a:latin typeface="+mn-lt"/>
            </a:rPr>
            <a:t>method_entityBox_data</a:t>
          </a:r>
        </a:p>
        <a:p>
          <a:pPr indent="-274320">
            <a:spcAft>
              <a:spcPts val="900"/>
            </a:spcAft>
          </a:pPr>
          <a:r>
            <a:rPr lang="en-US" sz="800" dirty="0" err="1" smtClean="0">
              <a:latin typeface="+mn-lt"/>
            </a:rPr>
            <a:t>############################################# output_entity_description: end ###########################################</a:t>
          </a:r>
        </a:p>
        <a:p>
          <a:pPr indent="-274320">
            <a:spcAft>
              <a:spcPts val="900"/>
            </a:spcAft>
          </a:pPr>
          <a:r>
            <a:rPr lang="en-US" sz="800" dirty="0" err="1" smtClean="0">
              <a:latin typeface="+mn-lt"/>
            </a:rPr>
            <a:t>elsif $key[$i][$c_history] == 1 then</a:t>
          </a:r>
        </a:p>
        <a:p>
          <a:pPr indent="-274320">
            <a:spcAft>
              <a:spcPts val="900"/>
            </a:spcAft>
          </a:pPr>
          <a:r>
            <a:rPr lang="en-US" sz="800" dirty="0" err="1" smtClean="0">
              <a:latin typeface="+mn-lt"/>
            </a:rPr>
            <a:t>##################################### output_entity_description_with_history: start ####################################</a:t>
          </a:r>
        </a:p>
        <a:p>
          <a:pPr indent="-274320">
            <a:spcAft>
              <a:spcPts val="900"/>
            </a:spcAft>
          </a:pPr>
          <a:r>
            <a:rPr lang="en-US" sz="800" dirty="0" err="1" smtClean="0">
              <a:latin typeface="+mn-lt"/>
            </a:rPr>
            <a:t>$f = $b.frame(:id =&gt; 'contentFrameRB')</a:t>
          </a:r>
        </a:p>
        <a:p>
          <a:pPr indent="-274320">
            <a:spcAft>
              <a:spcPts val="900"/>
            </a:spcAft>
          </a:pPr>
          <a:r>
            <a:rPr lang="en-US" sz="800" dirty="0" err="1" smtClean="0">
              <a:latin typeface="+mn-lt"/>
            </a:rPr>
            <a:t>$history_count = $b.trs(:class,'wersje-tr-podmiot').count</a:t>
          </a:r>
        </a:p>
        <a:p>
          <a:pPr indent="-274320">
            <a:spcAft>
              <a:spcPts val="900"/>
            </a:spcAft>
          </a:pPr>
          <a:r>
            <a:rPr lang="en-US" sz="800" dirty="0" err="1" smtClean="0">
              <a:latin typeface="+mn-lt"/>
            </a:rPr>
            <a:t>################################# output_entity_description_for_each_from_history: start ###############################</a:t>
          </a:r>
        </a:p>
        <a:p>
          <a:pPr indent="-274320">
            <a:spcAft>
              <a:spcPts val="900"/>
            </a:spcAft>
          </a:pPr>
          <a:r>
            <a:rPr lang="en-US" sz="800" dirty="0" err="1" smtClean="0">
              <a:latin typeface="+mn-lt"/>
            </a:rPr>
            <a:t>for msig_num in 0..($history_count - 1)</a:t>
          </a:r>
        </a:p>
        <a:p>
          <a:pPr indent="-274320">
            <a:spcAft>
              <a:spcPts val="900"/>
            </a:spcAft>
          </a:pPr>
          <a:r>
            <a:rPr lang="en-US" sz="800" dirty="0" err="1" smtClean="0">
              <a:latin typeface="+mn-lt"/>
            </a:rPr>
            <a:t>$cel_count = $t_output.listrows.count + 2</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$b.tr(:class =&gt; 'wersje-tr-podmiot',:index =&gt; msig_num).click</a:t>
          </a:r>
        </a:p>
        <a:p>
          <a:pPr indent="-274320">
            <a:spcAft>
              <a:spcPts val="900"/>
            </a:spcAft>
          </a:pPr>
          <a:r>
            <a:rPr lang="en-US" sz="800" dirty="0" err="1" smtClean="0">
              <a:latin typeface="+mn-lt"/>
            </a:rPr>
            <a:t>method_distinct_page_ready</a:t>
          </a:r>
        </a:p>
        <a:p>
          <a:pPr indent="-274320">
            <a:spcAft>
              <a:spcPts val="900"/>
            </a:spcAft>
          </a:pPr>
          <a:r>
            <a:rPr lang="en-US" sz="800" dirty="0" err="1" smtClean="0">
              <a:latin typeface="+mn-lt"/>
            </a:rPr>
            <a:t>until $f.when_present.span(:class,'regSgt').text == $b.tr(:class =&gt; 'wersje-tr-podmiot',:index =&gt; msig_num).when_present.text.split[-1]; sleep(1) end</a:t>
          </a:r>
        </a:p>
        <a:p>
          <a:pPr indent="-274320">
            <a:spcAft>
              <a:spcPts val="900"/>
            </a:spcAft>
          </a:pPr>
          <a:r>
            <a:rPr lang="en-US" sz="800" dirty="0" err="1" smtClean="0">
              <a:latin typeface="+mn-lt"/>
            </a:rPr>
            <a:t>$t_output.listcolumns("history_hit").Range.Cells($cel_count,1).Value = (msig_num + 1).to_s + ' of ' + $history_count.to_s</a:t>
          </a:r>
        </a:p>
        <a:p>
          <a:pPr indent="-274320">
            <a:spcAft>
              <a:spcPts val="900"/>
            </a:spcAft>
          </a:pPr>
          <a:r>
            <a:rPr lang="en-US" sz="800" dirty="0" err="1" smtClean="0">
              <a:latin typeface="+mn-lt"/>
            </a:rPr>
            <a:t>############################################ output_entity_description: start ##########################################</a:t>
          </a:r>
        </a:p>
        <a:p>
          <a:pPr indent="-274320">
            <a:spcAft>
              <a:spcPts val="900"/>
            </a:spcAft>
          </a:pPr>
          <a:r>
            <a:rPr lang="en-US" sz="800" dirty="0" err="1" smtClean="0">
              <a:latin typeface="+mn-lt"/>
            </a:rPr>
            <a:t>method_key_basic_info</a:t>
          </a:r>
        </a:p>
        <a:p>
          <a:pPr indent="-274320">
            <a:spcAft>
              <a:spcPts val="900"/>
            </a:spcAft>
          </a:pPr>
          <a:r>
            <a:rPr lang="en-US" sz="800" dirty="0" err="1" smtClean="0">
              <a:latin typeface="+mn-lt"/>
            </a:rPr>
            <a:t>method_entity_main_info</a:t>
          </a:r>
        </a:p>
        <a:p>
          <a:pPr indent="-274320">
            <a:spcAft>
              <a:spcPts val="900"/>
            </a:spcAft>
          </a:pPr>
          <a:r>
            <a:rPr lang="en-US" sz="800" dirty="0" err="1" smtClean="0">
              <a:latin typeface="+mn-lt"/>
            </a:rPr>
            <a:t>method_entity_address</a:t>
          </a:r>
        </a:p>
        <a:p>
          <a:pPr indent="-274320">
            <a:spcAft>
              <a:spcPts val="900"/>
            </a:spcAft>
          </a:pPr>
          <a:r>
            <a:rPr lang="en-US" sz="800" dirty="0" err="1" smtClean="0">
              <a:latin typeface="+mn-lt"/>
            </a:rPr>
            <a:t>method_entityBox_data</a:t>
          </a:r>
        </a:p>
        <a:p>
          <a:pPr indent="-274320">
            <a:spcAft>
              <a:spcPts val="900"/>
            </a:spcAft>
          </a:pPr>
          <a:r>
            <a:rPr lang="en-US" sz="800" dirty="0" err="1" smtClean="0">
              <a:latin typeface="+mn-lt"/>
            </a:rPr>
            <a:t>############################################# output_entity_description: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output_entity_description_for_each_from_history: end ################################</a:t>
          </a:r>
        </a:p>
        <a:p>
          <a:pPr indent="-274320">
            <a:spcAft>
              <a:spcPts val="900"/>
            </a:spcAft>
          </a:pPr>
          <a:r>
            <a:rPr lang="en-US" sz="800" dirty="0" err="1" smtClean="0">
              <a:latin typeface="+mn-lt"/>
            </a:rPr>
            <a:t>$f = $b.frame(:id =&gt; 'contentFrameRT')</a:t>
          </a:r>
        </a:p>
        <a:p>
          <a:pPr indent="-274320">
            <a:spcAft>
              <a:spcPts val="900"/>
            </a:spcAft>
          </a:pPr>
          <a:r>
            <a:rPr lang="en-US" sz="800" dirty="0" err="1" smtClean="0">
              <a:latin typeface="+mn-lt"/>
            </a:rPr>
            <a:t>###################################### output_entity_description_with_history: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check_if_entity_history_needed: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check_if_test_search: end ##############################################</a:t>
          </a:r>
        </a:p>
        <a:p>
          <a:pPr indent="-274320">
            <a:spcAft>
              <a:spcPts val="900"/>
            </a:spcAft>
          </a:pPr>
          <a:r>
            <a:rPr lang="en-US" sz="800" dirty="0" err="1" smtClean="0">
              <a:latin typeface="+mn-lt"/>
            </a:rPr>
            <a:t>##################################### output_performance_data_to_input_table: start ####################################</a:t>
          </a:r>
        </a:p>
        <a:p>
          <a:pPr indent="-274320">
            <a:spcAft>
              <a:spcPts val="900"/>
            </a:spcAft>
          </a:pPr>
          <a:r>
            <a:rPr lang="en-US" sz="800" dirty="0" err="1" smtClean="0">
              <a:latin typeface="+mn-lt"/>
            </a:rPr>
            <a:t>method_output_to_input_table</a:t>
          </a:r>
        </a:p>
        <a:p>
          <a:pPr indent="-274320">
            <a:spcAft>
              <a:spcPts val="900"/>
            </a:spcAft>
          </a:pPr>
          <a:r>
            <a:rPr lang="en-US" sz="800" dirty="0" err="1" smtClean="0">
              <a:latin typeface="+mn-lt"/>
            </a:rPr>
            <a:t>$output_string.Cells($input_i,1).Value = 1</a:t>
          </a:r>
        </a:p>
        <a:p>
          <a:pPr indent="-274320">
            <a:spcAft>
              <a:spcPts val="900"/>
            </a:spcAft>
          </a:pPr>
          <a:r>
            <a:rPr lang="en-US" sz="800" dirty="0" err="1" smtClean="0">
              <a:latin typeface="+mn-lt"/>
            </a:rPr>
            <a:t>###################################### output_performance_data_to_input_table: end #####################################</a:t>
          </a:r>
        </a:p>
        <a:p>
          <a:pPr indent="-274320">
            <a:spcAft>
              <a:spcPts val="900"/>
            </a:spcAft>
          </a:pPr>
          <a:r>
            <a:rPr lang="en-US" sz="800" dirty="0" err="1" smtClean="0">
              <a:latin typeface="+mn-lt"/>
            </a:rPr>
            <a:t>############################################# direct_page_excel_output: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check_if_direct_page_loaded: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method_direct_page_excel_output: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method_collect_links: start #############################################</a:t>
          </a:r>
        </a:p>
        <a:p>
          <a:pPr indent="-274320">
            <a:spcAft>
              <a:spcPts val="900"/>
            </a:spcAft>
          </a:pPr>
          <a:r>
            <a:rPr lang="en-US" sz="800" dirty="0" err="1" smtClean="0">
              <a:latin typeface="+mn-lt"/>
            </a:rPr>
            <a:t>def method_collect_links</a:t>
          </a:r>
        </a:p>
        <a:p>
          <a:pPr indent="-274320">
            <a:spcAft>
              <a:spcPts val="900"/>
            </a:spcAft>
          </a:pPr>
          <a:r>
            <a:rPr lang="en-US" sz="800" dirty="0" err="1" smtClean="0">
              <a:latin typeface="+mn-lt"/>
            </a:rPr>
            <a:t>$d_allresults = $b.td(:id,'allResults').when_present.text.to_i</a:t>
          </a:r>
        </a:p>
        <a:p>
          <a:pPr indent="-274320">
            <a:spcAft>
              <a:spcPts val="900"/>
            </a:spcAft>
          </a:pPr>
          <a:r>
            <a:rPr lang="en-US" sz="800" dirty="0" err="1" smtClean="0">
              <a:latin typeface="+mn-lt"/>
            </a:rPr>
            <a:t>d_lastresult = $b.td(:id,'lastResult').when_present.text.to_i</a:t>
          </a:r>
        </a:p>
        <a:p>
          <a:pPr indent="-274320">
            <a:spcAft>
              <a:spcPts val="900"/>
            </a:spcAft>
          </a:pPr>
          <a:r>
            <a:rPr lang="en-US" sz="800" dirty="0" err="1" smtClean="0">
              <a:latin typeface="+mn-lt"/>
            </a:rPr>
            <a:t>########################################### collect_links_from_1st_page: start #########################################</a:t>
          </a:r>
        </a:p>
        <a:p>
          <a:pPr indent="-274320">
            <a:spcAft>
              <a:spcPts val="900"/>
            </a:spcAft>
          </a:pPr>
          <a:r>
            <a:rPr lang="en-US" sz="800" dirty="0" err="1" smtClean="0">
              <a:latin typeface="+mn-lt"/>
            </a:rPr>
            <a:t>$li = $b.links(:class =&gt; 'lexTitle').collect(&amp;:href).to_a</a:t>
          </a:r>
        </a:p>
        <a:p>
          <a:pPr indent="-274320">
            <a:spcAft>
              <a:spcPts val="900"/>
            </a:spcAft>
          </a:pPr>
          <a:r>
            <a:rPr lang="en-US" sz="800" dirty="0" err="1" smtClean="0">
              <a:latin typeface="+mn-lt"/>
            </a:rPr>
            <a:t>############################################ collect_links_from_1st_page: end ##########################################</a:t>
          </a:r>
        </a:p>
        <a:p>
          <a:pPr indent="-274320">
            <a:spcAft>
              <a:spcPts val="900"/>
            </a:spcAft>
          </a:pPr>
          <a:r>
            <a:rPr lang="en-US" sz="800" dirty="0" err="1" smtClean="0">
              <a:latin typeface="+mn-lt"/>
            </a:rPr>
            <a:t>########################################### check_if_other_pages_exists: start #########################################</a:t>
          </a:r>
        </a:p>
        <a:p>
          <a:pPr indent="-274320">
            <a:spcAft>
              <a:spcPts val="900"/>
            </a:spcAft>
          </a:pPr>
          <a:r>
            <a:rPr lang="en-US" sz="800" dirty="0" err="1" smtClean="0">
              <a:latin typeface="+mn-lt"/>
            </a:rPr>
            <a:t>if $d_allresults != d_lastresult then</a:t>
          </a:r>
        </a:p>
        <a:p>
          <a:pPr indent="-274320">
            <a:spcAft>
              <a:spcPts val="900"/>
            </a:spcAft>
          </a:pPr>
          <a:r>
            <a:rPr lang="en-US" sz="800" dirty="0" err="1" smtClean="0">
              <a:latin typeface="+mn-lt"/>
            </a:rPr>
            <a:t>######################################### collect_links_from_other_pages: start ########################################</a:t>
          </a:r>
        </a:p>
        <a:p>
          <a:pPr indent="-274320">
            <a:spcAft>
              <a:spcPts val="900"/>
            </a:spcAft>
          </a:pPr>
          <a:r>
            <a:rPr lang="en-US" sz="800" dirty="0" err="1" smtClean="0">
              <a:latin typeface="+mn-lt"/>
            </a:rPr>
            <a:t>($d_allresults/d_lastresult).times do</a:t>
          </a:r>
        </a:p>
        <a:p>
          <a:pPr indent="-274320">
            <a:spcAft>
              <a:spcPts val="900"/>
            </a:spcAft>
          </a:pPr>
          <a:r>
            <a:rPr lang="en-US" sz="800" dirty="0" err="1" smtClean="0">
              <a:latin typeface="+mn-lt"/>
            </a:rPr>
            <a:t>$b.img(:src =&gt; 'http://lex.online.wolterskluwer.pl/WKPLOnline/icons/toolbars/navigation/nastepny.png').when_present.click</a:t>
          </a:r>
        </a:p>
        <a:p>
          <a:pPr indent="-274320">
            <a:spcAft>
              <a:spcPts val="900"/>
            </a:spcAft>
          </a:pPr>
          <a:r>
            <a:rPr lang="en-US" sz="800" dirty="0" err="1" smtClean="0">
              <a:latin typeface="+mn-lt"/>
            </a:rPr>
            <a:t>until $b.links(:class =&gt; 'lexTitle').count == $b.td(:id,'lastResult').when_present.text.to_i - $b.td(:id,'firstResult').when_present.text.to_i + 1</a:t>
          </a:r>
        </a:p>
        <a:p>
          <a:pPr indent="-274320">
            <a:spcAft>
              <a:spcPts val="900"/>
            </a:spcAft>
          </a:pPr>
          <a:r>
            <a:rPr lang="en-US" sz="800" dirty="0" err="1" smtClean="0">
              <a:latin typeface="+mn-lt"/>
            </a:rPr>
            <a:t>sleep(2) end</a:t>
          </a:r>
        </a:p>
        <a:p>
          <a:pPr indent="-274320">
            <a:spcAft>
              <a:spcPts val="900"/>
            </a:spcAft>
          </a:pPr>
          <a:r>
            <a:rPr lang="en-US" sz="800" dirty="0" err="1" smtClean="0">
              <a:latin typeface="+mn-lt"/>
            </a:rPr>
            <a:t>$li += $b.links(:class =&gt; 'lexTitle').collect(&amp;:href).to_a</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collect_links_from_other_pages: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check_if_other_pages_exists: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method_collect_links: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CRAWLER: start ###################################################</a:t>
          </a:r>
        </a:p>
        <a:p>
          <a:pPr indent="-274320">
            <a:spcAft>
              <a:spcPts val="900"/>
            </a:spcAft>
          </a:pPr>
          <a:r>
            <a:rPr lang="en-US" sz="800" dirty="0" err="1" smtClean="0">
              <a:latin typeface="+mn-lt"/>
            </a:rPr>
            <a:t>for $i in 0..($key.length-1)</a:t>
          </a:r>
        </a:p>
        <a:p>
          <a:pPr indent="-274320">
            <a:spcAft>
              <a:spcPts val="900"/>
            </a:spcAft>
          </a:pPr>
          <a:r>
            <a:rPr lang="en-US" sz="800" dirty="0" err="1" smtClean="0">
              <a:latin typeface="+mn-lt"/>
            </a:rPr>
            <a:t>##################################################### search: start ####################################################</a:t>
          </a:r>
        </a:p>
        <a:p>
          <a:pPr indent="-274320">
            <a:spcAft>
              <a:spcPts val="900"/>
            </a:spcAft>
          </a:pPr>
          <a:r>
            <a:rPr lang="en-US" sz="800" dirty="0" err="1" smtClean="0">
              <a:latin typeface="+mn-lt"/>
            </a:rPr>
            <a:t>if $key[$i][$c_input] == 0 then method_search_podmioty</a:t>
          </a:r>
        </a:p>
        <a:p>
          <a:pPr indent="-274320">
            <a:spcAft>
              <a:spcPts val="900"/>
            </a:spcAft>
          </a:pPr>
          <a:r>
            <a:rPr lang="en-US" sz="800" dirty="0" err="1" smtClean="0">
              <a:latin typeface="+mn-lt"/>
            </a:rPr>
            <a:t>elsif $key[$i][$c_input] == 1 then method_search_powiazania end</a:t>
          </a:r>
        </a:p>
        <a:p>
          <a:pPr indent="-274320">
            <a:spcAft>
              <a:spcPts val="900"/>
            </a:spcAft>
          </a:pPr>
          <a:r>
            <a:rPr lang="en-US" sz="800" dirty="0" err="1" smtClean="0">
              <a:latin typeface="+mn-lt"/>
            </a:rPr>
            <a:t>method_page_is_ready</a:t>
          </a:r>
        </a:p>
        <a:p>
          <a:pPr indent="-274320">
            <a:spcAft>
              <a:spcPts val="900"/>
            </a:spcAft>
          </a:pPr>
          <a:r>
            <a:rPr lang="en-US" sz="800" dirty="0" err="1" smtClean="0">
              <a:latin typeface="+mn-lt"/>
            </a:rPr>
            <a:t>$hit_info = '1 of 1'</a:t>
          </a:r>
        </a:p>
        <a:p>
          <a:pPr indent="-274320">
            <a:spcAft>
              <a:spcPts val="900"/>
            </a:spcAft>
          </a:pPr>
          <a:r>
            <a:rPr lang="en-US" sz="800" dirty="0" err="1" smtClean="0">
              <a:latin typeface="+mn-lt"/>
            </a:rPr>
            <a:t>###################################################### search: end #####################################################</a:t>
          </a:r>
        </a:p>
        <a:p>
          <a:pPr indent="-274320">
            <a:spcAft>
              <a:spcPts val="900"/>
            </a:spcAft>
          </a:pPr>
          <a:r>
            <a:rPr lang="en-US" sz="800" dirty="0" err="1" smtClean="0">
              <a:latin typeface="+mn-lt"/>
            </a:rPr>
            <a:t>method_lack_of_result</a:t>
          </a:r>
        </a:p>
        <a:p>
          <a:pPr indent="-274320">
            <a:spcAft>
              <a:spcPts val="900"/>
            </a:spcAft>
          </a:pPr>
          <a:r>
            <a:rPr lang="en-US" sz="800" dirty="0" err="1" smtClean="0">
              <a:latin typeface="+mn-lt"/>
            </a:rPr>
            <a:t>################################################### direct_page: start #################################################</a:t>
          </a:r>
        </a:p>
        <a:p>
          <a:pPr indent="-274320">
            <a:spcAft>
              <a:spcPts val="900"/>
            </a:spcAft>
          </a:pPr>
          <a:r>
            <a:rPr lang="en-US" sz="800" dirty="0" err="1" smtClean="0">
              <a:latin typeface="+mn-lt"/>
            </a:rPr>
            <a:t>method_direct_page_excel_output</a:t>
          </a:r>
        </a:p>
        <a:p>
          <a:pPr indent="-274320">
            <a:spcAft>
              <a:spcPts val="900"/>
            </a:spcAft>
          </a:pPr>
          <a:r>
            <a:rPr lang="en-US" sz="800" dirty="0" err="1" smtClean="0">
              <a:latin typeface="+mn-lt"/>
            </a:rPr>
            <a:t>#################################################### direct_page: end ##################################################</a:t>
          </a:r>
        </a:p>
        <a:p>
          <a:pPr indent="-274320">
            <a:spcAft>
              <a:spcPts val="900"/>
            </a:spcAft>
          </a:pPr>
          <a:r>
            <a:rPr lang="en-US" sz="800" dirty="0" err="1" smtClean="0">
              <a:latin typeface="+mn-lt"/>
            </a:rPr>
            <a:t>################################################## indirect_page: start ################################################</a:t>
          </a:r>
        </a:p>
        <a:p>
          <a:pPr indent="-274320">
            <a:spcAft>
              <a:spcPts val="900"/>
            </a:spcAft>
          </a:pPr>
          <a:r>
            <a:rPr lang="en-US" sz="800" dirty="0" err="1" smtClean="0">
              <a:latin typeface="+mn-lt"/>
            </a:rPr>
            <a:t>if $b.td(:id,'lastResult').exist? then</a:t>
          </a:r>
        </a:p>
        <a:p>
          <a:pPr indent="-274320">
            <a:spcAft>
              <a:spcPts val="900"/>
            </a:spcAft>
          </a:pPr>
          <a:r>
            <a:rPr lang="en-US" sz="800" dirty="0" err="1" smtClean="0">
              <a:latin typeface="+mn-lt"/>
            </a:rPr>
            <a:t>method_collect_links</a:t>
          </a:r>
        </a:p>
        <a:p>
          <a:pPr indent="-274320">
            <a:spcAft>
              <a:spcPts val="900"/>
            </a:spcAft>
          </a:pPr>
          <a:r>
            <a:rPr lang="en-US" sz="800" dirty="0" err="1" smtClean="0">
              <a:latin typeface="+mn-lt"/>
            </a:rPr>
            <a:t>##################################### output_performance_data_to_input_table: start ####################################</a:t>
          </a:r>
        </a:p>
        <a:p>
          <a:pPr indent="-274320">
            <a:spcAft>
              <a:spcPts val="900"/>
            </a:spcAft>
          </a:pPr>
          <a:r>
            <a:rPr lang="en-US" sz="800" dirty="0" err="1" smtClean="0">
              <a:latin typeface="+mn-lt"/>
            </a:rPr>
            <a:t>method_output_to_input_table</a:t>
          </a:r>
        </a:p>
        <a:p>
          <a:pPr indent="-274320">
            <a:spcAft>
              <a:spcPts val="900"/>
            </a:spcAft>
          </a:pPr>
          <a:r>
            <a:rPr lang="en-US" sz="800" dirty="0" err="1" smtClean="0">
              <a:latin typeface="+mn-lt"/>
            </a:rPr>
            <a:t>$output_string.Cells($input_i,1).Value = $d_allresults</a:t>
          </a:r>
        </a:p>
        <a:p>
          <a:pPr indent="-274320">
            <a:spcAft>
              <a:spcPts val="900"/>
            </a:spcAft>
          </a:pPr>
          <a:r>
            <a:rPr lang="en-US" sz="800" dirty="0" err="1" smtClean="0">
              <a:latin typeface="+mn-lt"/>
            </a:rPr>
            <a:t>###################################### output_performance_data_to_input_table: end #####################################</a:t>
          </a:r>
        </a:p>
        <a:p>
          <a:pPr indent="-274320">
            <a:spcAft>
              <a:spcPts val="900"/>
            </a:spcAft>
          </a:pPr>
          <a:r>
            <a:rPr lang="en-US" sz="800" dirty="0" err="1" smtClean="0">
              <a:latin typeface="+mn-lt"/>
            </a:rPr>
            <a:t>############################################## check_if_test_search: start #############################################</a:t>
          </a:r>
        </a:p>
        <a:p>
          <a:pPr indent="-274320">
            <a:spcAft>
              <a:spcPts val="900"/>
            </a:spcAft>
          </a:pPr>
          <a:r>
            <a:rPr lang="en-US" sz="800" dirty="0" err="1" smtClean="0">
              <a:latin typeface="+mn-lt"/>
            </a:rPr>
            <a:t>if $key[$i][$c_test] != 1 then</a:t>
          </a:r>
        </a:p>
        <a:p>
          <a:pPr indent="-274320">
            <a:spcAft>
              <a:spcPts val="900"/>
            </a:spcAft>
          </a:pPr>
          <a:r>
            <a:rPr lang="en-US" sz="800" dirty="0" err="1" smtClean="0">
              <a:latin typeface="+mn-lt"/>
            </a:rPr>
            <a:t>################################## walk_through_links_get_data_from_direct_page: start #################################</a:t>
          </a:r>
        </a:p>
        <a:p>
          <a:pPr indent="-274320">
            <a:spcAft>
              <a:spcPts val="900"/>
            </a:spcAft>
          </a:pPr>
          <a:r>
            <a:rPr lang="en-US" sz="800" dirty="0" err="1" smtClean="0">
              <a:latin typeface="+mn-lt"/>
            </a:rPr>
            <a:t>for $li_index in 0..($li.count - 1)</a:t>
          </a:r>
        </a:p>
        <a:p>
          <a:pPr indent="-274320">
            <a:spcAft>
              <a:spcPts val="900"/>
            </a:spcAft>
          </a:pPr>
          <a:r>
            <a:rPr lang="en-US" sz="800" dirty="0" err="1" smtClean="0">
              <a:latin typeface="+mn-lt"/>
            </a:rPr>
            <a:t>$b.goto $li[$li_index]</a:t>
          </a:r>
        </a:p>
        <a:p>
          <a:pPr indent="-274320">
            <a:spcAft>
              <a:spcPts val="900"/>
            </a:spcAft>
          </a:pPr>
          <a:r>
            <a:rPr lang="en-US" sz="800" dirty="0" err="1" smtClean="0">
              <a:latin typeface="+mn-lt"/>
            </a:rPr>
            <a:t>method_distinct_page_ready</a:t>
          </a:r>
        </a:p>
        <a:p>
          <a:pPr indent="-274320">
            <a:spcAft>
              <a:spcPts val="900"/>
            </a:spcAft>
          </a:pPr>
          <a:r>
            <a:rPr lang="en-US" sz="800" dirty="0" err="1" smtClean="0">
              <a:latin typeface="+mn-lt"/>
            </a:rPr>
            <a:t>until $f.when_present.text.include? $li[$li_index].split("nro=")[1].split("&amp;")[0]; sleep(1) end</a:t>
          </a:r>
        </a:p>
        <a:p>
          <a:pPr indent="-274320">
            <a:spcAft>
              <a:spcPts val="900"/>
            </a:spcAft>
          </a:pPr>
          <a:r>
            <a:rPr lang="en-US" sz="800" dirty="0" err="1" smtClean="0">
              <a:latin typeface="+mn-lt"/>
            </a:rPr>
            <a:t>$hit_info = (1 + $li_index).to_s + ' of ' + $d_allresults.to_s</a:t>
          </a:r>
        </a:p>
        <a:p>
          <a:pPr indent="-274320">
            <a:spcAft>
              <a:spcPts val="900"/>
            </a:spcAft>
          </a:pPr>
          <a:r>
            <a:rPr lang="en-US" sz="800" dirty="0" err="1" smtClean="0">
              <a:latin typeface="+mn-lt"/>
            </a:rPr>
            <a:t>method_direct_page_excel_output</a:t>
          </a:r>
        </a:p>
        <a:p>
          <a:pPr indent="-274320">
            <a:spcAft>
              <a:spcPts val="900"/>
            </a:spcAft>
          </a:pPr>
          <a:r>
            <a:rPr lang="en-US" sz="800" dirty="0" err="1" smtClean="0">
              <a:latin typeface="+mn-lt"/>
            </a:rPr>
            <a:t>##################################### output_performance_data_to_input_table: start ####################################</a:t>
          </a:r>
        </a:p>
        <a:p>
          <a:pPr indent="-274320">
            <a:spcAft>
              <a:spcPts val="900"/>
            </a:spcAft>
          </a:pPr>
          <a:r>
            <a:rPr lang="en-US" sz="800" dirty="0" err="1" smtClean="0">
              <a:latin typeface="+mn-lt"/>
            </a:rPr>
            <a:t>method_output_to_input_table</a:t>
          </a:r>
        </a:p>
        <a:p>
          <a:pPr indent="-274320">
            <a:spcAft>
              <a:spcPts val="900"/>
            </a:spcAft>
          </a:pPr>
          <a:r>
            <a:rPr lang="en-US" sz="800" dirty="0" err="1" smtClean="0">
              <a:latin typeface="+mn-lt"/>
            </a:rPr>
            <a:t>$output_string.Cells($input_i,1).Value = (1 + $li_index).to_s + ' of ' + $d_allresults.to_s</a:t>
          </a:r>
        </a:p>
        <a:p>
          <a:pPr indent="-274320">
            <a:spcAft>
              <a:spcPts val="900"/>
            </a:spcAft>
          </a:pPr>
          <a:r>
            <a:rPr lang="en-US" sz="800" dirty="0" err="1" smtClean="0">
              <a:latin typeface="+mn-lt"/>
            </a:rPr>
            <a:t>###################################### output_performance_data_to_input_table: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walk_through_links_get_data_from_direct_page: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check_if_test_search: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indirect_page: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CRAWLER: end ####################################################</a:t>
          </a:r>
        </a:p>
        <a:p>
          <a:pPr indent="-274320">
            <a:spcAft>
              <a:spcPts val="900"/>
            </a:spcAft>
          </a:pPr>
          <a:r>
            <a:rPr lang="en-US" sz="800" dirty="0" err="1" smtClean="0">
              <a:latin typeface="+mn-lt"/>
            </a:rPr>
            <a:t>$b.close</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system('del C:\users\olevchun001\documents\ipg_reader\temp*')</a:t>
          </a:r>
        </a:p>
        <a:p>
          <a:pPr indent="-274320">
            <a:spcAft>
              <a:spcPts val="900"/>
            </a:spcAft>
          </a:pPr>
          <a:r>
            <a:rPr lang="en-US" sz="800" dirty="0" err="1" smtClean="0">
              <a:latin typeface="+mn-lt"/>
            </a:rPr>
            <a:t># filename='C:\users\olevchun001\documents\ipg_reader\temp_frame.html'; File.open(filename, 'w') {|file| file.puts $f.txt}</a:t>
          </a:r>
        </a:p>
      </xdr:txBody>
    </xdr:sp>
    <xdr:clientData/>
  </xdr:twoCellAnchor>
</xdr:wsDr>
</file>

<file path=xl/tables/table1.xml><?xml version="1.0" encoding="utf-8"?>
<table xmlns="http://schemas.openxmlformats.org/spreadsheetml/2006/main" id="1" name="input" displayName="input" ref="B12:L16" totalsRowShown="0">
  <autoFilter ref="B12:L16"/>
  <tableColumns count="11">
    <tableColumn id="7" name="Comment"/>
    <tableColumn id="8" name="Wynik"/>
    <tableColumn id="13" name="Test"/>
    <tableColumn id="9" name="History"/>
    <tableColumn id="1" name="Nazwa" dataDxfId="134"/>
    <tableColumn id="2" name="KRS" dataDxfId="133"/>
    <tableColumn id="3" name="REGON" dataDxfId="132"/>
    <tableColumn id="4" name="NIP" dataDxfId="131"/>
    <tableColumn id="5" name="Miejscowosc" dataDxfId="130" dataCellStyle="Normal 71"/>
    <tableColumn id="12" name="Ulica" dataDxfId="129" dataCellStyle="Normal 71"/>
    <tableColumn id="6" name="ZIP" dataDxfId="128" dataCellStyle="Normal 71"/>
  </tableColumns>
  <tableStyleInfo name="TableStyleLight11" showFirstColumn="0" showLastColumn="0" showRowStripes="1" showColumnStripes="0"/>
</table>
</file>

<file path=xl/tables/table2.xml><?xml version="1.0" encoding="utf-8"?>
<table xmlns="http://schemas.openxmlformats.org/spreadsheetml/2006/main" id="3" name="input2" displayName="input2" ref="N12:Z15" totalsRowShown="0">
  <autoFilter ref="N12:Z15"/>
  <tableColumns count="13">
    <tableColumn id="13" name="Comment"/>
    <tableColumn id="10" name="Wynik" dataDxfId="127"/>
    <tableColumn id="11" name="Test" dataDxfId="126"/>
    <tableColumn id="12" name="History" dataDxfId="125"/>
    <tableColumn id="1" name="Podmiot_Osoba" dataDxfId="124"/>
    <tableColumn id="9" name="Imie" dataDxfId="123"/>
    <tableColumn id="2" name="PESEL" dataDxfId="122"/>
    <tableColumn id="3" name="KRS" dataDxfId="121"/>
    <tableColumn id="4" name="REGON" dataDxfId="120"/>
    <tableColumn id="7" name="Nazwa_podmiotu" dataDxfId="119"/>
    <tableColumn id="5" name="Miejscowosc" dataDxfId="118" dataCellStyle="Normal 2"/>
    <tableColumn id="6" name="Ulica" dataDxfId="117" dataCellStyle="Normal 2"/>
    <tableColumn id="8" name="ZIP" dataDxfId="116"/>
  </tableColumns>
  <tableStyleInfo name="TableStyleLight8" showFirstColumn="0" showLastColumn="0" showRowStripes="1" showColumnStripes="0"/>
</table>
</file>

<file path=xl/tables/table3.xml><?xml version="1.0" encoding="utf-8"?>
<table xmlns="http://schemas.openxmlformats.org/spreadsheetml/2006/main" id="2" name="oexLinks" displayName="oexLinks" ref="AB12:AC13" insertRow="1" totalsRowShown="0">
  <autoFilter ref="AB12:AC13"/>
  <tableColumns count="2">
    <tableColumn id="1" name="key" dataDxfId="115"/>
    <tableColumn id="2" name="links" dataDxfId="114"/>
  </tableColumns>
  <tableStyleInfo name="TableStyleLight2" showFirstColumn="0" showLastColumn="0" showRowStripes="1" showColumnStripes="0"/>
</table>
</file>

<file path=xl/tables/table4.xml><?xml version="1.0" encoding="utf-8"?>
<table xmlns="http://schemas.openxmlformats.org/spreadsheetml/2006/main" id="4" name="clear_result" displayName="clear_result" ref="B2:AZ24" totalsRowShown="0" headerRowDxfId="108" dataDxfId="107">
  <autoFilter ref="B2:AZ24"/>
  <tableColumns count="51">
    <tableColumn id="1" name="key" dataDxfId="106" totalsRowDxfId="105"/>
    <tableColumn id="2" name="hit" dataDxfId="104" totalsRowDxfId="103"/>
    <tableColumn id="44" name="history_hit" dataDxfId="102" totalsRowDxfId="101"/>
    <tableColumn id="47" name="QC_entityBox" dataDxfId="100" totalsRowDxfId="99"/>
    <tableColumn id="45" name="MSiG" dataDxfId="98" totalsRowDxfId="97"/>
    <tableColumn id="51" name="MSiG_nr_wpisu" dataDxfId="96" totalsRowDxfId="95"/>
    <tableColumn id="50" name="MSiG_data" dataDxfId="94" totalsRowDxfId="93"/>
    <tableColumn id="3" name="link" dataDxfId="92" totalsRowDxfId="91"/>
    <tableColumn id="4" name="nazwa" dataDxfId="90" totalsRowDxfId="89"/>
    <tableColumn id="5" name="typ" dataDxfId="88" totalsRowDxfId="87"/>
    <tableColumn id="6" name="KRS" dataDxfId="86" totalsRowDxfId="85"/>
    <tableColumn id="7" name="NIP" dataDxfId="84" totalsRowDxfId="83"/>
    <tableColumn id="8" name="REGON" dataDxfId="82" totalsRowDxfId="81"/>
    <tableColumn id="9" name="KAPITAL" dataDxfId="80" totalsRowDxfId="79"/>
    <tableColumn id="10" name="data_wpisu_do_rejestru" dataDxfId="78" totalsRowDxfId="77"/>
    <tableColumn id="40" name="data_wykreslenia_z_KRS" dataDxfId="76" totalsRowDxfId="75"/>
    <tableColumn id="11" name="adres" dataDxfId="74" totalsRowDxfId="73"/>
    <tableColumn id="42" name="ulica" dataDxfId="72" totalsRowDxfId="71"/>
    <tableColumn id="43" name="ZIP" dataDxfId="70" totalsRowDxfId="69"/>
    <tableColumn id="12" name="wojewodztwo" dataDxfId="68" totalsRowDxfId="67"/>
    <tableColumn id="13" name="powiat" dataDxfId="66" totalsRowDxfId="65"/>
    <tableColumn id="14" name="gmina" dataDxfId="64" totalsRowDxfId="63"/>
    <tableColumn id="15" name="miejsowosc" dataDxfId="62" totalsRowDxfId="61"/>
    <tableColumn id="16" name="www" dataDxfId="60" totalsRowDxfId="59"/>
    <tableColumn id="17" name="email" dataDxfId="58" totalsRowDxfId="57"/>
    <tableColumn id="18" name="reprezentacja" dataDxfId="56" totalsRowDxfId="55"/>
    <tableColumn id="19" name="wspolnicy" dataDxfId="54" totalsRowDxfId="53"/>
    <tableColumn id="20" name="nadzor" dataDxfId="52" totalsRowDxfId="51"/>
    <tableColumn id="21" name="cel_dzialania_organizacji" dataDxfId="50" totalsRowDxfId="49"/>
    <tableColumn id="22" name="informacje_o_zlozonych_sprawozdaniach" dataDxfId="48" totalsRowDxfId="47"/>
    <tableColumn id="23" name="jedyny_akcjonariusz" dataDxfId="46" totalsRowDxfId="45"/>
    <tableColumn id="24" name="kurator" dataDxfId="44" totalsRowDxfId="43"/>
    <tableColumn id="25" name="likwidacja" dataDxfId="42" totalsRowDxfId="41"/>
    <tableColumn id="26" name="oddzialy" dataDxfId="40" totalsRowDxfId="39"/>
    <tableColumn id="27" name="ogloszenia" dataDxfId="38" totalsRowDxfId="37"/>
    <tableColumn id="28" name="organ_zalozycielski_podmiot_tworzacy" dataDxfId="36" totalsRowDxfId="35"/>
    <tableColumn id="29" name="osoba_powolana" dataDxfId="34" totalsRowDxfId="33"/>
    <tableColumn id="30" name="partnerzy" dataDxfId="32" totalsRowDxfId="31"/>
    <tableColumn id="46" name="zarzad_komisaryczny" dataDxfId="30" totalsRowDxfId="29"/>
    <tableColumn id="31" name="podmioty_przejete" dataDxfId="28" totalsRowDxfId="27"/>
    <tableColumn id="32" name="postepowanie_upadlosciowe" dataDxfId="26" totalsRowDxfId="25"/>
    <tableColumn id="41" name="postepowanie_ukladowe" dataDxfId="24" totalsRowDxfId="23"/>
    <tableColumn id="48" name="postepowanie_naprawcze" dataDxfId="22" totalsRowDxfId="21"/>
    <tableColumn id="33" name="powstanie" dataDxfId="20" totalsRowDxfId="19"/>
    <tableColumn id="52" name="zawieszenie/wznowienie_wykonywanej_dzialalnosci" dataDxfId="18" totalsRowDxfId="17"/>
    <tableColumn id="34" name="przedmiot_dzialalnosci" dataDxfId="16" totalsRowDxfId="15"/>
    <tableColumn id="35" name="przeksztalcenie" dataDxfId="14" totalsRowDxfId="13"/>
    <tableColumn id="36" name="raporty_handlowe_infocredit" dataDxfId="12" totalsRowDxfId="11"/>
    <tableColumn id="37" name="rozwiazanie_uniewaznienie" dataDxfId="10" totalsRowDxfId="9"/>
    <tableColumn id="38" name="sprawozdania_finansowe" dataDxfId="8" totalsRowDxfId="7"/>
    <tableColumn id="39" name="uwagi" dataDxfId="6" totalsRowDxfId="5"/>
  </tableColumns>
  <tableStyleInfo name="TableStyleLight13" showFirstColumn="0" showLastColumn="0" showRowStripes="1" showColumnStripes="0"/>
</table>
</file>

<file path=xl/tables/table5.xml><?xml version="1.0" encoding="utf-8"?>
<table xmlns="http://schemas.openxmlformats.org/spreadsheetml/2006/main" id="5" name="Table4" displayName="Table4" ref="B3:F5" totalsRowShown="0">
  <autoFilter ref="B3:F5"/>
  <tableColumns count="5">
    <tableColumn id="5" name="in" dataDxfId="4"/>
    <tableColumn id="1" name="In2" dataDxfId="3">
      <calculatedColumnFormula>IF(ISBLANK(Table4[[#This Row],[in]]),OFFSET(Table4[[#This Row],[in]],-1,0)&amp;": end",Table4[[#This Row],[in]]&amp;": start")</calculatedColumnFormula>
    </tableColumn>
    <tableColumn id="2" name="transform" dataDxfId="2">
      <calculatedColumnFormula>fi.len-LEN(Table4[[#This Row],[In2]])/2</calculatedColumnFormula>
    </tableColumn>
    <tableColumn id="3" name="Out" dataDxfId="1">
      <calculatedColumnFormula>REPT(c.char,Table4[[#This Row],[transform]])&amp;" "&amp;Table4[[#This Row],[In2]]&amp;" "&amp;REPT(c.char,fi.len*2-INT(Table4[[#This Row],[transform]])-LEN(Table4[[#This Row],[In2]])-2)</calculatedColumnFormula>
    </tableColumn>
    <tableColumn id="4" name="len" dataDxfId="0">
      <calculatedColumnFormula>LEN(Table4[[#This Row],[Out]])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PwC">
  <a:themeElements>
    <a:clrScheme name="PwC Orange">
      <a:dk1>
        <a:srgbClr val="000000"/>
      </a:dk1>
      <a:lt1>
        <a:srgbClr val="FFFFFF"/>
      </a:lt1>
      <a:dk2>
        <a:srgbClr val="DC6900"/>
      </a:dk2>
      <a:lt2>
        <a:srgbClr val="FFFFFF"/>
      </a:lt2>
      <a:accent1>
        <a:srgbClr val="DC6900"/>
      </a:accent1>
      <a:accent2>
        <a:srgbClr val="FFB600"/>
      </a:accent2>
      <a:accent3>
        <a:srgbClr val="602320"/>
      </a:accent3>
      <a:accent4>
        <a:srgbClr val="E27588"/>
      </a:accent4>
      <a:accent5>
        <a:srgbClr val="A32020"/>
      </a:accent5>
      <a:accent6>
        <a:srgbClr val="E0301E"/>
      </a:accent6>
      <a:hlink>
        <a:srgbClr val="0000FF"/>
      </a:hlink>
      <a:folHlink>
        <a:srgbClr val="0000FF"/>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C22"/>
  <sheetViews>
    <sheetView zoomScale="70" zoomScaleNormal="70" workbookViewId="0">
      <pane ySplit="12" topLeftCell="A13" activePane="bottomLeft" state="frozen"/>
      <selection activeCell="B2669" sqref="B2669"/>
      <selection pane="bottomLeft"/>
    </sheetView>
  </sheetViews>
  <sheetFormatPr defaultRowHeight="14.25"/>
  <cols>
    <col min="1" max="1" width="1.875" style="11" customWidth="1"/>
    <col min="2" max="2" width="16.25" style="29" customWidth="1"/>
    <col min="3" max="3" width="18.625" bestFit="1" customWidth="1"/>
    <col min="4" max="4" width="6.875" customWidth="1"/>
    <col min="5" max="5" width="9.125" customWidth="1"/>
    <col min="6" max="6" width="11.875" customWidth="1"/>
    <col min="7" max="7" width="6.875" style="7" customWidth="1"/>
    <col min="8" max="8" width="9.875" style="7" customWidth="1"/>
    <col min="9" max="9" width="21.625" style="7" customWidth="1"/>
    <col min="10" max="11" width="15.625" customWidth="1"/>
    <col min="12" max="12" width="5.625" customWidth="1"/>
    <col min="13" max="13" width="1.875" customWidth="1"/>
    <col min="14" max="14" width="12.5" style="5" customWidth="1"/>
    <col min="15" max="15" width="8" customWidth="1"/>
    <col min="16" max="16" width="6.875" customWidth="1"/>
    <col min="17" max="17" width="9.125" customWidth="1"/>
    <col min="18" max="18" width="17" customWidth="1"/>
    <col min="19" max="19" width="6.5" customWidth="1"/>
    <col min="20" max="20" width="13" bestFit="1" customWidth="1"/>
    <col min="21" max="21" width="6.875" customWidth="1"/>
    <col min="22" max="22" width="15" bestFit="1" customWidth="1"/>
    <col min="23" max="23" width="18" customWidth="1"/>
    <col min="24" max="24" width="14.25" customWidth="1"/>
    <col min="25" max="25" width="7.25" customWidth="1"/>
    <col min="26" max="26" width="5.625" customWidth="1"/>
    <col min="28" max="28" width="11.875" bestFit="1" customWidth="1"/>
    <col min="29" max="29" width="7" customWidth="1"/>
  </cols>
  <sheetData>
    <row r="1" spans="1:29" s="2" customFormat="1" ht="15"/>
    <row r="2" spans="1:29">
      <c r="B2" s="27" t="s">
        <v>103</v>
      </c>
    </row>
    <row r="3" spans="1:29" s="11" customFormat="1" ht="15">
      <c r="B3" s="2" t="s">
        <v>87</v>
      </c>
      <c r="C3" s="27" t="s">
        <v>103</v>
      </c>
      <c r="G3" s="7"/>
      <c r="H3" s="7"/>
      <c r="I3" s="7"/>
    </row>
    <row r="4" spans="1:29" ht="15">
      <c r="B4" s="33" t="s">
        <v>81</v>
      </c>
      <c r="C4" s="28">
        <v>43572.497407407405</v>
      </c>
      <c r="G4" s="6"/>
    </row>
    <row r="5" spans="1:29" ht="15">
      <c r="B5" s="2" t="s">
        <v>80</v>
      </c>
      <c r="C5" s="28">
        <v>43361.71</v>
      </c>
      <c r="E5" s="1"/>
    </row>
    <row r="6" spans="1:29" s="29" customFormat="1" ht="15">
      <c r="A6" s="11"/>
      <c r="B6" s="2" t="s">
        <v>85</v>
      </c>
      <c r="C6" s="32">
        <f>C5-C4</f>
        <v>-210.78740740740614</v>
      </c>
      <c r="D6" s="31"/>
      <c r="E6" s="1"/>
      <c r="G6" s="30"/>
      <c r="H6" s="30"/>
      <c r="I6" s="30"/>
    </row>
    <row r="7" spans="1:29" s="29" customFormat="1" ht="15">
      <c r="A7" s="11"/>
      <c r="B7" s="2" t="s">
        <v>84</v>
      </c>
      <c r="C7" s="43" t="s">
        <v>102</v>
      </c>
      <c r="D7" s="31"/>
      <c r="E7" s="1"/>
      <c r="G7" s="30"/>
      <c r="H7" s="30"/>
      <c r="I7" s="30"/>
    </row>
    <row r="8" spans="1:29" ht="15">
      <c r="B8" s="2" t="s">
        <v>86</v>
      </c>
      <c r="C8" s="35">
        <v>0</v>
      </c>
      <c r="H8" s="30"/>
    </row>
    <row r="9" spans="1:29" s="29" customFormat="1" ht="15">
      <c r="A9" s="11"/>
      <c r="D9" s="36"/>
      <c r="G9" s="30"/>
      <c r="H9" s="30"/>
    </row>
    <row r="10" spans="1:29" s="38" customFormat="1" ht="15">
      <c r="A10" s="11"/>
      <c r="D10" s="36"/>
      <c r="G10" s="30"/>
      <c r="H10" s="30"/>
      <c r="I10" s="30"/>
    </row>
    <row r="11" spans="1:29" s="38" customFormat="1">
      <c r="A11" s="11"/>
      <c r="B11" s="40" t="s">
        <v>93</v>
      </c>
      <c r="C11" s="38" t="s">
        <v>94</v>
      </c>
      <c r="D11" s="38" t="s">
        <v>95</v>
      </c>
      <c r="E11" s="38" t="s">
        <v>95</v>
      </c>
      <c r="F11" s="38" t="s">
        <v>90</v>
      </c>
      <c r="G11" s="30">
        <v>12345</v>
      </c>
      <c r="H11" s="30">
        <v>123456789</v>
      </c>
      <c r="I11" s="30">
        <v>123456789</v>
      </c>
      <c r="J11" s="38" t="s">
        <v>82</v>
      </c>
      <c r="K11" s="38" t="s">
        <v>92</v>
      </c>
      <c r="L11" s="30">
        <v>1234</v>
      </c>
      <c r="N11" s="38" t="str">
        <f>B11</f>
        <v>Use this field anyway you like</v>
      </c>
      <c r="O11" s="38" t="str">
        <f t="shared" ref="O11:Q11" si="0">C11</f>
        <v>Leave this field empty</v>
      </c>
      <c r="P11" s="38" t="str">
        <f t="shared" si="0"/>
        <v>See the manual</v>
      </c>
      <c r="Q11" s="38" t="str">
        <f t="shared" si="0"/>
        <v>See the manual</v>
      </c>
      <c r="R11" s="38" t="s">
        <v>91</v>
      </c>
      <c r="S11" s="38" t="s">
        <v>101</v>
      </c>
      <c r="T11">
        <v>91000000000</v>
      </c>
      <c r="U11" s="30">
        <v>12345</v>
      </c>
      <c r="V11" s="30">
        <v>1234567</v>
      </c>
      <c r="W11" s="38" t="s">
        <v>90</v>
      </c>
      <c r="X11" s="38" t="s">
        <v>82</v>
      </c>
      <c r="Y11" s="38" t="s">
        <v>92</v>
      </c>
      <c r="Z11" s="30">
        <v>1234</v>
      </c>
    </row>
    <row r="12" spans="1:29">
      <c r="B12" t="s">
        <v>77</v>
      </c>
      <c r="C12" s="4" t="s">
        <v>12</v>
      </c>
      <c r="D12" s="3" t="s">
        <v>13</v>
      </c>
      <c r="E12" s="3" t="s">
        <v>67</v>
      </c>
      <c r="F12" t="s">
        <v>0</v>
      </c>
      <c r="G12" s="7" t="s">
        <v>1</v>
      </c>
      <c r="H12" s="7" t="s">
        <v>2</v>
      </c>
      <c r="I12" s="7" t="s">
        <v>3</v>
      </c>
      <c r="J12" t="s">
        <v>5</v>
      </c>
      <c r="K12" t="s">
        <v>4</v>
      </c>
      <c r="L12" t="s">
        <v>16</v>
      </c>
      <c r="N12" t="s">
        <v>77</v>
      </c>
      <c r="O12" s="4" t="s">
        <v>12</v>
      </c>
      <c r="P12" s="3" t="s">
        <v>13</v>
      </c>
      <c r="Q12" s="3" t="s">
        <v>67</v>
      </c>
      <c r="R12" t="s">
        <v>66</v>
      </c>
      <c r="S12" t="s">
        <v>7</v>
      </c>
      <c r="T12" t="s">
        <v>104</v>
      </c>
      <c r="U12" t="s">
        <v>1</v>
      </c>
      <c r="V12" t="s">
        <v>2</v>
      </c>
      <c r="W12" t="s">
        <v>6</v>
      </c>
      <c r="X12" t="s">
        <v>5</v>
      </c>
      <c r="Y12" t="s">
        <v>4</v>
      </c>
      <c r="Z12" t="s">
        <v>16</v>
      </c>
      <c r="AB12" t="s">
        <v>9</v>
      </c>
      <c r="AC12" t="s">
        <v>83</v>
      </c>
    </row>
    <row r="13" spans="1:29" ht="15">
      <c r="C13" t="s">
        <v>124</v>
      </c>
      <c r="D13" s="38"/>
      <c r="F13" s="59" t="s">
        <v>105</v>
      </c>
      <c r="G13" s="55"/>
      <c r="H13" s="30"/>
      <c r="I13" s="38"/>
      <c r="J13" s="56"/>
      <c r="K13" s="58"/>
      <c r="L13" s="57"/>
      <c r="O13" s="50" t="s">
        <v>267</v>
      </c>
      <c r="P13" s="50"/>
      <c r="Q13" s="50"/>
      <c r="R13" s="45"/>
      <c r="S13" s="44"/>
      <c r="T13" s="51">
        <v>67113000752</v>
      </c>
      <c r="U13" s="39"/>
      <c r="V13" s="52"/>
      <c r="W13" s="46"/>
      <c r="X13" s="47"/>
      <c r="Y13" s="53"/>
      <c r="Z13" s="54"/>
      <c r="AB13" s="39"/>
      <c r="AC13" s="39"/>
    </row>
    <row r="14" spans="1:29" ht="15">
      <c r="B14" s="61"/>
      <c r="C14" s="61">
        <v>1</v>
      </c>
      <c r="D14" s="61"/>
      <c r="E14" s="61"/>
      <c r="F14" s="62"/>
      <c r="G14" s="55">
        <v>341818</v>
      </c>
      <c r="H14" s="63"/>
      <c r="I14" s="60"/>
      <c r="J14" s="64"/>
      <c r="K14" s="65"/>
      <c r="L14" s="66"/>
      <c r="N14" s="61"/>
      <c r="O14" s="67" t="s">
        <v>302</v>
      </c>
      <c r="P14" s="67"/>
      <c r="Q14" s="67"/>
      <c r="R14" s="45" t="s">
        <v>106</v>
      </c>
      <c r="S14" s="71" t="s">
        <v>107</v>
      </c>
      <c r="T14" s="67"/>
      <c r="U14" s="72"/>
      <c r="V14" s="68"/>
      <c r="W14" s="73"/>
      <c r="X14" s="47"/>
      <c r="Y14" s="69"/>
      <c r="Z14" s="70"/>
    </row>
    <row r="15" spans="1:29" ht="15">
      <c r="B15" s="61"/>
      <c r="C15" s="61">
        <v>1</v>
      </c>
      <c r="D15" s="61"/>
      <c r="E15" s="61"/>
      <c r="F15" s="62"/>
      <c r="G15" s="55"/>
      <c r="H15" s="63">
        <v>121073028</v>
      </c>
      <c r="I15" s="60"/>
      <c r="J15" s="64"/>
      <c r="K15" s="65"/>
      <c r="L15" s="66"/>
      <c r="N15" s="61"/>
      <c r="O15" s="67">
        <v>1</v>
      </c>
      <c r="P15" s="67"/>
      <c r="Q15" s="67"/>
      <c r="R15" s="45"/>
      <c r="S15" s="71"/>
      <c r="T15" s="67"/>
      <c r="U15" s="72"/>
      <c r="V15" s="68">
        <v>121073028</v>
      </c>
      <c r="W15" s="73"/>
      <c r="X15" s="47"/>
      <c r="Y15" s="69"/>
      <c r="Z15" s="70"/>
    </row>
    <row r="16" spans="1:29">
      <c r="B16" s="61"/>
      <c r="C16" s="61">
        <v>1</v>
      </c>
      <c r="D16" s="61"/>
      <c r="E16" s="61"/>
      <c r="F16" s="62"/>
      <c r="G16" s="55"/>
      <c r="H16" s="63"/>
      <c r="I16" s="60">
        <v>6751423951</v>
      </c>
      <c r="J16" s="64"/>
      <c r="K16" s="65"/>
      <c r="L16" s="66"/>
      <c r="R16" s="38"/>
    </row>
    <row r="17" spans="18:18">
      <c r="R17" s="38"/>
    </row>
    <row r="18" spans="18:18">
      <c r="R18" s="38"/>
    </row>
    <row r="19" spans="18:18">
      <c r="R19" s="38"/>
    </row>
    <row r="20" spans="18:18">
      <c r="R20" s="38"/>
    </row>
    <row r="21" spans="18:18">
      <c r="R21" s="38"/>
    </row>
    <row r="22" spans="18:18">
      <c r="R22" s="38"/>
    </row>
  </sheetData>
  <sheetProtection selectLockedCells="1" selectUnlockedCells="1"/>
  <conditionalFormatting sqref="U13:U15">
    <cfRule type="duplicateValues" dxfId="136" priority="164"/>
  </conditionalFormatting>
  <conditionalFormatting sqref="I13:I16">
    <cfRule type="duplicateValues" dxfId="135" priority="29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clear_input">
                <anchor moveWithCells="1" sizeWithCells="1">
                  <from>
                    <xdr:col>6</xdr:col>
                    <xdr:colOff>133350</xdr:colOff>
                    <xdr:row>2</xdr:row>
                    <xdr:rowOff>19050</xdr:rowOff>
                  </from>
                  <to>
                    <xdr:col>7</xdr:col>
                    <xdr:colOff>257175</xdr:colOff>
                    <xdr:row>4</xdr:row>
                    <xdr:rowOff>104775</xdr:rowOff>
                  </to>
                </anchor>
              </controlPr>
            </control>
          </mc:Choice>
        </mc:AlternateContent>
        <mc:AlternateContent xmlns:mc="http://schemas.openxmlformats.org/markup-compatibility/2006">
          <mc:Choice Requires="x14">
            <control shapeId="1032" r:id="rId5" name="Button 8">
              <controlPr defaultSize="0" print="0" autoFill="0" autoPict="0" macro="[0]!start_ruby">
                <anchor moveWithCells="1" sizeWithCells="1">
                  <from>
                    <xdr:col>4</xdr:col>
                    <xdr:colOff>285750</xdr:colOff>
                    <xdr:row>2</xdr:row>
                    <xdr:rowOff>19050</xdr:rowOff>
                  </from>
                  <to>
                    <xdr:col>5</xdr:col>
                    <xdr:colOff>228600</xdr:colOff>
                    <xdr:row>4</xdr:row>
                    <xdr:rowOff>104775</xdr:rowOff>
                  </to>
                </anchor>
              </controlPr>
            </control>
          </mc:Choice>
        </mc:AlternateContent>
        <mc:AlternateContent xmlns:mc="http://schemas.openxmlformats.org/markup-compatibility/2006">
          <mc:Choice Requires="x14">
            <control shapeId="1033" r:id="rId6" name="Button 9">
              <controlPr defaultSize="0" print="0" autoFill="0" autoPict="0" macro="[0]!clear_results">
                <anchor moveWithCells="1" sizeWithCells="1">
                  <from>
                    <xdr:col>8</xdr:col>
                    <xdr:colOff>66675</xdr:colOff>
                    <xdr:row>2</xdr:row>
                    <xdr:rowOff>19050</xdr:rowOff>
                  </from>
                  <to>
                    <xdr:col>8</xdr:col>
                    <xdr:colOff>704850</xdr:colOff>
                    <xdr:row>4</xdr:row>
                    <xdr:rowOff>104775</xdr:rowOff>
                  </to>
                </anchor>
              </controlPr>
            </control>
          </mc:Choice>
        </mc:AlternateContent>
      </controls>
    </mc:Choice>
  </mc:AlternateContent>
  <tableParts count="3">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tint="0.79998168889431442"/>
  </sheetPr>
  <dimension ref="B1:AZ24"/>
  <sheetViews>
    <sheetView tabSelected="1" zoomScaleNormal="100" workbookViewId="0">
      <pane ySplit="2" topLeftCell="A4" activePane="bottomLeft" state="frozen"/>
      <selection activeCell="B2669" sqref="B2669"/>
      <selection pane="bottomLeft" activeCell="AA9" sqref="AA9"/>
    </sheetView>
  </sheetViews>
  <sheetFormatPr defaultColWidth="9" defaultRowHeight="15" customHeight="1"/>
  <cols>
    <col min="1" max="1" width="0.875" style="13" customWidth="1"/>
    <col min="2" max="2" width="16" style="37" customWidth="1"/>
    <col min="3" max="3" width="13.5" style="13" hidden="1" customWidth="1"/>
    <col min="4" max="4" width="13.25" style="13" hidden="1" customWidth="1"/>
    <col min="5" max="5" width="12.125" style="13" hidden="1" customWidth="1"/>
    <col min="6" max="6" width="15.25" style="13" hidden="1" customWidth="1"/>
    <col min="7" max="7" width="16.875" style="13" hidden="1" customWidth="1"/>
    <col min="8" max="8" width="14.875" style="13" hidden="1" customWidth="1"/>
    <col min="9" max="9" width="10.5" style="13" hidden="1" customWidth="1"/>
    <col min="10" max="10" width="69.625" style="13" hidden="1" customWidth="1"/>
    <col min="11" max="11" width="51" style="13" hidden="1" customWidth="1"/>
    <col min="12" max="12" width="7.625" style="13" hidden="1" customWidth="1"/>
    <col min="13" max="13" width="12" style="13" hidden="1" customWidth="1"/>
    <col min="14" max="14" width="10.875" style="13" hidden="1" customWidth="1"/>
    <col min="15" max="15" width="9.875" style="13" hidden="1" customWidth="1"/>
    <col min="16" max="16" width="8" style="13" hidden="1" customWidth="1"/>
    <col min="17" max="18" width="10.625" style="13" hidden="1" customWidth="1"/>
    <col min="19" max="19" width="16.875" style="13" hidden="1" customWidth="1"/>
    <col min="20" max="20" width="7" style="13" hidden="1" customWidth="1"/>
    <col min="21" max="21" width="16.125" style="13" hidden="1" customWidth="1"/>
    <col min="22" max="22" width="8.625" style="13" bestFit="1" customWidth="1"/>
    <col min="23" max="23" width="8.375" style="13" customWidth="1"/>
    <col min="24" max="24" width="13.125" style="13" customWidth="1"/>
    <col min="25" max="25" width="7" style="13" customWidth="1"/>
    <col min="26" max="26" width="7.5" style="13" customWidth="1"/>
    <col min="27" max="44" width="35.625" style="13" customWidth="1"/>
    <col min="45" max="45" width="35.625" style="37" customWidth="1"/>
    <col min="46" max="46" width="35.625" style="13" customWidth="1"/>
    <col min="47" max="47" width="35.625" style="37" customWidth="1"/>
    <col min="48" max="53" width="35.625" style="13" customWidth="1"/>
    <col min="54" max="16384" width="9" style="13"/>
  </cols>
  <sheetData>
    <row r="1" spans="2:52" ht="3.75" customHeight="1">
      <c r="B1" s="13"/>
      <c r="AS1" s="13"/>
      <c r="AU1" s="13"/>
    </row>
    <row r="2" spans="2:52" ht="15" customHeight="1">
      <c r="B2" s="13" t="s">
        <v>9</v>
      </c>
      <c r="C2" s="13" t="s">
        <v>10</v>
      </c>
      <c r="D2" s="13" t="s">
        <v>68</v>
      </c>
      <c r="E2" s="13" t="s">
        <v>74</v>
      </c>
      <c r="F2" s="13" t="s">
        <v>69</v>
      </c>
      <c r="G2" s="13" t="s">
        <v>79</v>
      </c>
      <c r="H2" s="13" t="s">
        <v>78</v>
      </c>
      <c r="I2" s="13" t="s">
        <v>14</v>
      </c>
      <c r="J2" s="13" t="s">
        <v>11</v>
      </c>
      <c r="K2" s="13" t="s">
        <v>8</v>
      </c>
      <c r="L2" s="13" t="s">
        <v>1</v>
      </c>
      <c r="M2" s="13" t="s">
        <v>3</v>
      </c>
      <c r="N2" s="13" t="s">
        <v>2</v>
      </c>
      <c r="O2" s="13" t="s">
        <v>33</v>
      </c>
      <c r="P2" s="13" t="s">
        <v>34</v>
      </c>
      <c r="Q2" s="13" t="s">
        <v>64</v>
      </c>
      <c r="R2" s="13" t="s">
        <v>35</v>
      </c>
      <c r="S2" s="13" t="s">
        <v>65</v>
      </c>
      <c r="T2" s="13" t="s">
        <v>16</v>
      </c>
      <c r="U2" s="13" t="s">
        <v>36</v>
      </c>
      <c r="V2" s="13" t="s">
        <v>37</v>
      </c>
      <c r="W2" s="13" t="s">
        <v>38</v>
      </c>
      <c r="X2" s="13" t="s">
        <v>39</v>
      </c>
      <c r="Y2" s="13" t="s">
        <v>40</v>
      </c>
      <c r="Z2" s="13" t="s">
        <v>41</v>
      </c>
      <c r="AA2" s="13" t="s">
        <v>42</v>
      </c>
      <c r="AB2" s="13" t="s">
        <v>43</v>
      </c>
      <c r="AC2" s="13" t="s">
        <v>44</v>
      </c>
      <c r="AD2" s="13" t="s">
        <v>45</v>
      </c>
      <c r="AE2" s="13" t="s">
        <v>46</v>
      </c>
      <c r="AF2" s="13" t="s">
        <v>47</v>
      </c>
      <c r="AG2" s="13" t="s">
        <v>48</v>
      </c>
      <c r="AH2" s="13" t="s">
        <v>49</v>
      </c>
      <c r="AI2" s="13" t="s">
        <v>50</v>
      </c>
      <c r="AJ2" s="13" t="s">
        <v>51</v>
      </c>
      <c r="AK2" s="13" t="s">
        <v>52</v>
      </c>
      <c r="AL2" s="13" t="s">
        <v>53</v>
      </c>
      <c r="AM2" s="13" t="s">
        <v>54</v>
      </c>
      <c r="AN2" s="13" t="s">
        <v>76</v>
      </c>
      <c r="AO2" s="13" t="s">
        <v>55</v>
      </c>
      <c r="AP2" s="13" t="s">
        <v>56</v>
      </c>
      <c r="AQ2" s="13" t="s">
        <v>75</v>
      </c>
      <c r="AR2" s="37" t="s">
        <v>88</v>
      </c>
      <c r="AS2" s="13" t="s">
        <v>57</v>
      </c>
      <c r="AT2" s="37" t="s">
        <v>89</v>
      </c>
      <c r="AU2" s="13" t="s">
        <v>58</v>
      </c>
      <c r="AV2" s="13" t="s">
        <v>59</v>
      </c>
      <c r="AW2" s="13" t="s">
        <v>60</v>
      </c>
      <c r="AX2" s="13" t="s">
        <v>61</v>
      </c>
      <c r="AY2" s="13" t="s">
        <v>62</v>
      </c>
      <c r="AZ2" s="13" t="s">
        <v>63</v>
      </c>
    </row>
    <row r="3" spans="2:52" ht="15" customHeight="1">
      <c r="B3" s="39" t="s">
        <v>105</v>
      </c>
      <c r="C3" s="39" t="s">
        <v>108</v>
      </c>
      <c r="D3" s="34"/>
      <c r="E3" s="39" t="s">
        <v>123</v>
      </c>
      <c r="F3" s="39" t="s">
        <v>110</v>
      </c>
      <c r="G3" s="39">
        <v>11</v>
      </c>
      <c r="H3" s="48">
        <v>43553</v>
      </c>
      <c r="I3" s="39" t="s">
        <v>109</v>
      </c>
      <c r="J3" s="39" t="s">
        <v>111</v>
      </c>
      <c r="K3" s="39" t="s">
        <v>112</v>
      </c>
      <c r="L3" s="39">
        <v>741448</v>
      </c>
      <c r="M3" s="39">
        <v>1132399979</v>
      </c>
      <c r="N3" s="39">
        <v>15239399</v>
      </c>
      <c r="O3" s="39"/>
      <c r="P3" s="48">
        <v>43313</v>
      </c>
      <c r="Q3" s="48"/>
      <c r="R3" s="39" t="s">
        <v>113</v>
      </c>
      <c r="S3" s="39" t="s">
        <v>115</v>
      </c>
      <c r="T3" s="39" t="s">
        <v>116</v>
      </c>
      <c r="U3" s="39" t="s">
        <v>114</v>
      </c>
      <c r="V3" s="39" t="s">
        <v>82</v>
      </c>
      <c r="W3" s="39" t="s">
        <v>82</v>
      </c>
      <c r="X3" s="39" t="s">
        <v>82</v>
      </c>
      <c r="Y3" s="39"/>
      <c r="Z3" s="39"/>
      <c r="AA3" s="42" t="s">
        <v>117</v>
      </c>
      <c r="AB3" s="49" t="s">
        <v>118</v>
      </c>
      <c r="AC3" s="42"/>
      <c r="AD3" s="34"/>
      <c r="AE3" s="42" t="s">
        <v>121</v>
      </c>
      <c r="AF3" s="49"/>
      <c r="AG3" s="34"/>
      <c r="AH3" s="39"/>
      <c r="AI3" s="39"/>
      <c r="AJ3" s="42"/>
      <c r="AK3" s="39"/>
      <c r="AL3" s="39"/>
      <c r="AM3" s="39"/>
      <c r="AN3" s="39"/>
      <c r="AO3" s="39"/>
      <c r="AP3" s="42"/>
      <c r="AQ3" s="39"/>
      <c r="AR3" s="39"/>
      <c r="AS3" s="39" t="s">
        <v>119</v>
      </c>
      <c r="AT3" s="39"/>
      <c r="AU3" s="39" t="s">
        <v>120</v>
      </c>
      <c r="AV3" s="39"/>
      <c r="AW3" s="42" t="s">
        <v>122</v>
      </c>
      <c r="AX3" s="39"/>
      <c r="AY3" s="42"/>
      <c r="AZ3" s="42"/>
    </row>
    <row r="4" spans="2:52" ht="15" customHeight="1">
      <c r="B4" s="39" t="s">
        <v>105</v>
      </c>
      <c r="C4" s="39" t="s">
        <v>124</v>
      </c>
      <c r="D4" s="34"/>
      <c r="E4" s="39" t="s">
        <v>134</v>
      </c>
      <c r="F4" s="39" t="s">
        <v>126</v>
      </c>
      <c r="G4" s="39">
        <v>22</v>
      </c>
      <c r="H4" s="48">
        <v>43509</v>
      </c>
      <c r="I4" s="39" t="s">
        <v>125</v>
      </c>
      <c r="J4" s="39" t="s">
        <v>127</v>
      </c>
      <c r="K4" s="39" t="s">
        <v>128</v>
      </c>
      <c r="L4" s="39">
        <v>341818</v>
      </c>
      <c r="M4" s="39">
        <v>6751423951</v>
      </c>
      <c r="N4" s="39">
        <v>121073028</v>
      </c>
      <c r="O4" s="39" t="s">
        <v>129</v>
      </c>
      <c r="P4" s="48">
        <v>40134</v>
      </c>
      <c r="Q4" s="39"/>
      <c r="R4" s="39" t="s">
        <v>113</v>
      </c>
      <c r="S4" s="39" t="s">
        <v>115</v>
      </c>
      <c r="T4" s="39" t="s">
        <v>116</v>
      </c>
      <c r="U4" s="39" t="s">
        <v>114</v>
      </c>
      <c r="V4" s="39" t="s">
        <v>82</v>
      </c>
      <c r="W4" s="39" t="s">
        <v>82</v>
      </c>
      <c r="X4" s="39" t="s">
        <v>82</v>
      </c>
      <c r="Y4" s="39"/>
      <c r="Z4" s="39"/>
      <c r="AA4" s="42" t="s">
        <v>130</v>
      </c>
      <c r="AB4" s="49" t="s">
        <v>131</v>
      </c>
      <c r="AC4" s="39"/>
      <c r="AD4" s="34"/>
      <c r="AE4" s="42" t="s">
        <v>132</v>
      </c>
      <c r="AF4" s="34"/>
      <c r="AG4" s="34"/>
      <c r="AH4" s="39"/>
      <c r="AI4" s="39"/>
      <c r="AJ4" s="39"/>
      <c r="AK4" s="39"/>
      <c r="AL4" s="39"/>
      <c r="AM4" s="39"/>
      <c r="AN4" s="39"/>
      <c r="AO4" s="39"/>
      <c r="AP4" s="39"/>
      <c r="AQ4" s="39"/>
      <c r="AR4" s="39"/>
      <c r="AS4" s="39"/>
      <c r="AT4" s="39"/>
      <c r="AU4" s="39" t="s">
        <v>120</v>
      </c>
      <c r="AV4" s="39"/>
      <c r="AW4" s="42" t="s">
        <v>133</v>
      </c>
      <c r="AX4" s="39"/>
      <c r="AY4" s="39"/>
      <c r="AZ4" s="39"/>
    </row>
    <row r="5" spans="2:52" ht="15" customHeight="1">
      <c r="B5" s="39">
        <v>341818</v>
      </c>
      <c r="C5" s="39" t="s">
        <v>135</v>
      </c>
      <c r="D5" s="34"/>
      <c r="E5" s="39" t="s">
        <v>134</v>
      </c>
      <c r="F5" s="39" t="s">
        <v>126</v>
      </c>
      <c r="G5" s="39">
        <v>22</v>
      </c>
      <c r="H5" s="48">
        <v>43509</v>
      </c>
      <c r="I5" s="39" t="s">
        <v>136</v>
      </c>
      <c r="J5" s="39" t="s">
        <v>127</v>
      </c>
      <c r="K5" s="39" t="s">
        <v>128</v>
      </c>
      <c r="L5" s="39">
        <v>341818</v>
      </c>
      <c r="M5" s="39">
        <v>6751423951</v>
      </c>
      <c r="N5" s="39">
        <v>121073028</v>
      </c>
      <c r="O5" s="39" t="s">
        <v>129</v>
      </c>
      <c r="P5" s="48">
        <v>40134</v>
      </c>
      <c r="Q5" s="39"/>
      <c r="R5" s="39" t="s">
        <v>113</v>
      </c>
      <c r="S5" s="39" t="s">
        <v>115</v>
      </c>
      <c r="T5" s="39" t="s">
        <v>116</v>
      </c>
      <c r="U5" s="39" t="s">
        <v>114</v>
      </c>
      <c r="V5" s="39" t="s">
        <v>82</v>
      </c>
      <c r="W5" s="39" t="s">
        <v>82</v>
      </c>
      <c r="X5" s="39" t="s">
        <v>82</v>
      </c>
      <c r="Y5" s="39"/>
      <c r="Z5" s="39"/>
      <c r="AA5" s="42" t="s">
        <v>130</v>
      </c>
      <c r="AB5" s="49" t="s">
        <v>131</v>
      </c>
      <c r="AC5" s="39"/>
      <c r="AD5" s="34"/>
      <c r="AE5" s="42" t="s">
        <v>132</v>
      </c>
      <c r="AF5" s="34"/>
      <c r="AG5" s="34"/>
      <c r="AH5" s="39"/>
      <c r="AI5" s="39"/>
      <c r="AJ5" s="39"/>
      <c r="AK5" s="39"/>
      <c r="AL5" s="39"/>
      <c r="AM5" s="39"/>
      <c r="AN5" s="39"/>
      <c r="AO5" s="39"/>
      <c r="AP5" s="39"/>
      <c r="AQ5" s="39"/>
      <c r="AR5" s="39"/>
      <c r="AS5" s="39"/>
      <c r="AT5" s="39"/>
      <c r="AU5" s="39" t="s">
        <v>120</v>
      </c>
      <c r="AV5" s="39"/>
      <c r="AW5" s="42" t="s">
        <v>133</v>
      </c>
      <c r="AX5" s="39"/>
      <c r="AY5" s="39"/>
      <c r="AZ5" s="39"/>
    </row>
    <row r="6" spans="2:52" ht="15" customHeight="1">
      <c r="B6" s="39">
        <v>121073028</v>
      </c>
      <c r="C6" s="39" t="s">
        <v>135</v>
      </c>
      <c r="D6" s="34"/>
      <c r="E6" s="39" t="s">
        <v>134</v>
      </c>
      <c r="F6" s="39" t="s">
        <v>126</v>
      </c>
      <c r="G6" s="39">
        <v>22</v>
      </c>
      <c r="H6" s="48">
        <v>43509</v>
      </c>
      <c r="I6" s="39" t="s">
        <v>137</v>
      </c>
      <c r="J6" s="39" t="s">
        <v>127</v>
      </c>
      <c r="K6" s="39" t="s">
        <v>128</v>
      </c>
      <c r="L6" s="39">
        <v>341818</v>
      </c>
      <c r="M6" s="39">
        <v>6751423951</v>
      </c>
      <c r="N6" s="39">
        <v>121073028</v>
      </c>
      <c r="O6" s="39" t="s">
        <v>129</v>
      </c>
      <c r="P6" s="48">
        <v>40134</v>
      </c>
      <c r="Q6" s="39"/>
      <c r="R6" s="39" t="s">
        <v>113</v>
      </c>
      <c r="S6" s="39" t="s">
        <v>115</v>
      </c>
      <c r="T6" s="39" t="s">
        <v>116</v>
      </c>
      <c r="U6" s="39" t="s">
        <v>114</v>
      </c>
      <c r="V6" s="39" t="s">
        <v>82</v>
      </c>
      <c r="W6" s="39" t="s">
        <v>82</v>
      </c>
      <c r="X6" s="39" t="s">
        <v>82</v>
      </c>
      <c r="Y6" s="39"/>
      <c r="Z6" s="39"/>
      <c r="AA6" s="42" t="s">
        <v>130</v>
      </c>
      <c r="AB6" s="49" t="s">
        <v>131</v>
      </c>
      <c r="AC6" s="39"/>
      <c r="AD6" s="34"/>
      <c r="AE6" s="42" t="s">
        <v>132</v>
      </c>
      <c r="AF6" s="34"/>
      <c r="AG6" s="34"/>
      <c r="AH6" s="39"/>
      <c r="AI6" s="39"/>
      <c r="AJ6" s="39"/>
      <c r="AK6" s="39"/>
      <c r="AL6" s="39"/>
      <c r="AM6" s="39"/>
      <c r="AN6" s="39"/>
      <c r="AO6" s="39"/>
      <c r="AP6" s="39"/>
      <c r="AQ6" s="39"/>
      <c r="AR6" s="39"/>
      <c r="AS6" s="39"/>
      <c r="AT6" s="39"/>
      <c r="AU6" s="39" t="s">
        <v>120</v>
      </c>
      <c r="AV6" s="39"/>
      <c r="AW6" s="42" t="s">
        <v>133</v>
      </c>
      <c r="AX6" s="39"/>
      <c r="AY6" s="39"/>
      <c r="AZ6" s="39"/>
    </row>
    <row r="7" spans="2:52" ht="15" customHeight="1">
      <c r="B7" s="39">
        <v>6751423951</v>
      </c>
      <c r="C7" s="39" t="s">
        <v>135</v>
      </c>
      <c r="D7" s="34"/>
      <c r="E7" s="39" t="s">
        <v>134</v>
      </c>
      <c r="F7" s="39" t="s">
        <v>126</v>
      </c>
      <c r="G7" s="39">
        <v>22</v>
      </c>
      <c r="H7" s="48">
        <v>43509</v>
      </c>
      <c r="I7" s="39" t="s">
        <v>138</v>
      </c>
      <c r="J7" s="39" t="s">
        <v>127</v>
      </c>
      <c r="K7" s="39" t="s">
        <v>128</v>
      </c>
      <c r="L7" s="39">
        <v>341818</v>
      </c>
      <c r="M7" s="39">
        <v>6751423951</v>
      </c>
      <c r="N7" s="39">
        <v>121073028</v>
      </c>
      <c r="O7" s="39" t="s">
        <v>129</v>
      </c>
      <c r="P7" s="48">
        <v>40134</v>
      </c>
      <c r="Q7" s="39"/>
      <c r="R7" s="39" t="s">
        <v>113</v>
      </c>
      <c r="S7" s="39" t="s">
        <v>115</v>
      </c>
      <c r="T7" s="39" t="s">
        <v>116</v>
      </c>
      <c r="U7" s="39" t="s">
        <v>114</v>
      </c>
      <c r="V7" s="39" t="s">
        <v>82</v>
      </c>
      <c r="W7" s="39" t="s">
        <v>82</v>
      </c>
      <c r="X7" s="39" t="s">
        <v>82</v>
      </c>
      <c r="Y7" s="39"/>
      <c r="Z7" s="39"/>
      <c r="AA7" s="42" t="s">
        <v>130</v>
      </c>
      <c r="AB7" s="49" t="s">
        <v>131</v>
      </c>
      <c r="AC7" s="39"/>
      <c r="AD7" s="34"/>
      <c r="AE7" s="42" t="s">
        <v>132</v>
      </c>
      <c r="AF7" s="34"/>
      <c r="AG7" s="34"/>
      <c r="AH7" s="39"/>
      <c r="AI7" s="39"/>
      <c r="AJ7" s="39"/>
      <c r="AK7" s="39"/>
      <c r="AL7" s="39"/>
      <c r="AM7" s="39"/>
      <c r="AN7" s="39"/>
      <c r="AO7" s="39"/>
      <c r="AP7" s="39"/>
      <c r="AQ7" s="39"/>
      <c r="AR7" s="39"/>
      <c r="AS7" s="39"/>
      <c r="AT7" s="39"/>
      <c r="AU7" s="39" t="s">
        <v>120</v>
      </c>
      <c r="AV7" s="39"/>
      <c r="AW7" s="42" t="s">
        <v>133</v>
      </c>
      <c r="AX7" s="39"/>
      <c r="AY7" s="39"/>
      <c r="AZ7" s="39"/>
    </row>
    <row r="8" spans="2:52" ht="15" customHeight="1">
      <c r="B8" s="39">
        <v>67113000752</v>
      </c>
      <c r="C8" s="39" t="s">
        <v>139</v>
      </c>
      <c r="D8" s="34"/>
      <c r="E8" s="39" t="s">
        <v>155</v>
      </c>
      <c r="F8" s="39" t="s">
        <v>141</v>
      </c>
      <c r="G8" s="39">
        <v>77</v>
      </c>
      <c r="H8" s="48">
        <v>43382</v>
      </c>
      <c r="I8" s="39" t="s">
        <v>140</v>
      </c>
      <c r="J8" s="39" t="s">
        <v>142</v>
      </c>
      <c r="K8" s="39" t="s">
        <v>128</v>
      </c>
      <c r="L8" s="39">
        <v>120338</v>
      </c>
      <c r="M8" s="39">
        <v>1132399979</v>
      </c>
      <c r="N8" s="39">
        <v>15239399</v>
      </c>
      <c r="O8" s="39" t="s">
        <v>143</v>
      </c>
      <c r="P8" s="48">
        <v>37433</v>
      </c>
      <c r="Q8" s="39"/>
      <c r="R8" s="39" t="s">
        <v>144</v>
      </c>
      <c r="S8" s="39" t="s">
        <v>145</v>
      </c>
      <c r="T8" s="39" t="s">
        <v>146</v>
      </c>
      <c r="U8" s="39" t="s">
        <v>114</v>
      </c>
      <c r="V8" s="39" t="s">
        <v>82</v>
      </c>
      <c r="W8" s="39" t="s">
        <v>82</v>
      </c>
      <c r="X8" s="39" t="s">
        <v>82</v>
      </c>
      <c r="Y8" s="39"/>
      <c r="Z8" s="39"/>
      <c r="AA8" s="42" t="s">
        <v>147</v>
      </c>
      <c r="AB8" s="49" t="s">
        <v>148</v>
      </c>
      <c r="AC8" s="39"/>
      <c r="AD8" s="34"/>
      <c r="AE8" s="42" t="s">
        <v>151</v>
      </c>
      <c r="AF8" s="34"/>
      <c r="AG8" s="34"/>
      <c r="AH8" s="39"/>
      <c r="AI8" s="39"/>
      <c r="AJ8" s="42" t="s">
        <v>150</v>
      </c>
      <c r="AK8" s="39"/>
      <c r="AL8" s="39"/>
      <c r="AM8" s="39"/>
      <c r="AN8" s="39"/>
      <c r="AO8" s="39"/>
      <c r="AP8" s="39"/>
      <c r="AQ8" s="39"/>
      <c r="AR8" s="39"/>
      <c r="AS8" s="39"/>
      <c r="AT8" s="39"/>
      <c r="AU8" s="39" t="s">
        <v>120</v>
      </c>
      <c r="AV8" s="39" t="s">
        <v>149</v>
      </c>
      <c r="AW8" s="42" t="s">
        <v>152</v>
      </c>
      <c r="AX8" s="39"/>
      <c r="AY8" s="42" t="s">
        <v>153</v>
      </c>
      <c r="AZ8" s="42" t="s">
        <v>154</v>
      </c>
    </row>
    <row r="9" spans="2:52" ht="15" customHeight="1">
      <c r="B9" s="39">
        <v>67113000752</v>
      </c>
      <c r="C9" s="39" t="s">
        <v>156</v>
      </c>
      <c r="D9" s="34"/>
      <c r="E9" s="39" t="s">
        <v>123</v>
      </c>
      <c r="F9" s="39" t="s">
        <v>110</v>
      </c>
      <c r="G9" s="39">
        <v>11</v>
      </c>
      <c r="H9" s="48">
        <v>43553</v>
      </c>
      <c r="I9" s="39" t="s">
        <v>157</v>
      </c>
      <c r="J9" s="39" t="s">
        <v>111</v>
      </c>
      <c r="K9" s="39" t="s">
        <v>112</v>
      </c>
      <c r="L9" s="39">
        <v>741448</v>
      </c>
      <c r="M9" s="39">
        <v>1132399979</v>
      </c>
      <c r="N9" s="39">
        <v>15239399</v>
      </c>
      <c r="O9" s="39"/>
      <c r="P9" s="48">
        <v>43313</v>
      </c>
      <c r="Q9" s="39"/>
      <c r="R9" s="39" t="s">
        <v>113</v>
      </c>
      <c r="S9" s="39" t="s">
        <v>115</v>
      </c>
      <c r="T9" s="39" t="s">
        <v>116</v>
      </c>
      <c r="U9" s="39" t="s">
        <v>114</v>
      </c>
      <c r="V9" s="39" t="s">
        <v>82</v>
      </c>
      <c r="W9" s="39" t="s">
        <v>82</v>
      </c>
      <c r="X9" s="39" t="s">
        <v>82</v>
      </c>
      <c r="Y9" s="39"/>
      <c r="Z9" s="39"/>
      <c r="AA9" s="42" t="s">
        <v>117</v>
      </c>
      <c r="AB9" s="49" t="s">
        <v>118</v>
      </c>
      <c r="AC9" s="39"/>
      <c r="AD9" s="34"/>
      <c r="AE9" s="42" t="s">
        <v>121</v>
      </c>
      <c r="AF9" s="34"/>
      <c r="AG9" s="34"/>
      <c r="AH9" s="39"/>
      <c r="AI9" s="39"/>
      <c r="AJ9" s="39"/>
      <c r="AK9" s="39"/>
      <c r="AL9" s="39"/>
      <c r="AM9" s="39"/>
      <c r="AN9" s="39"/>
      <c r="AO9" s="39"/>
      <c r="AP9" s="39"/>
      <c r="AQ9" s="39"/>
      <c r="AR9" s="39"/>
      <c r="AS9" s="39" t="s">
        <v>119</v>
      </c>
      <c r="AT9" s="39"/>
      <c r="AU9" s="39" t="s">
        <v>120</v>
      </c>
      <c r="AV9" s="39"/>
      <c r="AW9" s="42" t="s">
        <v>122</v>
      </c>
      <c r="AX9" s="39"/>
      <c r="AY9" s="39"/>
      <c r="AZ9" s="39"/>
    </row>
    <row r="10" spans="2:52" ht="15" customHeight="1">
      <c r="B10" s="39">
        <v>67113000752</v>
      </c>
      <c r="C10" s="39" t="s">
        <v>158</v>
      </c>
      <c r="D10" s="34"/>
      <c r="E10" s="39" t="s">
        <v>134</v>
      </c>
      <c r="F10" s="39" t="s">
        <v>126</v>
      </c>
      <c r="G10" s="39">
        <v>22</v>
      </c>
      <c r="H10" s="48">
        <v>43509</v>
      </c>
      <c r="I10" s="39" t="s">
        <v>159</v>
      </c>
      <c r="J10" s="39" t="s">
        <v>127</v>
      </c>
      <c r="K10" s="39" t="s">
        <v>128</v>
      </c>
      <c r="L10" s="39">
        <v>341818</v>
      </c>
      <c r="M10" s="39">
        <v>6751423951</v>
      </c>
      <c r="N10" s="39">
        <v>121073028</v>
      </c>
      <c r="O10" s="39" t="s">
        <v>129</v>
      </c>
      <c r="P10" s="48">
        <v>40134</v>
      </c>
      <c r="Q10" s="39"/>
      <c r="R10" s="39" t="s">
        <v>113</v>
      </c>
      <c r="S10" s="39" t="s">
        <v>115</v>
      </c>
      <c r="T10" s="39" t="s">
        <v>116</v>
      </c>
      <c r="U10" s="39" t="s">
        <v>114</v>
      </c>
      <c r="V10" s="39" t="s">
        <v>82</v>
      </c>
      <c r="W10" s="39" t="s">
        <v>82</v>
      </c>
      <c r="X10" s="39" t="s">
        <v>82</v>
      </c>
      <c r="Y10" s="39"/>
      <c r="Z10" s="39"/>
      <c r="AA10" s="42" t="s">
        <v>130</v>
      </c>
      <c r="AB10" s="49" t="s">
        <v>131</v>
      </c>
      <c r="AC10" s="39"/>
      <c r="AD10" s="34"/>
      <c r="AE10" s="42" t="s">
        <v>132</v>
      </c>
      <c r="AF10" s="34"/>
      <c r="AG10" s="34"/>
      <c r="AH10" s="39"/>
      <c r="AI10" s="39"/>
      <c r="AJ10" s="39"/>
      <c r="AK10" s="39"/>
      <c r="AL10" s="39"/>
      <c r="AM10" s="39"/>
      <c r="AN10" s="39"/>
      <c r="AO10" s="39"/>
      <c r="AP10" s="39"/>
      <c r="AQ10" s="39"/>
      <c r="AR10" s="39"/>
      <c r="AS10" s="39"/>
      <c r="AT10" s="39"/>
      <c r="AU10" s="39" t="s">
        <v>120</v>
      </c>
      <c r="AV10" s="39"/>
      <c r="AW10" s="42" t="s">
        <v>133</v>
      </c>
      <c r="AX10" s="39"/>
      <c r="AY10" s="39"/>
      <c r="AZ10" s="39"/>
    </row>
    <row r="11" spans="2:52" ht="15" customHeight="1">
      <c r="B11" s="39">
        <v>67113000752</v>
      </c>
      <c r="C11" s="39" t="s">
        <v>160</v>
      </c>
      <c r="D11" s="34"/>
      <c r="E11" s="39" t="s">
        <v>173</v>
      </c>
      <c r="F11" s="39" t="s">
        <v>162</v>
      </c>
      <c r="G11" s="39">
        <v>80</v>
      </c>
      <c r="H11" s="48">
        <v>43399</v>
      </c>
      <c r="I11" s="39" t="s">
        <v>161</v>
      </c>
      <c r="J11" s="39" t="s">
        <v>163</v>
      </c>
      <c r="K11" s="39" t="s">
        <v>128</v>
      </c>
      <c r="L11" s="39">
        <v>44655</v>
      </c>
      <c r="M11" s="39">
        <v>5260210228</v>
      </c>
      <c r="N11" s="39">
        <v>12500673</v>
      </c>
      <c r="O11" s="39" t="s">
        <v>164</v>
      </c>
      <c r="P11" s="48">
        <v>37208</v>
      </c>
      <c r="Q11" s="39"/>
      <c r="R11" s="39" t="s">
        <v>144</v>
      </c>
      <c r="S11" s="39" t="s">
        <v>145</v>
      </c>
      <c r="T11" s="39" t="s">
        <v>146</v>
      </c>
      <c r="U11" s="39" t="s">
        <v>114</v>
      </c>
      <c r="V11" s="39" t="s">
        <v>82</v>
      </c>
      <c r="W11" s="39" t="s">
        <v>82</v>
      </c>
      <c r="X11" s="39" t="s">
        <v>82</v>
      </c>
      <c r="Y11" s="39"/>
      <c r="Z11" s="39"/>
      <c r="AA11" s="42" t="s">
        <v>165</v>
      </c>
      <c r="AB11" s="49" t="s">
        <v>166</v>
      </c>
      <c r="AC11" s="42" t="s">
        <v>167</v>
      </c>
      <c r="AD11" s="34"/>
      <c r="AE11" s="42" t="s">
        <v>170</v>
      </c>
      <c r="AF11" s="34"/>
      <c r="AG11" s="34"/>
      <c r="AH11" s="39"/>
      <c r="AI11" s="39" t="s">
        <v>168</v>
      </c>
      <c r="AJ11" s="42" t="s">
        <v>169</v>
      </c>
      <c r="AK11" s="39"/>
      <c r="AL11" s="39"/>
      <c r="AM11" s="39"/>
      <c r="AN11" s="39"/>
      <c r="AO11" s="39"/>
      <c r="AP11" s="39"/>
      <c r="AQ11" s="39"/>
      <c r="AR11" s="39"/>
      <c r="AS11" s="39"/>
      <c r="AT11" s="39"/>
      <c r="AU11" s="39" t="s">
        <v>120</v>
      </c>
      <c r="AV11" s="39" t="s">
        <v>149</v>
      </c>
      <c r="AW11" s="42" t="s">
        <v>152</v>
      </c>
      <c r="AX11" s="39"/>
      <c r="AY11" s="42" t="s">
        <v>171</v>
      </c>
      <c r="AZ11" s="42" t="s">
        <v>172</v>
      </c>
    </row>
    <row r="12" spans="2:52" ht="15" customHeight="1">
      <c r="B12" s="39">
        <v>67113000752</v>
      </c>
      <c r="C12" s="39" t="s">
        <v>174</v>
      </c>
      <c r="D12" s="34"/>
      <c r="E12" s="39" t="s">
        <v>123</v>
      </c>
      <c r="F12" s="39" t="s">
        <v>176</v>
      </c>
      <c r="G12" s="39">
        <v>27</v>
      </c>
      <c r="H12" s="48">
        <v>43504</v>
      </c>
      <c r="I12" s="39" t="s">
        <v>175</v>
      </c>
      <c r="J12" s="39" t="s">
        <v>177</v>
      </c>
      <c r="K12" s="39" t="s">
        <v>128</v>
      </c>
      <c r="L12" s="39">
        <v>320947</v>
      </c>
      <c r="M12" s="39">
        <v>7010168638</v>
      </c>
      <c r="N12" s="39">
        <v>141702974</v>
      </c>
      <c r="O12" s="39" t="s">
        <v>178</v>
      </c>
      <c r="P12" s="48">
        <v>39820</v>
      </c>
      <c r="Q12" s="39"/>
      <c r="R12" s="39" t="s">
        <v>113</v>
      </c>
      <c r="S12" s="39" t="s">
        <v>115</v>
      </c>
      <c r="T12" s="39" t="s">
        <v>116</v>
      </c>
      <c r="U12" s="39" t="s">
        <v>114</v>
      </c>
      <c r="V12" s="39" t="s">
        <v>82</v>
      </c>
      <c r="W12" s="39" t="s">
        <v>82</v>
      </c>
      <c r="X12" s="39" t="s">
        <v>82</v>
      </c>
      <c r="Y12" s="39"/>
      <c r="Z12" s="39"/>
      <c r="AA12" s="42" t="s">
        <v>179</v>
      </c>
      <c r="AB12" s="49" t="s">
        <v>180</v>
      </c>
      <c r="AC12" s="39"/>
      <c r="AD12" s="34"/>
      <c r="AE12" s="42" t="s">
        <v>181</v>
      </c>
      <c r="AF12" s="34"/>
      <c r="AG12" s="34"/>
      <c r="AH12" s="39"/>
      <c r="AI12" s="39"/>
      <c r="AJ12" s="39"/>
      <c r="AK12" s="39"/>
      <c r="AL12" s="39"/>
      <c r="AM12" s="39"/>
      <c r="AN12" s="39"/>
      <c r="AO12" s="39"/>
      <c r="AP12" s="39"/>
      <c r="AQ12" s="39"/>
      <c r="AR12" s="39"/>
      <c r="AS12" s="39"/>
      <c r="AT12" s="39"/>
      <c r="AU12" s="39" t="s">
        <v>120</v>
      </c>
      <c r="AV12" s="39"/>
      <c r="AW12" s="42" t="s">
        <v>182</v>
      </c>
      <c r="AX12" s="39"/>
      <c r="AY12" s="42" t="s">
        <v>183</v>
      </c>
      <c r="AZ12" s="39"/>
    </row>
    <row r="13" spans="2:52" ht="15" customHeight="1">
      <c r="B13" s="39">
        <v>67113000752</v>
      </c>
      <c r="C13" s="39" t="s">
        <v>184</v>
      </c>
      <c r="D13" s="34"/>
      <c r="E13" s="39" t="s">
        <v>197</v>
      </c>
      <c r="F13" s="39" t="s">
        <v>186</v>
      </c>
      <c r="G13" s="39">
        <v>11</v>
      </c>
      <c r="H13" s="48">
        <v>42465</v>
      </c>
      <c r="I13" s="39" t="s">
        <v>185</v>
      </c>
      <c r="J13" s="39" t="s">
        <v>187</v>
      </c>
      <c r="K13" s="39" t="s">
        <v>128</v>
      </c>
      <c r="L13" s="39">
        <v>370993</v>
      </c>
      <c r="M13" s="39">
        <v>7010268475</v>
      </c>
      <c r="N13" s="39">
        <v>142694478</v>
      </c>
      <c r="O13" s="39" t="s">
        <v>129</v>
      </c>
      <c r="P13" s="48">
        <v>40504</v>
      </c>
      <c r="Q13" s="48">
        <v>42483</v>
      </c>
      <c r="R13" s="39" t="s">
        <v>188</v>
      </c>
      <c r="S13" s="39" t="s">
        <v>189</v>
      </c>
      <c r="T13" s="39" t="s">
        <v>146</v>
      </c>
      <c r="U13" s="39" t="s">
        <v>114</v>
      </c>
      <c r="V13" s="39" t="s">
        <v>82</v>
      </c>
      <c r="W13" s="39" t="s">
        <v>82</v>
      </c>
      <c r="X13" s="39" t="s">
        <v>82</v>
      </c>
      <c r="Y13" s="39"/>
      <c r="Z13" s="39"/>
      <c r="AA13" s="42" t="s">
        <v>190</v>
      </c>
      <c r="AB13" s="49" t="s">
        <v>191</v>
      </c>
      <c r="AC13" s="42" t="s">
        <v>192</v>
      </c>
      <c r="AD13" s="34"/>
      <c r="AE13" s="42" t="s">
        <v>193</v>
      </c>
      <c r="AF13" s="34"/>
      <c r="AG13" s="34"/>
      <c r="AH13" s="39"/>
      <c r="AI13" s="39"/>
      <c r="AJ13" s="39"/>
      <c r="AK13" s="39"/>
      <c r="AL13" s="39"/>
      <c r="AM13" s="39"/>
      <c r="AN13" s="39"/>
      <c r="AO13" s="39"/>
      <c r="AP13" s="39"/>
      <c r="AQ13" s="39"/>
      <c r="AR13" s="39"/>
      <c r="AS13" s="39"/>
      <c r="AT13" s="39"/>
      <c r="AU13" s="39" t="s">
        <v>120</v>
      </c>
      <c r="AV13" s="39"/>
      <c r="AW13" s="42" t="s">
        <v>194</v>
      </c>
      <c r="AX13" s="39"/>
      <c r="AY13" s="42" t="s">
        <v>195</v>
      </c>
      <c r="AZ13" s="42" t="s">
        <v>196</v>
      </c>
    </row>
    <row r="14" spans="2:52" ht="15" customHeight="1">
      <c r="B14" s="39">
        <v>67113000752</v>
      </c>
      <c r="C14" s="39" t="s">
        <v>198</v>
      </c>
      <c r="D14" s="34"/>
      <c r="E14" s="39" t="s">
        <v>134</v>
      </c>
      <c r="F14" s="39" t="s">
        <v>200</v>
      </c>
      <c r="G14" s="39">
        <v>39</v>
      </c>
      <c r="H14" s="48">
        <v>43557</v>
      </c>
      <c r="I14" s="39" t="s">
        <v>199</v>
      </c>
      <c r="J14" s="39" t="s">
        <v>201</v>
      </c>
      <c r="K14" s="39" t="s">
        <v>112</v>
      </c>
      <c r="L14" s="39">
        <v>270501</v>
      </c>
      <c r="M14" s="39">
        <v>7010051646</v>
      </c>
      <c r="N14" s="39">
        <v>140816658</v>
      </c>
      <c r="O14" s="39"/>
      <c r="P14" s="48">
        <v>39072</v>
      </c>
      <c r="Q14" s="39"/>
      <c r="R14" s="39" t="s">
        <v>113</v>
      </c>
      <c r="S14" s="39" t="s">
        <v>115</v>
      </c>
      <c r="T14" s="39" t="s">
        <v>116</v>
      </c>
      <c r="U14" s="39" t="s">
        <v>114</v>
      </c>
      <c r="V14" s="39" t="s">
        <v>82</v>
      </c>
      <c r="W14" s="39" t="s">
        <v>82</v>
      </c>
      <c r="X14" s="39" t="s">
        <v>82</v>
      </c>
      <c r="Y14" s="39"/>
      <c r="Z14" s="39"/>
      <c r="AA14" s="42" t="s">
        <v>202</v>
      </c>
      <c r="AB14" s="49" t="s">
        <v>203</v>
      </c>
      <c r="AC14" s="39"/>
      <c r="AD14" s="34"/>
      <c r="AE14" s="42" t="s">
        <v>204</v>
      </c>
      <c r="AF14" s="34"/>
      <c r="AG14" s="34"/>
      <c r="AH14" s="39"/>
      <c r="AI14" s="39"/>
      <c r="AJ14" s="39"/>
      <c r="AK14" s="39"/>
      <c r="AL14" s="39"/>
      <c r="AM14" s="39"/>
      <c r="AN14" s="39"/>
      <c r="AO14" s="39"/>
      <c r="AP14" s="39"/>
      <c r="AQ14" s="39"/>
      <c r="AR14" s="39"/>
      <c r="AS14" s="39"/>
      <c r="AT14" s="39"/>
      <c r="AU14" s="39" t="s">
        <v>120</v>
      </c>
      <c r="AV14" s="39"/>
      <c r="AW14" s="42" t="s">
        <v>205</v>
      </c>
      <c r="AX14" s="39"/>
      <c r="AY14" s="39"/>
      <c r="AZ14" s="39"/>
    </row>
    <row r="15" spans="2:52" ht="15" customHeight="1">
      <c r="B15" s="39">
        <v>67113000752</v>
      </c>
      <c r="C15" s="39" t="s">
        <v>206</v>
      </c>
      <c r="D15" s="34"/>
      <c r="E15" s="39" t="s">
        <v>123</v>
      </c>
      <c r="F15" s="39" t="s">
        <v>208</v>
      </c>
      <c r="G15" s="39">
        <v>7</v>
      </c>
      <c r="H15" s="48">
        <v>43539</v>
      </c>
      <c r="I15" s="39" t="s">
        <v>207</v>
      </c>
      <c r="J15" s="39" t="s">
        <v>209</v>
      </c>
      <c r="K15" s="39" t="s">
        <v>112</v>
      </c>
      <c r="L15" s="39">
        <v>750050</v>
      </c>
      <c r="M15" s="39">
        <v>5260210228</v>
      </c>
      <c r="N15" s="39">
        <v>12500673</v>
      </c>
      <c r="O15" s="39"/>
      <c r="P15" s="48">
        <v>43374</v>
      </c>
      <c r="Q15" s="39"/>
      <c r="R15" s="39" t="s">
        <v>113</v>
      </c>
      <c r="S15" s="39" t="s">
        <v>115</v>
      </c>
      <c r="T15" s="39" t="s">
        <v>116</v>
      </c>
      <c r="U15" s="39" t="s">
        <v>114</v>
      </c>
      <c r="V15" s="39" t="s">
        <v>82</v>
      </c>
      <c r="W15" s="39" t="s">
        <v>82</v>
      </c>
      <c r="X15" s="39" t="s">
        <v>82</v>
      </c>
      <c r="Y15" s="39"/>
      <c r="Z15" s="39"/>
      <c r="AA15" s="42" t="s">
        <v>210</v>
      </c>
      <c r="AB15" s="49" t="s">
        <v>211</v>
      </c>
      <c r="AC15" s="39"/>
      <c r="AD15" s="34"/>
      <c r="AE15" s="42" t="s">
        <v>212</v>
      </c>
      <c r="AF15" s="34"/>
      <c r="AG15" s="34"/>
      <c r="AH15" s="39"/>
      <c r="AI15" s="39"/>
      <c r="AJ15" s="39"/>
      <c r="AK15" s="39"/>
      <c r="AL15" s="39"/>
      <c r="AM15" s="39"/>
      <c r="AN15" s="39"/>
      <c r="AO15" s="39"/>
      <c r="AP15" s="39"/>
      <c r="AQ15" s="39"/>
      <c r="AR15" s="39"/>
      <c r="AS15" s="39" t="s">
        <v>119</v>
      </c>
      <c r="AT15" s="39"/>
      <c r="AU15" s="39" t="s">
        <v>120</v>
      </c>
      <c r="AV15" s="39"/>
      <c r="AW15" s="42" t="s">
        <v>213</v>
      </c>
      <c r="AX15" s="39"/>
      <c r="AY15" s="39"/>
      <c r="AZ15" s="39"/>
    </row>
    <row r="16" spans="2:52" ht="15" customHeight="1">
      <c r="B16" s="39">
        <v>67113000752</v>
      </c>
      <c r="C16" s="39" t="s">
        <v>214</v>
      </c>
      <c r="D16" s="34"/>
      <c r="E16" s="39" t="s">
        <v>155</v>
      </c>
      <c r="F16" s="39" t="s">
        <v>216</v>
      </c>
      <c r="G16" s="39">
        <v>59</v>
      </c>
      <c r="H16" s="48">
        <v>43514</v>
      </c>
      <c r="I16" s="39" t="s">
        <v>215</v>
      </c>
      <c r="J16" s="39" t="s">
        <v>217</v>
      </c>
      <c r="K16" s="39" t="s">
        <v>128</v>
      </c>
      <c r="L16" s="39">
        <v>88405</v>
      </c>
      <c r="M16" s="39">
        <v>5260211512</v>
      </c>
      <c r="N16" s="39">
        <v>6718980</v>
      </c>
      <c r="O16" s="39" t="s">
        <v>218</v>
      </c>
      <c r="P16" s="48">
        <v>37307</v>
      </c>
      <c r="Q16" s="39"/>
      <c r="R16" s="39" t="s">
        <v>113</v>
      </c>
      <c r="S16" s="39" t="s">
        <v>115</v>
      </c>
      <c r="T16" s="39" t="s">
        <v>116</v>
      </c>
      <c r="U16" s="39" t="s">
        <v>114</v>
      </c>
      <c r="V16" s="39" t="s">
        <v>82</v>
      </c>
      <c r="W16" s="39" t="s">
        <v>82</v>
      </c>
      <c r="X16" s="39" t="s">
        <v>82</v>
      </c>
      <c r="Y16" s="39"/>
      <c r="Z16" s="39"/>
      <c r="AA16" s="42" t="s">
        <v>219</v>
      </c>
      <c r="AB16" s="49" t="s">
        <v>220</v>
      </c>
      <c r="AC16" s="42" t="s">
        <v>221</v>
      </c>
      <c r="AD16" s="34"/>
      <c r="AE16" s="42" t="s">
        <v>223</v>
      </c>
      <c r="AF16" s="34"/>
      <c r="AG16" s="34"/>
      <c r="AH16" s="39"/>
      <c r="AI16" s="39"/>
      <c r="AJ16" s="42" t="s">
        <v>222</v>
      </c>
      <c r="AK16" s="39"/>
      <c r="AL16" s="39"/>
      <c r="AM16" s="39"/>
      <c r="AN16" s="39"/>
      <c r="AO16" s="39"/>
      <c r="AP16" s="39"/>
      <c r="AQ16" s="39"/>
      <c r="AR16" s="39"/>
      <c r="AS16" s="39"/>
      <c r="AT16" s="39"/>
      <c r="AU16" s="39" t="s">
        <v>120</v>
      </c>
      <c r="AV16" s="39" t="s">
        <v>149</v>
      </c>
      <c r="AW16" s="42" t="s">
        <v>224</v>
      </c>
      <c r="AX16" s="39"/>
      <c r="AY16" s="42" t="s">
        <v>225</v>
      </c>
      <c r="AZ16" s="39"/>
    </row>
    <row r="17" spans="2:52" ht="15" customHeight="1">
      <c r="B17" s="39">
        <v>67113000752</v>
      </c>
      <c r="C17" s="39" t="s">
        <v>226</v>
      </c>
      <c r="D17" s="34"/>
      <c r="E17" s="39" t="s">
        <v>134</v>
      </c>
      <c r="F17" s="39" t="s">
        <v>228</v>
      </c>
      <c r="G17" s="39">
        <v>44</v>
      </c>
      <c r="H17" s="48">
        <v>43423</v>
      </c>
      <c r="I17" s="39" t="s">
        <v>227</v>
      </c>
      <c r="J17" s="39" t="s">
        <v>229</v>
      </c>
      <c r="K17" s="39" t="s">
        <v>230</v>
      </c>
      <c r="L17" s="39">
        <v>94358</v>
      </c>
      <c r="M17" s="39">
        <v>5262364912</v>
      </c>
      <c r="N17" s="39">
        <v>16062951</v>
      </c>
      <c r="O17" s="39"/>
      <c r="P17" s="48">
        <v>37319</v>
      </c>
      <c r="Q17" s="39"/>
      <c r="R17" s="39" t="s">
        <v>231</v>
      </c>
      <c r="S17" s="39" t="s">
        <v>232</v>
      </c>
      <c r="T17" s="39" t="s">
        <v>233</v>
      </c>
      <c r="U17" s="39" t="s">
        <v>114</v>
      </c>
      <c r="V17" s="39" t="s">
        <v>82</v>
      </c>
      <c r="W17" s="39" t="s">
        <v>82</v>
      </c>
      <c r="X17" s="39" t="s">
        <v>82</v>
      </c>
      <c r="Y17" s="39"/>
      <c r="Z17" s="39"/>
      <c r="AA17" s="42" t="s">
        <v>234</v>
      </c>
      <c r="AB17" s="34"/>
      <c r="AC17" s="42" t="s">
        <v>235</v>
      </c>
      <c r="AD17" s="34"/>
      <c r="AE17" s="42" t="s">
        <v>236</v>
      </c>
      <c r="AF17" s="34"/>
      <c r="AG17" s="34"/>
      <c r="AH17" s="39"/>
      <c r="AI17" s="39"/>
      <c r="AJ17" s="39"/>
      <c r="AK17" s="39"/>
      <c r="AL17" s="39"/>
      <c r="AM17" s="39"/>
      <c r="AN17" s="39"/>
      <c r="AO17" s="39"/>
      <c r="AP17" s="39"/>
      <c r="AQ17" s="39"/>
      <c r="AR17" s="39"/>
      <c r="AS17" s="39"/>
      <c r="AT17" s="39"/>
      <c r="AU17" s="39" t="s">
        <v>120</v>
      </c>
      <c r="AV17" s="39"/>
      <c r="AW17" s="42" t="s">
        <v>205</v>
      </c>
      <c r="AX17" s="39"/>
      <c r="AY17" s="39"/>
      <c r="AZ17" s="39"/>
    </row>
    <row r="18" spans="2:52" ht="15" customHeight="1">
      <c r="B18" s="39">
        <v>67113000752</v>
      </c>
      <c r="C18" s="39" t="s">
        <v>237</v>
      </c>
      <c r="D18" s="34"/>
      <c r="E18" s="39" t="s">
        <v>256</v>
      </c>
      <c r="F18" s="39" t="s">
        <v>239</v>
      </c>
      <c r="G18" s="39">
        <v>21</v>
      </c>
      <c r="H18" s="48">
        <v>43543</v>
      </c>
      <c r="I18" s="39" t="s">
        <v>238</v>
      </c>
      <c r="J18" s="39" t="s">
        <v>240</v>
      </c>
      <c r="K18" s="39" t="s">
        <v>241</v>
      </c>
      <c r="L18" s="39">
        <v>371004</v>
      </c>
      <c r="M18" s="39">
        <v>7010277149</v>
      </c>
      <c r="N18" s="39">
        <v>142721519</v>
      </c>
      <c r="O18" s="39" t="s">
        <v>242</v>
      </c>
      <c r="P18" s="48">
        <v>40519</v>
      </c>
      <c r="Q18" s="39"/>
      <c r="R18" s="39" t="s">
        <v>243</v>
      </c>
      <c r="S18" s="39" t="s">
        <v>248</v>
      </c>
      <c r="T18" s="39" t="s">
        <v>249</v>
      </c>
      <c r="U18" s="39" t="s">
        <v>244</v>
      </c>
      <c r="V18" s="39" t="s">
        <v>245</v>
      </c>
      <c r="W18" s="39" t="s">
        <v>245</v>
      </c>
      <c r="X18" s="39" t="s">
        <v>245</v>
      </c>
      <c r="Y18" s="39" t="s">
        <v>246</v>
      </c>
      <c r="Z18" s="39" t="s">
        <v>247</v>
      </c>
      <c r="AA18" s="42" t="s">
        <v>250</v>
      </c>
      <c r="AB18" s="34"/>
      <c r="AC18" s="42" t="s">
        <v>251</v>
      </c>
      <c r="AD18" s="34"/>
      <c r="AE18" s="42" t="s">
        <v>253</v>
      </c>
      <c r="AF18" s="49" t="s">
        <v>252</v>
      </c>
      <c r="AG18" s="34"/>
      <c r="AH18" s="39"/>
      <c r="AI18" s="39"/>
      <c r="AJ18" s="39"/>
      <c r="AK18" s="39"/>
      <c r="AL18" s="39"/>
      <c r="AM18" s="39"/>
      <c r="AN18" s="39"/>
      <c r="AO18" s="39"/>
      <c r="AP18" s="39"/>
      <c r="AQ18" s="39"/>
      <c r="AR18" s="39"/>
      <c r="AS18" s="39"/>
      <c r="AT18" s="39"/>
      <c r="AU18" s="39" t="s">
        <v>120</v>
      </c>
      <c r="AV18" s="39"/>
      <c r="AW18" s="42" t="s">
        <v>254</v>
      </c>
      <c r="AX18" s="39"/>
      <c r="AY18" s="42" t="s">
        <v>255</v>
      </c>
      <c r="AZ18" s="39"/>
    </row>
    <row r="19" spans="2:52" ht="15" customHeight="1">
      <c r="B19" s="39">
        <v>67113000752</v>
      </c>
      <c r="C19" s="39" t="s">
        <v>257</v>
      </c>
      <c r="D19" s="34"/>
      <c r="E19" s="39" t="s">
        <v>256</v>
      </c>
      <c r="F19" s="39" t="s">
        <v>259</v>
      </c>
      <c r="G19" s="39">
        <v>58</v>
      </c>
      <c r="H19" s="48">
        <v>43545</v>
      </c>
      <c r="I19" s="39" t="s">
        <v>258</v>
      </c>
      <c r="J19" s="39" t="s">
        <v>260</v>
      </c>
      <c r="K19" s="39" t="s">
        <v>112</v>
      </c>
      <c r="L19" s="39">
        <v>203465</v>
      </c>
      <c r="M19" s="39">
        <v>5262759680</v>
      </c>
      <c r="N19" s="39">
        <v>15711034</v>
      </c>
      <c r="O19" s="39"/>
      <c r="P19" s="48">
        <v>38092</v>
      </c>
      <c r="Q19" s="39"/>
      <c r="R19" s="39" t="s">
        <v>113</v>
      </c>
      <c r="S19" s="39" t="s">
        <v>115</v>
      </c>
      <c r="T19" s="39" t="s">
        <v>116</v>
      </c>
      <c r="U19" s="39" t="s">
        <v>114</v>
      </c>
      <c r="V19" s="39" t="s">
        <v>82</v>
      </c>
      <c r="W19" s="39" t="s">
        <v>82</v>
      </c>
      <c r="X19" s="39" t="s">
        <v>82</v>
      </c>
      <c r="Y19" s="39"/>
      <c r="Z19" s="39"/>
      <c r="AA19" s="42" t="s">
        <v>261</v>
      </c>
      <c r="AB19" s="49" t="s">
        <v>262</v>
      </c>
      <c r="AC19" s="39"/>
      <c r="AD19" s="34"/>
      <c r="AE19" s="42" t="s">
        <v>263</v>
      </c>
      <c r="AF19" s="34"/>
      <c r="AG19" s="34"/>
      <c r="AH19" s="39"/>
      <c r="AI19" s="39"/>
      <c r="AJ19" s="39"/>
      <c r="AK19" s="39"/>
      <c r="AL19" s="39"/>
      <c r="AM19" s="39"/>
      <c r="AN19" s="39"/>
      <c r="AO19" s="39"/>
      <c r="AP19" s="39"/>
      <c r="AQ19" s="39"/>
      <c r="AR19" s="39"/>
      <c r="AS19" s="39"/>
      <c r="AT19" s="39"/>
      <c r="AU19" s="39" t="s">
        <v>120</v>
      </c>
      <c r="AV19" s="39"/>
      <c r="AW19" s="42" t="s">
        <v>264</v>
      </c>
      <c r="AX19" s="39"/>
      <c r="AY19" s="42" t="s">
        <v>265</v>
      </c>
      <c r="AZ19" s="42" t="s">
        <v>266</v>
      </c>
    </row>
    <row r="20" spans="2:52" ht="15" customHeight="1">
      <c r="B20" s="39">
        <v>67113000752</v>
      </c>
      <c r="C20" s="39" t="s">
        <v>267</v>
      </c>
      <c r="D20" s="34"/>
      <c r="E20" s="39" t="s">
        <v>123</v>
      </c>
      <c r="F20" s="39" t="s">
        <v>269</v>
      </c>
      <c r="G20" s="39">
        <v>4</v>
      </c>
      <c r="H20" s="48">
        <v>40177</v>
      </c>
      <c r="I20" s="39" t="s">
        <v>268</v>
      </c>
      <c r="J20" s="39" t="s">
        <v>270</v>
      </c>
      <c r="K20" s="39" t="s">
        <v>230</v>
      </c>
      <c r="L20" s="39">
        <v>233582</v>
      </c>
      <c r="M20" s="39">
        <v>9512173091</v>
      </c>
      <c r="N20" s="39">
        <v>140191129</v>
      </c>
      <c r="O20" s="39"/>
      <c r="P20" s="39" t="s">
        <v>271</v>
      </c>
      <c r="Q20" s="39"/>
      <c r="R20" s="39" t="s">
        <v>272</v>
      </c>
      <c r="S20" s="39" t="s">
        <v>273</v>
      </c>
      <c r="T20" s="39" t="s">
        <v>274</v>
      </c>
      <c r="U20" s="39" t="s">
        <v>114</v>
      </c>
      <c r="V20" s="39" t="s">
        <v>82</v>
      </c>
      <c r="W20" s="39" t="s">
        <v>82</v>
      </c>
      <c r="X20" s="39" t="s">
        <v>82</v>
      </c>
      <c r="Y20" s="39"/>
      <c r="Z20" s="39"/>
      <c r="AA20" s="42" t="s">
        <v>275</v>
      </c>
      <c r="AB20" s="34"/>
      <c r="AC20" s="42" t="s">
        <v>276</v>
      </c>
      <c r="AD20" s="34" t="s">
        <v>277</v>
      </c>
      <c r="AE20" s="42" t="s">
        <v>278</v>
      </c>
      <c r="AF20" s="34"/>
      <c r="AG20" s="34"/>
      <c r="AH20" s="39"/>
      <c r="AI20" s="39"/>
      <c r="AJ20" s="39"/>
      <c r="AK20" s="39"/>
      <c r="AL20" s="39"/>
      <c r="AM20" s="39"/>
      <c r="AN20" s="39"/>
      <c r="AO20" s="39"/>
      <c r="AP20" s="39"/>
      <c r="AQ20" s="39"/>
      <c r="AR20" s="39"/>
      <c r="AS20" s="39"/>
      <c r="AT20" s="39"/>
      <c r="AU20" s="39" t="s">
        <v>120</v>
      </c>
      <c r="AV20" s="39"/>
      <c r="AW20" s="42" t="s">
        <v>205</v>
      </c>
      <c r="AX20" s="39"/>
      <c r="AY20" s="39"/>
      <c r="AZ20" s="39"/>
    </row>
    <row r="21" spans="2:52" ht="15" customHeight="1">
      <c r="B21" s="39" t="s">
        <v>279</v>
      </c>
      <c r="C21" s="39" t="s">
        <v>280</v>
      </c>
      <c r="D21" s="34"/>
      <c r="E21" s="39" t="s">
        <v>134</v>
      </c>
      <c r="F21" s="39" t="s">
        <v>282</v>
      </c>
      <c r="G21" s="39">
        <v>12</v>
      </c>
      <c r="H21" s="48">
        <v>43496</v>
      </c>
      <c r="I21" s="39" t="s">
        <v>281</v>
      </c>
      <c r="J21" s="39" t="s">
        <v>283</v>
      </c>
      <c r="K21" s="39" t="s">
        <v>112</v>
      </c>
      <c r="L21" s="39">
        <v>259778</v>
      </c>
      <c r="M21" s="39">
        <v>6772273563</v>
      </c>
      <c r="N21" s="39">
        <v>120287738</v>
      </c>
      <c r="O21" s="39"/>
      <c r="P21" s="48">
        <v>38899</v>
      </c>
      <c r="Q21" s="39"/>
      <c r="R21" s="39" t="s">
        <v>284</v>
      </c>
      <c r="S21" s="39" t="s">
        <v>287</v>
      </c>
      <c r="T21" s="39" t="s">
        <v>288</v>
      </c>
      <c r="U21" s="39" t="s">
        <v>285</v>
      </c>
      <c r="V21" s="39" t="s">
        <v>286</v>
      </c>
      <c r="W21" s="39" t="s">
        <v>286</v>
      </c>
      <c r="X21" s="39" t="s">
        <v>286</v>
      </c>
      <c r="Y21" s="39"/>
      <c r="Z21" s="39"/>
      <c r="AA21" s="42" t="s">
        <v>289</v>
      </c>
      <c r="AB21" s="49" t="s">
        <v>290</v>
      </c>
      <c r="AC21" s="39"/>
      <c r="AD21" s="34"/>
      <c r="AE21" s="42" t="s">
        <v>291</v>
      </c>
      <c r="AF21" s="34"/>
      <c r="AG21" s="34"/>
      <c r="AH21" s="39"/>
      <c r="AI21" s="39"/>
      <c r="AJ21" s="39"/>
      <c r="AK21" s="39"/>
      <c r="AL21" s="39"/>
      <c r="AM21" s="39"/>
      <c r="AN21" s="39"/>
      <c r="AO21" s="39"/>
      <c r="AP21" s="39"/>
      <c r="AQ21" s="39"/>
      <c r="AR21" s="39"/>
      <c r="AS21" s="39"/>
      <c r="AT21" s="39"/>
      <c r="AU21" s="39" t="s">
        <v>120</v>
      </c>
      <c r="AV21" s="39"/>
      <c r="AW21" s="42" t="s">
        <v>292</v>
      </c>
      <c r="AX21" s="39"/>
      <c r="AY21" s="39"/>
      <c r="AZ21" s="39"/>
    </row>
    <row r="22" spans="2:52" ht="15" customHeight="1">
      <c r="B22" s="39" t="s">
        <v>279</v>
      </c>
      <c r="C22" s="39" t="s">
        <v>293</v>
      </c>
      <c r="D22" s="34"/>
      <c r="E22" s="39" t="s">
        <v>134</v>
      </c>
      <c r="F22" s="39" t="s">
        <v>295</v>
      </c>
      <c r="G22" s="39">
        <v>4</v>
      </c>
      <c r="H22" s="48">
        <v>42916</v>
      </c>
      <c r="I22" s="39" t="s">
        <v>294</v>
      </c>
      <c r="J22" s="39" t="s">
        <v>296</v>
      </c>
      <c r="K22" s="39" t="s">
        <v>230</v>
      </c>
      <c r="L22" s="39">
        <v>661536</v>
      </c>
      <c r="M22" s="39">
        <v>6793142458</v>
      </c>
      <c r="N22" s="39">
        <v>366535401</v>
      </c>
      <c r="O22" s="39"/>
      <c r="P22" s="48">
        <v>42775</v>
      </c>
      <c r="Q22" s="39"/>
      <c r="R22" s="39" t="s">
        <v>297</v>
      </c>
      <c r="S22" s="39" t="s">
        <v>298</v>
      </c>
      <c r="T22" s="39" t="s">
        <v>299</v>
      </c>
      <c r="U22" s="39" t="s">
        <v>285</v>
      </c>
      <c r="V22" s="39" t="s">
        <v>286</v>
      </c>
      <c r="W22" s="39" t="s">
        <v>286</v>
      </c>
      <c r="X22" s="39" t="s">
        <v>286</v>
      </c>
      <c r="Y22" s="39"/>
      <c r="Z22" s="39"/>
      <c r="AA22" s="42" t="s">
        <v>300</v>
      </c>
      <c r="AB22" s="34"/>
      <c r="AC22" s="42" t="s">
        <v>301</v>
      </c>
      <c r="AD22" s="34" t="s">
        <v>277</v>
      </c>
      <c r="AE22" s="39"/>
      <c r="AF22" s="34"/>
      <c r="AG22" s="34"/>
      <c r="AH22" s="39"/>
      <c r="AI22" s="39"/>
      <c r="AJ22" s="39"/>
      <c r="AK22" s="39"/>
      <c r="AL22" s="39"/>
      <c r="AM22" s="39"/>
      <c r="AN22" s="39"/>
      <c r="AO22" s="39"/>
      <c r="AP22" s="39"/>
      <c r="AQ22" s="39"/>
      <c r="AR22" s="39"/>
      <c r="AS22" s="39"/>
      <c r="AT22" s="39"/>
      <c r="AU22" s="39" t="s">
        <v>120</v>
      </c>
      <c r="AV22" s="39"/>
      <c r="AW22" s="42" t="s">
        <v>152</v>
      </c>
      <c r="AX22" s="39"/>
      <c r="AY22" s="39"/>
      <c r="AZ22" s="39"/>
    </row>
    <row r="23" spans="2:52" ht="15" customHeight="1">
      <c r="B23" s="39" t="s">
        <v>279</v>
      </c>
      <c r="C23" s="39" t="s">
        <v>302</v>
      </c>
      <c r="D23" s="34"/>
      <c r="E23" s="39" t="s">
        <v>134</v>
      </c>
      <c r="F23" s="39" t="s">
        <v>304</v>
      </c>
      <c r="G23" s="39">
        <v>9</v>
      </c>
      <c r="H23" s="48">
        <v>43306</v>
      </c>
      <c r="I23" s="39" t="s">
        <v>303</v>
      </c>
      <c r="J23" s="39" t="s">
        <v>305</v>
      </c>
      <c r="K23" s="39" t="s">
        <v>128</v>
      </c>
      <c r="L23" s="39">
        <v>478190</v>
      </c>
      <c r="M23" s="39">
        <v>6832082158</v>
      </c>
      <c r="N23" s="39">
        <v>122963379</v>
      </c>
      <c r="O23" s="39" t="s">
        <v>129</v>
      </c>
      <c r="P23" s="48">
        <v>41540</v>
      </c>
      <c r="Q23" s="39"/>
      <c r="R23" s="39" t="s">
        <v>306</v>
      </c>
      <c r="S23" s="39">
        <v>409</v>
      </c>
      <c r="T23" s="39" t="s">
        <v>312</v>
      </c>
      <c r="U23" s="39" t="s">
        <v>285</v>
      </c>
      <c r="V23" s="39" t="s">
        <v>307</v>
      </c>
      <c r="W23" s="39" t="s">
        <v>308</v>
      </c>
      <c r="X23" s="39" t="s">
        <v>309</v>
      </c>
      <c r="Y23" s="39" t="s">
        <v>310</v>
      </c>
      <c r="Z23" s="39" t="s">
        <v>311</v>
      </c>
      <c r="AA23" s="42" t="s">
        <v>313</v>
      </c>
      <c r="AB23" s="49" t="s">
        <v>314</v>
      </c>
      <c r="AC23" s="39"/>
      <c r="AD23" s="34"/>
      <c r="AE23" s="42" t="s">
        <v>315</v>
      </c>
      <c r="AF23" s="34"/>
      <c r="AG23" s="34"/>
      <c r="AH23" s="39"/>
      <c r="AI23" s="39"/>
      <c r="AJ23" s="39"/>
      <c r="AK23" s="39"/>
      <c r="AL23" s="39"/>
      <c r="AM23" s="39"/>
      <c r="AN23" s="39"/>
      <c r="AO23" s="39"/>
      <c r="AP23" s="39"/>
      <c r="AQ23" s="39"/>
      <c r="AR23" s="39"/>
      <c r="AS23" s="39"/>
      <c r="AT23" s="39"/>
      <c r="AU23" s="39" t="s">
        <v>120</v>
      </c>
      <c r="AV23" s="39"/>
      <c r="AW23" s="42" t="s">
        <v>152</v>
      </c>
      <c r="AX23" s="39"/>
      <c r="AY23" s="39"/>
      <c r="AZ23" s="39"/>
    </row>
    <row r="24" spans="2:52" ht="15" customHeight="1">
      <c r="B24" s="39">
        <v>121073028</v>
      </c>
      <c r="C24" s="39" t="s">
        <v>135</v>
      </c>
      <c r="D24" s="34"/>
      <c r="E24" s="39" t="s">
        <v>123</v>
      </c>
      <c r="F24" s="39" t="s">
        <v>110</v>
      </c>
      <c r="G24" s="39">
        <v>11</v>
      </c>
      <c r="H24" s="48">
        <v>43553</v>
      </c>
      <c r="I24" s="39" t="s">
        <v>316</v>
      </c>
      <c r="J24" s="39" t="s">
        <v>111</v>
      </c>
      <c r="K24" s="39" t="s">
        <v>112</v>
      </c>
      <c r="L24" s="39">
        <v>741448</v>
      </c>
      <c r="M24" s="39">
        <v>1132399979</v>
      </c>
      <c r="N24" s="39">
        <v>15239399</v>
      </c>
      <c r="O24" s="39"/>
      <c r="P24" s="48">
        <v>43313</v>
      </c>
      <c r="Q24" s="39"/>
      <c r="R24" s="39" t="s">
        <v>113</v>
      </c>
      <c r="S24" s="39" t="s">
        <v>115</v>
      </c>
      <c r="T24" s="39" t="s">
        <v>116</v>
      </c>
      <c r="U24" s="39" t="s">
        <v>114</v>
      </c>
      <c r="V24" s="39" t="s">
        <v>82</v>
      </c>
      <c r="W24" s="39" t="s">
        <v>82</v>
      </c>
      <c r="X24" s="39" t="s">
        <v>82</v>
      </c>
      <c r="Y24" s="39"/>
      <c r="Z24" s="39"/>
      <c r="AA24" s="42" t="s">
        <v>117</v>
      </c>
      <c r="AB24" s="49" t="s">
        <v>118</v>
      </c>
      <c r="AC24" s="39"/>
      <c r="AD24" s="34"/>
      <c r="AE24" s="42" t="s">
        <v>121</v>
      </c>
      <c r="AF24" s="34"/>
      <c r="AG24" s="34"/>
      <c r="AH24" s="39"/>
      <c r="AI24" s="39"/>
      <c r="AJ24" s="39"/>
      <c r="AK24" s="39"/>
      <c r="AL24" s="39"/>
      <c r="AM24" s="39"/>
      <c r="AN24" s="39"/>
      <c r="AO24" s="39"/>
      <c r="AP24" s="39"/>
      <c r="AQ24" s="39"/>
      <c r="AR24" s="39"/>
      <c r="AS24" s="39" t="s">
        <v>119</v>
      </c>
      <c r="AT24" s="39"/>
      <c r="AU24" s="39" t="s">
        <v>120</v>
      </c>
      <c r="AV24" s="39"/>
      <c r="AW24" s="42" t="s">
        <v>122</v>
      </c>
      <c r="AX24" s="39"/>
      <c r="AY24" s="39"/>
      <c r="AZ24" s="39"/>
    </row>
  </sheetData>
  <conditionalFormatting sqref="F2:F1048576">
    <cfRule type="duplicateValues" dxfId="113" priority="158"/>
    <cfRule type="duplicateValues" dxfId="112" priority="159"/>
    <cfRule type="duplicateValues" dxfId="111" priority="160"/>
  </conditionalFormatting>
  <conditionalFormatting sqref="F2:F1048576">
    <cfRule type="duplicateValues" dxfId="110" priority="161"/>
  </conditionalFormatting>
  <conditionalFormatting sqref="L3:L24">
    <cfRule type="duplicateValues" dxfId="109" priority="285"/>
  </conditionalFormatting>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249977111117893"/>
  </sheetPr>
  <dimension ref="A1:D31"/>
  <sheetViews>
    <sheetView showGridLines="0" showRowColHeaders="0" topLeftCell="A7" workbookViewId="0">
      <selection activeCell="C22" sqref="C22"/>
    </sheetView>
  </sheetViews>
  <sheetFormatPr defaultColWidth="0" defaultRowHeight="14.25" zeroHeight="1"/>
  <cols>
    <col min="1" max="1" width="0.875" style="5" customWidth="1"/>
    <col min="2" max="2" width="20.625" style="9" customWidth="1"/>
    <col min="3" max="3" width="50.625" style="10" customWidth="1"/>
    <col min="4" max="4" width="0.875" customWidth="1"/>
    <col min="5" max="16384" width="9" hidden="1"/>
  </cols>
  <sheetData>
    <row r="1" spans="2:3" s="5" customFormat="1" ht="5.0999999999999996" customHeight="1">
      <c r="B1" s="12"/>
      <c r="C1" s="14"/>
    </row>
    <row r="2" spans="2:3" s="5" customFormat="1">
      <c r="B2" s="13" t="s">
        <v>15</v>
      </c>
      <c r="C2" s="14"/>
    </row>
    <row r="3" spans="2:3" s="5" customFormat="1">
      <c r="B3" s="13" t="s">
        <v>97</v>
      </c>
      <c r="C3" s="14"/>
    </row>
    <row r="4" spans="2:3" s="5" customFormat="1">
      <c r="B4" s="13" t="s">
        <v>98</v>
      </c>
      <c r="C4" s="14"/>
    </row>
    <row r="5" spans="2:3" s="5" customFormat="1" ht="5.0999999999999996" customHeight="1">
      <c r="B5" s="13"/>
      <c r="C5" s="14"/>
    </row>
    <row r="6" spans="2:3" s="5" customFormat="1" ht="15">
      <c r="B6" s="12" t="s">
        <v>23</v>
      </c>
      <c r="C6" s="14"/>
    </row>
    <row r="7" spans="2:3" s="5" customFormat="1" ht="15">
      <c r="B7" s="23" t="s">
        <v>24</v>
      </c>
      <c r="C7" s="14"/>
    </row>
    <row r="8" spans="2:3" s="5" customFormat="1" ht="5.0999999999999996" customHeight="1">
      <c r="B8" s="12"/>
      <c r="C8" s="14"/>
    </row>
    <row r="9" spans="2:3" s="5" customFormat="1" ht="15">
      <c r="B9" s="13" t="s">
        <v>19</v>
      </c>
      <c r="C9" s="14"/>
    </row>
    <row r="10" spans="2:3" s="5" customFormat="1">
      <c r="B10" s="12" t="s">
        <v>20</v>
      </c>
      <c r="C10" s="14"/>
    </row>
    <row r="11" spans="2:3" s="5" customFormat="1" ht="5.0999999999999996" customHeight="1">
      <c r="B11" s="12"/>
      <c r="C11" s="14"/>
    </row>
    <row r="12" spans="2:3" s="5" customFormat="1">
      <c r="B12" s="12" t="s">
        <v>21</v>
      </c>
      <c r="C12" s="14"/>
    </row>
    <row r="13" spans="2:3" s="5" customFormat="1">
      <c r="B13" s="12" t="s">
        <v>22</v>
      </c>
      <c r="C13" s="14"/>
    </row>
    <row r="14" spans="2:3" s="5" customFormat="1" ht="5.0999999999999996" customHeight="1" thickBot="1">
      <c r="B14" s="12"/>
      <c r="C14" s="14"/>
    </row>
    <row r="15" spans="2:3" s="38" customFormat="1" ht="15.75" thickBot="1">
      <c r="B15" s="15" t="s">
        <v>13</v>
      </c>
      <c r="C15" s="14"/>
    </row>
    <row r="16" spans="2:3" s="38" customFormat="1" ht="29.25" thickBot="1">
      <c r="B16" s="16">
        <v>1</v>
      </c>
      <c r="C16" s="14" t="s">
        <v>25</v>
      </c>
    </row>
    <row r="17" spans="2:3" s="38" customFormat="1" ht="5.0999999999999996" customHeight="1" thickBot="1"/>
    <row r="18" spans="2:3" s="5" customFormat="1" ht="15.75" thickBot="1">
      <c r="B18" s="15" t="s">
        <v>67</v>
      </c>
      <c r="C18" s="14"/>
    </row>
    <row r="19" spans="2:3" s="5" customFormat="1" ht="29.25" thickBot="1">
      <c r="B19" s="16">
        <v>1</v>
      </c>
      <c r="C19" s="14" t="s">
        <v>96</v>
      </c>
    </row>
    <row r="20" spans="2:3" s="5" customFormat="1" ht="5.0999999999999996" customHeight="1" thickBot="1">
      <c r="B20" s="11"/>
      <c r="C20" s="11"/>
    </row>
    <row r="21" spans="2:3" s="5" customFormat="1" ht="15.75" thickBot="1">
      <c r="B21" s="17" t="s">
        <v>12</v>
      </c>
      <c r="C21" s="18"/>
    </row>
    <row r="22" spans="2:3" ht="28.5">
      <c r="B22" s="20" t="e">
        <v>#N/A</v>
      </c>
      <c r="C22" s="19" t="s">
        <v>18</v>
      </c>
    </row>
    <row r="23" spans="2:3" ht="42.75">
      <c r="B23" s="21" t="s">
        <v>17</v>
      </c>
      <c r="C23" s="41" t="s">
        <v>99</v>
      </c>
    </row>
    <row r="24" spans="2:3" ht="15" thickBot="1">
      <c r="B24" s="22" t="s">
        <v>100</v>
      </c>
      <c r="C24" s="41" t="s">
        <v>99</v>
      </c>
    </row>
    <row r="25" spans="2:3" hidden="1"/>
    <row r="26" spans="2:3" hidden="1"/>
    <row r="27" spans="2:3" hidden="1"/>
    <row r="28" spans="2:3" ht="5.0999999999999996" customHeight="1"/>
    <row r="29" spans="2:3" hidden="1"/>
    <row r="30" spans="2:3" hidden="1"/>
    <row r="31" spans="2:3" hidden="1"/>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27"/>
  <sheetViews>
    <sheetView showGridLines="0" showRowColHeaders="0" topLeftCell="A2" workbookViewId="0">
      <pane ySplit="2" topLeftCell="A4" activePane="bottomLeft" state="frozen"/>
      <selection activeCell="A2" sqref="A2"/>
      <selection pane="bottomLeft" activeCell="A14" sqref="A14"/>
    </sheetView>
  </sheetViews>
  <sheetFormatPr defaultColWidth="0" defaultRowHeight="14.25"/>
  <cols>
    <col min="1" max="1" width="0.875" style="11" customWidth="1"/>
    <col min="2" max="2" width="18.75" style="11" customWidth="1"/>
    <col min="3" max="3" width="10.125" style="11" customWidth="1"/>
    <col min="4" max="4" width="4.875" style="11" customWidth="1"/>
    <col min="5" max="5" width="15.625" style="11" customWidth="1"/>
    <col min="6" max="6" width="5.625" style="11" customWidth="1"/>
    <col min="7" max="7" width="0.875" style="11" customWidth="1"/>
    <col min="8" max="8" width="0" style="11" hidden="1" customWidth="1"/>
    <col min="9" max="16384" width="9" style="11" hidden="1"/>
  </cols>
  <sheetData>
    <row r="1" spans="1:6">
      <c r="B1" s="25" t="s">
        <v>32</v>
      </c>
      <c r="C1" s="11">
        <v>60</v>
      </c>
      <c r="D1" s="24" t="s">
        <v>31</v>
      </c>
    </row>
    <row r="3" spans="1:6">
      <c r="B3" s="11" t="s">
        <v>30</v>
      </c>
      <c r="C3" s="11" t="s">
        <v>29</v>
      </c>
      <c r="D3" s="11" t="s">
        <v>28</v>
      </c>
      <c r="E3" s="11" t="s">
        <v>27</v>
      </c>
      <c r="F3" s="11" t="s">
        <v>26</v>
      </c>
    </row>
    <row r="4" spans="1:6">
      <c r="B4" s="8" t="s">
        <v>73</v>
      </c>
      <c r="C4" s="11" t="str">
        <f ca="1">IF(ISBLANK(Table4[[#This Row],[in]]),OFFSET(Table4[[#This Row],[in]],-1,0)&amp;": end",Table4[[#This Row],[in]]&amp;": start")</f>
        <v>logon: start</v>
      </c>
      <c r="D4" s="11">
        <f ca="1">fi.len-LEN(Table4[[#This Row],[In2]])/2</f>
        <v>54</v>
      </c>
      <c r="E4" s="11" t="str">
        <f ca="1">REPT(c.char,Table4[[#This Row],[transform]])&amp;" "&amp;Table4[[#This Row],[In2]]&amp;" "&amp;REPT(c.char,fi.len*2-INT(Table4[[#This Row],[transform]])-LEN(Table4[[#This Row],[In2]])-2)</f>
        <v>###################################################### logon: start ####################################################</v>
      </c>
      <c r="F4" s="11">
        <f ca="1">LEN(Table4[[#This Row],[Out]])</f>
        <v>120</v>
      </c>
    </row>
    <row r="5" spans="1:6">
      <c r="B5" s="8"/>
      <c r="C5" s="11" t="str">
        <f ca="1">IF(ISBLANK(Table4[[#This Row],[in]]),OFFSET(Table4[[#This Row],[in]],-1,0)&amp;": end",Table4[[#This Row],[in]]&amp;": start")</f>
        <v>logon: end</v>
      </c>
      <c r="D5" s="11">
        <f ca="1">fi.len-LEN(Table4[[#This Row],[In2]])/2</f>
        <v>55</v>
      </c>
      <c r="E5" s="11" t="str">
        <f ca="1">REPT(c.char,Table4[[#This Row],[transform]])&amp;" "&amp;Table4[[#This Row],[In2]]&amp;" "&amp;REPT(c.char,fi.len*2-INT(Table4[[#This Row],[transform]])-LEN(Table4[[#This Row],[In2]])-2)</f>
        <v>####################################################### logon: end #####################################################</v>
      </c>
      <c r="F5" s="11">
        <f ca="1">LEN(Table4[[#This Row],[Out]])</f>
        <v>120</v>
      </c>
    </row>
    <row r="7" spans="1:6">
      <c r="A7" s="11">
        <v>5</v>
      </c>
    </row>
    <row r="18" spans="2:3">
      <c r="B18" s="26"/>
      <c r="C18"/>
    </row>
    <row r="19" spans="2:3">
      <c r="B19" s="26"/>
      <c r="C19"/>
    </row>
    <row r="20" spans="2:3">
      <c r="B20" s="26"/>
      <c r="C20"/>
    </row>
    <row r="21" spans="2:3">
      <c r="B21" s="26"/>
      <c r="C21"/>
    </row>
    <row r="22" spans="2:3">
      <c r="B22" s="26"/>
      <c r="C22"/>
    </row>
    <row r="23" spans="2:3">
      <c r="B23" s="26"/>
      <c r="C23"/>
    </row>
    <row r="24" spans="2:3">
      <c r="B24" s="26"/>
      <c r="C24"/>
    </row>
    <row r="25" spans="2:3">
      <c r="B25" s="26"/>
      <c r="C25"/>
    </row>
    <row r="26" spans="2:3">
      <c r="B26" s="26"/>
      <c r="C26"/>
    </row>
    <row r="27" spans="2:3">
      <c r="B27" s="26"/>
      <c r="C27"/>
    </row>
    <row r="28" spans="2:3">
      <c r="B28" s="26"/>
      <c r="C28"/>
    </row>
    <row r="29" spans="2:3">
      <c r="B29" s="26"/>
      <c r="C29"/>
    </row>
    <row r="30" spans="2:3">
      <c r="B30" s="26"/>
      <c r="C30"/>
    </row>
    <row r="31" spans="2:3">
      <c r="B31" s="26"/>
      <c r="C31"/>
    </row>
    <row r="32" spans="2:3">
      <c r="B32" s="26"/>
      <c r="C32"/>
    </row>
    <row r="33" spans="2:3">
      <c r="B33" s="26"/>
      <c r="C33"/>
    </row>
    <row r="34" spans="2:3">
      <c r="B34" s="26"/>
      <c r="C34"/>
    </row>
    <row r="35" spans="2:3">
      <c r="B35" s="26"/>
      <c r="C35"/>
    </row>
    <row r="36" spans="2:3">
      <c r="B36" s="26"/>
      <c r="C36"/>
    </row>
    <row r="37" spans="2:3">
      <c r="B37" s="26"/>
      <c r="C37"/>
    </row>
    <row r="38" spans="2:3">
      <c r="B38" s="26"/>
      <c r="C38"/>
    </row>
    <row r="39" spans="2:3">
      <c r="B39" s="26"/>
      <c r="C39"/>
    </row>
    <row r="40" spans="2:3">
      <c r="B40" s="26"/>
      <c r="C40"/>
    </row>
    <row r="41" spans="2:3">
      <c r="B41" s="26"/>
      <c r="C41"/>
    </row>
    <row r="42" spans="2:3">
      <c r="B42" s="26"/>
      <c r="C42"/>
    </row>
    <row r="43" spans="2:3">
      <c r="B43" s="26"/>
      <c r="C43"/>
    </row>
    <row r="44" spans="2:3">
      <c r="B44" s="26"/>
      <c r="C44"/>
    </row>
    <row r="45" spans="2:3">
      <c r="B45" s="26"/>
      <c r="C45"/>
    </row>
    <row r="46" spans="2:3">
      <c r="B46" s="26"/>
      <c r="C46"/>
    </row>
    <row r="47" spans="2:3">
      <c r="B47" s="26"/>
      <c r="C47"/>
    </row>
    <row r="48" spans="2:3">
      <c r="B48" s="26"/>
      <c r="C48"/>
    </row>
    <row r="49" spans="2:3">
      <c r="B49" s="26"/>
      <c r="C49"/>
    </row>
    <row r="50" spans="2:3">
      <c r="B50" s="26"/>
      <c r="C50"/>
    </row>
    <row r="51" spans="2:3">
      <c r="B51" s="26"/>
      <c r="C51"/>
    </row>
    <row r="52" spans="2:3">
      <c r="B52" s="26"/>
      <c r="C52"/>
    </row>
    <row r="53" spans="2:3">
      <c r="B53" s="26"/>
      <c r="C53"/>
    </row>
    <row r="54" spans="2:3">
      <c r="B54" s="26"/>
      <c r="C54"/>
    </row>
    <row r="55" spans="2:3">
      <c r="B55" s="26"/>
      <c r="C55"/>
    </row>
    <row r="56" spans="2:3">
      <c r="B56" s="26"/>
      <c r="C56"/>
    </row>
    <row r="57" spans="2:3">
      <c r="B57" s="26"/>
      <c r="C57"/>
    </row>
    <row r="58" spans="2:3">
      <c r="B58" s="26"/>
      <c r="C58"/>
    </row>
    <row r="59" spans="2:3">
      <c r="B59" s="26"/>
      <c r="C59"/>
    </row>
    <row r="60" spans="2:3">
      <c r="B60" s="26"/>
      <c r="C60"/>
    </row>
    <row r="61" spans="2:3">
      <c r="B61" s="26"/>
      <c r="C61"/>
    </row>
    <row r="62" spans="2:3">
      <c r="B62" s="26"/>
      <c r="C62"/>
    </row>
    <row r="63" spans="2:3">
      <c r="B63" s="26"/>
      <c r="C63"/>
    </row>
    <row r="64" spans="2:3">
      <c r="B64" s="26"/>
      <c r="C64"/>
    </row>
    <row r="65" spans="2:3">
      <c r="B65" s="26"/>
      <c r="C65"/>
    </row>
    <row r="66" spans="2:3">
      <c r="B66" s="26"/>
      <c r="C66"/>
    </row>
    <row r="67" spans="2:3">
      <c r="B67" s="26"/>
      <c r="C67"/>
    </row>
    <row r="68" spans="2:3">
      <c r="B68" s="26"/>
      <c r="C68"/>
    </row>
    <row r="69" spans="2:3">
      <c r="B69" s="26"/>
      <c r="C69"/>
    </row>
    <row r="70" spans="2:3">
      <c r="B70" s="26"/>
      <c r="C70"/>
    </row>
    <row r="71" spans="2:3">
      <c r="B71" s="26"/>
      <c r="C71"/>
    </row>
    <row r="72" spans="2:3">
      <c r="B72" s="26"/>
      <c r="C72"/>
    </row>
    <row r="73" spans="2:3">
      <c r="B73" s="26"/>
      <c r="C73"/>
    </row>
    <row r="74" spans="2:3">
      <c r="B74" s="26"/>
      <c r="C74"/>
    </row>
    <row r="75" spans="2:3">
      <c r="B75" s="26"/>
      <c r="C75"/>
    </row>
    <row r="76" spans="2:3">
      <c r="B76" s="26"/>
      <c r="C76"/>
    </row>
    <row r="77" spans="2:3">
      <c r="B77" s="26"/>
      <c r="C77"/>
    </row>
    <row r="78" spans="2:3">
      <c r="B78" s="26"/>
      <c r="C78"/>
    </row>
    <row r="79" spans="2:3">
      <c r="B79" s="26"/>
      <c r="C79"/>
    </row>
    <row r="80" spans="2:3">
      <c r="B80" s="26"/>
      <c r="C80"/>
    </row>
    <row r="81" spans="2:3">
      <c r="B81" s="26"/>
      <c r="C81"/>
    </row>
    <row r="82" spans="2:3">
      <c r="B82" s="26"/>
      <c r="C82"/>
    </row>
    <row r="83" spans="2:3">
      <c r="B83" s="26"/>
      <c r="C83"/>
    </row>
    <row r="84" spans="2:3">
      <c r="B84" s="26"/>
      <c r="C84"/>
    </row>
    <row r="85" spans="2:3">
      <c r="B85" s="26"/>
      <c r="C85"/>
    </row>
    <row r="86" spans="2:3">
      <c r="B86" s="26"/>
      <c r="C86"/>
    </row>
    <row r="87" spans="2:3">
      <c r="B87" s="26"/>
      <c r="C87"/>
    </row>
    <row r="88" spans="2:3">
      <c r="B88" s="26"/>
      <c r="C88"/>
    </row>
    <row r="89" spans="2:3">
      <c r="B89" s="26"/>
      <c r="C89"/>
    </row>
    <row r="90" spans="2:3">
      <c r="B90" s="26"/>
      <c r="C90"/>
    </row>
    <row r="91" spans="2:3">
      <c r="B91" s="26"/>
      <c r="C91"/>
    </row>
    <row r="92" spans="2:3">
      <c r="B92" s="26"/>
      <c r="C92"/>
    </row>
    <row r="93" spans="2:3">
      <c r="B93" s="26"/>
      <c r="C93"/>
    </row>
    <row r="94" spans="2:3">
      <c r="B94" s="26"/>
      <c r="C94"/>
    </row>
    <row r="95" spans="2:3">
      <c r="B95" s="26"/>
      <c r="C95"/>
    </row>
    <row r="96" spans="2:3">
      <c r="B96" s="26"/>
      <c r="C96"/>
    </row>
    <row r="97" spans="2:3">
      <c r="B97" s="26"/>
      <c r="C97"/>
    </row>
    <row r="98" spans="2:3">
      <c r="B98" s="26"/>
      <c r="C98"/>
    </row>
    <row r="99" spans="2:3">
      <c r="B99" s="26"/>
      <c r="C99"/>
    </row>
    <row r="100" spans="2:3">
      <c r="B100" s="26"/>
      <c r="C100"/>
    </row>
    <row r="101" spans="2:3">
      <c r="B101" s="26"/>
      <c r="C101"/>
    </row>
    <row r="102" spans="2:3">
      <c r="B102" s="26"/>
      <c r="C102"/>
    </row>
    <row r="103" spans="2:3">
      <c r="B103" s="26"/>
      <c r="C103"/>
    </row>
    <row r="104" spans="2:3">
      <c r="B104" s="26"/>
      <c r="C104"/>
    </row>
    <row r="105" spans="2:3">
      <c r="B105" s="26"/>
      <c r="C105"/>
    </row>
    <row r="106" spans="2:3">
      <c r="B106" s="26"/>
      <c r="C106"/>
    </row>
    <row r="107" spans="2:3">
      <c r="B107" s="26"/>
      <c r="C107"/>
    </row>
    <row r="108" spans="2:3">
      <c r="B108" s="26"/>
      <c r="C108"/>
    </row>
    <row r="109" spans="2:3">
      <c r="B109" s="26"/>
      <c r="C109"/>
    </row>
    <row r="110" spans="2:3">
      <c r="B110" s="26"/>
      <c r="C110"/>
    </row>
    <row r="111" spans="2:3">
      <c r="B111" s="26"/>
      <c r="C111"/>
    </row>
    <row r="112" spans="2:3">
      <c r="B112" s="26"/>
      <c r="C112"/>
    </row>
    <row r="113" spans="2:3">
      <c r="B113" s="26"/>
      <c r="C113"/>
    </row>
    <row r="114" spans="2:3">
      <c r="B114" s="26"/>
      <c r="C114"/>
    </row>
    <row r="115" spans="2:3">
      <c r="B115" s="26"/>
      <c r="C115"/>
    </row>
    <row r="116" spans="2:3">
      <c r="B116" s="26"/>
      <c r="C116"/>
    </row>
    <row r="117" spans="2:3">
      <c r="B117" s="26"/>
      <c r="C117"/>
    </row>
    <row r="118" spans="2:3">
      <c r="B118" s="26"/>
      <c r="C118"/>
    </row>
    <row r="119" spans="2:3">
      <c r="B119" s="26"/>
      <c r="C119"/>
    </row>
    <row r="120" spans="2:3">
      <c r="B120" s="26"/>
      <c r="C120"/>
    </row>
    <row r="121" spans="2:3">
      <c r="B121" s="26"/>
      <c r="C121"/>
    </row>
    <row r="122" spans="2:3">
      <c r="B122" s="26"/>
      <c r="C122"/>
    </row>
    <row r="123" spans="2:3">
      <c r="B123" s="26"/>
      <c r="C123"/>
    </row>
    <row r="124" spans="2:3">
      <c r="B124" s="26"/>
      <c r="C124"/>
    </row>
    <row r="125" spans="2:3">
      <c r="B125" s="26"/>
      <c r="C125"/>
    </row>
    <row r="126" spans="2:3">
      <c r="B126" s="26"/>
      <c r="C126"/>
    </row>
    <row r="127" spans="2:3">
      <c r="B127" s="26"/>
      <c r="C127"/>
    </row>
    <row r="128" spans="2:3">
      <c r="B128" s="26"/>
      <c r="C128"/>
    </row>
    <row r="129" spans="2:3">
      <c r="B129" s="26"/>
      <c r="C129"/>
    </row>
    <row r="130" spans="2:3">
      <c r="B130" s="26"/>
      <c r="C130"/>
    </row>
    <row r="131" spans="2:3">
      <c r="B131" s="26"/>
      <c r="C131"/>
    </row>
    <row r="132" spans="2:3">
      <c r="B132" s="26"/>
      <c r="C132"/>
    </row>
    <row r="133" spans="2:3">
      <c r="B133" s="26"/>
      <c r="C133"/>
    </row>
    <row r="134" spans="2:3">
      <c r="B134" s="26"/>
      <c r="C134"/>
    </row>
    <row r="135" spans="2:3">
      <c r="B135" s="26"/>
      <c r="C135"/>
    </row>
    <row r="136" spans="2:3">
      <c r="B136" s="26"/>
      <c r="C136"/>
    </row>
    <row r="137" spans="2:3">
      <c r="B137" s="26"/>
      <c r="C137"/>
    </row>
    <row r="138" spans="2:3">
      <c r="B138" s="26"/>
      <c r="C138"/>
    </row>
    <row r="139" spans="2:3">
      <c r="B139" s="26"/>
      <c r="C139"/>
    </row>
    <row r="140" spans="2:3">
      <c r="B140" s="26"/>
      <c r="C140"/>
    </row>
    <row r="141" spans="2:3">
      <c r="B141" s="26"/>
      <c r="C141"/>
    </row>
    <row r="142" spans="2:3">
      <c r="B142" s="26"/>
      <c r="C142"/>
    </row>
    <row r="143" spans="2:3">
      <c r="B143" s="26"/>
      <c r="C143"/>
    </row>
    <row r="144" spans="2:3">
      <c r="B144" s="26"/>
      <c r="C144"/>
    </row>
    <row r="145" spans="2:3">
      <c r="B145" s="26"/>
      <c r="C145"/>
    </row>
    <row r="146" spans="2:3">
      <c r="B146" s="26"/>
      <c r="C146"/>
    </row>
    <row r="147" spans="2:3">
      <c r="B147" s="26"/>
      <c r="C147"/>
    </row>
    <row r="148" spans="2:3">
      <c r="B148" s="26"/>
      <c r="C148"/>
    </row>
    <row r="149" spans="2:3">
      <c r="B149" s="26"/>
      <c r="C149"/>
    </row>
    <row r="150" spans="2:3">
      <c r="B150" s="26"/>
      <c r="C150"/>
    </row>
    <row r="151" spans="2:3">
      <c r="B151" s="26"/>
      <c r="C151"/>
    </row>
    <row r="152" spans="2:3">
      <c r="B152" s="26"/>
      <c r="C152"/>
    </row>
    <row r="153" spans="2:3">
      <c r="B153" s="26"/>
      <c r="C153"/>
    </row>
    <row r="154" spans="2:3">
      <c r="B154" s="26"/>
      <c r="C154"/>
    </row>
    <row r="155" spans="2:3">
      <c r="B155" s="26"/>
      <c r="C155"/>
    </row>
    <row r="156" spans="2:3">
      <c r="B156" s="26"/>
      <c r="C156"/>
    </row>
    <row r="157" spans="2:3">
      <c r="B157" s="26"/>
      <c r="C157"/>
    </row>
    <row r="158" spans="2:3">
      <c r="B158" s="26"/>
      <c r="C158"/>
    </row>
    <row r="159" spans="2:3">
      <c r="B159" s="26"/>
      <c r="C159"/>
    </row>
    <row r="160" spans="2:3">
      <c r="B160" s="26"/>
      <c r="C160"/>
    </row>
    <row r="161" spans="2:3">
      <c r="B161" s="26"/>
      <c r="C161"/>
    </row>
    <row r="162" spans="2:3">
      <c r="B162" s="26"/>
      <c r="C162"/>
    </row>
    <row r="163" spans="2:3">
      <c r="B163" s="26"/>
      <c r="C163"/>
    </row>
    <row r="164" spans="2:3">
      <c r="B164" s="26"/>
      <c r="C164"/>
    </row>
    <row r="165" spans="2:3">
      <c r="B165" s="26"/>
      <c r="C165"/>
    </row>
    <row r="166" spans="2:3">
      <c r="B166" s="26"/>
      <c r="C166"/>
    </row>
    <row r="167" spans="2:3">
      <c r="B167" s="26"/>
      <c r="C167"/>
    </row>
    <row r="168" spans="2:3">
      <c r="B168" s="26"/>
      <c r="C168"/>
    </row>
    <row r="169" spans="2:3">
      <c r="B169" s="26"/>
      <c r="C169"/>
    </row>
    <row r="170" spans="2:3">
      <c r="B170" s="26"/>
      <c r="C170"/>
    </row>
    <row r="171" spans="2:3">
      <c r="B171" s="26"/>
      <c r="C171"/>
    </row>
    <row r="172" spans="2:3">
      <c r="B172" s="26"/>
      <c r="C172"/>
    </row>
    <row r="173" spans="2:3">
      <c r="B173" s="26"/>
      <c r="C173"/>
    </row>
    <row r="174" spans="2:3">
      <c r="B174" s="26"/>
      <c r="C174"/>
    </row>
    <row r="175" spans="2:3">
      <c r="B175" s="26"/>
      <c r="C175"/>
    </row>
    <row r="176" spans="2:3">
      <c r="B176" s="26"/>
      <c r="C176"/>
    </row>
    <row r="177" spans="2:3">
      <c r="B177" s="26"/>
      <c r="C177"/>
    </row>
    <row r="178" spans="2:3">
      <c r="B178" s="26"/>
      <c r="C178"/>
    </row>
    <row r="179" spans="2:3">
      <c r="B179" s="26"/>
      <c r="C179"/>
    </row>
    <row r="180" spans="2:3">
      <c r="B180" s="26"/>
      <c r="C180"/>
    </row>
    <row r="181" spans="2:3">
      <c r="B181" s="26"/>
      <c r="C181"/>
    </row>
    <row r="182" spans="2:3">
      <c r="B182" s="26"/>
      <c r="C182"/>
    </row>
    <row r="183" spans="2:3">
      <c r="B183" s="26"/>
      <c r="C183"/>
    </row>
    <row r="184" spans="2:3">
      <c r="B184" s="26"/>
      <c r="C184"/>
    </row>
    <row r="185" spans="2:3">
      <c r="B185" s="26"/>
      <c r="C185"/>
    </row>
    <row r="186" spans="2:3">
      <c r="B186" s="26"/>
      <c r="C186"/>
    </row>
    <row r="187" spans="2:3">
      <c r="B187" s="26"/>
      <c r="C187"/>
    </row>
    <row r="188" spans="2:3">
      <c r="B188" s="26"/>
      <c r="C188"/>
    </row>
    <row r="189" spans="2:3">
      <c r="B189" s="26"/>
      <c r="C189"/>
    </row>
    <row r="190" spans="2:3">
      <c r="B190" s="26"/>
      <c r="C190"/>
    </row>
    <row r="191" spans="2:3">
      <c r="B191" s="26"/>
      <c r="C191"/>
    </row>
    <row r="192" spans="2:3">
      <c r="B192" s="26"/>
      <c r="C192"/>
    </row>
    <row r="193" spans="2:3">
      <c r="B193" s="26"/>
      <c r="C193"/>
    </row>
    <row r="194" spans="2:3">
      <c r="B194" s="26"/>
      <c r="C194"/>
    </row>
    <row r="195" spans="2:3">
      <c r="B195" s="26"/>
      <c r="C195"/>
    </row>
    <row r="196" spans="2:3">
      <c r="B196" s="26"/>
      <c r="C196"/>
    </row>
    <row r="197" spans="2:3">
      <c r="B197" s="26"/>
      <c r="C197"/>
    </row>
    <row r="198" spans="2:3">
      <c r="B198" s="26"/>
      <c r="C198"/>
    </row>
    <row r="199" spans="2:3">
      <c r="B199" s="26"/>
      <c r="C199"/>
    </row>
    <row r="200" spans="2:3">
      <c r="B200" s="26"/>
      <c r="C200"/>
    </row>
    <row r="201" spans="2:3">
      <c r="B201" s="26"/>
      <c r="C201"/>
    </row>
    <row r="202" spans="2:3">
      <c r="B202" s="26"/>
      <c r="C202"/>
    </row>
    <row r="203" spans="2:3">
      <c r="B203" s="26"/>
      <c r="C203"/>
    </row>
    <row r="204" spans="2:3">
      <c r="B204" s="26"/>
      <c r="C204"/>
    </row>
    <row r="205" spans="2:3">
      <c r="B205" s="26"/>
      <c r="C205"/>
    </row>
    <row r="206" spans="2:3">
      <c r="B206" s="26"/>
      <c r="C206"/>
    </row>
    <row r="207" spans="2:3">
      <c r="B207" s="26"/>
      <c r="C207"/>
    </row>
    <row r="208" spans="2:3">
      <c r="B208" s="26"/>
      <c r="C208"/>
    </row>
    <row r="209" spans="2:3">
      <c r="B209" s="26"/>
      <c r="C209"/>
    </row>
    <row r="210" spans="2:3">
      <c r="B210" s="26"/>
      <c r="C210"/>
    </row>
    <row r="211" spans="2:3">
      <c r="B211" s="26"/>
      <c r="C211"/>
    </row>
    <row r="212" spans="2:3">
      <c r="B212" s="26"/>
      <c r="C212"/>
    </row>
    <row r="213" spans="2:3">
      <c r="B213" s="26"/>
      <c r="C213"/>
    </row>
    <row r="214" spans="2:3">
      <c r="B214" s="26"/>
      <c r="C214"/>
    </row>
    <row r="215" spans="2:3">
      <c r="B215" s="26"/>
      <c r="C215"/>
    </row>
    <row r="216" spans="2:3">
      <c r="B216" s="26"/>
      <c r="C216"/>
    </row>
    <row r="217" spans="2:3">
      <c r="B217" s="26"/>
      <c r="C217"/>
    </row>
    <row r="218" spans="2:3">
      <c r="B218" s="26"/>
      <c r="C218"/>
    </row>
    <row r="219" spans="2:3">
      <c r="B219" s="26"/>
      <c r="C219"/>
    </row>
    <row r="220" spans="2:3">
      <c r="B220" s="26"/>
      <c r="C220"/>
    </row>
    <row r="221" spans="2:3">
      <c r="B221" s="26"/>
      <c r="C221"/>
    </row>
    <row r="222" spans="2:3">
      <c r="B222" s="26"/>
      <c r="C222"/>
    </row>
    <row r="223" spans="2:3">
      <c r="B223" s="26"/>
      <c r="C223"/>
    </row>
    <row r="224" spans="2:3">
      <c r="B224" s="26"/>
      <c r="C224"/>
    </row>
    <row r="225" spans="2:3">
      <c r="B225" s="26"/>
      <c r="C225"/>
    </row>
    <row r="226" spans="2:3">
      <c r="B226" s="26"/>
      <c r="C226"/>
    </row>
    <row r="227" spans="2:3">
      <c r="B227" s="26"/>
      <c r="C227"/>
    </row>
    <row r="228" spans="2:3">
      <c r="B228" s="26"/>
      <c r="C228"/>
    </row>
    <row r="229" spans="2:3">
      <c r="B229" s="26"/>
      <c r="C229"/>
    </row>
    <row r="230" spans="2:3">
      <c r="B230" s="26"/>
      <c r="C230"/>
    </row>
    <row r="231" spans="2:3">
      <c r="B231" s="26"/>
      <c r="C231"/>
    </row>
    <row r="232" spans="2:3">
      <c r="B232" s="26"/>
      <c r="C232"/>
    </row>
    <row r="233" spans="2:3">
      <c r="B233" s="26"/>
      <c r="C233"/>
    </row>
    <row r="234" spans="2:3">
      <c r="B234" s="26"/>
      <c r="C234"/>
    </row>
    <row r="235" spans="2:3">
      <c r="B235" s="26"/>
      <c r="C235"/>
    </row>
    <row r="236" spans="2:3">
      <c r="B236" s="26"/>
      <c r="C236"/>
    </row>
    <row r="237" spans="2:3">
      <c r="B237" s="26"/>
      <c r="C237"/>
    </row>
    <row r="238" spans="2:3">
      <c r="B238" s="26"/>
      <c r="C238" s="26" t="s">
        <v>70</v>
      </c>
    </row>
    <row r="239" spans="2:3">
      <c r="B239" s="26"/>
      <c r="C239" s="26" t="s">
        <v>71</v>
      </c>
    </row>
    <row r="240" spans="2:3">
      <c r="B240" s="26"/>
      <c r="C240"/>
    </row>
    <row r="241" spans="2:3">
      <c r="B241" s="26"/>
      <c r="C241"/>
    </row>
    <row r="242" spans="2:3">
      <c r="B242" s="26"/>
      <c r="C242"/>
    </row>
    <row r="243" spans="2:3">
      <c r="B243" s="26"/>
      <c r="C243"/>
    </row>
    <row r="244" spans="2:3">
      <c r="B244" s="26"/>
      <c r="C244"/>
    </row>
    <row r="245" spans="2:3">
      <c r="B245" s="26"/>
      <c r="C245"/>
    </row>
    <row r="246" spans="2:3">
      <c r="B246" s="26"/>
      <c r="C246"/>
    </row>
    <row r="247" spans="2:3">
      <c r="B247" s="26"/>
      <c r="C247"/>
    </row>
    <row r="248" spans="2:3">
      <c r="B248" s="26"/>
      <c r="C248"/>
    </row>
    <row r="249" spans="2:3">
      <c r="B249" s="26"/>
      <c r="C249"/>
    </row>
    <row r="250" spans="2:3">
      <c r="B250" s="26"/>
      <c r="C250"/>
    </row>
    <row r="251" spans="2:3">
      <c r="B251" s="26"/>
      <c r="C251"/>
    </row>
    <row r="252" spans="2:3">
      <c r="B252" s="26"/>
      <c r="C252"/>
    </row>
    <row r="253" spans="2:3">
      <c r="B253" s="26"/>
      <c r="C253"/>
    </row>
    <row r="254" spans="2:3">
      <c r="B254" s="26"/>
      <c r="C254"/>
    </row>
    <row r="255" spans="2:3">
      <c r="B255" s="26"/>
      <c r="C255"/>
    </row>
    <row r="256" spans="2:3">
      <c r="B256" s="26"/>
      <c r="C256"/>
    </row>
    <row r="257" spans="2:3">
      <c r="B257" s="26"/>
      <c r="C257"/>
    </row>
    <row r="258" spans="2:3">
      <c r="B258" s="26"/>
      <c r="C258"/>
    </row>
    <row r="259" spans="2:3">
      <c r="B259" s="26"/>
      <c r="C259"/>
    </row>
    <row r="260" spans="2:3">
      <c r="B260" s="26"/>
      <c r="C260"/>
    </row>
    <row r="261" spans="2:3">
      <c r="B261" s="26"/>
      <c r="C261"/>
    </row>
    <row r="262" spans="2:3">
      <c r="B262" s="26"/>
      <c r="C262"/>
    </row>
    <row r="263" spans="2:3">
      <c r="B263" s="26"/>
      <c r="C263"/>
    </row>
    <row r="264" spans="2:3">
      <c r="B264" s="26"/>
      <c r="C264"/>
    </row>
    <row r="265" spans="2:3">
      <c r="B265" s="26"/>
      <c r="C265"/>
    </row>
    <row r="266" spans="2:3">
      <c r="B266" s="26"/>
      <c r="C266"/>
    </row>
    <row r="267" spans="2:3">
      <c r="B267" s="26"/>
      <c r="C267"/>
    </row>
    <row r="268" spans="2:3">
      <c r="B268" s="26"/>
      <c r="C268"/>
    </row>
    <row r="269" spans="2:3">
      <c r="B269" s="26"/>
      <c r="C269"/>
    </row>
    <row r="270" spans="2:3">
      <c r="B270" s="26"/>
      <c r="C270"/>
    </row>
    <row r="271" spans="2:3">
      <c r="B271" s="26"/>
      <c r="C271"/>
    </row>
    <row r="272" spans="2:3">
      <c r="B272" s="26"/>
      <c r="C272"/>
    </row>
    <row r="273" spans="2:3">
      <c r="B273" s="26"/>
      <c r="C273"/>
    </row>
    <row r="274" spans="2:3">
      <c r="B274" s="26"/>
      <c r="C274"/>
    </row>
    <row r="275" spans="2:3">
      <c r="B275" s="26"/>
      <c r="C275"/>
    </row>
    <row r="276" spans="2:3">
      <c r="B276" s="26"/>
      <c r="C276"/>
    </row>
    <row r="277" spans="2:3">
      <c r="B277" s="26"/>
      <c r="C277"/>
    </row>
    <row r="278" spans="2:3">
      <c r="B278" s="26"/>
      <c r="C278"/>
    </row>
    <row r="279" spans="2:3">
      <c r="B279" s="26"/>
      <c r="C279"/>
    </row>
    <row r="280" spans="2:3">
      <c r="B280" s="26"/>
      <c r="C280"/>
    </row>
    <row r="281" spans="2:3">
      <c r="B281" s="26"/>
      <c r="C281"/>
    </row>
    <row r="282" spans="2:3">
      <c r="B282" s="26"/>
      <c r="C282"/>
    </row>
    <row r="283" spans="2:3">
      <c r="B283" s="26"/>
      <c r="C283"/>
    </row>
    <row r="284" spans="2:3">
      <c r="B284" s="26"/>
      <c r="C284"/>
    </row>
    <row r="285" spans="2:3">
      <c r="B285" s="26"/>
      <c r="C285"/>
    </row>
    <row r="286" spans="2:3">
      <c r="B286" s="26"/>
      <c r="C286"/>
    </row>
    <row r="287" spans="2:3">
      <c r="B287" s="26"/>
      <c r="C287"/>
    </row>
    <row r="288" spans="2:3">
      <c r="B288" s="26"/>
      <c r="C288"/>
    </row>
    <row r="289" spans="2:3">
      <c r="B289" s="26"/>
      <c r="C289"/>
    </row>
    <row r="290" spans="2:3">
      <c r="B290" s="26"/>
      <c r="C290"/>
    </row>
    <row r="291" spans="2:3">
      <c r="B291" s="26"/>
      <c r="C291"/>
    </row>
    <row r="292" spans="2:3">
      <c r="B292" s="26"/>
      <c r="C292"/>
    </row>
    <row r="293" spans="2:3">
      <c r="B293" s="26"/>
      <c r="C293"/>
    </row>
    <row r="294" spans="2:3">
      <c r="B294" s="26"/>
      <c r="C294"/>
    </row>
    <row r="295" spans="2:3">
      <c r="B295" s="26"/>
      <c r="C295"/>
    </row>
    <row r="296" spans="2:3">
      <c r="B296" s="26"/>
      <c r="C296"/>
    </row>
    <row r="297" spans="2:3">
      <c r="B297" s="26"/>
      <c r="C297"/>
    </row>
    <row r="298" spans="2:3">
      <c r="B298" s="26"/>
      <c r="C298"/>
    </row>
    <row r="299" spans="2:3">
      <c r="B299" s="26"/>
      <c r="C299"/>
    </row>
    <row r="300" spans="2:3">
      <c r="B300" s="26"/>
      <c r="C300"/>
    </row>
    <row r="301" spans="2:3">
      <c r="B301" s="26"/>
      <c r="C301"/>
    </row>
    <row r="302" spans="2:3">
      <c r="B302" s="26"/>
      <c r="C302"/>
    </row>
    <row r="303" spans="2:3">
      <c r="B303" s="26"/>
      <c r="C303"/>
    </row>
    <row r="304" spans="2:3">
      <c r="B304" s="26"/>
      <c r="C304"/>
    </row>
    <row r="305" spans="2:3">
      <c r="B305" s="26"/>
      <c r="C305"/>
    </row>
    <row r="306" spans="2:3">
      <c r="B306" s="26"/>
      <c r="C306"/>
    </row>
    <row r="307" spans="2:3">
      <c r="B307" s="26"/>
      <c r="C307"/>
    </row>
    <row r="308" spans="2:3">
      <c r="B308" s="26"/>
      <c r="C308"/>
    </row>
    <row r="309" spans="2:3">
      <c r="B309" s="26"/>
      <c r="C309"/>
    </row>
    <row r="310" spans="2:3">
      <c r="B310" s="26"/>
      <c r="C310"/>
    </row>
    <row r="311" spans="2:3">
      <c r="B311" s="26"/>
      <c r="C311"/>
    </row>
    <row r="312" spans="2:3">
      <c r="B312" s="26"/>
      <c r="C312"/>
    </row>
    <row r="313" spans="2:3">
      <c r="B313" s="26"/>
      <c r="C313"/>
    </row>
    <row r="314" spans="2:3">
      <c r="B314" s="26"/>
      <c r="C314"/>
    </row>
    <row r="315" spans="2:3">
      <c r="B315" s="26"/>
      <c r="C315"/>
    </row>
    <row r="316" spans="2:3">
      <c r="B316" s="26"/>
      <c r="C316"/>
    </row>
    <row r="317" spans="2:3">
      <c r="B317" s="26"/>
      <c r="C317"/>
    </row>
    <row r="318" spans="2:3">
      <c r="B318" s="26"/>
      <c r="C318"/>
    </row>
    <row r="319" spans="2:3">
      <c r="B319" s="26"/>
      <c r="C319"/>
    </row>
    <row r="320" spans="2:3">
      <c r="B320" s="26"/>
      <c r="C320" s="26" t="s">
        <v>72</v>
      </c>
    </row>
    <row r="321" spans="2:3">
      <c r="B321" s="26"/>
      <c r="C321"/>
    </row>
    <row r="322" spans="2:3">
      <c r="B322" s="26"/>
      <c r="C322"/>
    </row>
    <row r="323" spans="2:3">
      <c r="B323" s="26"/>
      <c r="C323"/>
    </row>
    <row r="324" spans="2:3">
      <c r="B324" s="26"/>
      <c r="C324"/>
    </row>
    <row r="325" spans="2:3">
      <c r="B325" s="26"/>
      <c r="C325"/>
    </row>
    <row r="326" spans="2:3">
      <c r="B326" s="26"/>
      <c r="C326"/>
    </row>
    <row r="327" spans="2:3">
      <c r="B327" s="26"/>
      <c r="C327"/>
    </row>
    <row r="328" spans="2:3">
      <c r="B328" s="26"/>
      <c r="C328"/>
    </row>
    <row r="329" spans="2:3">
      <c r="B329" s="26"/>
      <c r="C329"/>
    </row>
    <row r="330" spans="2:3">
      <c r="B330" s="26"/>
      <c r="C330"/>
    </row>
    <row r="331" spans="2:3">
      <c r="B331" s="26"/>
      <c r="C331"/>
    </row>
    <row r="332" spans="2:3">
      <c r="B332" s="26"/>
      <c r="C332"/>
    </row>
    <row r="333" spans="2:3">
      <c r="B333" s="26"/>
      <c r="C333"/>
    </row>
    <row r="334" spans="2:3">
      <c r="B334" s="26"/>
      <c r="C334"/>
    </row>
    <row r="335" spans="2:3">
      <c r="B335" s="26"/>
      <c r="C335"/>
    </row>
    <row r="336" spans="2:3">
      <c r="B336" s="26"/>
      <c r="C336"/>
    </row>
    <row r="337" spans="2:3">
      <c r="B337" s="26"/>
      <c r="C337"/>
    </row>
    <row r="338" spans="2:3">
      <c r="B338" s="26"/>
      <c r="C338"/>
    </row>
    <row r="339" spans="2:3">
      <c r="B339" s="26"/>
      <c r="C339"/>
    </row>
    <row r="340" spans="2:3">
      <c r="B340" s="26"/>
      <c r="C340"/>
    </row>
    <row r="341" spans="2:3">
      <c r="B341" s="26"/>
      <c r="C341"/>
    </row>
    <row r="342" spans="2:3">
      <c r="B342" s="26"/>
      <c r="C342"/>
    </row>
    <row r="343" spans="2:3">
      <c r="B343" s="26"/>
      <c r="C343"/>
    </row>
    <row r="344" spans="2:3">
      <c r="B344" s="26"/>
      <c r="C344"/>
    </row>
    <row r="345" spans="2:3">
      <c r="B345" s="26"/>
      <c r="C345"/>
    </row>
    <row r="346" spans="2:3">
      <c r="B346" s="26"/>
      <c r="C346"/>
    </row>
    <row r="347" spans="2:3">
      <c r="B347" s="26"/>
      <c r="C347"/>
    </row>
    <row r="348" spans="2:3">
      <c r="B348" s="26"/>
      <c r="C348"/>
    </row>
    <row r="349" spans="2:3">
      <c r="B349" s="26"/>
      <c r="C349"/>
    </row>
    <row r="350" spans="2:3">
      <c r="B350" s="26"/>
      <c r="C350"/>
    </row>
    <row r="351" spans="2:3">
      <c r="B351" s="26"/>
      <c r="C351"/>
    </row>
    <row r="352" spans="2:3">
      <c r="B352" s="26"/>
      <c r="C352"/>
    </row>
    <row r="353" spans="2:3">
      <c r="B353" s="26"/>
      <c r="C353"/>
    </row>
    <row r="354" spans="2:3">
      <c r="B354" s="26"/>
      <c r="C354"/>
    </row>
    <row r="355" spans="2:3">
      <c r="B355" s="26"/>
      <c r="C355"/>
    </row>
    <row r="356" spans="2:3">
      <c r="B356" s="26"/>
      <c r="C356"/>
    </row>
    <row r="357" spans="2:3">
      <c r="B357" s="26"/>
      <c r="C357"/>
    </row>
    <row r="358" spans="2:3">
      <c r="B358" s="26"/>
      <c r="C358"/>
    </row>
    <row r="359" spans="2:3">
      <c r="B359" s="26"/>
      <c r="C359"/>
    </row>
    <row r="360" spans="2:3">
      <c r="B360" s="26"/>
      <c r="C360"/>
    </row>
    <row r="361" spans="2:3">
      <c r="B361" s="26"/>
      <c r="C361"/>
    </row>
    <row r="362" spans="2:3">
      <c r="B362" s="26"/>
      <c r="C362"/>
    </row>
    <row r="363" spans="2:3">
      <c r="B363" s="26"/>
      <c r="C363"/>
    </row>
    <row r="364" spans="2:3">
      <c r="B364" s="26"/>
      <c r="C364"/>
    </row>
    <row r="365" spans="2:3">
      <c r="B365" s="26"/>
      <c r="C365"/>
    </row>
    <row r="366" spans="2:3">
      <c r="B366" s="26"/>
      <c r="C366"/>
    </row>
    <row r="367" spans="2:3">
      <c r="B367" s="26"/>
      <c r="C367"/>
    </row>
    <row r="368" spans="2:3">
      <c r="B368" s="26"/>
      <c r="C368"/>
    </row>
    <row r="369" spans="2:3">
      <c r="B369" s="26"/>
      <c r="C369"/>
    </row>
    <row r="370" spans="2:3">
      <c r="B370" s="26"/>
      <c r="C370"/>
    </row>
    <row r="371" spans="2:3">
      <c r="B371" s="26"/>
      <c r="C371"/>
    </row>
    <row r="372" spans="2:3">
      <c r="B372" s="26"/>
      <c r="C372"/>
    </row>
    <row r="373" spans="2:3">
      <c r="B373" s="26"/>
      <c r="C373"/>
    </row>
    <row r="374" spans="2:3">
      <c r="B374" s="26"/>
      <c r="C374"/>
    </row>
    <row r="375" spans="2:3">
      <c r="B375" s="26"/>
      <c r="C375"/>
    </row>
    <row r="376" spans="2:3">
      <c r="B376" s="26"/>
      <c r="C376"/>
    </row>
    <row r="377" spans="2:3">
      <c r="B377" s="26"/>
      <c r="C377"/>
    </row>
    <row r="378" spans="2:3">
      <c r="B378" s="26"/>
      <c r="C378"/>
    </row>
    <row r="379" spans="2:3">
      <c r="B379" s="26"/>
      <c r="C379"/>
    </row>
    <row r="380" spans="2:3">
      <c r="B380" s="26"/>
      <c r="C380"/>
    </row>
    <row r="381" spans="2:3">
      <c r="B381" s="26"/>
      <c r="C381"/>
    </row>
    <row r="382" spans="2:3">
      <c r="B382" s="26"/>
      <c r="C382"/>
    </row>
    <row r="383" spans="2:3">
      <c r="B383" s="26"/>
      <c r="C383"/>
    </row>
    <row r="384" spans="2:3">
      <c r="B384" s="26"/>
      <c r="C384"/>
    </row>
    <row r="385" spans="2:3">
      <c r="B385" s="26"/>
      <c r="C385"/>
    </row>
    <row r="386" spans="2:3">
      <c r="B386" s="26"/>
      <c r="C386"/>
    </row>
    <row r="387" spans="2:3">
      <c r="B387" s="26"/>
      <c r="C387"/>
    </row>
    <row r="388" spans="2:3">
      <c r="B388" s="26"/>
      <c r="C388"/>
    </row>
    <row r="389" spans="2:3">
      <c r="B389" s="26"/>
      <c r="C389"/>
    </row>
    <row r="390" spans="2:3">
      <c r="B390" s="26"/>
      <c r="C390"/>
    </row>
    <row r="391" spans="2:3">
      <c r="B391" s="26"/>
      <c r="C391"/>
    </row>
    <row r="392" spans="2:3">
      <c r="B392" s="26"/>
      <c r="C392"/>
    </row>
    <row r="393" spans="2:3">
      <c r="B393" s="26"/>
      <c r="C393"/>
    </row>
    <row r="394" spans="2:3">
      <c r="B394" s="26"/>
      <c r="C394"/>
    </row>
    <row r="395" spans="2:3">
      <c r="B395" s="26"/>
      <c r="C395"/>
    </row>
    <row r="396" spans="2:3">
      <c r="B396" s="26"/>
      <c r="C396"/>
    </row>
    <row r="397" spans="2:3">
      <c r="B397" s="26"/>
      <c r="C397"/>
    </row>
    <row r="398" spans="2:3">
      <c r="B398" s="26"/>
      <c r="C398"/>
    </row>
    <row r="399" spans="2:3">
      <c r="B399" s="26"/>
      <c r="C399"/>
    </row>
    <row r="400" spans="2:3">
      <c r="B400" s="26"/>
      <c r="C400"/>
    </row>
    <row r="401" spans="2:3">
      <c r="B401" s="26"/>
      <c r="C401"/>
    </row>
    <row r="402" spans="2:3">
      <c r="B402" s="26"/>
      <c r="C402"/>
    </row>
    <row r="403" spans="2:3">
      <c r="B403" s="26"/>
      <c r="C403"/>
    </row>
    <row r="404" spans="2:3">
      <c r="B404" s="26"/>
      <c r="C404"/>
    </row>
    <row r="405" spans="2:3">
      <c r="B405" s="26"/>
      <c r="C405"/>
    </row>
    <row r="406" spans="2:3">
      <c r="B406" s="26"/>
      <c r="C406"/>
    </row>
    <row r="407" spans="2:3">
      <c r="B407" s="26"/>
      <c r="C407"/>
    </row>
    <row r="408" spans="2:3">
      <c r="B408" s="26"/>
      <c r="C408"/>
    </row>
    <row r="409" spans="2:3">
      <c r="B409" s="26"/>
      <c r="C409"/>
    </row>
    <row r="410" spans="2:3">
      <c r="B410" s="26"/>
      <c r="C410"/>
    </row>
    <row r="411" spans="2:3">
      <c r="B411" s="26"/>
      <c r="C411"/>
    </row>
    <row r="412" spans="2:3">
      <c r="B412" s="26"/>
      <c r="C412"/>
    </row>
    <row r="413" spans="2:3">
      <c r="B413" s="26"/>
      <c r="C413"/>
    </row>
    <row r="414" spans="2:3">
      <c r="B414" s="26"/>
      <c r="C414"/>
    </row>
    <row r="415" spans="2:3">
      <c r="B415" s="26"/>
      <c r="C415"/>
    </row>
    <row r="416" spans="2:3">
      <c r="B416" s="26"/>
      <c r="C416"/>
    </row>
    <row r="417" spans="2:3">
      <c r="B417" s="26"/>
      <c r="C417"/>
    </row>
    <row r="418" spans="2:3">
      <c r="B418" s="26"/>
      <c r="C418"/>
    </row>
    <row r="419" spans="2:3">
      <c r="B419" s="26"/>
      <c r="C419"/>
    </row>
    <row r="420" spans="2:3">
      <c r="B420" s="26"/>
      <c r="C420"/>
    </row>
    <row r="421" spans="2:3">
      <c r="B421" s="26"/>
      <c r="C421"/>
    </row>
    <row r="422" spans="2:3">
      <c r="B422" s="26"/>
      <c r="C422"/>
    </row>
    <row r="423" spans="2:3">
      <c r="B423" s="26"/>
      <c r="C423"/>
    </row>
    <row r="424" spans="2:3">
      <c r="B424" s="26"/>
      <c r="C424"/>
    </row>
    <row r="425" spans="2:3">
      <c r="B425" s="26"/>
      <c r="C425"/>
    </row>
    <row r="426" spans="2:3">
      <c r="B426" s="26"/>
      <c r="C426"/>
    </row>
    <row r="427" spans="2:3">
      <c r="B427" s="26"/>
      <c r="C427"/>
    </row>
  </sheetData>
  <pageMargins left="0.7" right="0.7" top="0.75" bottom="0.75" header="0.3" footer="0.3"/>
  <pageSetup paperSize="9"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input</vt:lpstr>
      <vt:lpstr>results</vt:lpstr>
      <vt:lpstr>manual</vt:lpstr>
      <vt:lpstr>teo</vt:lpstr>
      <vt:lpstr>c.char</vt:lpstr>
      <vt:lpstr>endtime</vt:lpstr>
      <vt:lpstr>fi.len</vt:lpstr>
      <vt:lpstr>logonmode</vt:lpstr>
      <vt:lpstr>projectname</vt:lpstr>
      <vt:lpstr>starttime</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Oleg Levchun</dc:creator>
  <cp:lastModifiedBy>plpool</cp:lastModifiedBy>
  <cp:lastPrinted>2015-05-04T09:22:28Z</cp:lastPrinted>
  <dcterms:created xsi:type="dcterms:W3CDTF">2014-11-18T17:16:50Z</dcterms:created>
  <dcterms:modified xsi:type="dcterms:W3CDTF">2019-04-17T10:37:22Z</dcterms:modified>
</cp:coreProperties>
</file>