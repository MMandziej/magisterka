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F:\"/>
    </mc:Choice>
  </mc:AlternateContent>
  <bookViews>
    <workbookView xWindow="0" yWindow="0" windowWidth="24000" windowHeight="9600" firstSheet="1" activeTab="1"/>
  </bookViews>
  <sheets>
    <sheet name="input" sheetId="1" r:id="rId1"/>
    <sheet name="results" sheetId="3" r:id="rId2"/>
    <sheet name="manual" sheetId="4" r:id="rId3"/>
    <sheet name="teo" sheetId="5" state="hidden" r:id="rId4"/>
  </sheets>
  <definedNames>
    <definedName name="_xlnm._FilterDatabase" localSheetId="0" hidden="1">input!#REF!</definedName>
    <definedName name="_xlnm._FilterDatabase" localSheetId="1" hidden="1">results!#REF!</definedName>
    <definedName name="c.char">teo!$D$1</definedName>
    <definedName name="cell">#REF!</definedName>
    <definedName name="cnt">#REF!</definedName>
    <definedName name="cnt_nr">#REF!</definedName>
    <definedName name="cntnr">#REF!</definedName>
    <definedName name="endtime">input!$C$5</definedName>
    <definedName name="fi.len">teo!$C$1</definedName>
    <definedName name="logonmode">input!$C$3</definedName>
    <definedName name="projectname">input!$C$7</definedName>
    <definedName name="starttime">input!$C$4</definedName>
  </definedNames>
  <calcPr calcId="162913"/>
</workbook>
</file>

<file path=xl/calcChain.xml><?xml version="1.0" encoding="utf-8"?>
<calcChain xmlns="http://schemas.openxmlformats.org/spreadsheetml/2006/main">
  <c r="O11" i="1" l="1"/>
  <c r="P11" i="1"/>
  <c r="Q11" i="1"/>
  <c r="N11" i="1"/>
  <c r="C6" i="1" l="1"/>
  <c r="C4" i="5" l="1"/>
  <c r="D4" i="5" s="1"/>
  <c r="E4" i="5" s="1"/>
  <c r="F4" i="5" s="1"/>
  <c r="C5" i="5"/>
  <c r="D5" i="5" s="1"/>
  <c r="E5" i="5" s="1"/>
  <c r="F5" i="5" s="1"/>
</calcChain>
</file>

<file path=xl/comments1.xml><?xml version="1.0" encoding="utf-8"?>
<comments xmlns="http://schemas.openxmlformats.org/spreadsheetml/2006/main">
  <authors>
    <author>project</author>
  </authors>
  <commentList>
    <comment ref="G11" authorId="0" shapeId="0">
      <text>
        <r>
          <rPr>
            <b/>
            <sz val="9"/>
            <color indexed="81"/>
            <rFont val="Tahoma"/>
            <family val="2"/>
            <charset val="238"/>
          </rPr>
          <t>project:</t>
        </r>
        <r>
          <rPr>
            <sz val="9"/>
            <color indexed="81"/>
            <rFont val="Tahoma"/>
            <family val="2"/>
            <charset val="238"/>
          </rPr>
          <t xml:space="preserve">
0 na początku nie jest wymagane</t>
        </r>
      </text>
    </comment>
    <comment ref="H11" authorId="0" shapeId="0">
      <text>
        <r>
          <rPr>
            <b/>
            <sz val="9"/>
            <color indexed="81"/>
            <rFont val="Tahoma"/>
            <family val="2"/>
            <charset val="238"/>
          </rPr>
          <t>project:</t>
        </r>
        <r>
          <rPr>
            <sz val="9"/>
            <color indexed="81"/>
            <rFont val="Tahoma"/>
            <family val="2"/>
            <charset val="238"/>
          </rPr>
          <t xml:space="preserve">
0 na początku nie jest wymagane</t>
        </r>
      </text>
    </comment>
    <comment ref="I11" authorId="0" shapeId="0">
      <text>
        <r>
          <rPr>
            <b/>
            <sz val="9"/>
            <color indexed="81"/>
            <rFont val="Tahoma"/>
            <family val="2"/>
            <charset val="238"/>
          </rPr>
          <t>project:</t>
        </r>
        <r>
          <rPr>
            <sz val="9"/>
            <color indexed="81"/>
            <rFont val="Tahoma"/>
            <family val="2"/>
            <charset val="238"/>
          </rPr>
          <t xml:space="preserve">
0 na początku nie jest wymagane</t>
        </r>
      </text>
    </comment>
    <comment ref="L11" authorId="0" shapeId="0">
      <text>
        <r>
          <rPr>
            <b/>
            <sz val="9"/>
            <color indexed="81"/>
            <rFont val="Tahoma"/>
            <family val="2"/>
            <charset val="238"/>
          </rPr>
          <t>project:</t>
        </r>
        <r>
          <rPr>
            <sz val="9"/>
            <color indexed="81"/>
            <rFont val="Tahoma"/>
            <family val="2"/>
            <charset val="238"/>
          </rPr>
          <t xml:space="preserve">
tak wpisujemy kod 01-234</t>
        </r>
      </text>
    </comment>
    <comment ref="U11" authorId="0" shapeId="0">
      <text>
        <r>
          <rPr>
            <b/>
            <sz val="9"/>
            <color indexed="81"/>
            <rFont val="Tahoma"/>
            <family val="2"/>
            <charset val="238"/>
          </rPr>
          <t>project:</t>
        </r>
        <r>
          <rPr>
            <sz val="9"/>
            <color indexed="81"/>
            <rFont val="Tahoma"/>
            <family val="2"/>
            <charset val="238"/>
          </rPr>
          <t xml:space="preserve">
0 na początku nie jest wymagane</t>
        </r>
      </text>
    </comment>
    <comment ref="V11" authorId="0" shapeId="0">
      <text>
        <r>
          <rPr>
            <b/>
            <sz val="9"/>
            <color indexed="81"/>
            <rFont val="Tahoma"/>
            <family val="2"/>
            <charset val="238"/>
          </rPr>
          <t>project:</t>
        </r>
        <r>
          <rPr>
            <sz val="9"/>
            <color indexed="81"/>
            <rFont val="Tahoma"/>
            <family val="2"/>
            <charset val="238"/>
          </rPr>
          <t xml:space="preserve">
0 na początku nie jest wymagane</t>
        </r>
      </text>
    </comment>
    <comment ref="Z11" authorId="0" shapeId="0">
      <text>
        <r>
          <rPr>
            <b/>
            <sz val="9"/>
            <color indexed="81"/>
            <rFont val="Tahoma"/>
            <family val="2"/>
            <charset val="238"/>
          </rPr>
          <t>project:</t>
        </r>
        <r>
          <rPr>
            <sz val="9"/>
            <color indexed="81"/>
            <rFont val="Tahoma"/>
            <family val="2"/>
            <charset val="238"/>
          </rPr>
          <t xml:space="preserve">
tak wpisujemy kod 01-234</t>
        </r>
      </text>
    </comment>
    <comment ref="H13" authorId="0" shapeId="0">
      <text>
        <r>
          <rPr>
            <b/>
            <sz val="9"/>
            <color indexed="81"/>
            <rFont val="Tahoma"/>
            <family val="2"/>
            <charset val="238"/>
          </rPr>
          <t>project:</t>
        </r>
        <r>
          <rPr>
            <sz val="9"/>
            <color indexed="81"/>
            <rFont val="Tahoma"/>
            <family val="2"/>
            <charset val="238"/>
          </rPr>
          <t xml:space="preserve">
0 na początku nie jest wymagane</t>
        </r>
      </text>
    </comment>
  </commentList>
</comments>
</file>

<file path=xl/sharedStrings.xml><?xml version="1.0" encoding="utf-8"?>
<sst xmlns="http://schemas.openxmlformats.org/spreadsheetml/2006/main" count="668" uniqueCount="459">
  <si>
    <t>Nazwa</t>
  </si>
  <si>
    <t>KRS</t>
  </si>
  <si>
    <t>REGON</t>
  </si>
  <si>
    <t>NIP</t>
  </si>
  <si>
    <t>Ulica</t>
  </si>
  <si>
    <t>Miejscowosc</t>
  </si>
  <si>
    <t>Nazwa_podmiotu</t>
  </si>
  <si>
    <t>Imie</t>
  </si>
  <si>
    <t>typ</t>
  </si>
  <si>
    <t>key</t>
  </si>
  <si>
    <t>hit</t>
  </si>
  <si>
    <t>nazwa</t>
  </si>
  <si>
    <t>Wynik</t>
  </si>
  <si>
    <t>Test</t>
  </si>
  <si>
    <t>link</t>
  </si>
  <si>
    <t>Press [Start] button to start a search.</t>
  </si>
  <si>
    <t>ZIP</t>
  </si>
  <si>
    <t>Brak dokumentów spełniających kryteria zapytania.</t>
  </si>
  <si>
    <t>- the search was not performed for the search key. Please, consider to include such item in the re-search list.</t>
  </si>
  <si>
    <r>
      <t xml:space="preserve">Please note - search keys outside a table will </t>
    </r>
    <r>
      <rPr>
        <b/>
        <sz val="11"/>
        <color theme="1"/>
        <rFont val="Arial"/>
        <family val="2"/>
        <charset val="238"/>
        <scheme val="minor"/>
      </rPr>
      <t xml:space="preserve">not </t>
    </r>
    <r>
      <rPr>
        <sz val="11"/>
        <color theme="1"/>
        <rFont val="Arial"/>
        <family val="2"/>
        <scheme val="minor"/>
      </rPr>
      <t xml:space="preserve">be </t>
    </r>
    <r>
      <rPr>
        <b/>
        <sz val="11"/>
        <color theme="1"/>
        <rFont val="Arial"/>
        <family val="2"/>
        <charset val="238"/>
        <scheme val="minor"/>
      </rPr>
      <t>included</t>
    </r>
  </si>
  <si>
    <t>in the search process and results output.</t>
  </si>
  <si>
    <t>Results will be described in column "Wynik" and will appear on the [results] worksheet.</t>
  </si>
  <si>
    <t>Raw data appears on the [tech] worksheet.</t>
  </si>
  <si>
    <r>
      <t xml:space="preserve">Please be advised that cleared content is </t>
    </r>
    <r>
      <rPr>
        <b/>
        <sz val="11"/>
        <color rgb="FFFF0000"/>
        <rFont val="Arial"/>
        <family val="2"/>
        <charset val="238"/>
        <scheme val="minor"/>
      </rPr>
      <t>not recoverable</t>
    </r>
    <r>
      <rPr>
        <sz val="11"/>
        <color theme="1"/>
        <rFont val="Arial"/>
        <family val="2"/>
        <scheme val="minor"/>
      </rPr>
      <t>,</t>
    </r>
  </si>
  <si>
    <r>
      <rPr>
        <b/>
        <sz val="11"/>
        <color rgb="FFFF0000"/>
        <rFont val="Arial"/>
        <family val="2"/>
        <charset val="238"/>
        <scheme val="minor"/>
      </rPr>
      <t>make sure</t>
    </r>
    <r>
      <rPr>
        <sz val="11"/>
        <color theme="1"/>
        <rFont val="Arial"/>
        <family val="2"/>
        <scheme val="minor"/>
      </rPr>
      <t xml:space="preserve"> that nobody needs it.</t>
    </r>
  </si>
  <si>
    <t>Put "1" into column [Test] to perform a test search. Test search will return only quantities for search keys.</t>
  </si>
  <si>
    <t>len</t>
  </si>
  <si>
    <t>Out</t>
  </si>
  <si>
    <t>transform</t>
  </si>
  <si>
    <t>In2</t>
  </si>
  <si>
    <t>in</t>
  </si>
  <si>
    <t>#</t>
  </si>
  <si>
    <t>field length:</t>
  </si>
  <si>
    <t>KAPITAL</t>
  </si>
  <si>
    <t>data_wpisu_do_rejestru</t>
  </si>
  <si>
    <t>adres</t>
  </si>
  <si>
    <t>wojewodztwo</t>
  </si>
  <si>
    <t>powiat</t>
  </si>
  <si>
    <t>gmina</t>
  </si>
  <si>
    <t>miejsowosc</t>
  </si>
  <si>
    <t>www</t>
  </si>
  <si>
    <t>email</t>
  </si>
  <si>
    <t>reprezentacja</t>
  </si>
  <si>
    <t>wspolnicy</t>
  </si>
  <si>
    <t>nadzor</t>
  </si>
  <si>
    <t>cel_dzialania_organizacji</t>
  </si>
  <si>
    <t>informacje_o_zlozonych_sprawozdaniach</t>
  </si>
  <si>
    <t>jedyny_akcjonariusz</t>
  </si>
  <si>
    <t>kurator</t>
  </si>
  <si>
    <t>likwidacja</t>
  </si>
  <si>
    <t>oddzialy</t>
  </si>
  <si>
    <t>ogloszenia</t>
  </si>
  <si>
    <t>organ_zalozycielski_podmiot_tworzacy</t>
  </si>
  <si>
    <t>osoba_powolana</t>
  </si>
  <si>
    <t>partnerzy</t>
  </si>
  <si>
    <t>podmioty_przejete</t>
  </si>
  <si>
    <t>postepowanie_upadlosciowe</t>
  </si>
  <si>
    <t>powstanie</t>
  </si>
  <si>
    <t>przedmiot_dzialalnosci</t>
  </si>
  <si>
    <t>przeksztalcenie</t>
  </si>
  <si>
    <t>raporty_handlowe_infocredit</t>
  </si>
  <si>
    <t>rozwiazanie_uniewaznienie</t>
  </si>
  <si>
    <t>sprawozdania_finansowe</t>
  </si>
  <si>
    <t>uwagi</t>
  </si>
  <si>
    <t>data_wykreslenia_z_KRS</t>
  </si>
  <si>
    <t>ulica</t>
  </si>
  <si>
    <t>Podmiot_Osoba</t>
  </si>
  <si>
    <t>History</t>
  </si>
  <si>
    <t>history_hit</t>
  </si>
  <si>
    <t>MSiG</t>
  </si>
  <si>
    <t>$key[$i][$c_input] == 0 then $output_string = $t_input.ListColumns("Wynik").DataBodyRange; $input_i = $i + 1</t>
  </si>
  <si>
    <t>$key[$i][$c_input] == 1 then $output_string = $t_input2.ListColumns("Wynik").DataBodyRange; $input_i = $i - $t_input.listrows.count + 1 end</t>
  </si>
  <si>
    <t>$key[$i][$c_history] != 1 then</t>
  </si>
  <si>
    <t>logon</t>
  </si>
  <si>
    <t>QC_entityBox</t>
  </si>
  <si>
    <t>postepowanie_ukladowe</t>
  </si>
  <si>
    <t>zarzad_komisaryczny</t>
  </si>
  <si>
    <t>Comment</t>
  </si>
  <si>
    <t>MSiG_data</t>
  </si>
  <si>
    <t>MSiG_nr_wpisu</t>
  </si>
  <si>
    <t>End:</t>
  </si>
  <si>
    <t>Start:</t>
  </si>
  <si>
    <t>Warszawa</t>
  </si>
  <si>
    <t>links</t>
  </si>
  <si>
    <t>Project:</t>
  </si>
  <si>
    <t>Spend:</t>
  </si>
  <si>
    <t>Results:</t>
  </si>
  <si>
    <t>Source:</t>
  </si>
  <si>
    <t>postepowanie_naprawcze</t>
  </si>
  <si>
    <t>zawieszenie/wznowienie_wykonywanej_dzialalnosci</t>
  </si>
  <si>
    <t>pwc</t>
  </si>
  <si>
    <t>Kowalski</t>
  </si>
  <si>
    <t>Grzybowska</t>
  </si>
  <si>
    <t>Use this field anyway you like</t>
  </si>
  <si>
    <t>Leave this field empty</t>
  </si>
  <si>
    <t>See the manual</t>
  </si>
  <si>
    <t>Put "1" into column [History] to perform a history search. Then whole entity history will be downloaded.</t>
  </si>
  <si>
    <t>Press [Clear Input] button to clear search keys and results on [results] tab.</t>
  </si>
  <si>
    <t>Press [Clear Results] button to clear results on [results] tab.</t>
  </si>
  <si>
    <t>- as is.</t>
  </si>
  <si>
    <t>Niepoprawny numer</t>
  </si>
  <si>
    <t>Jan</t>
  </si>
  <si>
    <t>projekt</t>
  </si>
  <si>
    <t>Login to [wolterskluwer.pl] with password</t>
  </si>
  <si>
    <t>PESEL</t>
  </si>
  <si>
    <t>1 of 24</t>
  </si>
  <si>
    <t>https://lex.online.wolterskluwer.pl/WKPLOnline/index.rpc?fromHistory=false&amp;leftNodeId=lmtree-item-219813&amp;lmId=lm_baza#content.rpc?nro=603990470&amp;wersja=10</t>
  </si>
  <si>
    <t>MSiG-KRS.2008.60.34337</t>
  </si>
  <si>
    <t>ZAKŁAD TELEKOMUNIKACYJNY „ŚWIĘTY OLAF" SPÓŁKA Z OGRANICZONĄ ODPOWIEDZIALNOŚCIĄ</t>
  </si>
  <si>
    <t>spółka z o.o.</t>
  </si>
  <si>
    <t>9289000 PLN</t>
  </si>
  <si>
    <t>Ul. MARSZAŁKA JÓZEFA PIŁSUDSKIEGO 64, 10-450 OLSZTYN</t>
  </si>
  <si>
    <t>WARMIŃSKO-MAZURSKIE</t>
  </si>
  <si>
    <t>Olsztyn</t>
  </si>
  <si>
    <t xml:space="preserve">Ul. MARSZAŁKA JÓZEFA PIŁSUDSKIEGO 64, </t>
  </si>
  <si>
    <t>10-450</t>
  </si>
  <si>
    <t>REPREZENTACJA
SPOSÓB REPREZENTACJI: W PRZYPADKU ZARZĄDU WIELOOSOBOWEGO SPÓŁKA MOŻE BYĆ REPREZENTOWANA PRZEZ PREZESA ZARZĄDU SAMODZIELNIE ALBO PRZEZ KAŻDEGO Z POZOSTAŁYCH CZŁONKÓW ZARZĄDU DZIAŁAJĄCYCH ŁĄCZNIE Z PREZESEM ZARZĄDU
ZARZĄD SPÓŁKI:
KRAWCZYK KAZIMIERZ STEFAN PESEL: 50021901871 PREZES ZARZĄDU</t>
  </si>
  <si>
    <t>WSPÓLNICY
KATOLICKIE STOWARZYSZENIE SPOŁECZNO - GOSPODARCZE DIECEZJI WARMIŃSKIEJ IM. STANISŁAWA KARDYNAŁA HOZJUSZA REGON: 510500660 udział: 18.578 UDZIAŁÓW PO 500 ZŁ KAŻDY O ŁĄCZNEJ WYSOKOŚCI 9.289.000 ZŁ udział całościowy: TAK</t>
  </si>
  <si>
    <t>POSTĘPOWANIE UPADŁOŚCIOWE
OGŁOSZENIE: SĄD REJONOWY WYDZIAŁ V GOSPODARCZY W OLSZTYNIE SYGNATURA LUB INNE OZNACZENIE SPRAWY V GU 72/04 DATA WYDANIA 15.09.2004
ZAKOŃCZENIE: POSTANOWIENIEM SĄDU REJONOWEGO W OLSZTYNIE, SĄDU GOSPODARCZEGO, WYDZIAŁU V GOSPODARCZEGO SYGN.AKT V GUP 20/04 STWIERDZONO UKOŃCZENIE POSTĘPOWANIA UPADŁOŚCIOWEGO DATA 20.12.2007
SPOSÓB PROWADZENIA: PROWADZENIE UPADLOŚCI OBEJMUJĄCEJ LIKWIDACJĘ MAJĄTKU DŁUŻNIKA
SYNDYK:
WASILEWSKI JAN PESEL: 58062303771</t>
  </si>
  <si>
    <t>PRZEDMIOT DZIAŁALNOŚCI</t>
  </si>
  <si>
    <t>OGŁOSZENIA
MSiG-Ogl.2008.8.485 KRS  6200 2008.01.11
V GUp 20/04
Postanowienie o ukończeniu postępowania upadłościowego
ZAKŁAD TELEKOMUNIKACYJNY „ŚWIĘTY OLAF" SPÓŁKA Z OGRANICZONĄ ODPOWIEDZIALNOŚCIĄ sp. z o.o.; w Olsztynie
Sąd Rejonowy w Olsztynie,  V   Gospodarczy
MSiG-Ogl.2007.200.12766 KRS  6200 2007.10.15
V GUp 20/04
ogłoszenie o możliwości przegląd. planu podziału
ZAKŁAD TELEKOMUNIKACYJNY „ŚWIĘTY OLAF" SPÓŁKA Z OGRANICZONĄ ODPOWIEDZIALNOŚCIĄ sp. z o.o.; w Olsztynie
Sąd Rejonowy w Olsztynie,  V   Gospodarczy
MSiG-Ogl.2005.127.7741 KRS  6200 2005.07.01
V GUp 20/04
ogłoszenie o sporządzeniu i przekazaniu Sędziemu...
ZAKŁAD TELEKOMUNIKACYJNY „ŚWIĘTY OLAF" SPÓŁKA Z OGRANICZONĄ ODPOWIEDZIALNOŚCIĄ sp. z o.o.; w Olsztynie
Sąd Rejonowy w Olsztynie,  V   Gospodarczy
wszystkie ogłoszenia</t>
  </si>
  <si>
    <t>INFORMACJE O ZŁOŻONYCH SPRAWOZDANIACH
data złożenia 30.03.2007 okres 2006 ROK
okres za jaki złożono dokument OD 15.09.2004 R. DO 31.12.2004 R. data złożenia 17.03.2005
okres za jaki złożono dokument 01.01.2002 R. - 31.12.2002 R. data złożenia 17.04.2003
okres za jaki złożono dokument OD 01 STYCZNIA 2001 ROKU DO 31 GRUDNIA 2001 ROKU data ztożenia 04.10.2002
okres zajaki złożono dokument 01.01.2000 R.-31.12.2000 R. data złożenia 03.10.2001</t>
  </si>
  <si>
    <t>RAPORTY HANDLOWE INFOCREDIT
brak dostępnego raportu finansowego InfoCredit dla danego podmiotu</t>
  </si>
  <si>
    <t>SPRAWOZDANIA FINANSOWE
Sprawozdanie z KRS.2006 KRS  6200 2006.12.31
sprawozdanie finansowe   2006
ZAKŁAD TELEKOMUNIKACYJNY ŚWIĘTY OLAF SPÓŁKA Z OGRANICZONĄ ODPOWIEDZIALNOŚCIĄ sp. z o.o.; w Olsztynie
Sprawozdanie z KRS.2004 KRS  6200 2004.12.31
sprawozdanie finansowe   2004
ZAKŁAD TELEKOMUNIKACYJNY ŚWIĘTY OLAF SPÓŁKA Z OGRANICZONĄ ODPOWIEDZIALNOŚCIĄ sp. z o.o.; w Olsztynie
Sprawozdanie z KRS.2003 KRS  6200 2004.09.14
sprawozdanie finansowe   2003   2004
ZAKŁAD TELEKOMUNIKACYJNY ŚWIĘTY OLAF SPÓŁKA Z OGRANICZONĄ ODPOWIEDZIALNOŚCIĄ sp. z o.o.; w Olsztynie
wszystkie sprawozdania</t>
  </si>
  <si>
    <t>UWAGI
Wpis 12 z dnia 2008.03.07; Wykreślenie wszystkich wpisów z Krajowego Rejestru Sądowego, wpis nie jest prawomocny
Data uprawomocnienia wykreślenia z KRS: 2008.04.03</t>
  </si>
  <si>
    <t>9 of 9</t>
  </si>
  <si>
    <t>2 of 24</t>
  </si>
  <si>
    <t>https://lex.online.wolterskluwer.pl/WKPLOnline/index.rpc?fromHistory=false&amp;leftNodeId=lmtree-item-219813&amp;lmId=lm_baza#content.rpc?nro=604071324&amp;wersja=44</t>
  </si>
  <si>
    <t>MSiG-KRS.2018.117.192705</t>
  </si>
  <si>
    <t>TOWER-SERVICE SPÓŁKA Z OGRANICZONĄ ODPOWIEDZIALNOŚCIĄ</t>
  </si>
  <si>
    <t>200.000 PLN</t>
  </si>
  <si>
    <t>Ul. CHAŁUBIŃSKIEGO TYTUSA 8, 00-613 WARSZAWA</t>
  </si>
  <si>
    <t>MAZOWIECKIE</t>
  </si>
  <si>
    <t xml:space="preserve">Ul. CHAŁUBIŃSKIEGO TYTUSA 8, </t>
  </si>
  <si>
    <t>00-613</t>
  </si>
  <si>
    <t>REPREZENTACJA
SPOSÓB REPREZENTACJI: DO SKŁADANIA OŚWIADCZEŃ W ZAKRESIE PRAW I OBOWlĄZKÓW MAJĄTKOWYCH I NIEMAJĄTKOWYCH ORAZ PODPISYWANIA W IMIENIU SPÓŁKI UPOWAŻNIENI SĄ DZIAŁAJĄCY ŁĄCZNIE - DWAJ CZŁONKOWIE ZARZĄDU ALBO JEDEN CZŁONEK ZARZĄDU Z PROKURENTEM.
ZARZĄD:
MAZURKIEWICZ BEATA ANNA PESEL: 69091800803 CZŁONEK ZARZĄDU
PROKURENCI:
JÓZEPCZUK IWONA MAŁGORZATA PESEL: 60011004008 ŁĄCZNA</t>
  </si>
  <si>
    <t>WSPÓLNICY
BANK HANDLOWY W WARSZAWIE SPÓŁKA AKCYJNA REGON: 000013037 KRS: 1538 udział: 503 Udziały o łącznej wartości 100.600 zł udział całościowy: NIE
WARSAW PLAZA HOLDING SPÓŁKA Z OGRANICZONĄ ODPOWIEDZIALNOŚCIĄ REGON: 140700861 KRS: 268177 udział: 194 UDZIAŁY O ŁĄCZNEJ WYSOKOŚCI 38.800 ZŁOTYCH udział całościowy: NIE
CORKTREE FPROP SPÓŁKA Z OGRANICZONĄ ODPOWIEDZIALNOŚCIĄ REGON: 140764393 KRS: 268715 udział: 503 UDZIAŁY O ŁĄCZNEJ WYSOKOŚCI 100.600 ZŁOTYCH udział całościowy: NIE
ELEKTRIM SPÓŁKA AKCYJNA REGON: 000144058 udział: 134 UDZIAŁY O ŁĄCZNEJ WARTOŚCI 26.800 ZŁ udział całościowy: NIE</t>
  </si>
  <si>
    <t>NADZÓR
RADA NADZORCZA:
RODAK ZBIGNIEW ALEKSANDER PESEL: 64071700298
NAPIERAJ ZBIGNIEW WŁADYSŁAW PESEL: 50060301850
KISZKA PRZEMYSŁAW MICHAŁ PESEL: 77050408751
OLEŚKIEWICZ EDYTA ANNA PESEL: 76090408307
JALOWSKI PIOTR TOMASZ PESEL: 65062708291</t>
  </si>
  <si>
    <t>INFORMACJE O ZŁOŻONYCH SPRAWOZDANIACH
data złożenia 21.05.2018 okres OD 01.01.2017 DO 31.12.2017
data złożenia 19.06.2017 okres OD 01.01.2016 DO 31.12.2016
data złożenia 15.06.2016 okres OD 01.01.2015 DO 31.12.2015
data złożenia 03.06.2015 okres OD 01.01.2014 DO 31.12.2014
data złożenia 25.06.2014 okres OD 01.01.2013 DO 31.12.2013
data złożenia 19.06.2013 okres 01.01.2012 - 31.12.2012
data złożenia 21.06.2012 okres 01.01.2011 - 31.12.2011
data złożenia 13.07.2011 okres 01.01.2010 - 31.12.2010
data złożenia 28.06.2010 okres 01.01.2009-31.12.2009
data złożenia 06.08.2009 okres 01.01.2008 - 31.12.2008
data złożenia 03.07.2008 okres 01.01.2007 - 31.12.2007
data złożenia 26.06.2007 okres 01.01.2006-31.12.2006
data złożenia 26.06.2006 okres 01.01.2005 - - 31.12.2005
okres za jaki złożono dokument 01.01.2004 - 31.12.2004 data złożenia 24.06.2005
okres za jaki złożono dokument 01.01.2003 - 31.12.2003 data złożenia 06.07.2004
okres za jaki złożono dokument 01.01.2002 - 31.12.2002 data złożenia 03.07.2003
okres za jaki złożono dokument 01.01.2001 - 31.12.2001 data złożenia 30.07.2002
okres za jaki złożono dokument 1.01.2000 - 31.12.2000 data złożenia 29.06.2001</t>
  </si>
  <si>
    <t>RAPORTY HANDLOWE INFOCREDIT
Dane zawarte w raporcie:
Aktualizuj raport
  Pobierz raport w formacie:
Profil finansowy (za lata 2013 2014 2015 2016 2017)
Wskaźniki finansowe (za lata 2017 2016 2015 2014 2013)
Zatrudnienie (za lata 2017)
Bilans (za lata 2017 2016 2015 2014 2013)
Rachunek zysków i strat (za lata 2017 2016 2015 2014 2013)
Audytor (za lata 2017)
  Wersja polska
Wersja angielska
Liczba punktów infocredit w subskrybcji: 1223</t>
  </si>
  <si>
    <t>SPRAWOZDANIA FINANSOWE
Sprawozdanie z KRS.2013 KRS  40318 2013.12.31
sprawozdanie finansowe   2013
TOWER-SERVICE SPÓŁKA Z OGRANICZONĄ ODPOWIEDZIALNOŚCIĄ sp. z o.o.
Sprawozdanie z KRS.2012 KRS  40318 2012.12.31
sprawozdanie finansowe   2012
TOWER-SERVICE SPÓŁKA Z OGRANICZONĄ ODPOWIEDZIALNOŚCIĄ sp. z o.o.
Sprawozdanie z KRS.2011 KRS  40318 2011.12.31
sprawozdanie finansowe   2011
TOWER-SERVICE SPÓŁKA Z OGRANICZONĄ ODPOWIEDZIALNOŚCIĄ sp. z o.o.
wszystkie sprawozdania</t>
  </si>
  <si>
    <t>7 of 7</t>
  </si>
  <si>
    <t>3 of 24</t>
  </si>
  <si>
    <t>https://lex.online.wolterskluwer.pl/WKPLOnline/index.rpc?fromHistory=false&amp;leftNodeId=lmtree-item-219813&amp;lmId=lm_baza#content.rpc?nro=604027136&amp;wersja=33</t>
  </si>
  <si>
    <t>MSiG-KRS.2018.187.485562</t>
  </si>
  <si>
    <t>PORT PRASKI SPÓŁKA Z OGRANICZONĄ ODPOWIEDZIALNOŚCIĄ</t>
  </si>
  <si>
    <t>159842200,00 ZŁ</t>
  </si>
  <si>
    <t>Ul. KROWIA 6, 03-711 WARSZAWA</t>
  </si>
  <si>
    <t xml:space="preserve">Ul. KROWIA 6, </t>
  </si>
  <si>
    <t>03-711</t>
  </si>
  <si>
    <t>REPREZENTACJA
SPOSÓB REPREZENTACJI: PRZY ZARZĄDZIE WIELOOSOBOWYM - DWÓCH CZŁONKÓW ZARZĄDU ŁĄCZNIE LUB JEDEN CZŁONEK ZARZĄDU ŁĄCZNIE Z PROKURENTEM LUB PREZES ZARZĄDU SAMODZIELNIE.
ZARZĄD:
PYKEL ADAM BOGDAN PESEL: 49060305414 PREZES ZARZĄDU</t>
  </si>
  <si>
    <t>WSPÓLNICY
EMBUD SPÓŁKA Z OGRANICZONĄ ODPOWIEDZIALNOŚCIĄ REGON: 017132346 KRS: 165473 udział: 1.070.000 UDZIAŁÓW O ŁĄCZNEJ WYSOKOŚCI 107.000.000,00 ZŁ udział całościowy: NIE
„ELEKTRIM" SPÓŁKA AKCYJNA REGON: 000144058 udział całościowy: NIE udział: ILOŚĆ: 528.422 ŁĄCZNA WYSOKOŚĆ: 52.842.200 ZŁ</t>
  </si>
  <si>
    <t>NADZÓR
wykreślono w poprzednich wpisach
zobacz w wersjach czasowych wątku</t>
  </si>
  <si>
    <t>INFORMACJE O ZŁOŻONYCH SPRAWOZDANIACH
data złożenia 06.07.2018 okres OD 01.01.2017 DO 31.12.2017
data złożenia 06.07.2017 okres OD 01.01.2016 DO 31.12.2016
data złożenia 06.04.2016 okres OD 01.01.2015 DO 31.12.2015
data złożenia 23.06.2015 okres OD 01.01.2014 DO 31.12.2014
data złożenia 20.05.2014 okres OD 01.01.2013 DO 31.12.2013
data złożenia 14.06.2013 okres 01.01.2012 - 31.12.2012
data złożenia 21.05.2012 okres 01.01.2011 - 31.12.2011
data złożenia 24.05.2011 okres 01.01.2010 - 31.12.2010
data złożenia 07.07.2010 okres 01.01.2009 - 31.12.2009
data złożenia 06.07.2009 okres 01.01.2008 - 31.12.2008
data złożenia 03.07.2008 okres OD 1.01.2007 DO 31.12.2007
data złożenia 09.07.2007 okres OD 01.01.2006 DO 31.12.2006
data zIożenia 06.07.2006 okres OD 01.01.2005 DO 31.12.2005
okres za jaki złożono dokument 01.01.2004 - 31.12.2004 data ztożenia 22.06.2005
okres za jaki złożono dokument OD 01.01.2003 R. DO 31.12.2003 R. data złożenia 15.04.2004
okres za jaki złożono dokument 01.01.2002 - 31.12.2002 data złożenia 27.08.2003
okres za jaki złożono dokument 01.01.2001 - 31.12.2001 data złożenia 12.07.2002
okres za jaki złożono dokument 01.01.2000-31.12.2000 data złożenia 30.03.2001</t>
  </si>
  <si>
    <t>RAPORTY HANDLOWE INFOCREDIT
Dane zawarte w raporcie:
Aktualizuj raport
  Pobierz raport w formacie:
Profil finansowy (za lata 2013 2014 2015 2016 2017)
Wskaźniki finansowe (za lata 2017 2016 2015 2014 2013)
Zatrudnienie (za lata 2017 2016)
Bilans (za lata 2017 2016 2015 2014 2013)
Rachunek zysków i strat (za lata 2017 2016 2015 2014 2013)
Audytor (za lata 2014)
  Wersja polska
Wersja angielska
Liczba punktów infocredit w subskrybcji: 1223</t>
  </si>
  <si>
    <t>SPRAWOZDANIA FINANSOWE
Sprawozdanie z KRS.2012 KRS  21118 2012.12.31
sprawozdanie finansowe   2012
PORT PRASKI SPÓŁKA Z OGRANICZONĄ ODPOWIEDZIALNOŚCIĄ sp. z o.o.; w Warszawie
Sprawozdanie z KRS.2011 KRS  21118 2011.12.31
sprawozdanie finansowe   2011
PORT PRASKI SPÓŁKA Z OGRANICZONĄ ODPOWIEDZIALNOŚCIĄ sp. z o.o.; w Warszawie
Sprawozdanie z KRS.2010 KRS  21118 2010.12.31
sprawozdanie finansowe   2010
PORT PRASKI SPÓŁKA Z OGRANICZONĄ ODPOWIEDZIALNOŚCIĄ sp. z o.o.; w Warszawie
wszystkie sprawozdania</t>
  </si>
  <si>
    <t>4 of 24</t>
  </si>
  <si>
    <t>https://lex.online.wolterskluwer.pl/WKPLOnline/index.rpc?fromHistory=false&amp;leftNodeId=lmtree-item-219813&amp;lmId=lm_baza#content.rpc?nro=604106547&amp;wersja=46</t>
  </si>
  <si>
    <t>MSiG-KRS.2018.219.991619</t>
  </si>
  <si>
    <t>POLTEL INVESTMENT SPÓŁKA Z OGRANICZONĄ ODPOWIEDZIALNOŚCIĄ</t>
  </si>
  <si>
    <t>10.008.089.700,00 PLN</t>
  </si>
  <si>
    <t>Ul. PLATER EMILII 53/1103A, 00-113 WARSZAWA</t>
  </si>
  <si>
    <t xml:space="preserve">Ul. PLATER EMILII 53/1103A, </t>
  </si>
  <si>
    <t>00-113</t>
  </si>
  <si>
    <t>REPREZENTACJA
SPOSÓB REPREZENTACJI: W PRZYPADKU ZARZĄDU JEDNOOSOBOWEGO DO DZIAŁANIA W IMIENIU I NA RZECZ SPÓŁKI, UPOWAŻNIONY JEST JEDEN CZŁONEK ZARZĄDU, DZIAŁAJĄCY SAMODZIELNIE. W PRZYPADKU ZARZĄDU WIELOOSOBOWEGO, DO DZIAŁANIA W IMIENIU I NA RZECZ SPÓŁKI UPOWAŻNIONYCH JEST DWÓCH CZŁONKÓW ZARZĄDU DZIAŁAJĄCYCH ŁĄCZNIE LUB JEDEN CZŁONEK ZARZĄDU DZIAŁAJĄCY ŁĄCZNIE Z PROKURENTEM
ZARZĄD:
GALAN PIERRE - HENRY CZŁONEK ZARZĄDU
GALAN PIERRE - HENRI PESEL: 56100818250 CZŁONEK ZARZĄDU</t>
  </si>
  <si>
    <t>WSPÓLNICY
VIVENDI SPÓŁKA AKCYJNA, SPÓŁKA PRAWA FRANCUSKIEGO udział: 100.080.897 UDZIAŁÓW O ŁĄCZNEJ WARTOŚCI 10.008.089.700,00 ZŁOTYCH udział całościowy: TAK</t>
  </si>
  <si>
    <t>INFORMACJE O ZŁOŻONYCH SPRAWOZDANIACH
data złożenia 23.07.2018 okres OD 01.01.2017 DO 31.12.2017
data złożenia 03.07.2017 okres OD 01.01.2016 DO 31.12.2016
data złożenia 09.06.2016 okres OD 01.01.2015 DO 31.12.2015
data złożenia 30.06.2015 okres OD 01.01.2014 DO 31.12.2014
data złożenia 14.07.2014 okres OD 01.01.2013 DO 31.12.2013
data złożenia 02.07.2013 okres 01.01.2012 - 31.12.2012
data złożenia 23.07.2012 okres 01.01.2011-31.12.2011
data złożenia 14.07.2011 okres 01.01.2010-31.12.2010
data złożenia 02.07.2010 okres 1 STYCZNIA 2009 31 GRUDNIA 2009
data złożenia 26.06.2009 okres 1 STYCZNIA 2008-31 GRUDNIA 2008
data złożenia 07.07.2008 okres 01.01.2007-31.12.2007
data złożenia 06.07.2007 okres 01.01.2006-31.12.2006
data złożenia 14.07.2006 okres OD 1 STYCZNIA 2005 R. DO 31 GRUDNIA 2005 R.
okres za jaki złożono dokument 1 STYCZNIA 2004 - 31 GRUDZIEŃ 2004 data złożenia 15.07.2005
okres za jaki złożono dokument 1 STYCZEŃ 2003 ROKU - 31 GRUDZIEŃ 2003 ROKU data złożenia 19.07.2004
okres za jaki złożono dokument 1 STYCZEŃ 2002 - 31 GRUDZIEŃ 2002 data złożenia 15.07.2003
okres za jaki zIożono dokument 1 STYCZNIA 2001 -31 GRUDNIA 2001 data złożenia 26.07.2002
okres za jaki złożono dokument 1 STYCZNIA 2000-31 GRUDNIA 2000 data złożenia 25.01.2001</t>
  </si>
  <si>
    <t>RAPORTY HANDLOWE INFOCREDIT
Dane zawarte w raporcie:
Aktualizuj raport
  Pobierz raport w formacie:
Profil finansowy (za lata 2012 2013 2014 2015 2016)
Bilans (za lata 2016 2015 2014 2013 2012)
Rachunek zysków i strat (za lata 2016 2015 2014 2013 2012)
Audytor (za lata 2015)
  Wersja polska
Wersja angielska
Liczba punktów infocredit w subskrybcji: 1223</t>
  </si>
  <si>
    <t>SPRAWOZDANIA FINANSOWE
M.P."B".2012.3211.17674 KRS  53678 2012.12.05
sprawozdanie finansowe   2011
ELEKTRIM TELEKOMUNIKACJA sp. z o.o.; w Warszawie ; PKD(EKD) 6190
M.P."B".2012.3211.17673 KRS  53678 2012.12.05
sprawozdanie finansowe   2010
ELEKTRIM TELEKOMUNIKACJA sp. z o.o.; w Warszawie ; PKD(EKD) 6190
M.P."B".2006.202.1194 KRS  53678 2006.01.24
sprawozdanie finansowe   2004
ELEKTRIM TELEKOMUNIKACJA sp. z o.o.; w Warszawie ; PKD(EKD) 6420
wszystkie sprawozdania</t>
  </si>
  <si>
    <t>5 of 24</t>
  </si>
  <si>
    <t>https://lex.online.wolterskluwer.pl/WKPLOnline/index.rpc?fromHistory=false&amp;leftNodeId=lmtree-item-219813&amp;lmId=lm_baza#content.rpc?nro=604042376&amp;wersja=1</t>
  </si>
  <si>
    <t>MSiG-KRS.2002.30.14934</t>
  </si>
  <si>
    <t>POLAND TELECOM OPERATORS SPÓŁKA Z OGRANICZONĄ ODPOWIEDZIALNOŚCIĄ W UPADŁOŚCI</t>
  </si>
  <si>
    <t>610000 PLN</t>
  </si>
  <si>
    <t>Ul. PAŃSKA 85, 00-834 WARSZAWA</t>
  </si>
  <si>
    <t xml:space="preserve">Ul. PAŃSKA 85, </t>
  </si>
  <si>
    <t>00-834</t>
  </si>
  <si>
    <t>REPREZENTACJA
SPOSÓB REPREZENTACJI: PRZY ZARZĄDZIE JEDNOOSOBOWYM - CZŁONEK ZARZĄDU Z PROKURENTEM LUB DWÓCH PROKURENTÓW, PRZY ZARZĄDZIE WIELOOSOBOWYM - DWÓCH CZŁONKÓW ZARZĄDU ŁĄCZNIE, CZŁONEK ZARZĄDU Z PROKURENTEM LUB DWÓCH PROKURENTÓW ŁĄCZNIE
ZARZĄD:
ŁACIŃSKI JAROMIR WACŁAW PESEL: 70100400516 PREZES ZARZĄDU</t>
  </si>
  <si>
    <t>WSPÓLNICY
POLSKA TELEFONIKA PRYWATNA LTD udział: 6000 UDZIAŁÓW udział całościowy: NIE
ELEKTRIM SPÓŁKA AKCYJNA REGON: 000144058 udział: 100 UDZIAŁÓW udział całościowy: NIE</t>
  </si>
  <si>
    <t>POSTĘPOWANIE UPADŁOŚCIOWE
OGŁOSZENIE: SĄD REJONOWY DLA M.ST.WARSZAWY WYDZIAŁ XVII GOSPODARCZY SYGNATURA LUB INNE OZNACZENIE SPRAWY U 254/00 DATA WYDANIA 09.08.2000
SYNDYK:
DOBKOWSKI BOGDAN PESEL: 44070300477</t>
  </si>
  <si>
    <t>UWAGI
Wpis 2 z dnia 2002.01.22; Wykreślenie wszystkich wpisów z Krajowego Rejestru Sądowego, wpis nie jest prawomocny
Data uprawomocnienia wykreślenia z KRS: 2002.02.07</t>
  </si>
  <si>
    <t>6 of 6</t>
  </si>
  <si>
    <t>6 of 24</t>
  </si>
  <si>
    <t>https://lex.online.wolterskluwer.pl/WKPLOnline/index.rpc?fromHistory=false&amp;leftNodeId=lmtree-item-219813&amp;lmId=lm_baza#content.rpc?nro=604158625&amp;wersja=18</t>
  </si>
  <si>
    <t>MSiG-KRS.2012.43.26294</t>
  </si>
  <si>
    <t>PAŃSKA KLUB SPÓŁKA Z OGRANICZONĄ ODPOWIEDZIALNOŚCIĄ W LIKWIDACJI</t>
  </si>
  <si>
    <t>606500,00 PLN</t>
  </si>
  <si>
    <t>Ul. PAŃSKA 77/79, 00-834 WARSZAWA</t>
  </si>
  <si>
    <t xml:space="preserve">Ul. PAŃSKA 77/79, </t>
  </si>
  <si>
    <t>REPREZENTACJA
wykreślono w poprzednich wpisach
zobacz w wersjach czasowych wątku</t>
  </si>
  <si>
    <t>WSPÓLNICY
ELEKTRIM SPÓŁKA AKCYJNA REGON: 000144058 KRS: 39329 udział: 6.065 UDZIAŁÓW O ŁĄCZNEJ WARTOŚCI 606.500 ZŁOTYCH udział całościowy: TAK</t>
  </si>
  <si>
    <t>LIKWIDACJA
OTWARCIE: 01.06.2011 UCHWAŁA NUMER 6/11 ZWYCZAJNEGO ZGROMADZENIA WSPÓLNIKÓW PAŃSKA KLUB SP. ZO.O. Z DNIA 01 CZERWCA 2011 R. O ROZWIĄZANIU SPÓŁKI, ASESOR NOTARIALNY ROBERT WRÓBLEWSKI, ZASTĘPCA NOTARIUSZA MAŁGORZATY PAŁGAN-PASZKA PROWADZĄCEJ KANCELARIĘ NOTARIALNĄ W WARSZAWIE PRZY UL. TERESPOLSKIEJ 4 LOK. 83 (REP. A NR 8751/2011)
SPOSÓB REPREZENTACJI: KAŻDY Z LIKWIDATORÓW SAMODZIELNIE
LIKWIDATOR:
WAWRZYNOWICZ PIOTR PESEL: 79102111978</t>
  </si>
  <si>
    <t>ROZWIĄZANIE/UNIEWAŻNIENIE
01.06.2011 UCHWAŁA NUMER 6/11 ZWYCZAJNEGO ZGROMADZENIA WSPÓLNIKÓW PAŃSKA KLUB SP. ZO.O. Z DNIA 01 CZERWCA 2011 R. O ROZWIĄZANIU SPÓŁKI, ASESOR NOTARIALNY ROBERT WRÓBLEWSKI, ZASTĘPCA NOTARIUSZA MAŁGORZATY PAŁGAN-PASZKA PROWADZĄCEJ KANCELARIĘ NOTARIALNĄ W WARSZAWIE PRZY UL. TERESPOLSKIEJ 4 LOK. 83 (REP. A NR 8751/2011)</t>
  </si>
  <si>
    <t>OGŁOSZENIA
MSiG-Ogl.2011.112.7603 KRS  68435 2011.06.10
ogłoszenie wymagane przez k.s.h.
PAŃSKA KLUB SPÓŁKA Z OGRANICZONĄ ODPOWIEDZIALNOŚCIĄ sp. z o.o.; w Warszawie
Sąd Rejonowy dla m. stoł. Warszawy w Warszawie,  XII   Gospodarczy - Krajowy Rejestr Sądowy
wszystkie ogłoszenia</t>
  </si>
  <si>
    <t>INFORMACJE O ZŁOŻONYCH SPRAWOZDANIACH
data złożenia 02.06.2011 okres 01.01.2010 - 31.12.2010
data złożenia 16.06.2010 okres 01.01.2009 - 31.12.2009
data złożenia 19.06.2009 okres 01.01.2008 - 31.12.2008
data złożenia 24.06.2008 okres 01.01.2007 - 31.12.2007
data złożenia 04.06.2007 okres 01.01.2006 - 31.12.2006
data zożenia 28.06.2006 okres 01.01.2005-31.12.2005
okres za jaki złożono dokument 01.01.2004 - 31.12.2004 data złożenia 01.07.2005
okres za jaki zIożono dokument 1 STYCZNIA 2003 R. - 31 GRUDNIA 2003 R. data złożenia 05.05.2004
okres za jaki złożono dokument 1 STYCZNIA DO 31 GRUDNIA 2002 R. data złożenia 23.05.2003
okres za jaki złożono dokument OD 1 STYCZNIA 2001 R. DO 31 GRUDNIA 2001 R. data złożenia 26.04.2002</t>
  </si>
  <si>
    <t>SPRAWOZDANIA FINANSOWE
Sprawozdanie z KRS.2006 KRS  68435 2006.12.31
sprawozdanie finansowe   2006
PAŃSKA KLUB SPÓŁKA Z OGRANICZONĄ ODPOWIEDZIALNOŚCIĄ W LIKWIDACJI sp. z o.o.; w Warszawie
Sprawozdanie z KRS.2005 KRS  68435 2005.12.31
sprawozdanie finansowe   2005
PAŃSKA KLUB SPÓŁKA Z OGRANICZONĄ ODPOWIEDZIALNOŚCIĄ W LIKWIDACJI sp. z o.o.; w Warszawie
Sprawozdanie z KRS.2004 KRS  68435 2004.12.31
sprawozdanie finansowe   2004
PAŃSKA KLUB SPÓŁKA Z OGRANICZONĄ ODPOWIEDZIALNOŚCIĄ W LIKWIDACJI sp. z o.o.; w Warszawie
wszystkie sprawozdania</t>
  </si>
  <si>
    <t>UWAGI
Wpis 19 z dnia 2012.02.14; Wykreślenie wszystkich wpisów z Krajowego Rejestru Sądowego, wpis nie jest prawomocny
Data uprawomocnienia wykreślenia z KRS: 2012.03.14</t>
  </si>
  <si>
    <t>10 of 10</t>
  </si>
  <si>
    <t>7 of 24</t>
  </si>
  <si>
    <t>https://lex.online.wolterskluwer.pl/WKPLOnline/index.rpc?fromHistory=false&amp;leftNodeId=lmtree-item-219813&amp;lmId=lm_baza#content.rpc?nro=604026317&amp;wersja=49</t>
  </si>
  <si>
    <t>MSiG-KRS.2019.32.69020</t>
  </si>
  <si>
    <t>PAK-VOLT SPÓŁKA AKCYJNA</t>
  </si>
  <si>
    <t>spółka akcyjna</t>
  </si>
  <si>
    <t>29500000,00 ZŁ</t>
  </si>
  <si>
    <t>REPREZENTACJA
SPOSÓB REPREZENTACJI: JEŻELI ZARZĄD JEST WIELOOSOBOWY, DO SKŁADANIA OŚWIADCZEŃ WOLI I PODPISYWANIA W IMIENIU SPÓŁKI UPRAWNIENI SĄ DWAJ CZŁONKOWIE ZARZĄDU ŁĄCZNIE ALBO CZŁONEK ZARZĄDU ŁĄCZNIE Z PROKURENTEM. W PRZYPADKU ZARZĄDU JEDNOOSOBOWEGO SPÓŁKĘ REPREZENTUJE PREZES ZARZĄDU.
ZARZĄD:
LATO-ŻUCHOWSKA ANETA PESEL: 67030208923 PREZES ZARZĄDU</t>
  </si>
  <si>
    <t>NADZÓR
RADA NADZORCZA:
ARTWIK ZYGMUNT JAN PESEL: 52060300211
PISKORZ WOJCIECH PIOTR PESEL: 74083001212
LATO-ŻUCHOWSKA ANETA PESEL: 67030208923
GINEL MARCIN WITOLD PESEL: 79010613616</t>
  </si>
  <si>
    <t>JEDYNY AKCJONARIUSZ
ZESPÓŁ ELEKTROWNI PĄTNÓW - ADAMÓW - KONIN SPÓŁKA AKCYJNA REGON: 310186795 KRS: 21374</t>
  </si>
  <si>
    <t>INFORMACJE O ZŁOŻONYCH SPRAWOZDANIACH
data złożenia 04.07.2018 okres OD 01.01.2017 DO 31.12.2017
data złożenia 03.07.2017 okres OD 01.01.2016 DO 31.12.2016
data złożenia 27.04.2016 okres OD 01.01.2015 DO 31.12.2015
data złożenia 20.05.2015 okres OD 01.01.2014 DO 31.12.2014
data złożenia 25.04.2014 okres OD 01.01.2013 DO 31.12.2013
data złożenia 03.06.2013 okres 01.01.2012 R. - 31.12.2012 R.
data złożenia 05.04.2012 okres 01.01.2011-31.12.2011
data złożenia 04.07.2011 okres 01.01.2010 - 31.12.2010
data złożenia 03.09.2010 okres 01.01.2009 - 31.12.2009
data złożenia 06.07.2009 okres 01.01.2008 - 31.12.2008
data złożenia 08.07.2008 okres 01.01.2007-31.12.2007
data złożenia 29.05.2007 okres 01.01.2006 -31.12.2006
data złożenia 11.07.2006 okres OD 01.01.2005 ROKU DO 31.12.2005 ROKU
okres za jaki złożono dokument 01.01.2004 - 31.12.2004 data złożenia 25.10.2005
okres za jaki ztożono dokument 1 STYCZNIA 2002 R. - 31 GRUDNIA 2002 R. data złożenia 26.10.2004
okres za jaki złożono dokument 1 STYCZNIA 2003 R. - 31 GRUDNIA 2003 R. data złożenia 26.10.2004
okres za jaki złożono dokument 01.01.2001 R.-31.12.2001 R. data złożenia 29.04.2002</t>
  </si>
  <si>
    <t>RAPORTY HANDLOWE INFOCREDIT
Dane zawarte w raporcie:
Aktualizuj raport
  Pobierz raport w formacie:
Profil finansowy (za lata 2013 2014 2015 2016 2017)
Wskaźniki finansowe (za lata 2017 2016 2015 2014 2013)
Zatrudnienie (za lata 2017 2016 2011 2010)
Bilans (za lata 2017 2016 2015 2014 2013)
Rachunek zysków i strat (za lata 2017 2016 2015 2014 2013)
Audytor (za lata 2017)
  Wersja polska
Wersja angielska
Liczba punktów infocredit w subskrybcji: 1223</t>
  </si>
  <si>
    <t>SPRAWOZDANIA FINANSOWE
M.P."B".2012.1140.6253 KRS  21500 2012.05.31
sprawozdanie finansowe   2011
ELEKTRIM - VOLT S.A.; w Warszawie ; PKD(EKD) 3513
M.P."B".2012.1094.5989 KRS  21500 2012.05.24
sprawozdanie finansowe   2010
ELEKTRIM - VOLT S.A.; w Warszawie ; PKD(EKD) 3513
M.P."B".2011.303.1696 KRS  21500 2011.02.14
sprawozdanie finansowe   2009
ELEKTRIM - VOLT S.A.; w Warszawie ; PKD(EKD) 4013
wszystkie sprawozdania</t>
  </si>
  <si>
    <t>8 of 24</t>
  </si>
  <si>
    <t>https://lex.online.wolterskluwer.pl/WKPLOnline/index.rpc?fromHistory=false&amp;leftNodeId=lmtree-item-219813&amp;lmId=lm_baza#content.rpc?nro=604374342&amp;wersja=34</t>
  </si>
  <si>
    <t>MSiG-KRS.2018.174.362310</t>
  </si>
  <si>
    <t>MEGADEX EXPO SPÓŁKA Z OGRANICZONĄ ODPOWIEDZIALNOŚCIĄ</t>
  </si>
  <si>
    <t>10136700,00 PLN</t>
  </si>
  <si>
    <t>Ul. WENDY TADEUSZA 7/9, 81-341 GDYNIA</t>
  </si>
  <si>
    <t>POMORSKIE</t>
  </si>
  <si>
    <t>Gdynia</t>
  </si>
  <si>
    <t xml:space="preserve">Ul. WENDY TADEUSZA 7/9, </t>
  </si>
  <si>
    <t>81-341</t>
  </si>
  <si>
    <t>REPREZENTACJA
SPOSÓB REPREZENTACJI: DO SKŁADANIA OŚWIADCZEŃ WOLI W ZAKRESIE PRAW I OBOWIĄZKÓW MAJĄTKOWYCH SPÓŁKI ORAZ DO SKŁADANIA PODPISU W IMIENIU SPÓŁKI UPOWAŻNIONY JEST PREZES ZARZĄDU JEDNOOSOBOWO
ZARZĄD SPÓŁKI:
LATO-ŻUCHOWSKA ANETA PESEL: 67030208923 PREZES ZARZĄDU</t>
  </si>
  <si>
    <t>WSPÓLNICY
ELEKTRIM SPÓŁKA AKCYJNA REGON: 000144058 KRS: 39329 udział: ilość 48.420 UDZIAŁÓW O ŁĄCZNEJ WYSOKOŚCI 4.842.000, OO PLN udział całościowy: NIE
MEGADEX DEVELOPMENT SPÓŁKA Z OGRANICZONĄ ODPOWIEDZIALNOŚCIĄ REGON: 015567301 KRS: 175944 udział: 52.947 UDZIAŁÓW O ŁĄCZNEJ WYSOKOŚCI 5.294.700,00 ZŁ udział całościowy: NIE</t>
  </si>
  <si>
    <t>NADZÓR
RADA NADZORCZA SPÓŁKI:
SYKUCKI SŁAWOMIR KRZYSZTOF PESEL: 59070202995
TABAKIERNIK WYSŁOCKA IWONA MARIA PESEL: 58092107262
PISKORZ WOJCIECH PIOTR PESEL: 74083001212</t>
  </si>
  <si>
    <t>OGŁOSZENIA
MSiG-Ogl.2003.249.13177 KRS  135353 2003.12.23
ogłoszenie wymagane przez k.s.h.
WSCHODNIOEUROPEJSKIE CENTRUM HANDLU „WORLD TRADE CENTER-GDYNIA-EXPO" SPÓŁKA Z OGRANICZONĄ ODPOWIEDZIALNOŚCIĄ sp. z o.o.; w Gdyni
wszystkie ogłoszenia</t>
  </si>
  <si>
    <t>INFORMACJE O ZŁOŻONYCH SPRAWOZDANIACH
data złożenia 27.06.2018 okres OD 01.01.2017 DO 31.12.2017
data złożenia 29.06.2017 okres OD 01.01.2016 DO 31.12.2016
data złożenia 12.05.2016 okres OD 01.01.2015 DO 31.12.2015
data złożenia 14.05.2015 okres OD 01.01.2014 DO 31.12.2014
data złożenia 04.06.2014 okres OD 01.01.2013 DO 31.12.2013
data złożenia 14.05.2013 okres 01.01.2012-31.12.2012
data złożenia 16.072012 okres 01.01.2011 - 31.12.2011
data złożenia 07.07.2011 okres 01.01.2010R. - 31.12.2010R.
data złożenia 06.07.2010 okres 01.01.2009 - 31.12.2009
data złożenia 26.06.2009 okres 01.01.2008 - 31.12.2008
data złożenia 08.04.2008 okres 01.01.2007-31.12.2007
data złożenia 05.06.2007 okres 01.01.2006 R. - 31.12.2006 R.
data złożenia 20.04.2006 okres 01.01.2005 - 31.12.2005
okres za jaki złożono dokument 01.01.2004-31.12.2004 R. data złożenia 13.06.2005
okres za jaki złożono dokument 01.01.2003 - 31.12.2003 data złożenia 09.07.2004
okres za jaki złożono dokument 01.01.2002 R. - 31.12.2002 R. data złożenia 27.06.2003</t>
  </si>
  <si>
    <t>RAPORTY HANDLOWE INFOCREDIT
Dane zawarte w raporcie:
Aktualizuj raport
  Pobierz raport w formacie:
Profil finansowy (za lata 2013 2014 2015 2016 2017)
Wskaźniki finansowe (za lata 2017 2016 2015 2014 2013)
Zatrudnienie (za lata 2017)
Bilans (za lata 2017 2016 2015 2014 2013)
Rachunek zysków i strat (za lata 2017 2016 2015 2014 2013)
  Wersja polska
Wersja angielska
Liczba punktów infocredit w subskrybcji: 1223</t>
  </si>
  <si>
    <t>SPRAWOZDANIA FINANSOWE
Sprawozdanie z KRS.2009 KRS  135353 2009.12.31
sprawozdanie finansowe   2009
MEGADEX EXPO SPÓŁKA Z OGRANICZONĄ ODPOWIEDZIALNOŚCIĄ sp. z o.o.; w Gdyni
Sprawozdanie z KRS.2005 KRS  135353 2005.12.31
sprawozdanie finansowe   2005
MEGADEX EXPO SPÓŁKA Z OGRANICZONĄ ODPOWIEDZIALNOŚCIĄ sp. z o.o.; w Gdyni
Sprawozdanie z KRS.2004 KRS  135353 2004.12.31
sprawozdanie finansowe   2004
MEGADEX EXPO SPÓŁKA Z OGRANICZONĄ ODPOWIEDZIALNOŚCIĄ sp. z o.o.; w Gdyni
wszystkie sprawozdania</t>
  </si>
  <si>
    <t>8 of 8</t>
  </si>
  <si>
    <t>9 of 24</t>
  </si>
  <si>
    <t>https://lex.online.wolterskluwer.pl/WKPLOnline/index.rpc?fromHistory=false&amp;leftNodeId=lmtree-item-219813&amp;lmId=lm_baza#content.rpc?nro=604680699&amp;wersja=15</t>
  </si>
  <si>
    <t>MSiG-KRS.2012.8.4279</t>
  </si>
  <si>
    <t>MEGA INVESTMENTS SPÓŁKA Z OGRANICZONĄ ODPOWIEDZIALNOŚCIĄ</t>
  </si>
  <si>
    <t>500850000,00 ZŁ</t>
  </si>
  <si>
    <t>Ul. CHAŁUBIŃSKIEGO 8/22: 71A, 00-613 WARSZAWA</t>
  </si>
  <si>
    <t xml:space="preserve">Ul. CHAŁUBIŃSKIEGO 8/22: 71A, </t>
  </si>
  <si>
    <t>REPREZENTACJA
SPOSÓB REPREZENTACJI: DO SKŁADANIA OŚWIADCZEŃ WOLI, DOKONYWANIA CZYNNOŚCI PRAWNYCH I PODPISYWANIA W IMIENIU SPÓŁKI UPRAWNIONY JEST: W PRZYPADKU ZARZĄDU JEDNOOSOBOWEGO PREZES ZARZĄDU SAMODZIELNIE, A W PRZYPADKU ZARZĄDU WIELOOSOBOWEGO PREZES ZARZĄDU SAMODZIELNIE LUB DWAJ CZŁONKOWIE ZARZĄDU ŁĄCZNIE.
ZARZĄD:
NIEBISZ ELŻBIETA BOGUMIŁA PESEL: 57011301860 PREZES ZARZĄDU</t>
  </si>
  <si>
    <t>WSPÓLNICY
ELEKTRIM SPÓŁKA AKCYJNA REGON: 000144058 KRS: 39329 udział: 1.001.700 UDZIAŁÓW O ŁĄCZNEJ WYSOKOŚCI 500.850.000,00 ZŁOTYCH udział całościowy: TAK</t>
  </si>
  <si>
    <t>PRZEKSZTAŁCENIE</t>
  </si>
  <si>
    <t>OGŁOSZENIA
MSiG-Ogl.2011.185.12149 KRS  222477 2011.09.23
ogłoszenie wymagane przez k.s.h.
MEGA INVESTMENTS SPÓŁKA Z OGRANICZONĄ ODPOWIEDZIALNOŚCIĄ sp. z o.o.; w Warszawie
Sąd Rejonowy dla m. stoł. Warszawy w Warszawie,  XII   Gospodarczy - Krajowy Rejestr Sądowy
wszystkie ogłoszenia</t>
  </si>
  <si>
    <t>INFORMACJE O ZŁOŻONYCH SPRAWOZDANIACH
data złożenia 08.07.2011 okres 2010 R.
data złożenia 02.07.2010 okres 01.01.2009 - 31.12.2009
data złożenia 13.11.2009 okres 01.01.2008 R. - 31.12.2008 R.
data złożenia 13.11.2009 okres 01.01.2005 R. - 31.12.2005 R.
data złożenia 13.11.2009 okres 01.01.2007 R. - 31.12.2007 R.
data złożenia 13.11.2009 okres 01.01.2006 R. - 31.12.2006 R.</t>
  </si>
  <si>
    <t>UWAGI
Wpis 16 z dnia 2011.12.29; Wykreślenie wszystkich wpisów z Krajowego Rejestru Sądowego, wpis nie jest prawomocny
Data uprawomocnienia wykreślenia z KRS: 2012.01.19</t>
  </si>
  <si>
    <t>10 of 24</t>
  </si>
  <si>
    <t>https://lex.online.wolterskluwer.pl/WKPLOnline/index.rpc?fromHistory=false&amp;leftNodeId=lmtree-item-219813&amp;lmId=lm_baza#content.rpc?nro=604102638&amp;wersja=23</t>
  </si>
  <si>
    <t>MSiG-KRS.2018.51.68542</t>
  </si>
  <si>
    <t>MAKLER MARKET SPÓŁKA Z OGRANICZONĄ ODPOWIEDZIALNOŚCIĄ</t>
  </si>
  <si>
    <t>80000,00 PLN</t>
  </si>
  <si>
    <t>Ul. GŁĘBOCKA 108A, 03-287 WARSZAWA</t>
  </si>
  <si>
    <t>www.maklermarket.pl</t>
  </si>
  <si>
    <t>maklermarket@maklermarket.pl</t>
  </si>
  <si>
    <t xml:space="preserve">Ul. GŁĘBOCKA 108A, </t>
  </si>
  <si>
    <t>03-287</t>
  </si>
  <si>
    <t>REPREZENTACJA
SPOSÓB REPREZENTACJI: PREZES ZARZĄDU SAMODZIELNIE LUB DWÓCH CZŁONKÓW ZARZĄDU ŁĄCZNIE LUB CZŁONEK ZARZĄDU ŁĄCZNIE Z PROKURENTEM.
ZARZĄD:
ŚLESZYCKI ZBIGNIEW WOJCIECH PESEL: 61031504415 PREZES ZARZĄDU</t>
  </si>
  <si>
    <t>WSPÓLNICY
ŚLESZYCKI ZBIGNIEW WOJCIECH PESEL: 61031504415 udział: 9 UDZIAŁÓW O ŁĄCZNEJ WYSOKOŚCI 72.000,00 PLN udział całościowy: NIE</t>
  </si>
  <si>
    <t>ODDZIAŁY</t>
  </si>
  <si>
    <t>POSTĘPOWANIE NAPRAWCZE
ROZPOCZĘCIE: SĄD REJONOWY W OLSZTYNIE WYDZIAŁ V GOSPODARCZY nr V GR 25/17 data 04.12.2017</t>
  </si>
  <si>
    <t>OGŁOSZENIA
MSiG-Ogl.2019.3.675 KRS  52489 2019.01.04
V GRs 6/17
ogłoszenie wymagane przez prawo restrukturyzacyjne
MAKLER MARKET SPÓŁKA Z OGRANICZONĄ ODPOWIEDZIALNOŚCIĄ sp. z o.o.; w Warszawie
Sąd Rejonowy w Olsztynie,  V   Gospodarczy
MSiG-Ogl.2018.67.14424 KRS  52489 2018.04.05
V GRs 6/17
ogłoszenie wymagane przez prawo restrukturyzacyjne
MAKLER MARKET SPÓŁKA Z OGRANICZONĄ ODPOWIEDZIALNOŚCIĄ sp. z o.o.; w Warszawie
Sąd Rejonowy w Olsztynie,  V   Gospodarczy
MSiG-Ogl.2017.245.47805 KRS  52489 2017.12.19
V GR 25/17, V GRs 6/17
ogłoszenie wymagane przez prawo restrukturyzacyjne
MAKLER MARKET SPÓŁKA Z OGRANICZONĄ ODPOWIEDZIALNOŚCIĄ sp. z o.o.; w Warszawie
Sąd Rejonowy w Olsztynie,  V   Gospodarczy
wszystkie ogłoszenia</t>
  </si>
  <si>
    <t>INFORMACJE O ZŁOŻONYCH SPRAWOZDANIACH
data złożenia 07.09.2017 okres OD 01.01.2014 DO 31.12.2014
data złożenia 07.09.2017 okres OD 01.01.2015 DO 31.12.2015
data złożenia 07.09.2017 okres OD 01.01.2016 DO 31.12.2016
data złożenia 15.07.2014 okres OD 01.01.2013 DO 31.12.2013
data złożenia 04.07.2013 okres 01.01.2012 - 31.12.2012
data złożenia 22.08.2012 okres 01.01.2011 - 31.12.2011
data złożenia 22.08.2012 okres 01.01.2009 - 31.12.2009
data złożenia 22.08.2012 okres 01.01.2010 - 31.12.2010
data złożenia 27.08.2009 okres 01.01.2008 - 31.12.2008
data złożenia 15.09.2008 okres 01.01.2007 - 31.12.2007
data złożenia 15.09.2008 okres 01.01.2006 - 31.12.2006
data złożenia 21.07.2006 okres 01.01.2005 - 31.12.2005
okres za jaki złożono dokument 01.01.2004 - 31.12.2004 data złożenia 22.07.2005
okres za jaki złożono dokument 01.01.2003 - 31.12.2003 data złożenia 01.07.2004
okres za jaki złożono dokument 01.01.2002 - 31.12.2002 data złożenia 07.08.2003
okres za jaki złożono dokument 2001 R. data złożenia 19.03.2002</t>
  </si>
  <si>
    <t>RAPORTY HANDLOWE INFOCREDIT
Dane zawarte w raporcie:
Aktualizuj raport
  Pobierz raport w formacie:
Profil finansowy (za lata 2011 2012 2013 2015 2016)
Wskaźniki finansowe (za lata 2016 2015 2013 2012 2011)
Bilans (za lata 2016 2015 2013 2012 2011)
Rachunek zysków i strat (za lata 2016 2015 2013 2012 2011)
  Wersja polska
Wersja angielska
Liczba punktów infocredit w subskrybcji: 1223</t>
  </si>
  <si>
    <t>SPRAWOZDANIA FINANSOWE
Sprawozdanie z KRS.2011 KRS  52489 2011.12.31
sprawozdanie finansowe   2011
MAKLER MARKET SPÓŁKA Z OGRANICZONĄ ODPOWIEDZIALNOŚCIĄ sp. z o.o.; w Warszawie
Sprawozdanie z KRS.2010 KRS  52489 2010.12.31
sprawozdanie finansowe   2010
MAKLER MARKET SPÓŁKA Z OGRANICZONĄ ODPOWIEDZIALNOŚCIĄ sp. z o.o.; w Warszawie
Sprawozdanie z KRS.2009 KRS  52489 2009.12.31
sprawozdanie finansowe   2009
MAKLER MARKET SPÓŁKA Z OGRANICZONĄ ODPOWIEDZIALNOŚCIĄ sp. z o.o.; w Warszawie
wszystkie sprawozdania</t>
  </si>
  <si>
    <t>11 of 24</t>
  </si>
  <si>
    <t>https://lex.online.wolterskluwer.pl/WKPLOnline/index.rpc?fromHistory=false&amp;leftNodeId=lmtree-item-219813&amp;lmId=lm_baza#content.rpc?nro=604481211&amp;wersja=32</t>
  </si>
  <si>
    <t>MSiG-KRS.2017.109.156781</t>
  </si>
  <si>
    <t>EMBUD SPÓŁKA Z OGRANICZONĄ ODPOWIEDZIALNOŚCIĄ</t>
  </si>
  <si>
    <t>50000000,00 ZŁ</t>
  </si>
  <si>
    <t>Ul. KONSTRUKTORSKA 4, 02-673 WARSZAWA</t>
  </si>
  <si>
    <t xml:space="preserve">Ul. KONSTRUKTORSKA 4, </t>
  </si>
  <si>
    <t>02-673</t>
  </si>
  <si>
    <t>REPREZENTACJA
SPOSÓB REPREZENTACJI: DO SKŁADANIA OŚWIADCZEŃ WOLI I PODPISYWANIA W IMIENIU SPÓŁKI UPRAWNIONY JEST: W PRZYPADKU ZARZĄDU JEDNOOSOBOWEGO PREZES ZARZĄDU SAMODZIELNIE, A W PRZYPADKU ZARZĄDU WIELOOSOBOWEGO DWAJ CZŁONKOWIE ZARZĄDU ŁĄCZNIE LUB CZŁONEK ZARZĄDU Z PROKURENTEM ŁĄCZNIE.
ZARZĄD:
KALISZYK JANUSZ LEONARD PESEL: 55110602718 PREZES ZARZĄDU</t>
  </si>
  <si>
    <t>WSPÓLNICY
FIZAN LIMITED udział: 88.780 UDZIAŁÓW O ŁĄCZNEJ WARTOŚCI 44.390.000,00 ZŁOTYCH udział całościowy: NIE
ARGUMENOL INVESTMENT COMPANY LIMITED udział: 11.120 UDZIAŁÓW O ŁĄCZNEJ WARTOŚCI 5.560.000,00 ZŁOTYCH udział całościowy: NIE</t>
  </si>
  <si>
    <t>INFORMACJE O ZŁOŻONYCH SPRAWOZDANIACH
data złożenia 15.03.2017 okres OD 01.01.2015 DO 31.12.2015
data złożenia 31.03.2017 okres OD 01.01.2016 DO 31.12.2016
data złożenia 06.07.2016 okres OD 01.01.2015 DO 31.12.2015
data złożenia 23.03.2015 okres OD 01.01.2014 DO 31.12.2014
data złożenia 29.04.2014 okres OD 01.01.2013 DO 31.12.2013
data złożenia 30.12.2013 okres 01.01.2012 - 31.12.2012
data złożenia 03.06.2013 okres 01.01.2012 - 31.12.2012
data złożenia 12.02.1013 okres 01.01.2011 - 31.12.2011
data złożenia 13.07.2012 okres 01.01.2011 - 31.12.2011
data złożenia 05.01.2012 okres 01.01.2010 - 31.12.2010
data złożenia 05.07.2011 okres 01.01.2010 -31.12.2010
data złożenia 04.02.2011 okres 01.01.2009 - 31.12.2009
data złożenia 24.09.2010 okres 01.01.2009 - 31.12.2009
data złożenia 12.10.2009 okres 01.01.2008 - 31.12.2008
data złożenia 12.10.2009 okres 01.01.2007 - 31.12.2007
data złożenia 30.09.2009 okres 01.01.2008 - 31.12.2008
data złożenia 30.09.2009 okres 01.01.2007 - 31.12.2007
data złożenia 28.09.2009 okres 01.01.2003 - 31.12.2003
data złożenia 28.09.2009 okres 01.01.2004 - 31.12.2004
data złożenia 28.09.2009 okres 01.01.2006 - 31.12.2006
data złożenia 28.09.2009 okres 01.01.2005 - 31.12.2005
okres za jaki złożono dokument 01.01.2002 - 31.12.2002 data złożenia 04.07.2003</t>
  </si>
  <si>
    <t>SPRAWOZDANIA FINANSOWE
Sprawozdanie z KRS.2012 KRS  165473 2012.12.31
sprawozdanie finansowe   2012
EMBUD SPÓŁKA Z OGRANICZONĄ ODPOWIEDZIALNOŚCIĄ sp. z o.o.; w Warszawie
Sprawozdanie z KRS.2011 KRS  165473 2011.12.31
sprawozdanie finansowe   2011
EMBUD SPÓŁKA Z OGRANICZONĄ ODPOWIEDZIALNOŚCIĄ sp. z o.o.; w Warszawie
Sprawozdanie z KRS.2006 KRS  165473 2006.12.31
sprawozdanie finansowe   2006
EMBUD SPÓŁKA Z OGRANICZONĄ ODPOWIEDZIALNOŚCIĄ sp. z o.o.; w Warszawie
wszystkie sprawozdania</t>
  </si>
  <si>
    <t>UWAGI
Wpis 33 z dnia 2017.05.31; WYKREŚLENIE WSZYSTKICH WPISÓW Z KRAJOWEGO REJESTRU SĄDOWEGO. WPIS NIE JEST PRAWOMOCNY.</t>
  </si>
  <si>
    <t>12 of 24</t>
  </si>
  <si>
    <t>https://lex.online.wolterskluwer.pl/WKPLOnline/index.rpc?fromHistory=false&amp;leftNodeId=lmtree-item-219813&amp;lmId=lm_baza#content.rpc?nro=604024791&amp;wersja=26</t>
  </si>
  <si>
    <t>MSiG-KRS.2012.251.276635</t>
  </si>
  <si>
    <t>EL-COM SPÓŁKA Z OGRANICZONĄ ODPOWIEDZIALNOŚCIĄ W LIKWIDACJI</t>
  </si>
  <si>
    <t>55000,00 ZŁ</t>
  </si>
  <si>
    <t>Ul. ŚWIĘTOKRZYSKA 36/44/3, 00-116 WARSZAWA</t>
  </si>
  <si>
    <t xml:space="preserve">Ul. ŚWIĘTOKRZYSKA 36/44/3, </t>
  </si>
  <si>
    <t>00-116</t>
  </si>
  <si>
    <t>WSPÓLNICY
„ELEKTRIM TELEKOMUNIKACJA" SPÓŁKA Z OGRANICZONĄ ODPOWIEDZIALNOŚCIĄ REGON: 016017726 KRS: 53678 udział: 110 UDZIAŁÓW O ŁĄCZNEJ WYSOKOŚCI 55.000,00 ZŁOTYCH udział całościowy: TAK</t>
  </si>
  <si>
    <t>LIKWIDACJA
OTWARCIE: 27-04-2012 UCHWAŁA NR 1 NADZWYCZAJNEGO ZGROMADZENIA WSPÓLNIKÓW SPÓŁKI Z DNIA 27 KWIETNIA 2012 ROKU ZAWARTA W AKCIE NOTARIALNYM SPORZĄDZONYM PRZEZ NOTARIUSZA MARKA WATRAKIEWICZA, NOTARIUSZA W WARSZAWIE, PROWADZĄCEGO KANCELARIĘ NOTARIALNĄ W WARSZAWIE, PRZY ULICY BOYA-ŻELEŃSKIEGO 6 LOK. 26, 00-621 WARSZAWA (REPERTORIUM A NR 5081/2012). UCHWAŁA JEST SKUTECZNA Z DNIEM 27 KWIETNIA 2012 ROKU
SPOSÓB REPREZENTACJI: DWÓCH LIKWIDATORÓW DZIAŁAJĄCYCH ŁĄCZNIE
LIKWIDATOR:
GRZYWACZ KRZYSZTOF PESEL: 64110505013</t>
  </si>
  <si>
    <t>ROZWIĄZANIE/UNIEWAŻNIENIE
27-04-2012 UCHWAŁA NR 1 NADZWYCZAJNEGO ZGROMADZENIA WSPÓLNIKÓW SPÓŁKI Z DNIA 27 KWIETNIA 2012 ROKU ZAWARTA W AKCIE NOTARIALNYM SPORZĄDZONYM PRZEZ NOTARIUSZA MARKA WATRAKIEWICZA, NOTARIUSZA W WARSZAWIE, PROWADZĄCEGO KANCELARIĘ NOTARIALNĄ W WARSZAWIE, PRZY ULICY BOYA-ŻELEŃSKIEGO 6 LOK. 26, 00-621 WARSZAWA (REPERTORIUM A NR 5081/2012). UCHWAŁA JEST SKUTECZNA Z DNIEM 27 KWIETNIA 2012 ROKU</t>
  </si>
  <si>
    <t>OGŁOSZENIA
MSiG-Ogl.2012.92.6151 KRS  12097 2012.05.14
ogłoszenie wymagane przez k.s.h.
EL-COM SPÓŁKA Z OGRANICZONĄ ODPOWIEDZIALNOŚCIĄ W LIKWIDACJI sp. z o.o.; w Warszawie
Sąd Rejonowy dla m. stoł. Warszawy w Warszawie,  XII   Gospodarczy - Krajowy Rejestr Sądowy
wszystkie ogłoszenia</t>
  </si>
  <si>
    <t>INFORMACJE O ZŁOŻONYCH SPRAWOZDANIACH
data złożenia 16.07.2012 okres 01.01.2012 R. - 26.04.2012 R.
data złożenia 16.072012 okres 01.01.2011-31.12.2011
data złożenia 04.04.2011 okres 01.01.2010 - 31.12.2010
data złożenia 11.06.2010 okres 01.01.2009-31.12.2009
data złożenia 08.06.2009 okres 01.01.2008 - 31.12.2008
data złożenia 07.07.2008 okres 01.01.2007-31.12.2007
data złożenia 06.06.2007 okres OD 1 STYCZNIA 2006 R. DO 31 GRUDNIA 2006 R.
data złożenia 22.06.2006 okres OD 1 STYCZNIA 2005 R. DO 31 GRUDNIA 2005 R.
okres za jaki złożono dokument OD 1 STYCZNIA 2004 R. DO 31 GRUDNIA 2004 R. data złożenia 03.08.2005
okres za jaki złożono dokument OD 1 STYCZNIA 2003 R. DO 31 GRUDNIA 2003 R. data złożenia 14.05.2004
okres za jaki złożono dokument 1 STYCZNIA 2002 R. - 31 GRUDNIA 2002 R. data ztożenia 02.07.2003
okres za jaki złożono dokument OD 01 STYCZNIA 2001 ROKU DO 31 GRUDNIA 2001</t>
  </si>
  <si>
    <t>RAPORTY HANDLOWE INFOCREDIT
Dane zawarte w raporcie:
Aktualizuj raport
  Pobierz raport w formacie:
Profil finansowy (za lata 2010)
Bilans (za lata 2010)
Rachunek zysków i strat (za lata 2010)
  Wersja polska
Wersja angielska
Liczba punktów infocredit w subskrybcji: 1223</t>
  </si>
  <si>
    <t>SPRAWOZDANIA FINANSOWE
Sprawozdanie z KRS.2010 KRS  12097 2010.12.31
sprawozdanie finansowe   2010
EL-COM SPÓŁKA Z OGRANICZONĄ ODPOWIEDZIALNOŚCIĄ W LIKWIDACJI sp. z o.o.; w Warszawie
Sprawozdanie z KRS.2009 KRS  12097 2009.12.31
sprawozdanie finansowe   2009
EL-COM SPÓŁKA Z OGRANICZONĄ ODPOWIEDZIALNOŚCIĄ W LIKWIDACJI sp. z o.o.; w Warszawie
Sprawozdanie z KRS.2007 KRS  12097 2007.12.31
sprawozdanie finansowe   2007
EL-COM SPÓŁKA Z OGRANICZONĄ ODPOWIEDZIALNOŚCIĄ W LIKWIDACJI sp. z o.o.; w Warszawie
wszystkie sprawozdania</t>
  </si>
  <si>
    <t>UWAGI
Wpis 27 z dnia 2012.12.20; Wykreślenie wszystkich wpisów z Krajowego Rejestru Sądowego, wpis nie jest prawomocny
Data uprawomocnienia wykreślenia z KRS: 2013.01.09</t>
  </si>
  <si>
    <t>11 of 11</t>
  </si>
  <si>
    <t>13 of 24</t>
  </si>
  <si>
    <t>https://lex.online.wolterskluwer.pl/WKPLOnline/index.rpc?fromHistory=false&amp;leftNodeId=lmtree-item-219813&amp;lmId=lm_baza#content.rpc?nro=605223303&amp;wersja=21</t>
  </si>
  <si>
    <t>MSiG-KRS.2018.69.93655</t>
  </si>
  <si>
    <t>EL SPÓŁKA Z OGRANICZONĄ ODPOWIEDZIALNOŚCIĄ W LIKWIDACJI</t>
  </si>
  <si>
    <t>50.000 PLN</t>
  </si>
  <si>
    <t>Ul. PIĘKNA 18, 00-549 WARSZAWA</t>
  </si>
  <si>
    <t xml:space="preserve">Ul. PIĘKNA 18, </t>
  </si>
  <si>
    <t>00-549</t>
  </si>
  <si>
    <t>WSPÓLNICY
TEDEC SPÓŁKA Z OGRANICZONĄ ODPOWIEDZIALNOŚCIĄ W LIKWIDACJI REGON: 010552447 KRS: 160036 udział: ilość 100 UDZIAŁÓW 0 ŁĄCZNEJ WYSOKOŚCI 50.000 ZŁOTYCH udział całościowy: TAK</t>
  </si>
  <si>
    <t>LIKWIDACJA
OTWARCIE: 19.09.2011 UCHWAŁA NADZWYCZAJNEGO ZGROMADZENIA WSPÓLNIKÓW EL SP. Z O.O. Z SIEDZIBĄ W WARSZAWIE Z DNIA 19.09.2011 R. W SPRAWIE ROZWIĄZANIA SPÓŁKI I OTWARCIA LIKWIDACJI NOTARIUSZ ALEKSANDRA ZAPART PROWADZĄCA KANCELARIĘ NOTARIALNĄ Z SIEDZIBĄ W WARSZAWIE PRZY UL. KOSZYKOWEJ NR 69 LOK.2, REPERTORIUM A 8690/2011
SPOSÓB REPREZENTACJI: JEDNOOSOBOWO LIKWIDATOR
LIKWIDATOR:
KŁOS ZOFIA PESEL: 78051208722</t>
  </si>
  <si>
    <t>ROZWIĄZANIE/UNIEWAŻNIENIE
19.09.2011 UCHWAŁA NADZWYCZAJNEGO ZGROMADZENIA WSPÓLNIKÓW EL SP. Z O.O. Z SIEDZIBĄ W WARSZAWIE Z DNIA 19.09.2011 R. W SPRAWIE ROZWIĄZANIA SPÓŁKI I OTWARCIA LIKWIDACJI NOTARIUSZ ALEKSANDRA ZAPART PROWADZĄCA KANCELARIĘ NOTARIALNĄ Z SIEDZIBĄ W WARSZAWIE PRZY UL. KOSZYKOWEJ NR 69 LOK.2, REPERTORIUM A 8690/2011</t>
  </si>
  <si>
    <t>OGŁOSZENIA
MSiG-Ogl.2011.197.12926 KRS  35064 2011.10.11
ogłoszenie wymagane przez k.s.h.
EL SPÓŁKA Z OGRANICZONĄ ODPOWIEDZIALNOŚCIĄ sp. z o.o.; w Warszawie
Sąd Rejonowy dla m. stoł. Warszawy w Warszawie,  XII   Gospodarczy - Krajowy Rejestr Sądowy
wszystkie ogłoszenia</t>
  </si>
  <si>
    <t>INFORMACJE O ZŁOŻONYCH SPRAWOZDANIACH
data złożenia 14.03.2018 okres OD 01.01.2017 DO 31.12.2017
data złożenia 02.03.2017 okres OD 01.01.2016 DO 31.12.2016
data złożenia 25.07.2016 okres OD 01.01.2015 DO 31.12.2015
data złożenia 24.06.2015 okres OD 01.01.2014 DO 31.12.2014
data złożenia 15.04.2014 okres OD 01.01.2013 DO 31.12.2013
data złożenia 06.06.2013 okres 01.01.2012 - 31.12.2012
data złożenia 27.03.2012 okres 01.01.2011-31.12.2011
data złożenia 08.03.2011 okres 01.01.2008-31.12.2008
data złożenia 08.03.2011 okres 01.01.2009 - 31.12.2009
data złożenia 08.03.2011 okres 01.01.2010 - 31.12.2010
data złożenia 30.07.2008 okres 01.01.2007-31.12.2007
data złożenia 12.07.2007 okres 01.01.2006 - 31.12.2006
data złożenia 17.05.2006 okres 01.01.2005 - 31.12.2005
okres za jaki złożono dokument 01.01.2004 31.12.2004 data złożenia 02.12.2005
okres za jaki złożono dokument 1.01.2003 R. - 31.12.2003 R. data złożenia 19.07.2004
okres za jaki ztożono dokument 01.01.2002 - 31.12.2002 data złożenia 28.07.2003
okres za jaki złożono dokument 01.01.2001 R.-31.12.2001 R. data złożenia 30.07.2002</t>
  </si>
  <si>
    <t>RAPORTY HANDLOWE INFOCREDIT
Dane zawarte w raporcie:
Aktualizuj raport
  Pobierz raport w formacie:
Profil finansowy (za lata 2013 2014 2015 2016 2017)
Bilans (za lata 2017 2016 2015 2014 2013)
Rachunek zysków i strat (za lata 2017 2016 2015 2014 2013)
  Wersja polska
Wersja angielska
Liczba punktów infocredit w subskrybcji: 1223</t>
  </si>
  <si>
    <t>SPRAWOZDANIA FINANSOWE
Sprawozdanie z KRS.2011 KRS  35064 2011.12.31
sprawozdanie finansowe   2011
EL SPÓŁKA Z OGRANICZONĄ ODPOWIEDZIALNOŚCIĄ W LIKWIDACJI sp. z o.o.; w Warszawie
Sprawozdanie z KRS.2010 KRS  35064 2010.12.31
sprawozdanie finansowe   2010
EL SPÓŁKA Z OGRANICZONĄ ODPOWIEDZIALNOŚCIĄ W LIKWIDACJI sp. z o.o.; w Warszawie
Sprawozdanie z KRS.2009 KRS  35064 2009.12.31
sprawozdanie finansowe   2009
EL SPÓŁKA Z OGRANICZONĄ ODPOWIEDZIALNOŚCIĄ W LIKWIDACJI sp. z o.o.; w Warszawie
wszystkie sprawozdania</t>
  </si>
  <si>
    <t>14 of 24</t>
  </si>
  <si>
    <t>https://lex.online.wolterskluwer.pl/WKPLOnline/index.rpc?fromHistory=false&amp;leftNodeId=lmtree-item-219813&amp;lmId=lm_baza#content.rpc?nro=604008575&amp;wersja=19</t>
  </si>
  <si>
    <t>MSiG-KRS.2007.104.62466</t>
  </si>
  <si>
    <t>AUTOCOM SPÓŁKA Z OGRANICZONĄ ODPOWIEDZIALNOŚCIĄ</t>
  </si>
  <si>
    <t>14216000,00 PLN</t>
  </si>
  <si>
    <t>Ul. LUBELSKA 29, 30-003 KRAKÓW</t>
  </si>
  <si>
    <t>MAŁOPOLSKIE</t>
  </si>
  <si>
    <t>Kraków</t>
  </si>
  <si>
    <t xml:space="preserve">Ul. LUBELSKA 29, </t>
  </si>
  <si>
    <t>30-003</t>
  </si>
  <si>
    <t>REPREZENTACJA
SPOSÓB REPREZENTACJI: DO REPREZENTOWANIA SPÓŁKI UPOWAŻNIENI SĄ PREZES ZARZĄDU DZIAŁAJĄCY ŁĄCZNIE Z DRUGIM CZŁONKIEM ZARZĄDU
ZARZĄD:
KONSTANTY KRZYSZTOF ANDRZEJ PESEL: 60060603593 PREZES ZARZĄDU
KOŁODZIEJ ROBERT PESEL: 68111609998 CZŁONEK ZARZĄDU
BARANOWSKA KRYSTYNA PESEL: 56112304806 WICEPREZES ZARZĄDU</t>
  </si>
  <si>
    <t>WSPÓLNICY
ASTER SPÓŁKA Z OGRANICZONĄ ODPOWIEDZIALNOŚCIĄ REGON: 140282228 KRS: 243810 udział: 17.770 UDZIAŁÓW O ŁĄCZNEJ WARTOŚCI NOMINALNEJ 14.216.000,00 ZŁ udział całościowy: TAK</t>
  </si>
  <si>
    <t>OGŁOSZENIA
MSiG-Ogl.2006.206.13046 KRS  14024 2006.10.23
ogłoszenie wymagane przez k.s.h.
AUTOCOM SPÓŁKA Z OGRANICZONĄ ODPOWIEDZIALNOŚCIĄ sp. z o.o.; w Krakowie
Sąd Rejonowy dla Krakowa-Śródmieścia w Krakowie,  XI   Gospodarczy - Krajowy Rejestr Sądowy
MSiG-Ogl.2006.200.12529 KRS  79402 2006.10.13
ogłoszenie wymagane przez k.s.h.
REGIONALNA TELEWIZJA KABLOWA AUTOCOM SPÓŁKA Z OGRANICZONĄ ODPOWIEDZIALNOŚCIĄ sp. z o.o.; w Krakowie
Sąd Rejonowy dla Krakowa-Śródmieścia w Krakowie,  XI   Gospodarczy - Krajowy Rejestr Sądowy
wszystkie ogłoszenia</t>
  </si>
  <si>
    <t>INFORMACJE O ZŁOŻONYCH SPRAWOZDANIACH
data złożenia 29.06.2006 okres 01.01.2005-31.12.2005
okres za jaki złożono dokument 01.01.2004-31.12.2004 data złożenia 06.07.2005
okres za jaki zIożono dokument 01.01.2003-31.12.2003 data złożenia 03.06.2004
okres za jaki złożono dokument 01.01.2002- 31.12.2002 data złożenia 30.06.2003
okres za jaki złożono dokument 01.01.2001-31.12.2001 data złożenia 26.08.2002
okres za jaki złożono dokument 1 STYCZNIA 2000 R. - 31 GRUDNIA 2000 R. data złożenia 30.05.2001</t>
  </si>
  <si>
    <t>SPRAWOZDANIA FINANSOWE
Sprawozdanie z KRS.2004 KRS  14024 2004.12.31
sprawozdanie finansowe   2004
AUTOCOM SPÓŁKA Z OGRANICZONĄ ODPOWIEDZIALNOŚCIĄ sp. z o.o.; w Krakowie
Sprawozdanie z KRS.2003 KRS  14024 2003.12.31
sprawozdanie finansowe   2003
AUTOCOM SPÓŁKA Z OGRANICZONĄ ODPOWIEDZIALNOŚCIĄ sp. z o.o.; w Krakowie
Sprawozdanie z KRS.2002 KRS  14024 2002.12.31
sprawozdanie finansowe   2002
AUTOCOM SPÓŁKA Z OGRANICZONĄ ODPOWIEDZIALNOŚCIĄ sp. z o.o.; w Krakowie</t>
  </si>
  <si>
    <t>UWAGI
Wpis 20 z dnia 2007.05.17; Wykreślenie wszystkich wpisów z Krajowego Rejestru Sądowego, wpis nie jest prawomocny
Data uprawomocnienia wykreślenia z KRS: 2007.06.19</t>
  </si>
  <si>
    <t>15 of 24</t>
  </si>
  <si>
    <t>https://lex.online.wolterskluwer.pl/WKPLOnline/index.rpc?fromHistory=false&amp;leftNodeId=lmtree-item-219813&amp;lmId=lm_baza#content.rpc?nro=604969122&amp;wersja=6</t>
  </si>
  <si>
    <t>MSiG-KRS.2003.209.111754</t>
  </si>
  <si>
    <t>„VPN-SERVICE" SPÓŁKA Z OGRANICZONĄ ODPOWIEDZIALNOŚCIĄ</t>
  </si>
  <si>
    <t>500.000,00</t>
  </si>
  <si>
    <t>Ul. PAŃSKA 81/83, 00-834 WARSZAWA</t>
  </si>
  <si>
    <t xml:space="preserve">Ul. PAŃSKA 81/83, </t>
  </si>
  <si>
    <t>REPREZENTACJA
SPOSÓB REPREZENTACJI: DO SKŁADANIA OŚWIADCZEŃ i PODPISYWANIA W IMIENIU SPÓŁKI UPOWAŻNIONY JEST PREZES ZARZĄDU ŁĄCZNIE Z CZŁONKIEM Z.ARZĄDU</t>
  </si>
  <si>
    <t>WSPÓLNICY
ELEKTRIM SPÓŁKA AKCYJNA REGON: 000144058 KRS: 39329 udział: 980 UDZIAŁÓW 0 ŁĄCZNEJ WARTOŚCI 490.000 ZŁOTYCH udział całościowy: NIE</t>
  </si>
  <si>
    <t>POSTĘPOWANIE UPADŁOŚCIOWE
OGŁOSZENIE: SĄD REJONOWY DLA M. ST. WARSZAWY, WYDZIAŁ XVII GOSPODARCZY SYGNATURA LUB INNE OZNACZENIE SPRAWY XVII U 337/02 DATA WYDANIA 25.06.2002
ZAKOŃCZENIE: 11.06.2003 SPOSÓB ZAKOŃCZENIA UKOŃCZENIE POSTĘPOWANIA UPADŁOŚCIOWEGO NA PODSTAWIE ART. 217 PRAWA UPADŁOŚCIOWEGO
SYNDYK:
DOBKOWSKI BOGDAN PESEL: 44070300477</t>
  </si>
  <si>
    <t>OGŁOSZENIA
MSiG-Ogl.2003.127.7075 KRS  4730 2003.07.02
XVII U 337/02
postanowienie o ukończeniu post. upadł.
„VPN-SERVICE" SPÓŁKA Z OGRANICZONĄ ODPOWIEDZIALNOŚCIĄ sp. z o.o.; w Warszawie
Sąd Rejonowy dla m. stoł. Warszawy w Warszawie,  XVII   Gospodarczy
MSiG-Ogl.2002.130.7371 KRS  4730 2002.07.08
XVII U 337/02
postanowienie o ogłoszeniu upadłości
„VPN-SERVICE" SPÓŁKA Z OGRANICZONĄ ODPOWIEDZIALNOŚCIĄ sp. z o.o.; w Warszawie
Sąd Rejonowy dla m. stoł. Warszawy w Warszawie,  XVII   Gospodarczy
wszystkie ogłoszenia</t>
  </si>
  <si>
    <t>INFORMACJE O ZŁOŻONYCH SPRAWOZDANIACH
okres za jaki złożono dokument OD 1 STYCZNIA 2001 R. DO 31 GRUDNIA 2001 R. data złożenia 18.07.2002
okres zajaki złożono dokument OD 1 STYCZNIA 2000 R. DO 31 GRUDNIA 2000 R. data złożenia 21.06.2001</t>
  </si>
  <si>
    <t>UWAGI
Wpis 7 z dnia 2003.09.24; Wykreślenie wszystkich wpisów z Krajowego Rejestru Sądowego, wpis nie jest prawomocny
Data uprawomocnienia wykreślenia z KRS: 2003.11.17</t>
  </si>
  <si>
    <t>16 of 24</t>
  </si>
  <si>
    <t>https://lex.online.wolterskluwer.pl/WKPLOnline/index.rpc?fromHistory=false&amp;leftNodeId=lmtree-item-219813&amp;lmId=lm_baza#content.rpc?nro=604045160&amp;wersja=37</t>
  </si>
  <si>
    <t>MSiG-KRS.2011.197.207116</t>
  </si>
  <si>
    <t>„POLSKA TELEFONIA CYFROWA" SPÓŁKA Z OGRANICZONĄ ODPOWIEDZIALNOŚCIĄ</t>
  </si>
  <si>
    <t>471000000 PLN</t>
  </si>
  <si>
    <t>Ul. AL. JEROZOLIMSKIE 181, 02-222 WARSZAWA</t>
  </si>
  <si>
    <t xml:space="preserve">Ul. AL. JEROZOLIMSKIE 181, </t>
  </si>
  <si>
    <t>02-222</t>
  </si>
  <si>
    <t>REPREZENTACJA
SPOSÓB REPREZENTACJI: SPÓŁKA JEST REPREZENTOWANA PRZEZ DWÓCH CZŁONKÓW ZARZĄDU DZIAŁAJĄCYCH ŁĄCZNIE LUB PRZEZ JEDNEGO CZŁONKA ZARZĄDU DZIAŁAJĄCEGO ŁĄCZNIE Z PROKURENTEM.
ZARZĄD:
BORS GRZEGORZ PESEL: 66081900532 CZŁONEK ZARZĄDU
BECKER JENS CZŁONEK ZARZĄDU
ZIKA MILAN CZŁONEK ZARZĄDU
RAKOWSKI MIROSLAV PREZES ZARZĄDU
GERA PIKULSKA MAGDALENA PESEL: 67071400809 CZŁONEK ZARZĄDU</t>
  </si>
  <si>
    <t>WSPÓLNICY
T-MOBILE POLAND HOLDING NR 1 B.V. udział: STO PIĘĆ TYSIĘCY DZIEWIĘĆSET SIEDEMDZIESIĄT PIĘĆ UDZIAŁÓW (105.975) O ŁĄCZNEJ WYSOKOŚCI STO PIĘĆ MILIONÓW DZIEWIĘĆSET SIEDEMDZIESIĄT PIĘĆ TYSIĘCY ZŁOTYCH (105.975.000) udział całościowy: NIE
TELEKOM DEUTSCHLAND GMBH udział: 332.055 UDZIAŁÓW O ŁĄCZNEJ WYSOKOŚCI 332.055.000,00 ZŁOTYCH udział: NIE</t>
  </si>
  <si>
    <t>NADZÓR
RADA NADZORCZA:
KUHBACHER ULI
SCHADE HANS-GEORG LUTZ
MAHLER ROLAND
MOELICH ANDREAS
WILKENS MICHAEL
MICHEL ULRIKE</t>
  </si>
  <si>
    <t>OGŁOSZENIA
MSiG-Ogl.2011.161.10828 KRS  29159 2011.08.22
ogłoszenie wymagane przez k.s.h.
„POLSKA TELEFONIA CYFROWA" SPÓŁKA Z OGRANICZONĄ ODPOWIEDZIALNOŚCIĄ sp. z o.o.; w Warszawie
Sąd Rejonowy dla m. stoł. Warszawy w Warszawie,  XII   Gospodarczy - Krajowy Rejestr Sądowy
MSiG-Ogl.2011.133.8986 KRS  29159 2011.07.12
ogłoszenie wymagane przez k.s.h.
„POLSKA TELEFONIA CYFROWA" SPÓŁKA Z OGRANICZONĄ ODPOWIEDZIALNOŚCIĄ sp. z o.o.; w Warszawie
Sąd Rejonowy dla m. stoł. Warszawy w Warszawie,  XII   Gospodarczy - Krajowy Rejestr Sądowy
wszystkie ogłoszenia</t>
  </si>
  <si>
    <t>INFORMACJE O ZŁOŻONYCH SPRAWOZDANIACH
data złożenia 08.06.2011 okres 01.01.2010 - 31.12.2010
data złożenia 04.08.2009 okres 01.01.2008 - 31.12.2008
data złożenia 08.09.2010 okres 01.01.2009 - 31.12.2009
data złożenia 15.07.2008 okres 01.01.2007 - 31.12.2007
data złożenia 23.10.2007 okres 1 STYCZNIA 2006 - 31 GRUDNIA 2006
data złożenia 13.02.2007 okres 01.01.2005 -31.12.2005
data złożenia 03.08.2005 okres 01.01.2004 - 31.12.2004
okres za jaki złożono dokument OD 1 STYCZNIA 2003 R. DO 31 GRUDNIA 2003 R. data złożenia 01.07.2004
okres za jaki złożono dokument 01.01.2002 - 31.12.2002 data złożenia 04.07.2003
okres za jaki złożono dokument 01.01.2001 - 31.12.2001 data złożenia 26.06.2002
okres za jaki złożono dokument 1.01.2000 -31.12.2000 data złożenia 05.07.2001</t>
  </si>
  <si>
    <t>SPRAWOZDANIA FINANSOWE
M.P."B".2011.2038.11182 KRS  29159 2011.10.28
sprawozdanie finansowe   2010
POLSKA TELEFONIA CYFROWA sp. z o.o.; w Warszawie ; PKD(EKD) 6120
M.P."B".2010.2248.12119 KRS  29159 2010.11.23
sprawozdanie finansowe   2009
POLSKA TELEFONIA CYFROWA sp. z o.o.; w Warszawie ; PKD(EKD) 6120
M.P."B".2009.1856.10350 KRS  29159 2009.10.06
sprawozdanie finansowe   2008
POLSKA TELEFONIA CYFROWA sp. z o.o.; w Warszawie ; PKD(EKD) 6120
wszystkie sprawozdania</t>
  </si>
  <si>
    <t>UWAGI
Wpis 38 z dnia 2011.09.14; Wykreślenie wszystkich wpisów z Krajowego Rejestru Sądowego, wpis nie jest prawomocny
Data uprawomocnienia wykreślenia z KRS: 2011.10.03</t>
  </si>
  <si>
    <t>17 of 24</t>
  </si>
  <si>
    <t>https://lex.online.wolterskluwer.pl/WKPLOnline/index.rpc?fromHistory=false&amp;leftNodeId=lmtree-item-219813&amp;lmId=lm_baza#content.rpc?nro=604209198&amp;wersja=1</t>
  </si>
  <si>
    <t>MSiG-KRS.2003.27.13318</t>
  </si>
  <si>
    <t>„POLISH PHONESAT" SPÓŁKA Z OGRANICZONĄ ODPOWIEDZIALNOŚCIĄ</t>
  </si>
  <si>
    <t>320400000,00 PLN</t>
  </si>
  <si>
    <t>Ul. KONOTOPSKA 4, 05-850 OŻARÓW MAZOWIECKI</t>
  </si>
  <si>
    <t>Warszawski zachodni</t>
  </si>
  <si>
    <t>Ożarów Mazowiecki</t>
  </si>
  <si>
    <t xml:space="preserve">Ul. KONOTOPSKA 4, </t>
  </si>
  <si>
    <t>05-850</t>
  </si>
  <si>
    <t>REPREZENTACJA
SPOSÓB REPREZENTACJI: DO SKŁADANIA OŚWIADCZEŃ I PODPISYWANIA W IMIENIU SPÓŁKI UPOWAŻNIONYCH JEST DWÓCH CZŁONKÓW ZARZĄDU ŁĄCZNIE LUB CZŁONEK ZARZĄDU ŁĄCZNIE Z PROKURENTEM
ZARZĄD:
IMIEŁOWSKI KRZYSZTOF ANDRZEJ PESEL: 46101602295 CZŁONEK ZARZĄDU</t>
  </si>
  <si>
    <t>WSPÓLNICY
ELEKTRIM SPÓŁKA AKCYJNA REGON: 000144058 KRS: 39329 udział: ilość 106800 (STO SZEŚĆ TYSIĘCY OSIEMSET) UDZIAŁÓW O ŁĄCZNEJ WYSOKOŚCI 320400000 ZŁ (TRZYSTA DWADZIEŚCIA MILIONÓW CZTERYSTA TYSIĘCY ZŁOTYCH) udział całościowy: TAK</t>
  </si>
  <si>
    <t>NADZÓR
RADA NADZORCZA:
DĄBROWSKI MARIAN PESEL: 40030500530
KRAWCZYK ANDRZEJ PESEL: 73020901055
KAMIŃSKA BARBARA PESEL: 57061205800</t>
  </si>
  <si>
    <t>POSTĘPOWANIE UPADŁOŚCIOWE
OGŁOSZENIE: NAZWA ORGANU WYDAJĄCEGO SĄD REJONOWY DLA M.ST. WARSZAWY, WYDZIAŁ XVII GOSPODARCZY SYGNATURA LUB INNE OZNACZENIE SPRAWY XVII U 741/01 DATA WYDANIA 06.11.2001
ZAKOŃCZENIE: DATA ZAKOŃCZENIA 13.11.2002 SPOSÓB ZAKOŃCZENIA UKOŃCZENIE POSTĘPOWANIA UPADŁOŚCIOWEGO
SYNDYK:
DOBKOWSKI BOGDAN PESEL: 44070300477</t>
  </si>
  <si>
    <t>OGŁOSZENIA
MSiG-Ogl.2002.233.12136 KRS  86664 2002.12.03
XVII U 741/01
postanowienie o ukończeniu post. upadł.
„POLISH PHONESAT" SPÓŁKA Z OGRANICZONĄ ODPOWIEDZIALNOŚCIĄ sp. z o.o.; w Ożarowie Mazowieckim
Sąd Rejonowy dla m. stoł. Warszawy w Warszawie,  XVII   Gospodarczy
wszystkie ogłoszenia</t>
  </si>
  <si>
    <t>18 of 24</t>
  </si>
  <si>
    <t>https://lex.online.wolterskluwer.pl/WKPLOnline/index.rpc?fromHistory=false&amp;leftNodeId=lmtree-item-219813&amp;lmId=lm_baza#content.rpc?nro=604155298&amp;wersja=9</t>
  </si>
  <si>
    <t>MSiG-KRS.2005.5.2285</t>
  </si>
  <si>
    <t>„OPOLWAP-GRUNT" SPÓŁKA Z OGRANICZONĄ ODPOWIEDZIALNOŚCIĄ W LIKWIDACJI</t>
  </si>
  <si>
    <t>525000,00 PLN</t>
  </si>
  <si>
    <t>Ul. ŚWIERCZEWSKIEGO 5, 46-050 TARNÓW OPOLSKI</t>
  </si>
  <si>
    <t>OPOLSKIE</t>
  </si>
  <si>
    <t>Opolski</t>
  </si>
  <si>
    <t>Tarnów Opolski</t>
  </si>
  <si>
    <t xml:space="preserve">Ul. ŚWIERCZEWSKIEGO 5, </t>
  </si>
  <si>
    <t>46-050</t>
  </si>
  <si>
    <t>WSPÓLNICY
ŚLĄSKIE ZAKŁADY PRZEMYSŁU WAPIENNICZEGO „OPOLWAP" SPÓŁKA AKCYJNA REGON: 530509466 KRS: 55906 udział: ilość 525 UDZIAŁÓW O ŁĄCZNEJ WYSOKOŚCI 525000,00 ZŁ udział całościowy: TAK</t>
  </si>
  <si>
    <t>NADZÓR
RADA NADZORCZA:
LASKOWSKI TOMASZ KAZIMIERZ PESEL: 52030404394
KAWKA PIOTR CEZARY PESEL: 65072513876
MALISZ HENRYK PESEL: 62011307013</t>
  </si>
  <si>
    <t>LIKWIDACJA
OTWARCIE: UCHWAŁA NADZWYCZAJNEGO ZGROMADZENIA WSPÓLNIKÓW AKT NOTARIALNY Z DNIA 02.02.2004 R. SPORZĄDZONY W KN M. KUŁAKOWSKIEGO W KRAKOWIE REP. A NR 923/2004.
ZAKOŃCZENIE: UCHWAŁA NR 2/04/04 NADZWYCZAJNEGO ZGROMADZENIA WSPÓLNIKÓW Z DNIA 30.11.2004 R. W PRZEDMIOCIE ZATWIERDZENIA SPRAWOZDANIA LIKWIDACYJNEGO.
SPOSÓB REPREZENTACJI: JEDNOOSOBOWO
LIKWIDATOR:
STRZAŁEK KRYSTIAN PESEL: 60022408451</t>
  </si>
  <si>
    <t>ROZWIĄZANIE/UNIEWAŻNIENIE
UCHWAŁA NADZWYCZAJNEGO ZGROMADZENIA WSPÓLNIKÓW AKT NOTARIALNY Z DNIA 02.02.2004 R. SPORZĄDZONY W KN M. KUŁAKOWSKIEGO W KRAKOWIE REP. A NR 923/2004.</t>
  </si>
  <si>
    <t>OGŁOSZENIA
MSiG-Ogl.2004.86.4111 KRS  72105 2004.05.04
ogłoszenie wymagane przez k.s.h.
„OPOLWAP-GRUNT" SPÓŁKA Z OGRANICZONĄ ODPOWIEDZIALNOŚCIĄ W LIKWIDACJI sp. z o.o.; w Tarnowie Opolskim
Sąd Rejonowy w Opolu,  VIII   Gospodarczy - Krajowy Rejestr Sądowy
wszystkie ogłoszenia</t>
  </si>
  <si>
    <t>INFORMACJE O ZŁOŻONYCH SPRAWOZDANIACH
okres za jaki złożono dokument 01.01.2003 - 31.12.2003 data złożenia 13.08.2004
okres za jaki złożono dokument 01.01.2002-31.12.2002 data złożenia 07.07.2003
okres za jaki złożono dokument 01.01.2001-31.12.2001 data złożenia 25.06.2002</t>
  </si>
  <si>
    <t>UWAGI
Wpis 10 z dnia 2004.12.20; Wykreślenie wszystkich wpisów z Krajowego Rejestru Sądowego, wpis nie jest prawomocny
Data uprawomocnienia wykreślenia z KRS: 2005.01.07</t>
  </si>
  <si>
    <t>19 of 24</t>
  </si>
  <si>
    <t>https://lex.online.wolterskluwer.pl/WKPLOnline/index.rpc?fromHistory=false&amp;leftNodeId=lmtree-item-219813&amp;lmId=lm_baza#content.rpc?nro=604043365&amp;wersja=11</t>
  </si>
  <si>
    <t>MSiG-KRS.2012.43.26177</t>
  </si>
  <si>
    <t>„IDM WARSAW” SPÓŁKA Z OGRANICZONĄ ODPOWIEDZIALNOŚCIĄ W LIKWIDACJI</t>
  </si>
  <si>
    <t>65630500 PLN</t>
  </si>
  <si>
    <t>WSPÓLNICY
ELEKTRIM SPÓŁKA AKCYJNA REGON: 000144058 udział: 131.261 UDZIAŁÓW O ŁĄCZNEJ WARTOŚCI 65.630.500 ZŁOTYCH udział całościowy: TAK</t>
  </si>
  <si>
    <t>LIKWIDACJA
OTWARCIE: UCHWAŁA NUMER 1/11 NADZWYCZAJNEGO ZGROMADZENIA WSPÓLNIKÓW SPÓŁKI IDM WARSAW SP. Z O.O. Z DNIA 01 CZERWCA 2011 R. O ROZWIĄZANIU SPÓŁKI, ASESOR NOTARIALNY ROBERT WRÓBLEWSKI, ZASTĘPCA NOTARIUSZA MAŁGORZATY PAŁGAN-PASZKA PROWADZĄCEJ KANCELARIĘ NOTARIALNĄ W WARSZAWIE PRZY UL TERESPOLSKIEJ 4 LOK. 83 (REP. A NR 8761/2011)
SPOSÓB REPREZENTACJI: KAŻDY Z LIKWIDATORÓW SPÓŁKI JEST UPOWAŻNIONY DO SAMODZIELNEGO SKŁADANIA OŚWIADCZEŃ WOLI W IMIENIU SPÓŁKI ORAZ DO JEJ REPREZENTOWANIA
LIKWIDATOR:
WAWRZYNOWICZ PIOTR PESEL: 79102111978</t>
  </si>
  <si>
    <t>ROZWIĄZANIE/UNIEWAŻNIENIE
UCHWAŁA NUMER 1/11 NADZWYCZAJNEGO ZGROMADZENIA WSPÓLNIKÓW SPÓŁKI IDM WARSAW SP. Z O.O. Z DNIA 01 CZERWCA 2011 R. O ROZWIĄZANIU SPÓŁKI, ASESOR NOTARIALNY ROBERT WRÓBLEWSKI, ZASTĘPCA NOTARIUSZA MAŁGORZATY PAŁGAN-PASZKA PROWADZĄCEJ KANCELARIĘ NOTARIALNĄ W WARSZAWIE PRZY UL. TERESPOLSKIEJ 4 LOK. 83 (REP. A NR 8761/2011)</t>
  </si>
  <si>
    <t>OGŁOSZENIA
MSiG-Ogl.2011.115.7813 KRS  27431 2011.06.15
ogłoszenie wymagane przez k.s.h.
„IDM WARSAW" - SPÓŁKA Z OGRANICZONĄ ODPOWIEDZIALNOŚCIĄ sp. z o.o.; w Warszawie
Sąd Rejonowy dla m. stoł. Warszawy w Warszawie,  XII   Gospodarczy - Krajowy Rejestr Sądowy
wszystkie ogłoszenia</t>
  </si>
  <si>
    <t>INFORMACJE O ZŁOŻONYCH SPRAWOZDANIACH
data złożenia 31.05.2011 okres 01.01.2010-31.12.2010
data złożenia 22.06.2010 okres 01.01.2009 - 31.12.2009
data złożenia 09.07.2009 okres 2008 ROK
data złożenia 30.06.2008 okres 01.01.2007-31.12.2007
data złożenia 29.06.2007 okres 01.01.2006-31.12.2006
okres za jaki złożono dokument 01.01.2002 - 31.12.2002 data złożenia 24.08.2005
okres za jaki złożono dokument 01.01.2004 -31.12.2004 data złożenia 24.08.2005
okres za jaki złożono dokument 01.01.2003 - 31.12.2003 data złożenia 24.08.2005</t>
  </si>
  <si>
    <t>RAPORTY HANDLOWE INFOCREDIT
Dane zawarte w raporcie:
Aktualizuj raport
  Pobierz raport w formacie:
Profil finansowy (za lata 2010)
Wskaźniki finansowe (za lata 2010)
Bilans (za lata 2010)
Rachunek zysków i strat (za lata 2010)
  Wersja polska
Wersja angielska
Liczba punktów infocredit w subskrybcji: 1223</t>
  </si>
  <si>
    <t>SPRAWOZDANIA FINANSOWE
Sprawozdanie z KRS.2010 KRS  27431 2010.12.31
sprawozdanie finansowe   2010
IDM WARSAW SPÓŁKA Z OGRANICZONĄ ODPOWIEDZIALNOŚCIĄ W LIKWIDACJI sp. z o.o.
Sprawozdanie z KRS.2009 KRS  27431 2009.12.31
sprawozdanie finansowe   2009
IDM WARSAW SPÓŁKA Z OGRANICZONĄ ODPOWIEDZIALNOŚCIĄ W LIKWIDACJI sp. z o.o.
Sprawozdanie z KRS.2008 KRS  27431 2008.12.31
sprawozdanie finansowe   2008
IDM WARSAW SPÓŁKA Z OGRANICZONĄ ODPOWIEDZIALNOŚCIĄ W LIKWIDACJI sp. z o.o.
wszystkie sprawozdania</t>
  </si>
  <si>
    <t>UWAGI
Wpis 12 z dnia 2012.02.14; Wykreślenie wszystkich wpisów z Krajowego Rejestru Sądowego, wpis nie jest prawomocny
Data uprawomocnienia wykreślenia z KRS: 2012.03.01</t>
  </si>
  <si>
    <t>20 of 24</t>
  </si>
  <si>
    <t>https://lex.online.wolterskluwer.pl/WKPLOnline/index.rpc?fromHistory=false&amp;leftNodeId=lmtree-item-219813&amp;lmId=lm_baza#content.rpc?nro=604048676&amp;wersja=6</t>
  </si>
  <si>
    <t>MSiG-KRS.2003.106.48104</t>
  </si>
  <si>
    <t>„ELEKTRIM ONLINE" SPÓŁKA Z OGRANICZONĄ ODPOWIEDZIALNOŚIĄ</t>
  </si>
  <si>
    <t>4470000,00 PLN</t>
  </si>
  <si>
    <t>REPREZENTACJA
SPOSÓB REPREZENTACJI: DO SKŁADANIA OŚWIADCZEŃ WOLI 1 PODPISYWANIA DOKUMENTÓW W IMIENIU SPÓŁKI UPOWAŻNIONYCH JEST DWÓCH CZŁONKÓW ZARZĄDU ŁĄCZNIE LUB CZŁONEK ZARZĄDU ŁĄCZNIE Z PRO KURENTEM
ZARZĄD:
RYBACKI RAFAŁ TOMASZ PESEL: 68061313255 CZŁONEK ZARZĄDU
RYMASZEWSKI PIOTR PREZES ZARZĄDU
PROKURENCI:
SAŁASIŃSKI ANDRZEJ HENRYK PESEL: 66011909138 ŁĄCZNA</t>
  </si>
  <si>
    <t>WSPÓLNICY
ELEKTRIM SPÓŁKA AKCYJNA REGON: 000144058 KRS: 39329 udział: ilość 8940 UDZIAŁÓW O ŁĄCZNEJ WYSOKOŚCI 4470000 ZŁOTYCH udział całościowy: TAK</t>
  </si>
  <si>
    <t>NADZÓR
RADA NADZORCZA:
SAŁASIŃSKA MONIKA PESEL: 66051700801
HAŁUPCZAK MONIKA PESEL: 73112515689
WYPYCH TOMASZ MACIEJ PESEL: 76010200550</t>
  </si>
  <si>
    <t>5 of 5</t>
  </si>
  <si>
    <t>21 of 24</t>
  </si>
  <si>
    <t>https://lex.online.wolterskluwer.pl/WKPLOnline/index.rpc?fromHistory=false&amp;leftNodeId=lmtree-item-219813&amp;lmId=lm_baza#content.rpc?nro=604030600&amp;wersja=16</t>
  </si>
  <si>
    <t>MSiG-KRS.2007.12.6339</t>
  </si>
  <si>
    <t>„EL-DYSTRYBUCJA" SPÓŁKA Z OGRANICZONĄ ODPOWIEDZIALNOŚCIĄ W LIKWIDACJI</t>
  </si>
  <si>
    <t>7500000,00 PLN</t>
  </si>
  <si>
    <t>Ul. KRUCZA 24/26, 00-526 WARSZAWA</t>
  </si>
  <si>
    <t xml:space="preserve">Ul. KRUCZA 24/26, </t>
  </si>
  <si>
    <t>00-526</t>
  </si>
  <si>
    <t>WSPÓLNICY
POLENERGIA TRADING SPÓŁKA AKCYJNA REGON: 012789596 KRS: 43658 udział: ilość 4000 (SŁOWNIE: CZTERY TYSIĄCE UDZIAŁÓW) 0 ŁĄCZNEJ WYSOKOŚCI 7500000 (SŁOWNIE: SIEDEM MILIONÓW PIĘĆSET TYSIĘCY ZŁOTYCH) udział całościowy: TAK</t>
  </si>
  <si>
    <t>LIKWIDACJA
OTWARCIE: NADZWYCZAJNE ZGROMADZENIE WSPÓLNIKÓW SPÓŁKI UCHWAŁA NR 1 Z DNIA 12 STYCZNIA 2006 ROKU, AKT NOTARIALNY Z DNIA 12 STYCZNIA 2006 ROKU, REPERTORIUM A 376/2006, SPORZĄDZONY PRZEZ MARKA BARTNICKIEGO - NOTARIUSZA W WARSZAWIE, PROWADZĄCEGO KANCELARIĘ NOTARIALNĄ PRZY UL. GAŁCZYŃSKIEGO 4.
SPOSÓB REPREZENTACJI: JEDNOOSOBOWO
LIKWIDATOR:
RZEPKA PAWEŁ PESEL: 57101613639</t>
  </si>
  <si>
    <t>ROZWIĄZANIE/UNIEWAŻNIENIE
NADZWYCZAJNE ZGROMADZENIE WSPÓLNIKÓW SPÓŁKI UCHWAŁA NR 1 Z DNIA 12 STYCZNIA 2006 ROKU, AKT NOTARIALNY Z DNIA 12 STYCZNIA 2006 ROKU, REPERTORIUM A 376/2006, SPORZĄDZONY PRZEZ MARKA BARTNICKIEGO NOTARIUSZA W WARSZAWIE, PROWADZĄCEGO KANCELARIĘ NOTARIALNĄ PRZY UL. GAŁCZYŃSKIEGO 4.</t>
  </si>
  <si>
    <t>OGŁOSZENIA
MSiG-Ogl.2006.30.1707 KRS  23687 2006.02.10
ogłoszenie wymagane przez k.s.h.
„EL-DYSTRYBUCJA" SPÓŁKA Z OGRANICZONĄ ODPOWIEDZIALNOŚCIĄ sp. z o.o.; w Warszawie
Sąd Rejonowy dla m. stoł. Warszawy w Warszawie,  XII   Gospodarczy - Krajowy Rejestr Sądowy
wszystkie ogłoszenia</t>
  </si>
  <si>
    <t>INFORMACJE O ZŁOŻONYCH SPRAWOZDANIACH
data złożenia 07.12.2006 okres 01.01.2006 R. - 11.01.2006 R.
data złożenia 07.12.2006 okres 01.01.2005 R. - 31.12.2005 R.
okres za jaki ztożono dokument 01.01.2004 -31.12.2004 data ztożenia 18.08.2005
okres za jaki złożono dokument 01.01.2003 R. -31.12.2003. data złożenia 15.06.2004
okres za jaki ztożono dokument 1.01.2002 - 31.12.2002 data złożenia 01.08.2003
okres za jaki złożono dokument ZA ROK 2001 data złożenia 28.06.2002</t>
  </si>
  <si>
    <t>SPRAWOZDANIA FINANSOWE
Sprawozdanie z KRS.2006 KRS  23687 2006.01.11
sprawozdanie finansowe   2006
EL-DYSTRYBUCJA SPÓŁKA Z OGRANICZONĄ ODPOWIEDZIALNOŚCIĄ W LIKWIDACJI sp. z o.o.
Sprawozdanie z KRS.2005 KRS  23687 2005.12.31
sprawozdanie finansowe   2005
EL-DYSTRYBUCJA SPÓŁKA Z OGRANICZONĄ ODPOWIEDZIALNOŚCIĄ W LIKWIDACJI sp. z o.o.
Sprawozdanie z KRS.2004 KRS  23687 2004.12.31
sprawozdanie finansowe   2004
EL-DYSTRYBUCJA SPÓŁKA Z OGRANICZONĄ ODPOWIEDZIALNOŚCIĄ W LIKWIDACJI sp. z o.o.
wszystkie sprawozdania</t>
  </si>
  <si>
    <t>22 of 24</t>
  </si>
  <si>
    <t>https://lex.online.wolterskluwer.pl/WKPLOnline/index.rpc?fromHistory=false&amp;leftNodeId=lmtree-item-219813&amp;lmId=lm_baza#content.rpc?nro=604108864&amp;wersja=30</t>
  </si>
  <si>
    <t>MSiG-KRS.2012.14.7991</t>
  </si>
  <si>
    <t>„CARCOM WARSZAWA" SPÓŁKA Z OGRANICZONĄ ODPOWIEDZIALNOŚCIĄ</t>
  </si>
  <si>
    <t>34.560.000,00 PLN</t>
  </si>
  <si>
    <t>Ul. PROSTA 51, 00-838 WARSZAWA</t>
  </si>
  <si>
    <t xml:space="preserve">Ul. PROSTA 51, </t>
  </si>
  <si>
    <t>00-838</t>
  </si>
  <si>
    <t>REPREZENTACJA
SPOSÓB REPREZENTACJI: DWÓCH CZŁONKÓW ZARZĄDU ŁĄCZNIE LUB JEDEN CZŁONEK ZARZĄDU DZIAŁAJĄCY ŁĄCZNIE Z PROKURENTEM; W PRZYPADKU ZARZĄDU JEDNOOSOBOWEGO - JEDYNY CZŁONEK ZARZĄDU.
ZARZĄD:
PELZER MICHAEL PREZES ZARZĄDU
LOCH MATTIAS CZŁONEK ZARZĄDU</t>
  </si>
  <si>
    <t>WSPÓLNICY
POLSKA TELEFONIA CYFROWA SPÓŁKA AKCYJNA REGON: 011417295 KRS: 391193 udział: 34.560 UDZIAŁÓW O ŁĄCZNEJ WYSOKOŚCI 34.560.000,00 ZŁOTYCH udział całościowy: TAK</t>
  </si>
  <si>
    <t>NADZÓR
RADA NADZORCZA:
GIZBERT STUDNICKI TOMASZ PESEL: 48061103335
RĘDZINIAK ŁUKASZ ANTONI PESEL: 68012605396
SPYRA TOMASZ MAREK PESEL: 76111801012
BYSIEWICZ STANISZEWSKA MARIA JOANNA PESEL: 75111100305
LÜTZNER AXEL
SCHEUERMANN AXEL
JARCO BARTŁOMIEJ MARCIN PESEL: 82082702157</t>
  </si>
  <si>
    <t>OGŁOSZENIA
MSiG-Ogl.2011.175.11598 KRS  55401 2011.09.09
ogłoszenie wymagane przez k.s.h.
„CARCOM WARSZAWA" SPÓŁKA Z OGRANICZONĄ ODPOWIEDZIALNOŚCIĄ sp. z o.o.; w Warszawie
Sąd Rejonowy dla m. stoł. Warszawy w Warszawie,  XII   Gospodarczy - Krajowy Rejestr Sądowy
MSiG-Ogl.2011.110.7435 KRS  90603 2011.06.08
ogłoszenie wymagane przez k.s.h.
ELEKTRIM-AUTOINVEST SPÓŁKA AKCYJNA S.A.; w Warszawie
Sąd Rejonowy dla m. stoł. Warszawy w Warszawie,  XII   Gospodarczy - Krajowy Rejestr Sądowy
wszystkie ogłoszenia</t>
  </si>
  <si>
    <t>INFORMACJE O ZŁOŻONYCH SPRAWOZDANIACH
data złożenia 02.07.2010 okres 01.01.2009 - 31.12.2009
data złożenia 26.06.2009 okres 01.01.2008 - 31.12.2008
data złożenia 07.07.2008 okres 01.01.2007-31.12.2007
data złożenia 19.07.2007 okres 01.01.2006 - 31.12.2006
data ztożenia 14.07.2006 okres OD 1 STYCZNIA 2005 R. DO 31 GRUDNIA 2005 R.
okres za jaki złożono dokument 1 STYCZEŃ 2004 - 31 GRUDZIEŃ 2004 data złożenia 15.07.2005
okres za jaki złożono dokument 1 STYCZEŃ 2003 ROKU - 31 GRUDZIEŃ 2003 ROKU data złożenia 19.07.2004
okres za jaki złożono dokument 1 STYCZEŃ 2002 - 31 GRUDZIEŃ 2002 data złożenia 28.07.2003
okres za jaki złożono dokument 1 STYCZNIA 2001 -31 GRUDNIA 2001 data złożenia 28.08.2002</t>
  </si>
  <si>
    <t>SPRAWOZDANIA FINANSOWE
Sprawozdanie z KRS.2009 KRS  55401 2009.12.31
sprawozdanie finansowe   2009
CARCOM WARSZAWA SPÓŁKA Z OGRANICZONĄ ODPOWIEDZIALNOŚCIĄ sp. z o.o.; w Warszawie
Sprawozdanie z KRS.2008 KRS  55401 2008.12.31
sprawozdanie finansowe   2008
CARCOM WARSZAWA SPÓŁKA Z OGRANICZONĄ ODPOWIEDZIALNOŚCIĄ sp. z o.o.; w Warszawie
Sprawozdanie z KRS.2007 KRS  55401 2007.12.31
sprawozdanie finansowe   2007
CARCOM WARSZAWA SPÓŁKA Z OGRANICZONĄ ODPOWIEDZIALNOŚCIĄ sp. z o.o.; w Warszawie
wszystkie sprawozdania</t>
  </si>
  <si>
    <t>UWAGI
Wpis 31 z dnia 2012.01.05; Wykreślenie wszystkich wpisów z Krajowego Rejestru Sądowego, wpis nie jest prawomocny
Data uprawomocnienia wykreślenia z KRS: 2012.01.28</t>
  </si>
  <si>
    <t>23 of 24</t>
  </si>
  <si>
    <t>https://lex.online.wolterskluwer.pl/WKPLOnline/index.rpc?fromHistory=false&amp;leftNodeId=lmtree-item-219813&amp;lmId=lm_baza#content.rpc?nro=604567744&amp;wersja=3</t>
  </si>
  <si>
    <t>MSiG-KRS.2012.130.102893</t>
  </si>
  <si>
    <t>„BRABIA" SPÓŁKA Z OGRANICZONĄ ODPOWIEDZIALNOŚCIĄ W LIKWIDACJI</t>
  </si>
  <si>
    <t>200000,00 PLN</t>
  </si>
  <si>
    <t>Ul. DOMANIEWSKA 41, 02-672 WARSZAWA</t>
  </si>
  <si>
    <t xml:space="preserve">Ul. DOMANIEWSKA 41, </t>
  </si>
  <si>
    <t>02-672</t>
  </si>
  <si>
    <t>WSPÓLNICY
AGENCJA ROZWOJU PRZEMYSŁU SPÓŁKA AKCYJNA REGON: 006746410 KRS: 37957 udział: ilość 819 UDZIAŁÓW O ŁĄCZNEJ WARTOŚCI 81.900 ZŁOTYCH udział całościowy: NIE
ELEKTRIM SPÓŁKA AKCYJNA REGON: 000144058 KRS: 39329 udział: ilość 450 UDZIAŁÓW O ŁĄCZNEJ WARTOŚCI 45.000 ZŁOTYCH udział całościowy: NIE
SKARB PAŃSTWA - MINISTER WŁAŚCIWY DO SPRAW SKARBU PAŃSTWA udział: ilość 425 UDZIAŁÓW 0 ŁĄCZNEJ WARTOŚCI 42.500 ZŁOTYCH udział całościowy: NIE</t>
  </si>
  <si>
    <t>LIKWIDACJA
OTWARCIE: UCHWAŁA ZGROMADZENIA WSPÓLNIKÓW Z DN. 26.04.1994 R. - NOTARIUSZ ANNA MARSZAŁEK, KN W WARSZAWIE, NR REP. A 752/94
SPOSÓB REPREZENTACJI: LIKWIDATOR JEDNOOSOBOWO
LIKWIDATOR:
HNATKOWSKA ALICJA ANNA PESEL: 63072402581</t>
  </si>
  <si>
    <t>ROZWIĄZANIE/UNIEWAŻNIENIE
UCHWAŁA ZGROMADZENIA WSPÓLNIKÓW Z DN. 26.04.1994 R. - NOTARIUSZ ANNA MARSZAŁEK, KN W WARSZAWIE, NR REP. A 752/94</t>
  </si>
  <si>
    <t>INFORMACJE O ZŁOŻONYCH SPRAWOZDANIACH
data złożenia 25.04.2012 okres 01.01.2009 - 31.12.2009
data złożenia 25.04.2012 okres 01.01.2005 - 31.12.2005
data złożenia 25.04.2012 okres 01.01.2007 - 31.12.2007
data złożenia 25.04.2012 okres 01.01.2011 - 31.12.2011
data złożenia 25.04.2012 okres 01.01.2010 - 31.12.2010
data złożenia 25.04.2012 okres 01.01.2006 - 31.12.2006
data złożenia 25.04.2012 okres 01.01.2004 - 31.12.2004
data złożenia 25.04.2012 okres 01.01.2008 - 31.12.2008
data złożenia 25.04.2012 okres 01.01.2012 - 29.02.2012</t>
  </si>
  <si>
    <t>RAPORTY HANDLOWE INFOCREDIT
Dane zawarte w raporcie:
Aktualizuj raport
  Pobierz raport w formacie:
Profil finansowy (za lata 2011)
Bilans (za lata 2011)
Rachunek zysków i strat (za lata 2011)
  Wersja polska
Wersja angielska
Liczba punktów infocredit w subskrybcji: 1223</t>
  </si>
  <si>
    <t>UWAGI
Wpis 4 z dnia 2012.06.14; Wykreślenie wszystkich wpisów z Krajowego Rejestru Sądowego, wpis nie jest prawomocny
Data uprawomocnienia wykreślenia z KRS: 2012.06.30</t>
  </si>
  <si>
    <t>24 of 24</t>
  </si>
  <si>
    <t>https://lex.online.wolterskluwer.pl/WKPLOnline/index.rpc?fromHistory=false&amp;leftNodeId=lmtree-item-219813&amp;lmId=lm_baza#content.rpc?nro=604165257&amp;wersja=23</t>
  </si>
  <si>
    <t>MSiG-KRS.2012.107.78785</t>
  </si>
  <si>
    <t>„APENA" SPÓŁKA AKCYJNA</t>
  </si>
  <si>
    <t>38045000,00 ZŁ</t>
  </si>
  <si>
    <t>REPREZENTACJA
SPOSÓB REPREZENTACJI: DO SKŁADANIA OŚWIADCZEŃ WOLI I PODPISYWANIA W IMIENIU SPÓŁKI UPRAWNIONY JEST: W PRZYPADKU ZARZĄDU JEDNOOSOBOWEGO PREZES ZARZĄDU SAMODZIELNIE, A W PRZYPADKU ZARZĄDU WIELOOSOBOWEGO DWAJ CZŁONKOWIE ZARZĄDU ŁĄCZNIE LUB CZŁONEK ZARZĄDU Z PROKURENTEM.
ZARZĄD SPÓŁKI:
GILLNER GORYWODA TOMASZ PESEL: 58122603290 PREZES ZARZĄDU</t>
  </si>
  <si>
    <t>NADZÓR
RADA NADZORCZA:
TABAKIERNIK WYSŁOCKA IWONA MARIA PESEL: 58092107262
PISKORZ WOJCIECH PESEL: 74083001212
JAROSZ PIOTR ZBIGNIEW PESEL: 53081200816</t>
  </si>
  <si>
    <t>JEDYNY AKCJONARIUSZ
ELEKTRIM SPÓŁKA AKCYJNA REGON: 000144058 KRS: 39329</t>
  </si>
  <si>
    <t>OGŁOSZENIA
MSiG-Ogl.2005.59.3023 KRS  75011 2005.03.24
ogłoszenie wymagane przez k.s.h.
„APENA" SPÓŁKA AKCYJNA S.A.; w Warszawie
MSiG-Ogl.2005.18.882 KRS  75011 2005.01.26
ogłoszenie wymagane przez k.s.h.
„APENA" SPÓŁKA AKCYJNA S.A.; w Warszawie
MSiG-Ogl.2004.240.12913 KRS  75011 2004.12.09
ogłoszenie wymagane przez k.s.h.
„APENA" SPÓŁKA AKCYJNA S.A.; w Warszawie
wszystkie ogłoszenia</t>
  </si>
  <si>
    <t>INFORMACJE O ZŁOŻONYCH SPRAWOZDANIACH
data złożenia 31.08.2011 okres 01.01.2010 - 31.12.2010
data złożenia 06.07.2010 okres 01.01.2009 - 31.12.2009
data złożenia 29.06.2009 okres 01.01.2008-31.12.2008
data złożenia 10.07.2008 okres 01.01.2007-31.12.2007
data złożenia 03.07.2007 okres 01.01.2006 - 31.12.2006
data złożenia 10.07.2006 okres OKRES OD 01.01.2005 R. - 31.12.2005 R.
okres za jaki złożono dokument 01.01.2004 - 31.12.2004 data złożenia 14.07.2005
okres za jaki złożono dokument OKRES OD 01.01.2003 R. DO 31.12.2003 R. data złożenia 30.06.2004
okres za jaki złożono dokument 01.01.2002 - 31.12.2002 data ztożenia 19.08.2003
okres za jaki zIożono dokument 01.01.2001 R.-31.12.2001 R. data złożenia 05.07.2002</t>
  </si>
  <si>
    <t>RAPORTY HANDLOWE INFOCREDIT
Dane zawarte w raporcie:
Aktualizuj raport
  Pobierz raport w formacie:
Profil finansowy (za lata 2010)
Wskaźniki finansowe (za lata 2010)
Bilans (za lata 2010)
Rachunek zysków i strat (za lata 2010)
Audytor (za lata 2010)
  Wersja polska
Wersja angielska
Liczba punktów infocredit w subskrybcji: 1223</t>
  </si>
  <si>
    <t>SPRAWOZDANIA FINANSOWE
M.P."B".2012.152.847 KRS  75011 2012.01.10
sprawozdanie finansowe   2010
APENA S.A.; w Warszawie ; PKD(EKD) 6820
M.P."B".2010.1610.8786 KRS  75011 2010.09.07
sprawozdanie finansowe   2009
APENA S.A.; w Warszawie ; PKD(EKD) 6820
M.P."B".2009.1659.9364 KRS  75011 2009.09.17
sprawozdanie finansowe   2008
APENA S.A.; w Warszawie ; PKD(EKD) 6820
wszystkie sprawozdania</t>
  </si>
  <si>
    <t>UWAGI
Wpis 25 z dnia 2012.05.11; Wykreślenie wszystkich wpisów z Krajowego Rejestru Sądowego, wpis nie jest prawomocny
Data uprawomocnienia wykreślenia z KRS: 2012.05.28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</si>
</sst>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 _z_ł_-;\-* #,##0.00\ _z_ł_-;_-* &quot;-&quot;??\ _z_ł_-;_-@_-"/>
    <numFmt numFmtId="164" formatCode="_-* #,##0.00_-;\-* #,##0.00_-;_-* &quot;-&quot;??_-;_-@_-"/>
    <numFmt numFmtId="165" formatCode="_-* #,##0.00\ &quot;€&quot;_-;\-* #,##0.00\ &quot;€&quot;_-;_-* &quot;-&quot;??\ &quot;€&quot;_-;_-@_-"/>
  </numFmts>
  <fonts count="156">
    <font>
      <sz val="11"/>
      <color theme="1"/>
      <name val="Arial"/>
      <family val="2"/>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sz val="11"/>
      <color theme="1"/>
      <name val="Arial"/>
      <family val="2"/>
      <charset val="238"/>
      <scheme val="minor"/>
    </font>
    <font>
      <b/>
      <sz val="11"/>
      <color theme="1"/>
      <name val="Arial"/>
      <family val="2"/>
      <charset val="238"/>
      <scheme val="minor"/>
    </font>
    <font>
      <sz val="11"/>
      <color rgb="FF000000"/>
      <name val="Arial"/>
      <family val="2"/>
      <charset val="238"/>
    </font>
    <font>
      <sz val="11"/>
      <color rgb="FF006100"/>
      <name val="Arial"/>
      <family val="2"/>
      <scheme val="minor"/>
    </font>
    <font>
      <sz val="11"/>
      <color rgb="FF9C6500"/>
      <name val="Arial"/>
      <family val="2"/>
      <scheme val="minor"/>
    </font>
    <font>
      <sz val="11"/>
      <color theme="1"/>
      <name val="Arial"/>
      <family val="2"/>
      <charset val="238"/>
      <scheme val="minor"/>
    </font>
    <font>
      <b/>
      <sz val="11"/>
      <color rgb="FF006100"/>
      <name val="Arial"/>
      <family val="2"/>
      <scheme val="minor"/>
    </font>
    <font>
      <b/>
      <sz val="11"/>
      <color rgb="FF9C6500"/>
      <name val="Arial"/>
      <family val="2"/>
      <scheme val="minor"/>
    </font>
    <font>
      <b/>
      <sz val="11"/>
      <color rgb="FFFF0000"/>
      <name val="Arial"/>
      <family val="2"/>
      <charset val="238"/>
      <scheme val="minor"/>
    </font>
    <font>
      <i/>
      <sz val="11"/>
      <color theme="1"/>
      <name val="Arial"/>
      <family val="2"/>
      <charset val="238"/>
      <scheme val="minor"/>
    </font>
    <font>
      <sz val="8"/>
      <color theme="1"/>
      <name val="Arial"/>
      <family val="2"/>
      <charset val="238"/>
      <scheme val="minor"/>
    </font>
    <font>
      <sz val="11"/>
      <color rgb="FF3F3F76"/>
      <name val="Arial"/>
      <family val="2"/>
      <charset val="238"/>
      <scheme val="minor"/>
    </font>
    <font>
      <sz val="11"/>
      <color theme="0"/>
      <name val="Arial"/>
      <family val="2"/>
    </font>
    <font>
      <sz val="11"/>
      <color theme="1"/>
      <name val="Arial"/>
      <family val="2"/>
      <scheme val="minor"/>
    </font>
    <font>
      <sz val="11"/>
      <color theme="1"/>
      <name val="Arial"/>
      <family val="2"/>
      <charset val="238"/>
    </font>
    <font>
      <sz val="9"/>
      <color indexed="81"/>
      <name val="Tahoma"/>
      <family val="2"/>
      <charset val="238"/>
    </font>
    <font>
      <b/>
      <sz val="9"/>
      <color indexed="81"/>
      <name val="Tahoma"/>
      <family val="2"/>
      <charset val="238"/>
    </font>
    <font>
      <sz val="11"/>
      <color rgb="FF006100"/>
      <name val="Arial"/>
      <family val="2"/>
      <charset val="238"/>
      <scheme val="minor"/>
    </font>
    <font>
      <sz val="10"/>
      <color indexed="62"/>
      <name val="Arial"/>
      <family val="2"/>
      <charset val="238"/>
    </font>
    <font>
      <sz val="10"/>
      <name val="Arial"/>
      <family val="2"/>
    </font>
    <font>
      <sz val="10"/>
      <color indexed="8"/>
      <name val="Arial"/>
      <family val="2"/>
      <charset val="238"/>
    </font>
    <font>
      <sz val="11"/>
      <color indexed="8"/>
      <name val="Calibri"/>
      <family val="2"/>
      <charset val="238"/>
    </font>
    <font>
      <sz val="10"/>
      <color indexed="9"/>
      <name val="Arial"/>
      <family val="2"/>
      <charset val="238"/>
    </font>
    <font>
      <sz val="11"/>
      <color indexed="9"/>
      <name val="Calibri"/>
      <family val="2"/>
      <charset val="238"/>
    </font>
    <font>
      <sz val="10"/>
      <color indexed="20"/>
      <name val="Arial"/>
      <family val="2"/>
      <charset val="238"/>
    </font>
    <font>
      <sz val="11"/>
      <color indexed="20"/>
      <name val="Calibri"/>
      <family val="2"/>
      <charset val="238"/>
    </font>
    <font>
      <b/>
      <sz val="10"/>
      <color indexed="52"/>
      <name val="Arial"/>
      <family val="2"/>
      <charset val="238"/>
    </font>
    <font>
      <b/>
      <sz val="11"/>
      <color indexed="52"/>
      <name val="Calibri"/>
      <family val="2"/>
      <charset val="238"/>
    </font>
    <font>
      <b/>
      <sz val="10"/>
      <color indexed="9"/>
      <name val="Arial"/>
      <family val="2"/>
      <charset val="238"/>
    </font>
    <font>
      <b/>
      <sz val="11"/>
      <color indexed="9"/>
      <name val="Calibri"/>
      <family val="2"/>
      <charset val="238"/>
    </font>
    <font>
      <sz val="10"/>
      <color theme="1"/>
      <name val="Arial"/>
      <family val="2"/>
    </font>
    <font>
      <sz val="11"/>
      <color theme="1"/>
      <name val="Arial"/>
      <family val="2"/>
    </font>
    <font>
      <sz val="11"/>
      <color indexed="54"/>
      <name val="Calibri"/>
      <family val="2"/>
      <charset val="238"/>
    </font>
    <font>
      <b/>
      <sz val="11"/>
      <color indexed="63"/>
      <name val="Calibri"/>
      <family val="2"/>
      <charset val="238"/>
    </font>
    <font>
      <sz val="11"/>
      <color indexed="17"/>
      <name val="Calibri"/>
      <family val="2"/>
      <charset val="238"/>
    </font>
    <font>
      <i/>
      <sz val="10"/>
      <color indexed="23"/>
      <name val="Arial"/>
      <family val="2"/>
      <charset val="238"/>
    </font>
    <font>
      <i/>
      <sz val="11"/>
      <color indexed="23"/>
      <name val="Calibri"/>
      <family val="2"/>
      <charset val="238"/>
    </font>
    <font>
      <b/>
      <sz val="15"/>
      <color indexed="56"/>
      <name val="Arial"/>
      <family val="2"/>
      <charset val="238"/>
    </font>
    <font>
      <b/>
      <sz val="15"/>
      <color indexed="56"/>
      <name val="Calibri"/>
      <family val="2"/>
      <charset val="238"/>
    </font>
    <font>
      <b/>
      <sz val="13"/>
      <color indexed="56"/>
      <name val="Arial"/>
      <family val="2"/>
      <charset val="238"/>
    </font>
    <font>
      <b/>
      <sz val="13"/>
      <color indexed="56"/>
      <name val="Calibri"/>
      <family val="2"/>
      <charset val="238"/>
    </font>
    <font>
      <b/>
      <sz val="11"/>
      <color indexed="56"/>
      <name val="Arial"/>
      <family val="2"/>
      <charset val="238"/>
    </font>
    <font>
      <b/>
      <sz val="11"/>
      <color indexed="56"/>
      <name val="Calibri"/>
      <family val="2"/>
      <charset val="238"/>
    </font>
    <font>
      <u/>
      <sz val="11"/>
      <color theme="10"/>
      <name val="Arial"/>
      <family val="2"/>
      <scheme val="minor"/>
    </font>
    <font>
      <sz val="11"/>
      <color indexed="62"/>
      <name val="Calibri"/>
      <family val="2"/>
      <charset val="238"/>
    </font>
    <font>
      <sz val="11"/>
      <color indexed="52"/>
      <name val="Calibri"/>
      <family val="2"/>
      <charset val="238"/>
    </font>
    <font>
      <sz val="10"/>
      <color indexed="52"/>
      <name val="Arial"/>
      <family val="2"/>
      <charset val="238"/>
    </font>
    <font>
      <b/>
      <sz val="15"/>
      <color indexed="62"/>
      <name val="Calibri"/>
      <family val="2"/>
      <charset val="238"/>
    </font>
    <font>
      <b/>
      <sz val="13"/>
      <color indexed="62"/>
      <name val="Calibri"/>
      <family val="2"/>
      <charset val="238"/>
    </font>
    <font>
      <b/>
      <sz val="11"/>
      <color indexed="62"/>
      <name val="Calibri"/>
      <family val="2"/>
      <charset val="238"/>
    </font>
    <font>
      <sz val="11"/>
      <color indexed="60"/>
      <name val="Calibri"/>
      <family val="2"/>
      <charset val="238"/>
    </font>
    <font>
      <sz val="11"/>
      <color theme="1"/>
      <name val="Czcionka tekstu podstawowego"/>
      <family val="2"/>
      <charset val="238"/>
    </font>
    <font>
      <sz val="9"/>
      <color theme="1"/>
      <name val="Calibri"/>
      <family val="2"/>
      <charset val="238"/>
    </font>
    <font>
      <sz val="10"/>
      <name val="Arial"/>
      <family val="2"/>
      <charset val="238"/>
    </font>
    <font>
      <sz val="10"/>
      <color theme="1"/>
      <name val="Arial Unicode MS"/>
      <family val="2"/>
    </font>
    <font>
      <sz val="10"/>
      <color theme="1"/>
      <name val="Arial"/>
      <family val="2"/>
      <scheme val="minor"/>
    </font>
    <font>
      <sz val="10"/>
      <color rgb="FF000000"/>
      <name val="Arial"/>
      <family val="2"/>
      <charset val="238"/>
    </font>
    <font>
      <b/>
      <sz val="10"/>
      <color indexed="63"/>
      <name val="Arial"/>
      <family val="2"/>
      <charset val="238"/>
    </font>
    <font>
      <b/>
      <sz val="11"/>
      <color indexed="8"/>
      <name val="Calibri"/>
      <family val="2"/>
      <charset val="238"/>
    </font>
    <font>
      <sz val="11"/>
      <color indexed="10"/>
      <name val="Calibri"/>
      <family val="2"/>
      <charset val="238"/>
    </font>
    <font>
      <b/>
      <sz val="18"/>
      <color indexed="56"/>
      <name val="Cambria"/>
      <family val="2"/>
      <charset val="238"/>
    </font>
    <font>
      <b/>
      <sz val="10"/>
      <color indexed="8"/>
      <name val="Arial"/>
      <family val="2"/>
      <charset val="238"/>
    </font>
    <font>
      <b/>
      <sz val="18"/>
      <color indexed="62"/>
      <name val="Cambria"/>
      <family val="2"/>
      <charset val="238"/>
    </font>
    <font>
      <sz val="10"/>
      <name val="Arial CE"/>
      <family val="2"/>
    </font>
    <font>
      <sz val="10"/>
      <color indexed="10"/>
      <name val="Arial"/>
      <family val="2"/>
      <charset val="238"/>
    </font>
    <font>
      <sz val="11"/>
      <color indexed="36"/>
      <name val="Calibri"/>
      <family val="2"/>
      <charset val="238"/>
    </font>
    <font>
      <b/>
      <sz val="18"/>
      <color theme="3"/>
      <name val="Georgia"/>
      <family val="2"/>
      <charset val="238"/>
      <scheme val="major"/>
    </font>
    <font>
      <b/>
      <sz val="15"/>
      <color theme="3"/>
      <name val="Arial"/>
      <family val="2"/>
      <charset val="238"/>
      <scheme val="minor"/>
    </font>
    <font>
      <b/>
      <sz val="13"/>
      <color theme="3"/>
      <name val="Arial"/>
      <family val="2"/>
      <charset val="238"/>
      <scheme val="minor"/>
    </font>
    <font>
      <b/>
      <sz val="11"/>
      <color theme="3"/>
      <name val="Arial"/>
      <family val="2"/>
      <charset val="238"/>
      <scheme val="minor"/>
    </font>
    <font>
      <sz val="11"/>
      <color rgb="FF9C0006"/>
      <name val="Arial"/>
      <family val="2"/>
      <charset val="238"/>
      <scheme val="minor"/>
    </font>
    <font>
      <b/>
      <sz val="11"/>
      <color rgb="FF3F3F3F"/>
      <name val="Arial"/>
      <family val="2"/>
      <charset val="238"/>
      <scheme val="minor"/>
    </font>
    <font>
      <b/>
      <sz val="11"/>
      <color rgb="FFFA7D00"/>
      <name val="Arial"/>
      <family val="2"/>
      <charset val="238"/>
      <scheme val="minor"/>
    </font>
    <font>
      <sz val="11"/>
      <color rgb="FFFA7D00"/>
      <name val="Arial"/>
      <family val="2"/>
      <charset val="238"/>
      <scheme val="minor"/>
    </font>
    <font>
      <b/>
      <sz val="11"/>
      <color theme="0"/>
      <name val="Arial"/>
      <family val="2"/>
      <charset val="238"/>
      <scheme val="minor"/>
    </font>
    <font>
      <sz val="11"/>
      <color rgb="FFFF0000"/>
      <name val="Arial"/>
      <family val="2"/>
      <charset val="238"/>
      <scheme val="minor"/>
    </font>
    <font>
      <i/>
      <sz val="11"/>
      <color rgb="FF7F7F7F"/>
      <name val="Arial"/>
      <family val="2"/>
      <charset val="238"/>
      <scheme val="minor"/>
    </font>
    <font>
      <sz val="11"/>
      <color theme="0"/>
      <name val="Arial"/>
      <family val="2"/>
      <charset val="238"/>
      <scheme val="minor"/>
    </font>
    <font>
      <sz val="11"/>
      <color rgb="FF9C6500"/>
      <name val="Arial"/>
      <family val="2"/>
      <charset val="238"/>
      <scheme val="minor"/>
    </font>
    <font>
      <sz val="10"/>
      <name val="Arial"/>
      <family val="2"/>
      <charset val="238"/>
    </font>
    <font>
      <u/>
      <sz val="11"/>
      <color theme="10"/>
      <name val="Arial"/>
      <family val="2"/>
      <charset val="238"/>
      <scheme val="minor"/>
    </font>
    <font>
      <sz val="11"/>
      <color rgb="FF9C6500"/>
      <name val="Arial"/>
      <family val="2"/>
      <charset val="238"/>
    </font>
    <font>
      <b/>
      <sz val="15"/>
      <color theme="3"/>
      <name val="Czcionka tekstu podstawowego"/>
      <family val="2"/>
      <charset val="238"/>
    </font>
    <font>
      <b/>
      <sz val="13"/>
      <color theme="3"/>
      <name val="Czcionka tekstu podstawowego"/>
      <family val="2"/>
      <charset val="238"/>
    </font>
    <font>
      <b/>
      <sz val="11"/>
      <color theme="3"/>
      <name val="Czcionka tekstu podstawowego"/>
      <family val="2"/>
      <charset val="238"/>
    </font>
    <font>
      <sz val="11"/>
      <color rgb="FF006100"/>
      <name val="Czcionka tekstu podstawowego"/>
      <family val="2"/>
      <charset val="238"/>
    </font>
    <font>
      <sz val="11"/>
      <color rgb="FF9C0006"/>
      <name val="Czcionka tekstu podstawowego"/>
      <family val="2"/>
      <charset val="238"/>
    </font>
    <font>
      <sz val="11"/>
      <color rgb="FF9C6500"/>
      <name val="Czcionka tekstu podstawowego"/>
      <family val="2"/>
      <charset val="238"/>
    </font>
    <font>
      <sz val="11"/>
      <color rgb="FF3F3F76"/>
      <name val="Czcionka tekstu podstawowego"/>
      <family val="2"/>
      <charset val="238"/>
    </font>
    <font>
      <b/>
      <sz val="11"/>
      <color rgb="FF3F3F3F"/>
      <name val="Czcionka tekstu podstawowego"/>
      <family val="2"/>
      <charset val="238"/>
    </font>
    <font>
      <b/>
      <sz val="11"/>
      <color rgb="FFFA7D00"/>
      <name val="Czcionka tekstu podstawowego"/>
      <family val="2"/>
      <charset val="238"/>
    </font>
    <font>
      <sz val="11"/>
      <color rgb="FFFA7D00"/>
      <name val="Czcionka tekstu podstawowego"/>
      <family val="2"/>
      <charset val="238"/>
    </font>
    <font>
      <b/>
      <sz val="11"/>
      <color theme="0"/>
      <name val="Czcionka tekstu podstawowego"/>
      <family val="2"/>
      <charset val="238"/>
    </font>
    <font>
      <sz val="11"/>
      <color rgb="FFFF0000"/>
      <name val="Czcionka tekstu podstawowego"/>
      <family val="2"/>
      <charset val="238"/>
    </font>
    <font>
      <i/>
      <sz val="11"/>
      <color rgb="FF7F7F7F"/>
      <name val="Czcionka tekstu podstawowego"/>
      <family val="2"/>
      <charset val="238"/>
    </font>
    <font>
      <b/>
      <sz val="11"/>
      <color theme="1"/>
      <name val="Czcionka tekstu podstawowego"/>
      <family val="2"/>
      <charset val="238"/>
    </font>
    <font>
      <sz val="11"/>
      <color theme="0"/>
      <name val="Czcionka tekstu podstawowego"/>
      <family val="2"/>
      <charset val="238"/>
    </font>
    <font>
      <sz val="18"/>
      <color theme="3"/>
      <name val="Georgia"/>
      <family val="2"/>
      <charset val="238"/>
      <scheme val="major"/>
    </font>
    <font>
      <sz val="11"/>
      <color rgb="FF000000"/>
      <name val="Calibri"/>
      <family val="2"/>
      <charset val="238"/>
    </font>
    <font>
      <sz val="11"/>
      <color indexed="8"/>
      <name val="Arial"/>
      <family val="2"/>
      <scheme val="minor"/>
    </font>
    <font>
      <sz val="8"/>
      <color theme="1"/>
      <name val="Arial"/>
      <family val="2"/>
      <charset val="238"/>
    </font>
    <font>
      <sz val="10"/>
      <color theme="1"/>
      <name val="Arial"/>
      <family val="2"/>
      <charset val="238"/>
      <scheme val="minor"/>
    </font>
    <font>
      <b/>
      <i/>
      <sz val="11"/>
      <color theme="1"/>
      <name val="Arial"/>
      <family val="2"/>
      <charset val="238"/>
    </font>
    <font>
      <sz val="10"/>
      <color rgb="FF4A4A4A"/>
      <name val="Calibri"/>
      <family val="2"/>
      <charset val="238"/>
    </font>
    <font>
      <sz val="8"/>
      <name val="Arial"/>
      <family val="2"/>
      <charset val="238"/>
    </font>
  </fonts>
  <fills count="60">
    <fill>
      <patternFill patternType="none"/>
    </fill>
    <fill>
      <patternFill patternType="gray125"/>
    </fill>
    <fill>
      <patternFill patternType="solid">
        <fgColor rgb="FFC6EFCE"/>
      </patternFill>
    </fill>
    <fill>
      <patternFill patternType="solid">
        <fgColor rgb="FFFFEB9C"/>
      </patternFill>
    </fill>
    <fill>
      <patternFill patternType="solid">
        <fgColor theme="0" tint="-0.14999847407452621"/>
        <bgColor theme="0" tint="-0.14999847407452621"/>
      </patternFill>
    </fill>
    <fill>
      <patternFill patternType="solid">
        <fgColor theme="4" tint="0.79998168889431442"/>
        <bgColor theme="4" tint="0.79998168889431442"/>
      </patternFill>
    </fill>
    <fill>
      <patternFill patternType="solid">
        <fgColor rgb="FFFFCC99"/>
      </patternFill>
    </fill>
    <fill>
      <patternFill patternType="solid">
        <fgColor theme="4"/>
      </patternFill>
    </fill>
    <fill>
      <patternFill patternType="solid">
        <fgColor theme="8"/>
      </patternFill>
    </fill>
    <fill>
      <patternFill patternType="solid">
        <fgColor indexed="4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4"/>
      </patternFill>
    </fill>
    <fill>
      <patternFill patternType="solid">
        <fgColor indexed="55"/>
      </patternFill>
    </fill>
    <fill>
      <patternFill patternType="solid">
        <fgColor rgb="FFFFC7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59999389629810485"/>
        <bgColor indexed="64"/>
      </patternFill>
    </fill>
  </fills>
  <borders count="36">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theme="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style="thin">
        <color theme="4" tint="0.39997558519241921"/>
      </top>
      <bottom style="thin">
        <color theme="4" tint="0.3999755851924192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top/>
      <bottom style="thick">
        <color indexed="49"/>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right/>
      <top style="thin">
        <color indexed="49"/>
      </top>
      <bottom style="double">
        <color indexed="49"/>
      </bottom>
      <diagonal/>
    </border>
    <border>
      <left/>
      <right/>
      <top style="thin">
        <color indexed="62"/>
      </top>
      <bottom style="double">
        <color indexed="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6"/>
      </top>
      <bottom/>
      <diagonal/>
    </border>
    <border>
      <left/>
      <right/>
      <top style="thin">
        <color theme="8"/>
      </top>
      <bottom/>
      <diagonal/>
    </border>
    <border>
      <left/>
      <right style="thin">
        <color theme="6"/>
      </right>
      <top style="thin">
        <color theme="6"/>
      </top>
      <bottom/>
      <diagonal/>
    </border>
    <border>
      <left style="thin">
        <color auto="1"/>
      </left>
      <right style="thin">
        <color auto="1"/>
      </right>
      <top style="thin">
        <color auto="1"/>
      </top>
      <bottom style="thin">
        <color auto="1"/>
      </bottom>
      <diagonal/>
    </border>
    <border>
      <left/>
      <right/>
      <top style="thin">
        <color rgb="FF000000"/>
      </top>
      <bottom/>
      <diagonal/>
    </border>
    <border>
      <left/>
      <right/>
      <top style="thin">
        <color theme="6"/>
      </top>
      <bottom style="thin">
        <color theme="6"/>
      </bottom>
      <diagonal/>
    </border>
    <border>
      <left/>
      <right/>
      <top style="thin">
        <color theme="1"/>
      </top>
      <bottom style="thin">
        <color theme="1"/>
      </bottom>
      <diagonal/>
    </border>
    <border>
      <left/>
      <right/>
      <top style="thin">
        <color theme="1"/>
      </top>
      <bottom/>
      <diagonal/>
    </border>
  </borders>
  <cellStyleXfs count="45501">
    <xf numFmtId="0" fontId="0" fillId="0" borderId="0"/>
    <xf numFmtId="0" fontId="54" fillId="2" borderId="0" applyNumberFormat="0" applyBorder="0" applyAlignment="0" applyProtection="0"/>
    <xf numFmtId="0" fontId="55" fillId="3" borderId="0" applyNumberFormat="0" applyBorder="0" applyAlignment="0" applyProtection="0"/>
    <xf numFmtId="0" fontId="56" fillId="0" borderId="0"/>
    <xf numFmtId="0" fontId="51" fillId="0" borderId="0"/>
    <xf numFmtId="0" fontId="50" fillId="0" borderId="0"/>
    <xf numFmtId="0" fontId="49" fillId="0" borderId="0"/>
    <xf numFmtId="0" fontId="49" fillId="0" borderId="0"/>
    <xf numFmtId="0" fontId="49" fillId="0" borderId="0"/>
    <xf numFmtId="0" fontId="49" fillId="0" borderId="0"/>
    <xf numFmtId="0" fontId="62" fillId="6" borderId="6" applyNumberFormat="0" applyAlignment="0" applyProtection="0"/>
    <xf numFmtId="0" fontId="48" fillId="0" borderId="0"/>
    <xf numFmtId="0" fontId="63" fillId="7" borderId="0" applyNumberFormat="0" applyBorder="0" applyAlignment="0" applyProtection="0"/>
    <xf numFmtId="0" fontId="63" fillId="8" borderId="0" applyNumberFormat="0" applyBorder="0" applyAlignment="0" applyProtection="0"/>
    <xf numFmtId="0" fontId="55" fillId="3" borderId="0" applyNumberFormat="0" applyBorder="0" applyAlignment="0" applyProtection="0"/>
    <xf numFmtId="0" fontId="47" fillId="0" borderId="0"/>
    <xf numFmtId="0" fontId="64" fillId="0" borderId="0"/>
    <xf numFmtId="0" fontId="54" fillId="2" borderId="0" applyNumberFormat="0" applyBorder="0" applyAlignment="0" applyProtection="0"/>
    <xf numFmtId="0" fontId="55" fillId="3" borderId="0" applyNumberFormat="0" applyBorder="0" applyAlignment="0" applyProtection="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65" fillId="0" borderId="0"/>
    <xf numFmtId="0" fontId="64"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68" fillId="2" borderId="0" applyNumberFormat="0" applyBorder="0" applyAlignment="0" applyProtection="0"/>
    <xf numFmtId="0" fontId="69" fillId="9" borderId="8" applyNumberFormat="0" applyAlignment="0" applyProtection="0"/>
    <xf numFmtId="0" fontId="70" fillId="0" borderId="0"/>
    <xf numFmtId="0" fontId="71" fillId="10" borderId="0" applyNumberFormat="0" applyBorder="0" applyAlignment="0" applyProtection="0"/>
    <xf numFmtId="0" fontId="72" fillId="10" borderId="0" applyNumberFormat="0" applyBorder="0" applyAlignment="0" applyProtection="0"/>
    <xf numFmtId="0" fontId="71" fillId="11" borderId="0" applyNumberFormat="0" applyBorder="0" applyAlignment="0" applyProtection="0"/>
    <xf numFmtId="0" fontId="72" fillId="11" borderId="0" applyNumberFormat="0" applyBorder="0" applyAlignment="0" applyProtection="0"/>
    <xf numFmtId="0" fontId="71" fillId="12" borderId="0" applyNumberFormat="0" applyBorder="0" applyAlignment="0" applyProtection="0"/>
    <xf numFmtId="0" fontId="72" fillId="12" borderId="0" applyNumberFormat="0" applyBorder="0" applyAlignment="0" applyProtection="0"/>
    <xf numFmtId="0" fontId="71" fillId="13" borderId="0" applyNumberFormat="0" applyBorder="0" applyAlignment="0" applyProtection="0"/>
    <xf numFmtId="0" fontId="72" fillId="13" borderId="0" applyNumberFormat="0" applyBorder="0" applyAlignment="0" applyProtection="0"/>
    <xf numFmtId="0" fontId="71" fillId="14" borderId="0" applyNumberFormat="0" applyBorder="0" applyAlignment="0" applyProtection="0"/>
    <xf numFmtId="0" fontId="72" fillId="14" borderId="0" applyNumberFormat="0" applyBorder="0" applyAlignment="0" applyProtection="0"/>
    <xf numFmtId="0" fontId="71" fillId="9" borderId="0" applyNumberFormat="0" applyBorder="0" applyAlignment="0" applyProtection="0"/>
    <xf numFmtId="0" fontId="72" fillId="9" borderId="0" applyNumberFormat="0" applyBorder="0" applyAlignment="0" applyProtection="0"/>
    <xf numFmtId="0" fontId="72" fillId="15" borderId="0" applyNumberFormat="0" applyBorder="0" applyAlignment="0" applyProtection="0"/>
    <xf numFmtId="0" fontId="72" fillId="9" borderId="0" applyNumberFormat="0" applyBorder="0" applyAlignment="0" applyProtection="0"/>
    <xf numFmtId="0" fontId="72" fillId="16" borderId="0" applyNumberFormat="0" applyBorder="0" applyAlignment="0" applyProtection="0"/>
    <xf numFmtId="0" fontId="72" fillId="15" borderId="0" applyNumberFormat="0" applyBorder="0" applyAlignment="0" applyProtection="0"/>
    <xf numFmtId="0" fontId="72" fillId="14" borderId="0" applyNumberFormat="0" applyBorder="0" applyAlignment="0" applyProtection="0"/>
    <xf numFmtId="0" fontId="72" fillId="9" borderId="0" applyNumberFormat="0" applyBorder="0" applyAlignment="0" applyProtection="0"/>
    <xf numFmtId="0" fontId="71" fillId="17" borderId="0" applyNumberFormat="0" applyBorder="0" applyAlignment="0" applyProtection="0"/>
    <xf numFmtId="0" fontId="72" fillId="17" borderId="0" applyNumberFormat="0" applyBorder="0" applyAlignment="0" applyProtection="0"/>
    <xf numFmtId="0" fontId="71" fillId="18" borderId="0" applyNumberFormat="0" applyBorder="0" applyAlignment="0" applyProtection="0"/>
    <xf numFmtId="0" fontId="72" fillId="18" borderId="0" applyNumberFormat="0" applyBorder="0" applyAlignment="0" applyProtection="0"/>
    <xf numFmtId="0" fontId="71" fillId="19" borderId="0" applyNumberFormat="0" applyBorder="0" applyAlignment="0" applyProtection="0"/>
    <xf numFmtId="0" fontId="72" fillId="19" borderId="0" applyNumberFormat="0" applyBorder="0" applyAlignment="0" applyProtection="0"/>
    <xf numFmtId="0" fontId="71" fillId="13" borderId="0" applyNumberFormat="0" applyBorder="0" applyAlignment="0" applyProtection="0"/>
    <xf numFmtId="0" fontId="72" fillId="13" borderId="0" applyNumberFormat="0" applyBorder="0" applyAlignment="0" applyProtection="0"/>
    <xf numFmtId="0" fontId="71" fillId="17" borderId="0" applyNumberFormat="0" applyBorder="0" applyAlignment="0" applyProtection="0"/>
    <xf numFmtId="0" fontId="72" fillId="17" borderId="0" applyNumberFormat="0" applyBorder="0" applyAlignment="0" applyProtection="0"/>
    <xf numFmtId="0" fontId="71" fillId="20" borderId="0" applyNumberFormat="0" applyBorder="0" applyAlignment="0" applyProtection="0"/>
    <xf numFmtId="0" fontId="72" fillId="20" borderId="0" applyNumberFormat="0" applyBorder="0" applyAlignment="0" applyProtection="0"/>
    <xf numFmtId="0" fontId="72" fillId="21" borderId="0" applyNumberFormat="0" applyBorder="0" applyAlignment="0" applyProtection="0"/>
    <xf numFmtId="0" fontId="72" fillId="18" borderId="0" applyNumberFormat="0" applyBorder="0" applyAlignment="0" applyProtection="0"/>
    <xf numFmtId="0" fontId="72" fillId="22" borderId="0" applyNumberFormat="0" applyBorder="0" applyAlignment="0" applyProtection="0"/>
    <xf numFmtId="0" fontId="72" fillId="21" borderId="0" applyNumberFormat="0" applyBorder="0" applyAlignment="0" applyProtection="0"/>
    <xf numFmtId="0" fontId="72" fillId="17" borderId="0" applyNumberFormat="0" applyBorder="0" applyAlignment="0" applyProtection="0"/>
    <xf numFmtId="0" fontId="72" fillId="9" borderId="0" applyNumberFormat="0" applyBorder="0" applyAlignment="0" applyProtection="0"/>
    <xf numFmtId="0" fontId="73" fillId="23" borderId="0" applyNumberFormat="0" applyBorder="0" applyAlignment="0" applyProtection="0"/>
    <xf numFmtId="0" fontId="74" fillId="23" borderId="0" applyNumberFormat="0" applyBorder="0" applyAlignment="0" applyProtection="0"/>
    <xf numFmtId="0" fontId="73" fillId="18" borderId="0" applyNumberFormat="0" applyBorder="0" applyAlignment="0" applyProtection="0"/>
    <xf numFmtId="0" fontId="74" fillId="18" borderId="0" applyNumberFormat="0" applyBorder="0" applyAlignment="0" applyProtection="0"/>
    <xf numFmtId="0" fontId="73" fillId="19" borderId="0" applyNumberFormat="0" applyBorder="0" applyAlignment="0" applyProtection="0"/>
    <xf numFmtId="0" fontId="74" fillId="19" borderId="0" applyNumberFormat="0" applyBorder="0" applyAlignment="0" applyProtection="0"/>
    <xf numFmtId="0" fontId="73" fillId="24" borderId="0" applyNumberFormat="0" applyBorder="0" applyAlignment="0" applyProtection="0"/>
    <xf numFmtId="0" fontId="74" fillId="24" borderId="0" applyNumberFormat="0" applyBorder="0" applyAlignment="0" applyProtection="0"/>
    <xf numFmtId="0" fontId="73" fillId="25" borderId="0" applyNumberFormat="0" applyBorder="0" applyAlignment="0" applyProtection="0"/>
    <xf numFmtId="0" fontId="74" fillId="25" borderId="0" applyNumberFormat="0" applyBorder="0" applyAlignment="0" applyProtection="0"/>
    <xf numFmtId="0" fontId="73" fillId="26" borderId="0" applyNumberFormat="0" applyBorder="0" applyAlignment="0" applyProtection="0"/>
    <xf numFmtId="0" fontId="74" fillId="26" borderId="0" applyNumberFormat="0" applyBorder="0" applyAlignment="0" applyProtection="0"/>
    <xf numFmtId="0" fontId="74" fillId="25" borderId="0" applyNumberFormat="0" applyBorder="0" applyAlignment="0" applyProtection="0"/>
    <xf numFmtId="0" fontId="74" fillId="18" borderId="0" applyNumberFormat="0" applyBorder="0" applyAlignment="0" applyProtection="0"/>
    <xf numFmtId="0" fontId="74" fillId="22" borderId="0" applyNumberFormat="0" applyBorder="0" applyAlignment="0" applyProtection="0"/>
    <xf numFmtId="0" fontId="74" fillId="21" borderId="0" applyNumberFormat="0" applyBorder="0" applyAlignment="0" applyProtection="0"/>
    <xf numFmtId="0" fontId="74" fillId="25" borderId="0" applyNumberFormat="0" applyBorder="0" applyAlignment="0" applyProtection="0"/>
    <xf numFmtId="0" fontId="74" fillId="9" borderId="0" applyNumberFormat="0" applyBorder="0" applyAlignment="0" applyProtection="0"/>
    <xf numFmtId="0" fontId="74" fillId="27" borderId="0" applyNumberFormat="0" applyBorder="0" applyAlignment="0" applyProtection="0"/>
    <xf numFmtId="0" fontId="73" fillId="28" borderId="0" applyNumberFormat="0" applyBorder="0" applyAlignment="0" applyProtection="0"/>
    <xf numFmtId="0" fontId="74" fillId="28" borderId="0" applyNumberFormat="0" applyBorder="0" applyAlignment="0" applyProtection="0"/>
    <xf numFmtId="0" fontId="73" fillId="29" borderId="0" applyNumberFormat="0" applyBorder="0" applyAlignment="0" applyProtection="0"/>
    <xf numFmtId="0" fontId="74" fillId="29" borderId="0" applyNumberFormat="0" applyBorder="0" applyAlignment="0" applyProtection="0"/>
    <xf numFmtId="0" fontId="73" fillId="24" borderId="0" applyNumberFormat="0" applyBorder="0" applyAlignment="0" applyProtection="0"/>
    <xf numFmtId="0" fontId="74" fillId="24" borderId="0" applyNumberFormat="0" applyBorder="0" applyAlignment="0" applyProtection="0"/>
    <xf numFmtId="0" fontId="74" fillId="25" borderId="0" applyNumberFormat="0" applyBorder="0" applyAlignment="0" applyProtection="0"/>
    <xf numFmtId="0" fontId="73" fillId="30" borderId="0" applyNumberFormat="0" applyBorder="0" applyAlignment="0" applyProtection="0"/>
    <xf numFmtId="0" fontId="74" fillId="30" borderId="0" applyNumberFormat="0" applyBorder="0" applyAlignment="0" applyProtection="0"/>
    <xf numFmtId="0" fontId="74" fillId="25" borderId="0" applyNumberFormat="0" applyBorder="0" applyAlignment="0" applyProtection="0"/>
    <xf numFmtId="0" fontId="74" fillId="28" borderId="0" applyNumberFormat="0" applyBorder="0" applyAlignment="0" applyProtection="0"/>
    <xf numFmtId="0" fontId="74" fillId="29" borderId="0" applyNumberFormat="0" applyBorder="0" applyAlignment="0" applyProtection="0"/>
    <xf numFmtId="0" fontId="74" fillId="31" borderId="0" applyNumberFormat="0" applyBorder="0" applyAlignment="0" applyProtection="0"/>
    <xf numFmtId="0" fontId="74" fillId="25" borderId="0" applyNumberFormat="0" applyBorder="0" applyAlignment="0" applyProtection="0"/>
    <xf numFmtId="0" fontId="74" fillId="30" borderId="0" applyNumberFormat="0" applyBorder="0" applyAlignment="0" applyProtection="0"/>
    <xf numFmtId="0" fontId="75" fillId="11" borderId="0" applyNumberFormat="0" applyBorder="0" applyAlignment="0" applyProtection="0"/>
    <xf numFmtId="0" fontId="76" fillId="11" borderId="0" applyNumberFormat="0" applyBorder="0" applyAlignment="0" applyProtection="0"/>
    <xf numFmtId="0" fontId="77" fillId="21" borderId="8" applyNumberFormat="0" applyAlignment="0" applyProtection="0"/>
    <xf numFmtId="0" fontId="78" fillId="21" borderId="8" applyNumberFormat="0" applyAlignment="0" applyProtection="0"/>
    <xf numFmtId="0" fontId="79" fillId="32" borderId="9" applyNumberFormat="0" applyAlignment="0" applyProtection="0"/>
    <xf numFmtId="0" fontId="80" fillId="32" borderId="9" applyNumberFormat="0" applyAlignment="0" applyProtection="0"/>
    <xf numFmtId="43" fontId="81" fillId="0" borderId="0" applyFont="0" applyFill="0" applyBorder="0" applyAlignment="0" applyProtection="0"/>
    <xf numFmtId="43" fontId="70" fillId="0" borderId="0" applyFont="0" applyFill="0" applyBorder="0" applyAlignment="0" applyProtection="0"/>
    <xf numFmtId="164" fontId="82" fillId="0" borderId="0" applyFont="0" applyFill="0" applyBorder="0" applyAlignment="0" applyProtection="0"/>
    <xf numFmtId="165" fontId="70" fillId="0" borderId="0" applyFont="0" applyFill="0" applyBorder="0" applyAlignment="0" applyProtection="0"/>
    <xf numFmtId="0" fontId="83" fillId="9" borderId="8" applyNumberFormat="0" applyAlignment="0" applyProtection="0"/>
    <xf numFmtId="0" fontId="84" fillId="15" borderId="10" applyNumberFormat="0" applyAlignment="0" applyProtection="0"/>
    <xf numFmtId="0" fontId="85" fillId="12" borderId="0" applyNumberFormat="0" applyBorder="0" applyAlignment="0" applyProtection="0"/>
    <xf numFmtId="0" fontId="86" fillId="0" borderId="0" applyNumberFormat="0" applyFill="0" applyBorder="0" applyAlignment="0" applyProtection="0"/>
    <xf numFmtId="0" fontId="87" fillId="0" borderId="0" applyNumberFormat="0" applyFill="0" applyBorder="0" applyAlignment="0" applyProtection="0"/>
    <xf numFmtId="0" fontId="88" fillId="0" borderId="11" applyNumberFormat="0" applyFill="0" applyAlignment="0" applyProtection="0"/>
    <xf numFmtId="0" fontId="89" fillId="0" borderId="11" applyNumberFormat="0" applyFill="0" applyAlignment="0" applyProtection="0"/>
    <xf numFmtId="0" fontId="90" fillId="0" borderId="12" applyNumberFormat="0" applyFill="0" applyAlignment="0" applyProtection="0"/>
    <xf numFmtId="0" fontId="91" fillId="0" borderId="12" applyNumberFormat="0" applyFill="0" applyAlignment="0" applyProtection="0"/>
    <xf numFmtId="0" fontId="92" fillId="0" borderId="13" applyNumberFormat="0" applyFill="0" applyAlignment="0" applyProtection="0"/>
    <xf numFmtId="0" fontId="93" fillId="0" borderId="13" applyNumberFormat="0" applyFill="0" applyAlignment="0" applyProtection="0"/>
    <xf numFmtId="0" fontId="92" fillId="0" borderId="0" applyNumberFormat="0" applyFill="0" applyBorder="0" applyAlignment="0" applyProtection="0"/>
    <xf numFmtId="0" fontId="93" fillId="0" borderId="0" applyNumberFormat="0" applyFill="0" applyBorder="0" applyAlignment="0" applyProtection="0"/>
    <xf numFmtId="0" fontId="94" fillId="0" borderId="0" applyNumberFormat="0" applyFill="0" applyBorder="0" applyAlignment="0" applyProtection="0"/>
    <xf numFmtId="0" fontId="95" fillId="9" borderId="8" applyNumberFormat="0" applyAlignment="0" applyProtection="0"/>
    <xf numFmtId="0" fontId="96" fillId="0" borderId="14" applyNumberFormat="0" applyFill="0" applyAlignment="0" applyProtection="0"/>
    <xf numFmtId="0" fontId="80" fillId="32" borderId="9" applyNumberFormat="0" applyAlignment="0" applyProtection="0"/>
    <xf numFmtId="0" fontId="97" fillId="0" borderId="14" applyNumberFormat="0" applyFill="0" applyAlignment="0" applyProtection="0"/>
    <xf numFmtId="0" fontId="96" fillId="0" borderId="14" applyNumberFormat="0" applyFill="0" applyAlignment="0" applyProtection="0"/>
    <xf numFmtId="0" fontId="98" fillId="0" borderId="15" applyNumberFormat="0" applyFill="0" applyAlignment="0" applyProtection="0"/>
    <xf numFmtId="0" fontId="99" fillId="0" borderId="12" applyNumberFormat="0" applyFill="0" applyAlignment="0" applyProtection="0"/>
    <xf numFmtId="0" fontId="100" fillId="0" borderId="16" applyNumberFormat="0" applyFill="0" applyAlignment="0" applyProtection="0"/>
    <xf numFmtId="0" fontId="100" fillId="0" borderId="0" applyNumberFormat="0" applyFill="0" applyBorder="0" applyAlignment="0" applyProtection="0"/>
    <xf numFmtId="0" fontId="101" fillId="22" borderId="0" applyNumberFormat="0" applyBorder="0" applyAlignment="0" applyProtection="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81" fillId="0" borderId="0"/>
    <xf numFmtId="0" fontId="46" fillId="0" borderId="0"/>
    <xf numFmtId="0" fontId="102"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70"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103" fillId="0" borderId="0"/>
    <xf numFmtId="0" fontId="65" fillId="0" borderId="0"/>
    <xf numFmtId="0" fontId="46" fillId="0" borderId="0"/>
    <xf numFmtId="0" fontId="46" fillId="0" borderId="0"/>
    <xf numFmtId="0" fontId="46" fillId="0" borderId="0"/>
    <xf numFmtId="0" fontId="46" fillId="0" borderId="0"/>
    <xf numFmtId="0" fontId="46" fillId="0" borderId="0"/>
    <xf numFmtId="0" fontId="104"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81" fillId="0" borderId="0"/>
    <xf numFmtId="0" fontId="64" fillId="0" borderId="0"/>
    <xf numFmtId="0" fontId="105" fillId="0" borderId="0"/>
    <xf numFmtId="0" fontId="105" fillId="0" borderId="0"/>
    <xf numFmtId="0" fontId="10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10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64" fillId="0" borderId="0"/>
    <xf numFmtId="0" fontId="104"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107" fillId="0" borderId="0" applyNumberFormat="0" applyBorder="0" applyProtection="0"/>
    <xf numFmtId="0" fontId="104" fillId="16" borderId="17" applyNumberFormat="0" applyFont="0" applyAlignment="0" applyProtection="0"/>
    <xf numFmtId="0" fontId="78" fillId="15" borderId="8" applyNumberFormat="0" applyAlignment="0" applyProtection="0"/>
    <xf numFmtId="0" fontId="108" fillId="21" borderId="10" applyNumberFormat="0" applyAlignment="0" applyProtection="0"/>
    <xf numFmtId="0" fontId="84" fillId="21" borderId="10" applyNumberFormat="0" applyAlignment="0" applyProtection="0"/>
    <xf numFmtId="9" fontId="70" fillId="0" borderId="0" applyFont="0" applyFill="0" applyBorder="0" applyAlignment="0" applyProtection="0"/>
    <xf numFmtId="9" fontId="105" fillId="0" borderId="0" applyFont="0" applyFill="0" applyBorder="0" applyAlignment="0" applyProtection="0"/>
    <xf numFmtId="0" fontId="109" fillId="0" borderId="18" applyNumberFormat="0" applyFill="0" applyAlignment="0" applyProtection="0"/>
    <xf numFmtId="0" fontId="87" fillId="0" borderId="0" applyNumberFormat="0" applyFill="0" applyBorder="0" applyAlignment="0" applyProtection="0"/>
    <xf numFmtId="0" fontId="110" fillId="0" borderId="0" applyNumberFormat="0" applyFill="0" applyBorder="0" applyAlignment="0" applyProtection="0"/>
    <xf numFmtId="0" fontId="111" fillId="0" borderId="0" applyNumberFormat="0" applyFill="0" applyBorder="0" applyAlignment="0" applyProtection="0"/>
    <xf numFmtId="0" fontId="112" fillId="0" borderId="19" applyNumberFormat="0" applyFill="0" applyAlignment="0" applyProtection="0"/>
    <xf numFmtId="0" fontId="109" fillId="0" borderId="19" applyNumberFormat="0" applyFill="0" applyAlignment="0" applyProtection="0"/>
    <xf numFmtId="0" fontId="113" fillId="0" borderId="0" applyNumberFormat="0" applyFill="0" applyBorder="0" applyAlignment="0" applyProtection="0"/>
    <xf numFmtId="0" fontId="114" fillId="16" borderId="17" applyNumberFormat="0" applyFont="0" applyAlignment="0" applyProtection="0"/>
    <xf numFmtId="0" fontId="115" fillId="0" borderId="0" applyNumberFormat="0" applyFill="0" applyBorder="0" applyAlignment="0" applyProtection="0"/>
    <xf numFmtId="0" fontId="110" fillId="0" borderId="0" applyNumberFormat="0" applyFill="0" applyBorder="0" applyAlignment="0" applyProtection="0"/>
    <xf numFmtId="0" fontId="116" fillId="11" borderId="0" applyNumberFormat="0" applyBorder="0" applyAlignment="0" applyProtection="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65" fillId="0" borderId="0"/>
    <xf numFmtId="43" fontId="81" fillId="0" borderId="0" applyFont="0" applyFill="0" applyBorder="0" applyAlignment="0" applyProtection="0"/>
    <xf numFmtId="43" fontId="70" fillId="0" borderId="0" applyFont="0" applyFill="0" applyBorder="0" applyAlignment="0" applyProtection="0"/>
    <xf numFmtId="0" fontId="65" fillId="0" borderId="0"/>
    <xf numFmtId="0" fontId="107" fillId="0" borderId="0"/>
    <xf numFmtId="0" fontId="117" fillId="0" borderId="0" applyNumberFormat="0" applyFill="0" applyBorder="0" applyAlignment="0" applyProtection="0"/>
    <xf numFmtId="0" fontId="118" fillId="0" borderId="20" applyNumberFormat="0" applyFill="0" applyAlignment="0" applyProtection="0"/>
    <xf numFmtId="0" fontId="119" fillId="0" borderId="21" applyNumberFormat="0" applyFill="0" applyAlignment="0" applyProtection="0"/>
    <xf numFmtId="0" fontId="120" fillId="0" borderId="22" applyNumberFormat="0" applyFill="0" applyAlignment="0" applyProtection="0"/>
    <xf numFmtId="0" fontId="120" fillId="0" borderId="0" applyNumberFormat="0" applyFill="0" applyBorder="0" applyAlignment="0" applyProtection="0"/>
    <xf numFmtId="0" fontId="121" fillId="33" borderId="0" applyNumberFormat="0" applyBorder="0" applyAlignment="0" applyProtection="0"/>
    <xf numFmtId="0" fontId="122" fillId="34" borderId="23" applyNumberFormat="0" applyAlignment="0" applyProtection="0"/>
    <xf numFmtId="0" fontId="123" fillId="34" borderId="6" applyNumberFormat="0" applyAlignment="0" applyProtection="0"/>
    <xf numFmtId="0" fontId="124" fillId="0" borderId="24" applyNumberFormat="0" applyFill="0" applyAlignment="0" applyProtection="0"/>
    <xf numFmtId="0" fontId="125" fillId="35" borderId="25" applyNumberFormat="0" applyAlignment="0" applyProtection="0"/>
    <xf numFmtId="0" fontId="126" fillId="0" borderId="0" applyNumberFormat="0" applyFill="0" applyBorder="0" applyAlignment="0" applyProtection="0"/>
    <xf numFmtId="0" fontId="127" fillId="0" borderId="0" applyNumberFormat="0" applyFill="0" applyBorder="0" applyAlignment="0" applyProtection="0"/>
    <xf numFmtId="0" fontId="52" fillId="0" borderId="27" applyNumberFormat="0" applyFill="0" applyAlignment="0" applyProtection="0"/>
    <xf numFmtId="0" fontId="128" fillId="7" borderId="0" applyNumberFormat="0" applyBorder="0" applyAlignment="0" applyProtection="0"/>
    <xf numFmtId="0" fontId="45" fillId="37" borderId="0" applyNumberFormat="0" applyBorder="0" applyAlignment="0" applyProtection="0"/>
    <xf numFmtId="0" fontId="45" fillId="38" borderId="0" applyNumberFormat="0" applyBorder="0" applyAlignment="0" applyProtection="0"/>
    <xf numFmtId="0" fontId="128" fillId="39" borderId="0" applyNumberFormat="0" applyBorder="0" applyAlignment="0" applyProtection="0"/>
    <xf numFmtId="0" fontId="128" fillId="40" borderId="0" applyNumberFormat="0" applyBorder="0" applyAlignment="0" applyProtection="0"/>
    <xf numFmtId="0" fontId="45" fillId="41" borderId="0" applyNumberFormat="0" applyBorder="0" applyAlignment="0" applyProtection="0"/>
    <xf numFmtId="0" fontId="45" fillId="42" borderId="0" applyNumberFormat="0" applyBorder="0" applyAlignment="0" applyProtection="0"/>
    <xf numFmtId="0" fontId="128" fillId="43" borderId="0" applyNumberFormat="0" applyBorder="0" applyAlignment="0" applyProtection="0"/>
    <xf numFmtId="0" fontId="128" fillId="44" borderId="0" applyNumberFormat="0" applyBorder="0" applyAlignment="0" applyProtection="0"/>
    <xf numFmtId="0" fontId="45" fillId="45" borderId="0" applyNumberFormat="0" applyBorder="0" applyAlignment="0" applyProtection="0"/>
    <xf numFmtId="0" fontId="45" fillId="46" borderId="0" applyNumberFormat="0" applyBorder="0" applyAlignment="0" applyProtection="0"/>
    <xf numFmtId="0" fontId="128" fillId="47" borderId="0" applyNumberFormat="0" applyBorder="0" applyAlignment="0" applyProtection="0"/>
    <xf numFmtId="0" fontId="128" fillId="48" borderId="0" applyNumberFormat="0" applyBorder="0" applyAlignment="0" applyProtection="0"/>
    <xf numFmtId="0" fontId="45" fillId="49" borderId="0" applyNumberFormat="0" applyBorder="0" applyAlignment="0" applyProtection="0"/>
    <xf numFmtId="0" fontId="45" fillId="50" borderId="0" applyNumberFormat="0" applyBorder="0" applyAlignment="0" applyProtection="0"/>
    <xf numFmtId="0" fontId="128" fillId="51" borderId="0" applyNumberFormat="0" applyBorder="0" applyAlignment="0" applyProtection="0"/>
    <xf numFmtId="0" fontId="128" fillId="8" borderId="0" applyNumberFormat="0" applyBorder="0" applyAlignment="0" applyProtection="0"/>
    <xf numFmtId="0" fontId="45" fillId="52" borderId="0" applyNumberFormat="0" applyBorder="0" applyAlignment="0" applyProtection="0"/>
    <xf numFmtId="0" fontId="45" fillId="53" borderId="0" applyNumberFormat="0" applyBorder="0" applyAlignment="0" applyProtection="0"/>
    <xf numFmtId="0" fontId="128" fillId="54" borderId="0" applyNumberFormat="0" applyBorder="0" applyAlignment="0" applyProtection="0"/>
    <xf numFmtId="0" fontId="128" fillId="55" borderId="0" applyNumberFormat="0" applyBorder="0" applyAlignment="0" applyProtection="0"/>
    <xf numFmtId="0" fontId="45" fillId="56" borderId="0" applyNumberFormat="0" applyBorder="0" applyAlignment="0" applyProtection="0"/>
    <xf numFmtId="0" fontId="45" fillId="57" borderId="0" applyNumberFormat="0" applyBorder="0" applyAlignment="0" applyProtection="0"/>
    <xf numFmtId="0" fontId="128" fillId="58" borderId="0" applyNumberFormat="0" applyBorder="0" applyAlignment="0" applyProtection="0"/>
    <xf numFmtId="0" fontId="129" fillId="3" borderId="0" applyNumberFormat="0" applyBorder="0" applyAlignment="0" applyProtection="0"/>
    <xf numFmtId="0" fontId="45" fillId="36" borderId="26" applyNumberFormat="0" applyFont="0" applyAlignment="0" applyProtection="0"/>
    <xf numFmtId="0" fontId="54" fillId="2" borderId="0" applyNumberFormat="0" applyBorder="0" applyAlignment="0" applyProtection="0"/>
    <xf numFmtId="0" fontId="55" fillId="3" borderId="0" applyNumberFormat="0" applyBorder="0" applyAlignment="0" applyProtection="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62" fillId="6" borderId="6" applyNumberFormat="0" applyAlignment="0" applyProtection="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117" fillId="0" borderId="0" applyNumberFormat="0" applyFill="0" applyBorder="0" applyAlignment="0" applyProtection="0"/>
    <xf numFmtId="0" fontId="118" fillId="0" borderId="20" applyNumberFormat="0" applyFill="0" applyAlignment="0" applyProtection="0"/>
    <xf numFmtId="0" fontId="119" fillId="0" borderId="21" applyNumberFormat="0" applyFill="0" applyAlignment="0" applyProtection="0"/>
    <xf numFmtId="0" fontId="120" fillId="0" borderId="22" applyNumberFormat="0" applyFill="0" applyAlignment="0" applyProtection="0"/>
    <xf numFmtId="0" fontId="120" fillId="0" borderId="0" applyNumberFormat="0" applyFill="0" applyBorder="0" applyAlignment="0" applyProtection="0"/>
    <xf numFmtId="0" fontId="121" fillId="33" borderId="0" applyNumberFormat="0" applyBorder="0" applyAlignment="0" applyProtection="0"/>
    <xf numFmtId="0" fontId="122" fillId="34" borderId="23" applyNumberFormat="0" applyAlignment="0" applyProtection="0"/>
    <xf numFmtId="0" fontId="123" fillId="34" borderId="6" applyNumberFormat="0" applyAlignment="0" applyProtection="0"/>
    <xf numFmtId="0" fontId="124" fillId="0" borderId="24" applyNumberFormat="0" applyFill="0" applyAlignment="0" applyProtection="0"/>
    <xf numFmtId="0" fontId="125" fillId="35" borderId="25" applyNumberFormat="0" applyAlignment="0" applyProtection="0"/>
    <xf numFmtId="0" fontId="126" fillId="0" borderId="0" applyNumberFormat="0" applyFill="0" applyBorder="0" applyAlignment="0" applyProtection="0"/>
    <xf numFmtId="0" fontId="127" fillId="0" borderId="0" applyNumberFormat="0" applyFill="0" applyBorder="0" applyAlignment="0" applyProtection="0"/>
    <xf numFmtId="0" fontId="52" fillId="0" borderId="27" applyNumberFormat="0" applyFill="0" applyAlignment="0" applyProtection="0"/>
    <xf numFmtId="0" fontId="128" fillId="7" borderId="0" applyNumberFormat="0" applyBorder="0" applyAlignment="0" applyProtection="0"/>
    <xf numFmtId="0" fontId="44" fillId="37" borderId="0" applyNumberFormat="0" applyBorder="0" applyAlignment="0" applyProtection="0"/>
    <xf numFmtId="0" fontId="44" fillId="38" borderId="0" applyNumberFormat="0" applyBorder="0" applyAlignment="0" applyProtection="0"/>
    <xf numFmtId="0" fontId="128" fillId="39" borderId="0" applyNumberFormat="0" applyBorder="0" applyAlignment="0" applyProtection="0"/>
    <xf numFmtId="0" fontId="128" fillId="40" borderId="0" applyNumberFormat="0" applyBorder="0" applyAlignment="0" applyProtection="0"/>
    <xf numFmtId="0" fontId="44" fillId="41" borderId="0" applyNumberFormat="0" applyBorder="0" applyAlignment="0" applyProtection="0"/>
    <xf numFmtId="0" fontId="44" fillId="42" borderId="0" applyNumberFormat="0" applyBorder="0" applyAlignment="0" applyProtection="0"/>
    <xf numFmtId="0" fontId="128" fillId="43" borderId="0" applyNumberFormat="0" applyBorder="0" applyAlignment="0" applyProtection="0"/>
    <xf numFmtId="0" fontId="128" fillId="44" borderId="0" applyNumberFormat="0" applyBorder="0" applyAlignment="0" applyProtection="0"/>
    <xf numFmtId="0" fontId="44" fillId="45" borderId="0" applyNumberFormat="0" applyBorder="0" applyAlignment="0" applyProtection="0"/>
    <xf numFmtId="0" fontId="44" fillId="46" borderId="0" applyNumberFormat="0" applyBorder="0" applyAlignment="0" applyProtection="0"/>
    <xf numFmtId="0" fontId="128" fillId="47" borderId="0" applyNumberFormat="0" applyBorder="0" applyAlignment="0" applyProtection="0"/>
    <xf numFmtId="0" fontId="128" fillId="48" borderId="0" applyNumberFormat="0" applyBorder="0" applyAlignment="0" applyProtection="0"/>
    <xf numFmtId="0" fontId="44" fillId="49" borderId="0" applyNumberFormat="0" applyBorder="0" applyAlignment="0" applyProtection="0"/>
    <xf numFmtId="0" fontId="44" fillId="50" borderId="0" applyNumberFormat="0" applyBorder="0" applyAlignment="0" applyProtection="0"/>
    <xf numFmtId="0" fontId="128" fillId="51" borderId="0" applyNumberFormat="0" applyBorder="0" applyAlignment="0" applyProtection="0"/>
    <xf numFmtId="0" fontId="128" fillId="8" borderId="0" applyNumberFormat="0" applyBorder="0" applyAlignment="0" applyProtection="0"/>
    <xf numFmtId="0" fontId="44" fillId="52" borderId="0" applyNumberFormat="0" applyBorder="0" applyAlignment="0" applyProtection="0"/>
    <xf numFmtId="0" fontId="44" fillId="53" borderId="0" applyNumberFormat="0" applyBorder="0" applyAlignment="0" applyProtection="0"/>
    <xf numFmtId="0" fontId="128" fillId="54" borderId="0" applyNumberFormat="0" applyBorder="0" applyAlignment="0" applyProtection="0"/>
    <xf numFmtId="0" fontId="128" fillId="55" borderId="0" applyNumberFormat="0" applyBorder="0" applyAlignment="0" applyProtection="0"/>
    <xf numFmtId="0" fontId="44" fillId="56" borderId="0" applyNumberFormat="0" applyBorder="0" applyAlignment="0" applyProtection="0"/>
    <xf numFmtId="0" fontId="44" fillId="57" borderId="0" applyNumberFormat="0" applyBorder="0" applyAlignment="0" applyProtection="0"/>
    <xf numFmtId="0" fontId="128" fillId="58" borderId="0" applyNumberFormat="0" applyBorder="0" applyAlignment="0" applyProtection="0"/>
    <xf numFmtId="0" fontId="44" fillId="36" borderId="26" applyNumberFormat="0" applyFont="0" applyAlignment="0" applyProtection="0"/>
    <xf numFmtId="0" fontId="107" fillId="0" borderId="0"/>
    <xf numFmtId="0" fontId="43" fillId="0" borderId="0"/>
    <xf numFmtId="0" fontId="130" fillId="0" borderId="0"/>
    <xf numFmtId="0" fontId="42" fillId="0" borderId="0"/>
    <xf numFmtId="0" fontId="41" fillId="0" borderId="0"/>
    <xf numFmtId="0" fontId="40" fillId="0" borderId="0"/>
    <xf numFmtId="0" fontId="40" fillId="0" borderId="0"/>
    <xf numFmtId="0" fontId="40" fillId="37" borderId="0" applyNumberFormat="0" applyBorder="0" applyAlignment="0" applyProtection="0"/>
    <xf numFmtId="0" fontId="40" fillId="38" borderId="0" applyNumberFormat="0" applyBorder="0" applyAlignment="0" applyProtection="0"/>
    <xf numFmtId="0" fontId="40" fillId="41" borderId="0" applyNumberFormat="0" applyBorder="0" applyAlignment="0" applyProtection="0"/>
    <xf numFmtId="0" fontId="40" fillId="42" borderId="0" applyNumberFormat="0" applyBorder="0" applyAlignment="0" applyProtection="0"/>
    <xf numFmtId="0" fontId="40" fillId="45" borderId="0" applyNumberFormat="0" applyBorder="0" applyAlignment="0" applyProtection="0"/>
    <xf numFmtId="0" fontId="40" fillId="46" borderId="0" applyNumberFormat="0" applyBorder="0" applyAlignment="0" applyProtection="0"/>
    <xf numFmtId="0" fontId="40" fillId="49" borderId="0" applyNumberFormat="0" applyBorder="0" applyAlignment="0" applyProtection="0"/>
    <xf numFmtId="0" fontId="40" fillId="50" borderId="0" applyNumberFormat="0" applyBorder="0" applyAlignment="0" applyProtection="0"/>
    <xf numFmtId="0" fontId="40" fillId="52" borderId="0" applyNumberFormat="0" applyBorder="0" applyAlignment="0" applyProtection="0"/>
    <xf numFmtId="0" fontId="40" fillId="53" borderId="0" applyNumberFormat="0" applyBorder="0" applyAlignment="0" applyProtection="0"/>
    <xf numFmtId="0" fontId="40" fillId="56" borderId="0" applyNumberFormat="0" applyBorder="0" applyAlignment="0" applyProtection="0"/>
    <xf numFmtId="0" fontId="40" fillId="57" borderId="0" applyNumberFormat="0" applyBorder="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36" borderId="26" applyNumberFormat="0" applyFont="0" applyAlignment="0" applyProtection="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37" borderId="0" applyNumberFormat="0" applyBorder="0" applyAlignment="0" applyProtection="0"/>
    <xf numFmtId="0" fontId="40" fillId="38" borderId="0" applyNumberFormat="0" applyBorder="0" applyAlignment="0" applyProtection="0"/>
    <xf numFmtId="0" fontId="40" fillId="41" borderId="0" applyNumberFormat="0" applyBorder="0" applyAlignment="0" applyProtection="0"/>
    <xf numFmtId="0" fontId="40" fillId="42" borderId="0" applyNumberFormat="0" applyBorder="0" applyAlignment="0" applyProtection="0"/>
    <xf numFmtId="0" fontId="40" fillId="45" borderId="0" applyNumberFormat="0" applyBorder="0" applyAlignment="0" applyProtection="0"/>
    <xf numFmtId="0" fontId="40" fillId="46" borderId="0" applyNumberFormat="0" applyBorder="0" applyAlignment="0" applyProtection="0"/>
    <xf numFmtId="0" fontId="40" fillId="49" borderId="0" applyNumberFormat="0" applyBorder="0" applyAlignment="0" applyProtection="0"/>
    <xf numFmtId="0" fontId="40" fillId="50" borderId="0" applyNumberFormat="0" applyBorder="0" applyAlignment="0" applyProtection="0"/>
    <xf numFmtId="0" fontId="40" fillId="52" borderId="0" applyNumberFormat="0" applyBorder="0" applyAlignment="0" applyProtection="0"/>
    <xf numFmtId="0" fontId="40" fillId="53" borderId="0" applyNumberFormat="0" applyBorder="0" applyAlignment="0" applyProtection="0"/>
    <xf numFmtId="0" fontId="40" fillId="56" borderId="0" applyNumberFormat="0" applyBorder="0" applyAlignment="0" applyProtection="0"/>
    <xf numFmtId="0" fontId="40" fillId="57" borderId="0" applyNumberFormat="0" applyBorder="0" applyAlignment="0" applyProtection="0"/>
    <xf numFmtId="0" fontId="40" fillId="36" borderId="26" applyNumberFormat="0" applyFont="0" applyAlignment="0" applyProtection="0"/>
    <xf numFmtId="0" fontId="40" fillId="0" borderId="0"/>
    <xf numFmtId="0" fontId="104" fillId="0" borderId="0"/>
    <xf numFmtId="0" fontId="40" fillId="0" borderId="0"/>
    <xf numFmtId="0" fontId="40" fillId="0" borderId="0"/>
    <xf numFmtId="0" fontId="39" fillId="0" borderId="0"/>
    <xf numFmtId="0" fontId="38" fillId="0" borderId="0"/>
    <xf numFmtId="0" fontId="131" fillId="0" borderId="0" applyNumberFormat="0" applyFill="0" applyBorder="0" applyAlignment="0" applyProtection="0"/>
    <xf numFmtId="0" fontId="38" fillId="37" borderId="0" applyNumberFormat="0" applyBorder="0" applyAlignment="0" applyProtection="0"/>
    <xf numFmtId="0" fontId="38" fillId="38" borderId="0" applyNumberFormat="0" applyBorder="0" applyAlignment="0" applyProtection="0"/>
    <xf numFmtId="0" fontId="38" fillId="41" borderId="0" applyNumberFormat="0" applyBorder="0" applyAlignment="0" applyProtection="0"/>
    <xf numFmtId="0" fontId="38" fillId="42" borderId="0" applyNumberFormat="0" applyBorder="0" applyAlignment="0" applyProtection="0"/>
    <xf numFmtId="0" fontId="38" fillId="45" borderId="0" applyNumberFormat="0" applyBorder="0" applyAlignment="0" applyProtection="0"/>
    <xf numFmtId="0" fontId="38" fillId="46" borderId="0" applyNumberFormat="0" applyBorder="0" applyAlignment="0" applyProtection="0"/>
    <xf numFmtId="0" fontId="38" fillId="49" borderId="0" applyNumberFormat="0" applyBorder="0" applyAlignment="0" applyProtection="0"/>
    <xf numFmtId="0" fontId="38" fillId="50"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64" fillId="0" borderId="0"/>
    <xf numFmtId="0" fontId="54" fillId="2" borderId="0" applyNumberFormat="0" applyBorder="0" applyAlignment="0" applyProtection="0"/>
    <xf numFmtId="0" fontId="55" fillId="3" borderId="0" applyNumberFormat="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117" fillId="0" borderId="0" applyNumberFormat="0" applyFill="0" applyBorder="0" applyAlignment="0" applyProtection="0"/>
    <xf numFmtId="0" fontId="38" fillId="36" borderId="26" applyNumberFormat="0" applyFont="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37" borderId="0" applyNumberFormat="0" applyBorder="0" applyAlignment="0" applyProtection="0"/>
    <xf numFmtId="0" fontId="38" fillId="38" borderId="0" applyNumberFormat="0" applyBorder="0" applyAlignment="0" applyProtection="0"/>
    <xf numFmtId="0" fontId="38" fillId="41" borderId="0" applyNumberFormat="0" applyBorder="0" applyAlignment="0" applyProtection="0"/>
    <xf numFmtId="0" fontId="38" fillId="42" borderId="0" applyNumberFormat="0" applyBorder="0" applyAlignment="0" applyProtection="0"/>
    <xf numFmtId="0" fontId="38" fillId="45" borderId="0" applyNumberFormat="0" applyBorder="0" applyAlignment="0" applyProtection="0"/>
    <xf numFmtId="0" fontId="38" fillId="46" borderId="0" applyNumberFormat="0" applyBorder="0" applyAlignment="0" applyProtection="0"/>
    <xf numFmtId="0" fontId="38" fillId="49" borderId="0" applyNumberFormat="0" applyBorder="0" applyAlignment="0" applyProtection="0"/>
    <xf numFmtId="0" fontId="38" fillId="50"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36" borderId="26" applyNumberFormat="0" applyFont="0" applyAlignment="0" applyProtection="0"/>
    <xf numFmtId="0" fontId="38" fillId="0" borderId="0"/>
    <xf numFmtId="0" fontId="38" fillId="0" borderId="0"/>
    <xf numFmtId="0" fontId="38" fillId="0" borderId="0"/>
    <xf numFmtId="0" fontId="38" fillId="0" borderId="0"/>
    <xf numFmtId="0" fontId="38" fillId="0" borderId="0"/>
    <xf numFmtId="0" fontId="38" fillId="37" borderId="0" applyNumberFormat="0" applyBorder="0" applyAlignment="0" applyProtection="0"/>
    <xf numFmtId="0" fontId="38" fillId="38" borderId="0" applyNumberFormat="0" applyBorder="0" applyAlignment="0" applyProtection="0"/>
    <xf numFmtId="0" fontId="38" fillId="41" borderId="0" applyNumberFormat="0" applyBorder="0" applyAlignment="0" applyProtection="0"/>
    <xf numFmtId="0" fontId="38" fillId="42" borderId="0" applyNumberFormat="0" applyBorder="0" applyAlignment="0" applyProtection="0"/>
    <xf numFmtId="0" fontId="38" fillId="45" borderId="0" applyNumberFormat="0" applyBorder="0" applyAlignment="0" applyProtection="0"/>
    <xf numFmtId="0" fontId="38" fillId="46" borderId="0" applyNumberFormat="0" applyBorder="0" applyAlignment="0" applyProtection="0"/>
    <xf numFmtId="0" fontId="38" fillId="49" borderId="0" applyNumberFormat="0" applyBorder="0" applyAlignment="0" applyProtection="0"/>
    <xf numFmtId="0" fontId="38" fillId="50"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36" borderId="26" applyNumberFormat="0" applyFont="0" applyAlignment="0" applyProtection="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37" borderId="0" applyNumberFormat="0" applyBorder="0" applyAlignment="0" applyProtection="0"/>
    <xf numFmtId="0" fontId="38" fillId="38" borderId="0" applyNumberFormat="0" applyBorder="0" applyAlignment="0" applyProtection="0"/>
    <xf numFmtId="0" fontId="38" fillId="41" borderId="0" applyNumberFormat="0" applyBorder="0" applyAlignment="0" applyProtection="0"/>
    <xf numFmtId="0" fontId="38" fillId="42" borderId="0" applyNumberFormat="0" applyBorder="0" applyAlignment="0" applyProtection="0"/>
    <xf numFmtId="0" fontId="38" fillId="45" borderId="0" applyNumberFormat="0" applyBorder="0" applyAlignment="0" applyProtection="0"/>
    <xf numFmtId="0" fontId="38" fillId="46" borderId="0" applyNumberFormat="0" applyBorder="0" applyAlignment="0" applyProtection="0"/>
    <xf numFmtId="0" fontId="38" fillId="49" borderId="0" applyNumberFormat="0" applyBorder="0" applyAlignment="0" applyProtection="0"/>
    <xf numFmtId="0" fontId="38" fillId="50"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36" borderId="26" applyNumberFormat="0" applyFont="0" applyAlignment="0" applyProtection="0"/>
    <xf numFmtId="0" fontId="38" fillId="0" borderId="0"/>
    <xf numFmtId="0" fontId="38" fillId="0" borderId="0"/>
    <xf numFmtId="0" fontId="38" fillId="0" borderId="0"/>
    <xf numFmtId="0" fontId="38" fillId="0" borderId="0"/>
    <xf numFmtId="0" fontId="132" fillId="3" borderId="0" applyNumberFormat="0" applyBorder="0" applyAlignment="0" applyProtection="0"/>
    <xf numFmtId="0" fontId="37" fillId="0" borderId="0"/>
    <xf numFmtId="0" fontId="36" fillId="0" borderId="0"/>
    <xf numFmtId="0" fontId="133" fillId="0" borderId="20" applyNumberFormat="0" applyFill="0" applyAlignment="0" applyProtection="0"/>
    <xf numFmtId="0" fontId="134" fillId="0" borderId="21" applyNumberFormat="0" applyFill="0" applyAlignment="0" applyProtection="0"/>
    <xf numFmtId="0" fontId="135" fillId="0" borderId="22" applyNumberFormat="0" applyFill="0" applyAlignment="0" applyProtection="0"/>
    <xf numFmtId="0" fontId="135" fillId="0" borderId="0" applyNumberFormat="0" applyFill="0" applyBorder="0" applyAlignment="0" applyProtection="0"/>
    <xf numFmtId="0" fontId="136" fillId="2" borderId="0" applyNumberFormat="0" applyBorder="0" applyAlignment="0" applyProtection="0"/>
    <xf numFmtId="0" fontId="137" fillId="33" borderId="0" applyNumberFormat="0" applyBorder="0" applyAlignment="0" applyProtection="0"/>
    <xf numFmtId="0" fontId="138" fillId="3" borderId="0" applyNumberFormat="0" applyBorder="0" applyAlignment="0" applyProtection="0"/>
    <xf numFmtId="0" fontId="139" fillId="6" borderId="6" applyNumberFormat="0" applyAlignment="0" applyProtection="0"/>
    <xf numFmtId="0" fontId="140" fillId="34" borderId="23" applyNumberFormat="0" applyAlignment="0" applyProtection="0"/>
    <xf numFmtId="0" fontId="141" fillId="34" borderId="6" applyNumberFormat="0" applyAlignment="0" applyProtection="0"/>
    <xf numFmtId="0" fontId="142" fillId="0" borderId="24" applyNumberFormat="0" applyFill="0" applyAlignment="0" applyProtection="0"/>
    <xf numFmtId="0" fontId="143" fillId="35" borderId="25" applyNumberFormat="0" applyAlignment="0" applyProtection="0"/>
    <xf numFmtId="0" fontId="144" fillId="0" borderId="0" applyNumberFormat="0" applyFill="0" applyBorder="0" applyAlignment="0" applyProtection="0"/>
    <xf numFmtId="0" fontId="102" fillId="36" borderId="26" applyNumberFormat="0" applyFont="0" applyAlignment="0" applyProtection="0"/>
    <xf numFmtId="0" fontId="145" fillId="0" borderId="0" applyNumberFormat="0" applyFill="0" applyBorder="0" applyAlignment="0" applyProtection="0"/>
    <xf numFmtId="0" fontId="146" fillId="0" borderId="27" applyNumberFormat="0" applyFill="0" applyAlignment="0" applyProtection="0"/>
    <xf numFmtId="0" fontId="147" fillId="7" borderId="0" applyNumberFormat="0" applyBorder="0" applyAlignment="0" applyProtection="0"/>
    <xf numFmtId="0" fontId="102" fillId="37" borderId="0" applyNumberFormat="0" applyBorder="0" applyAlignment="0" applyProtection="0"/>
    <xf numFmtId="0" fontId="102" fillId="38" borderId="0" applyNumberFormat="0" applyBorder="0" applyAlignment="0" applyProtection="0"/>
    <xf numFmtId="0" fontId="147" fillId="39" borderId="0" applyNumberFormat="0" applyBorder="0" applyAlignment="0" applyProtection="0"/>
    <xf numFmtId="0" fontId="147" fillId="40" borderId="0" applyNumberFormat="0" applyBorder="0" applyAlignment="0" applyProtection="0"/>
    <xf numFmtId="0" fontId="102" fillId="41" borderId="0" applyNumberFormat="0" applyBorder="0" applyAlignment="0" applyProtection="0"/>
    <xf numFmtId="0" fontId="102" fillId="42" borderId="0" applyNumberFormat="0" applyBorder="0" applyAlignment="0" applyProtection="0"/>
    <xf numFmtId="0" fontId="147" fillId="43" borderId="0" applyNumberFormat="0" applyBorder="0" applyAlignment="0" applyProtection="0"/>
    <xf numFmtId="0" fontId="147" fillId="44" borderId="0" applyNumberFormat="0" applyBorder="0" applyAlignment="0" applyProtection="0"/>
    <xf numFmtId="0" fontId="102" fillId="45" borderId="0" applyNumberFormat="0" applyBorder="0" applyAlignment="0" applyProtection="0"/>
    <xf numFmtId="0" fontId="102" fillId="46" borderId="0" applyNumberFormat="0" applyBorder="0" applyAlignment="0" applyProtection="0"/>
    <xf numFmtId="0" fontId="147" fillId="47" borderId="0" applyNumberFormat="0" applyBorder="0" applyAlignment="0" applyProtection="0"/>
    <xf numFmtId="0" fontId="147" fillId="48" borderId="0" applyNumberFormat="0" applyBorder="0" applyAlignment="0" applyProtection="0"/>
    <xf numFmtId="0" fontId="102" fillId="49" borderId="0" applyNumberFormat="0" applyBorder="0" applyAlignment="0" applyProtection="0"/>
    <xf numFmtId="0" fontId="102" fillId="50" borderId="0" applyNumberFormat="0" applyBorder="0" applyAlignment="0" applyProtection="0"/>
    <xf numFmtId="0" fontId="147" fillId="51" borderId="0" applyNumberFormat="0" applyBorder="0" applyAlignment="0" applyProtection="0"/>
    <xf numFmtId="0" fontId="147" fillId="8" borderId="0" applyNumberFormat="0" applyBorder="0" applyAlignment="0" applyProtection="0"/>
    <xf numFmtId="0" fontId="102" fillId="52" borderId="0" applyNumberFormat="0" applyBorder="0" applyAlignment="0" applyProtection="0"/>
    <xf numFmtId="0" fontId="102" fillId="53" borderId="0" applyNumberFormat="0" applyBorder="0" applyAlignment="0" applyProtection="0"/>
    <xf numFmtId="0" fontId="147" fillId="54" borderId="0" applyNumberFormat="0" applyBorder="0" applyAlignment="0" applyProtection="0"/>
    <xf numFmtId="0" fontId="147" fillId="55" borderId="0" applyNumberFormat="0" applyBorder="0" applyAlignment="0" applyProtection="0"/>
    <xf numFmtId="0" fontId="102" fillId="56" borderId="0" applyNumberFormat="0" applyBorder="0" applyAlignment="0" applyProtection="0"/>
    <xf numFmtId="0" fontId="102" fillId="57" borderId="0" applyNumberFormat="0" applyBorder="0" applyAlignment="0" applyProtection="0"/>
    <xf numFmtId="0" fontId="147" fillId="58" borderId="0" applyNumberFormat="0" applyBorder="0" applyAlignment="0" applyProtection="0"/>
    <xf numFmtId="0" fontId="35" fillId="0" borderId="0"/>
    <xf numFmtId="0" fontId="148" fillId="0" borderId="0" applyNumberFormat="0" applyFill="0" applyBorder="0" applyAlignment="0" applyProtection="0"/>
    <xf numFmtId="0" fontId="35" fillId="36" borderId="26" applyNumberFormat="0" applyFont="0" applyAlignment="0" applyProtection="0"/>
    <xf numFmtId="0" fontId="35" fillId="37" borderId="0" applyNumberFormat="0" applyBorder="0" applyAlignment="0" applyProtection="0"/>
    <xf numFmtId="0" fontId="35" fillId="38" borderId="0" applyNumberFormat="0" applyBorder="0" applyAlignment="0" applyProtection="0"/>
    <xf numFmtId="0" fontId="35" fillId="41" borderId="0" applyNumberFormat="0" applyBorder="0" applyAlignment="0" applyProtection="0"/>
    <xf numFmtId="0" fontId="35" fillId="42" borderId="0" applyNumberFormat="0" applyBorder="0" applyAlignment="0" applyProtection="0"/>
    <xf numFmtId="0" fontId="35" fillId="45" borderId="0" applyNumberFormat="0" applyBorder="0" applyAlignment="0" applyProtection="0"/>
    <xf numFmtId="0" fontId="35" fillId="46" borderId="0" applyNumberFormat="0" applyBorder="0" applyAlignment="0" applyProtection="0"/>
    <xf numFmtId="0" fontId="35" fillId="49" borderId="0" applyNumberFormat="0" applyBorder="0" applyAlignment="0" applyProtection="0"/>
    <xf numFmtId="0" fontId="35" fillId="50" borderId="0" applyNumberFormat="0" applyBorder="0" applyAlignment="0" applyProtection="0"/>
    <xf numFmtId="0" fontId="35" fillId="52" borderId="0" applyNumberFormat="0" applyBorder="0" applyAlignment="0" applyProtection="0"/>
    <xf numFmtId="0" fontId="35" fillId="53" borderId="0" applyNumberFormat="0" applyBorder="0" applyAlignment="0" applyProtection="0"/>
    <xf numFmtId="0" fontId="35" fillId="56" borderId="0" applyNumberFormat="0" applyBorder="0" applyAlignment="0" applyProtection="0"/>
    <xf numFmtId="0" fontId="35" fillId="57" borderId="0" applyNumberFormat="0" applyBorder="0" applyAlignment="0" applyProtection="0"/>
    <xf numFmtId="0" fontId="149" fillId="0" borderId="0"/>
    <xf numFmtId="0" fontId="34" fillId="37" borderId="0" applyNumberFormat="0" applyBorder="0" applyAlignment="0" applyProtection="0"/>
    <xf numFmtId="0" fontId="34" fillId="38" borderId="0" applyNumberFormat="0" applyBorder="0" applyAlignment="0" applyProtection="0"/>
    <xf numFmtId="0" fontId="34" fillId="41" borderId="0" applyNumberFormat="0" applyBorder="0" applyAlignment="0" applyProtection="0"/>
    <xf numFmtId="0" fontId="34" fillId="42"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0" fontId="34" fillId="49"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54" fillId="2" borderId="0" applyNumberFormat="0" applyBorder="0" applyAlignment="0" applyProtection="0"/>
    <xf numFmtId="0" fontId="55" fillId="3"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43" fontId="81" fillId="0" borderId="0" applyFont="0" applyFill="0" applyBorder="0" applyAlignment="0" applyProtection="0"/>
    <xf numFmtId="43" fontId="70" fillId="0" borderId="0" applyFont="0" applyFill="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43" fontId="81" fillId="0" borderId="0" applyFont="0" applyFill="0" applyBorder="0" applyAlignment="0" applyProtection="0"/>
    <xf numFmtId="43" fontId="70" fillId="0" borderId="0" applyFont="0" applyFill="0" applyBorder="0" applyAlignment="0" applyProtection="0"/>
    <xf numFmtId="0" fontId="117" fillId="0" borderId="0" applyNumberFormat="0" applyFill="0" applyBorder="0" applyAlignment="0" applyProtection="0"/>
    <xf numFmtId="0" fontId="34" fillId="36" borderId="26" applyNumberFormat="0" applyFont="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37" borderId="0" applyNumberFormat="0" applyBorder="0" applyAlignment="0" applyProtection="0"/>
    <xf numFmtId="0" fontId="34" fillId="38" borderId="0" applyNumberFormat="0" applyBorder="0" applyAlignment="0" applyProtection="0"/>
    <xf numFmtId="0" fontId="34" fillId="41" borderId="0" applyNumberFormat="0" applyBorder="0" applyAlignment="0" applyProtection="0"/>
    <xf numFmtId="0" fontId="34" fillId="42"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0" fontId="34" fillId="49"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34" fillId="36" borderId="26" applyNumberFormat="0" applyFont="0" applyAlignment="0" applyProtection="0"/>
    <xf numFmtId="0" fontId="34" fillId="0" borderId="0"/>
    <xf numFmtId="0" fontId="34" fillId="0" borderId="0"/>
    <xf numFmtId="0" fontId="34" fillId="0" borderId="0"/>
    <xf numFmtId="0" fontId="34" fillId="0" borderId="0"/>
    <xf numFmtId="0" fontId="34" fillId="0" borderId="0"/>
    <xf numFmtId="0" fontId="34" fillId="37" borderId="0" applyNumberFormat="0" applyBorder="0" applyAlignment="0" applyProtection="0"/>
    <xf numFmtId="0" fontId="34" fillId="38" borderId="0" applyNumberFormat="0" applyBorder="0" applyAlignment="0" applyProtection="0"/>
    <xf numFmtId="0" fontId="34" fillId="41" borderId="0" applyNumberFormat="0" applyBorder="0" applyAlignment="0" applyProtection="0"/>
    <xf numFmtId="0" fontId="34" fillId="42"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0" fontId="34" fillId="49"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36" borderId="26" applyNumberFormat="0" applyFont="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37" borderId="0" applyNumberFormat="0" applyBorder="0" applyAlignment="0" applyProtection="0"/>
    <xf numFmtId="0" fontId="34" fillId="38" borderId="0" applyNumberFormat="0" applyBorder="0" applyAlignment="0" applyProtection="0"/>
    <xf numFmtId="0" fontId="34" fillId="41" borderId="0" applyNumberFormat="0" applyBorder="0" applyAlignment="0" applyProtection="0"/>
    <xf numFmtId="0" fontId="34" fillId="42"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0" fontId="34" fillId="49"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34" fillId="36" borderId="26" applyNumberFormat="0" applyFont="0" applyAlignment="0" applyProtection="0"/>
    <xf numFmtId="0" fontId="34" fillId="0" borderId="0"/>
    <xf numFmtId="0" fontId="34" fillId="0" borderId="0"/>
    <xf numFmtId="0" fontId="34" fillId="0" borderId="0"/>
    <xf numFmtId="0" fontId="34" fillId="0" borderId="0"/>
    <xf numFmtId="0" fontId="34" fillId="0" borderId="0"/>
    <xf numFmtId="0" fontId="34" fillId="37" borderId="0" applyNumberFormat="0" applyBorder="0" applyAlignment="0" applyProtection="0"/>
    <xf numFmtId="0" fontId="34" fillId="38" borderId="0" applyNumberFormat="0" applyBorder="0" applyAlignment="0" applyProtection="0"/>
    <xf numFmtId="0" fontId="34" fillId="41" borderId="0" applyNumberFormat="0" applyBorder="0" applyAlignment="0" applyProtection="0"/>
    <xf numFmtId="0" fontId="34" fillId="42"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0" fontId="34" fillId="49"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36" borderId="26" applyNumberFormat="0" applyFont="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37" borderId="0" applyNumberFormat="0" applyBorder="0" applyAlignment="0" applyProtection="0"/>
    <xf numFmtId="0" fontId="34" fillId="38" borderId="0" applyNumberFormat="0" applyBorder="0" applyAlignment="0" applyProtection="0"/>
    <xf numFmtId="0" fontId="34" fillId="41" borderId="0" applyNumberFormat="0" applyBorder="0" applyAlignment="0" applyProtection="0"/>
    <xf numFmtId="0" fontId="34" fillId="42"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0" fontId="34" fillId="49"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34" fillId="36" borderId="26" applyNumberFormat="0" applyFont="0" applyAlignment="0" applyProtection="0"/>
    <xf numFmtId="0" fontId="34" fillId="0" borderId="0"/>
    <xf numFmtId="0" fontId="34" fillId="0" borderId="0"/>
    <xf numFmtId="0" fontId="34" fillId="0" borderId="0"/>
    <xf numFmtId="0" fontId="34" fillId="0" borderId="0"/>
    <xf numFmtId="0" fontId="34" fillId="0" borderId="0"/>
    <xf numFmtId="0" fontId="34" fillId="37" borderId="0" applyNumberFormat="0" applyBorder="0" applyAlignment="0" applyProtection="0"/>
    <xf numFmtId="0" fontId="34" fillId="38" borderId="0" applyNumberFormat="0" applyBorder="0" applyAlignment="0" applyProtection="0"/>
    <xf numFmtId="0" fontId="34" fillId="41" borderId="0" applyNumberFormat="0" applyBorder="0" applyAlignment="0" applyProtection="0"/>
    <xf numFmtId="0" fontId="34" fillId="42"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0" fontId="34" fillId="49"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36" borderId="26" applyNumberFormat="0" applyFont="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37" borderId="0" applyNumberFormat="0" applyBorder="0" applyAlignment="0" applyProtection="0"/>
    <xf numFmtId="0" fontId="34" fillId="38" borderId="0" applyNumberFormat="0" applyBorder="0" applyAlignment="0" applyProtection="0"/>
    <xf numFmtId="0" fontId="34" fillId="41" borderId="0" applyNumberFormat="0" applyBorder="0" applyAlignment="0" applyProtection="0"/>
    <xf numFmtId="0" fontId="34" fillId="42"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0" fontId="34" fillId="49"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34" fillId="36" borderId="26" applyNumberFormat="0" applyFont="0" applyAlignment="0" applyProtection="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36" borderId="26" applyNumberFormat="0" applyFont="0" applyAlignment="0" applyProtection="0"/>
    <xf numFmtId="0" fontId="34" fillId="37" borderId="0" applyNumberFormat="0" applyBorder="0" applyAlignment="0" applyProtection="0"/>
    <xf numFmtId="0" fontId="34" fillId="38" borderId="0" applyNumberFormat="0" applyBorder="0" applyAlignment="0" applyProtection="0"/>
    <xf numFmtId="0" fontId="34" fillId="41" borderId="0" applyNumberFormat="0" applyBorder="0" applyAlignment="0" applyProtection="0"/>
    <xf numFmtId="0" fontId="34" fillId="42" borderId="0" applyNumberFormat="0" applyBorder="0" applyAlignment="0" applyProtection="0"/>
    <xf numFmtId="0" fontId="34" fillId="45" borderId="0" applyNumberFormat="0" applyBorder="0" applyAlignment="0" applyProtection="0"/>
    <xf numFmtId="0" fontId="34" fillId="46" borderId="0" applyNumberFormat="0" applyBorder="0" applyAlignment="0" applyProtection="0"/>
    <xf numFmtId="0" fontId="34" fillId="49" borderId="0" applyNumberFormat="0" applyBorder="0" applyAlignment="0" applyProtection="0"/>
    <xf numFmtId="0" fontId="34" fillId="50" borderId="0" applyNumberFormat="0" applyBorder="0" applyAlignment="0" applyProtection="0"/>
    <xf numFmtId="0" fontId="34" fillId="52" borderId="0" applyNumberFormat="0" applyBorder="0" applyAlignment="0" applyProtection="0"/>
    <xf numFmtId="0" fontId="34" fillId="53" borderId="0" applyNumberFormat="0" applyBorder="0" applyAlignment="0" applyProtection="0"/>
    <xf numFmtId="0" fontId="34" fillId="56" borderId="0" applyNumberFormat="0" applyBorder="0" applyAlignment="0" applyProtection="0"/>
    <xf numFmtId="0" fontId="34" fillId="57" borderId="0" applyNumberFormat="0" applyBorder="0" applyAlignment="0" applyProtection="0"/>
    <xf numFmtId="0" fontId="33" fillId="0" borderId="0"/>
    <xf numFmtId="0" fontId="33" fillId="36" borderId="26" applyNumberFormat="0" applyFont="0" applyAlignment="0" applyProtection="0"/>
    <xf numFmtId="0" fontId="33" fillId="37" borderId="0" applyNumberFormat="0" applyBorder="0" applyAlignment="0" applyProtection="0"/>
    <xf numFmtId="0" fontId="33" fillId="38" borderId="0" applyNumberFormat="0" applyBorder="0" applyAlignment="0" applyProtection="0"/>
    <xf numFmtId="0" fontId="33" fillId="41" borderId="0" applyNumberFormat="0" applyBorder="0" applyAlignment="0" applyProtection="0"/>
    <xf numFmtId="0" fontId="33" fillId="42" borderId="0" applyNumberFormat="0" applyBorder="0" applyAlignment="0" applyProtection="0"/>
    <xf numFmtId="0" fontId="33" fillId="45" borderId="0" applyNumberFormat="0" applyBorder="0" applyAlignment="0" applyProtection="0"/>
    <xf numFmtId="0" fontId="33" fillId="46" borderId="0" applyNumberFormat="0" applyBorder="0" applyAlignment="0" applyProtection="0"/>
    <xf numFmtId="0" fontId="33" fillId="49" borderId="0" applyNumberFormat="0" applyBorder="0" applyAlignment="0" applyProtection="0"/>
    <xf numFmtId="0" fontId="33" fillId="50" borderId="0" applyNumberFormat="0" applyBorder="0" applyAlignment="0" applyProtection="0"/>
    <xf numFmtId="0" fontId="33" fillId="52" borderId="0" applyNumberFormat="0" applyBorder="0" applyAlignment="0" applyProtection="0"/>
    <xf numFmtId="0" fontId="33" fillId="53" borderId="0" applyNumberFormat="0" applyBorder="0" applyAlignment="0" applyProtection="0"/>
    <xf numFmtId="0" fontId="33" fillId="56" borderId="0" applyNumberFormat="0" applyBorder="0" applyAlignment="0" applyProtection="0"/>
    <xf numFmtId="0" fontId="33" fillId="57" borderId="0" applyNumberFormat="0" applyBorder="0" applyAlignment="0" applyProtection="0"/>
    <xf numFmtId="0" fontId="32" fillId="0" borderId="0"/>
    <xf numFmtId="0" fontId="31" fillId="0" borderId="0"/>
    <xf numFmtId="0" fontId="64" fillId="0" borderId="0"/>
    <xf numFmtId="0" fontId="31" fillId="0" borderId="0"/>
    <xf numFmtId="0" fontId="30" fillId="0" borderId="0"/>
    <xf numFmtId="0" fontId="29" fillId="0" borderId="0"/>
    <xf numFmtId="0" fontId="150" fillId="0" borderId="0"/>
    <xf numFmtId="0" fontId="28" fillId="0" borderId="0"/>
    <xf numFmtId="0" fontId="27" fillId="0" borderId="0"/>
    <xf numFmtId="0" fontId="26" fillId="0" borderId="0"/>
    <xf numFmtId="0" fontId="2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43" fontId="81" fillId="0" borderId="0" applyFont="0" applyFill="0" applyBorder="0" applyAlignment="0" applyProtection="0"/>
    <xf numFmtId="43" fontId="70"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43" fontId="81" fillId="0" borderId="0" applyFont="0" applyFill="0" applyBorder="0" applyAlignment="0" applyProtection="0"/>
    <xf numFmtId="43" fontId="70" fillId="0" borderId="0" applyFont="0" applyFill="0" applyBorder="0" applyAlignment="0" applyProtection="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36" borderId="26" applyNumberFormat="0" applyFont="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36" borderId="26" applyNumberFormat="0" applyFont="0" applyAlignment="0" applyProtection="0"/>
    <xf numFmtId="0" fontId="24" fillId="0" borderId="0"/>
    <xf numFmtId="0" fontId="24" fillId="0" borderId="0"/>
    <xf numFmtId="0" fontId="24" fillId="0" borderId="0"/>
    <xf numFmtId="0" fontId="24" fillId="0" borderId="0"/>
    <xf numFmtId="0" fontId="24" fillId="0" borderId="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36" borderId="26" applyNumberFormat="0" applyFont="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36" borderId="26" applyNumberFormat="0" applyFont="0" applyAlignment="0" applyProtection="0"/>
    <xf numFmtId="0" fontId="24" fillId="0" borderId="0"/>
    <xf numFmtId="0" fontId="24" fillId="0" borderId="0"/>
    <xf numFmtId="0" fontId="24" fillId="0" borderId="0"/>
    <xf numFmtId="0" fontId="24" fillId="0" borderId="0"/>
    <xf numFmtId="0" fontId="24" fillId="0" borderId="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36" borderId="26" applyNumberFormat="0" applyFont="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36" borderId="26" applyNumberFormat="0" applyFont="0" applyAlignment="0" applyProtection="0"/>
    <xf numFmtId="0" fontId="24" fillId="0" borderId="0"/>
    <xf numFmtId="0" fontId="24" fillId="0" borderId="0"/>
    <xf numFmtId="0" fontId="24" fillId="0" borderId="0"/>
    <xf numFmtId="0" fontId="24" fillId="0" borderId="0"/>
    <xf numFmtId="0" fontId="24" fillId="0" borderId="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36" borderId="26" applyNumberFormat="0" applyFont="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36" borderId="26" applyNumberFormat="0" applyFont="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36" borderId="26" applyNumberFormat="0" applyFont="0" applyAlignment="0" applyProtection="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43" fontId="81" fillId="0" borderId="0" applyFont="0" applyFill="0" applyBorder="0" applyAlignment="0" applyProtection="0"/>
    <xf numFmtId="43" fontId="70"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43" fontId="81" fillId="0" borderId="0" applyFont="0" applyFill="0" applyBorder="0" applyAlignment="0" applyProtection="0"/>
    <xf numFmtId="43" fontId="70" fillId="0" borderId="0" applyFont="0" applyFill="0" applyBorder="0" applyAlignment="0" applyProtection="0"/>
    <xf numFmtId="0" fontId="24" fillId="36" borderId="26" applyNumberFormat="0" applyFont="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36" borderId="26" applyNumberFormat="0" applyFont="0" applyAlignment="0" applyProtection="0"/>
    <xf numFmtId="0" fontId="24" fillId="0" borderId="0"/>
    <xf numFmtId="0" fontId="24" fillId="0" borderId="0"/>
    <xf numFmtId="0" fontId="24" fillId="0" borderId="0"/>
    <xf numFmtId="0" fontId="24" fillId="0" borderId="0"/>
    <xf numFmtId="0" fontId="24" fillId="0" borderId="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36" borderId="26" applyNumberFormat="0" applyFont="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36" borderId="26" applyNumberFormat="0" applyFont="0" applyAlignment="0" applyProtection="0"/>
    <xf numFmtId="0" fontId="24" fillId="0" borderId="0"/>
    <xf numFmtId="0" fontId="24" fillId="0" borderId="0"/>
    <xf numFmtId="0" fontId="24" fillId="0" borderId="0"/>
    <xf numFmtId="0" fontId="24" fillId="0" borderId="0"/>
    <xf numFmtId="0" fontId="24" fillId="0" borderId="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36" borderId="26" applyNumberFormat="0" applyFont="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36" borderId="26" applyNumberFormat="0" applyFont="0" applyAlignment="0" applyProtection="0"/>
    <xf numFmtId="0" fontId="24" fillId="0" borderId="0"/>
    <xf numFmtId="0" fontId="24" fillId="0" borderId="0"/>
    <xf numFmtId="0" fontId="24" fillId="0" borderId="0"/>
    <xf numFmtId="0" fontId="24" fillId="0" borderId="0"/>
    <xf numFmtId="0" fontId="24" fillId="0" borderId="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36" borderId="26" applyNumberFormat="0" applyFont="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36" borderId="26" applyNumberFormat="0" applyFont="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36" borderId="26" applyNumberFormat="0" applyFont="0" applyAlignment="0" applyProtection="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0" borderId="0"/>
    <xf numFmtId="0" fontId="24" fillId="36" borderId="26" applyNumberFormat="0" applyFont="0" applyAlignment="0" applyProtection="0"/>
    <xf numFmtId="0" fontId="24" fillId="37" borderId="0" applyNumberFormat="0" applyBorder="0" applyAlignment="0" applyProtection="0"/>
    <xf numFmtId="0" fontId="24" fillId="38" borderId="0" applyNumberFormat="0" applyBorder="0" applyAlignment="0" applyProtection="0"/>
    <xf numFmtId="0" fontId="24" fillId="41" borderId="0" applyNumberFormat="0" applyBorder="0" applyAlignment="0" applyProtection="0"/>
    <xf numFmtId="0" fontId="24" fillId="42" borderId="0" applyNumberFormat="0" applyBorder="0" applyAlignment="0" applyProtection="0"/>
    <xf numFmtId="0" fontId="24" fillId="45" borderId="0" applyNumberFormat="0" applyBorder="0" applyAlignment="0" applyProtection="0"/>
    <xf numFmtId="0" fontId="24" fillId="46" borderId="0" applyNumberFormat="0" applyBorder="0" applyAlignment="0" applyProtection="0"/>
    <xf numFmtId="0" fontId="24" fillId="49" borderId="0" applyNumberFormat="0" applyBorder="0" applyAlignment="0" applyProtection="0"/>
    <xf numFmtId="0" fontId="24" fillId="50" borderId="0" applyNumberFormat="0" applyBorder="0" applyAlignment="0" applyProtection="0"/>
    <xf numFmtId="0" fontId="24" fillId="52" borderId="0" applyNumberFormat="0" applyBorder="0" applyAlignment="0" applyProtection="0"/>
    <xf numFmtId="0" fontId="24" fillId="53" borderId="0" applyNumberFormat="0" applyBorder="0" applyAlignment="0" applyProtection="0"/>
    <xf numFmtId="0" fontId="24" fillId="56" borderId="0" applyNumberFormat="0" applyBorder="0" applyAlignment="0" applyProtection="0"/>
    <xf numFmtId="0" fontId="24" fillId="57"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64" fillId="0" borderId="0"/>
    <xf numFmtId="0" fontId="23"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81" fillId="0" borderId="0" applyFont="0" applyFill="0" applyBorder="0" applyAlignment="0" applyProtection="0"/>
    <xf numFmtId="43" fontId="70"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81" fillId="0" borderId="0" applyFont="0" applyFill="0" applyBorder="0" applyAlignment="0" applyProtection="0"/>
    <xf numFmtId="43" fontId="70" fillId="0" borderId="0" applyFont="0" applyFill="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81" fillId="0" borderId="0" applyFont="0" applyFill="0" applyBorder="0" applyAlignment="0" applyProtection="0"/>
    <xf numFmtId="43" fontId="70"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81" fillId="0" borderId="0" applyFont="0" applyFill="0" applyBorder="0" applyAlignment="0" applyProtection="0"/>
    <xf numFmtId="43" fontId="70" fillId="0" borderId="0" applyFont="0" applyFill="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36" borderId="26" applyNumberFormat="0" applyFont="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81" fillId="0" borderId="0" applyFont="0" applyFill="0" applyBorder="0" applyAlignment="0" applyProtection="0"/>
    <xf numFmtId="43" fontId="70"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81" fillId="0" borderId="0" applyFont="0" applyFill="0" applyBorder="0" applyAlignment="0" applyProtection="0"/>
    <xf numFmtId="43" fontId="70" fillId="0" borderId="0" applyFont="0" applyFill="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81" fillId="0" borderId="0" applyFont="0" applyFill="0" applyBorder="0" applyAlignment="0" applyProtection="0"/>
    <xf numFmtId="43" fontId="70" fillId="0" borderId="0" applyFont="0" applyFill="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43" fontId="81" fillId="0" borderId="0" applyFont="0" applyFill="0" applyBorder="0" applyAlignment="0" applyProtection="0"/>
    <xf numFmtId="43" fontId="70" fillId="0" borderId="0" applyFont="0" applyFill="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36" borderId="26" applyNumberFormat="0" applyFont="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36" borderId="26" applyNumberFormat="0" applyFont="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36" borderId="26" applyNumberFormat="0" applyFont="0" applyAlignment="0" applyProtection="0"/>
    <xf numFmtId="0" fontId="22" fillId="37" borderId="0" applyNumberFormat="0" applyBorder="0" applyAlignment="0" applyProtection="0"/>
    <xf numFmtId="0" fontId="22" fillId="38"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5" borderId="0" applyNumberFormat="0" applyBorder="0" applyAlignment="0" applyProtection="0"/>
    <xf numFmtId="0" fontId="22" fillId="46" borderId="0" applyNumberFormat="0" applyBorder="0" applyAlignment="0" applyProtection="0"/>
    <xf numFmtId="0" fontId="22" fillId="49" borderId="0" applyNumberFormat="0" applyBorder="0" applyAlignment="0" applyProtection="0"/>
    <xf numFmtId="0" fontId="22" fillId="50" borderId="0" applyNumberFormat="0" applyBorder="0" applyAlignment="0" applyProtection="0"/>
    <xf numFmtId="0" fontId="22" fillId="52" borderId="0" applyNumberFormat="0" applyBorder="0" applyAlignment="0" applyProtection="0"/>
    <xf numFmtId="0" fontId="22" fillId="53" borderId="0" applyNumberFormat="0" applyBorder="0" applyAlignment="0" applyProtection="0"/>
    <xf numFmtId="0" fontId="22" fillId="56" borderId="0" applyNumberFormat="0" applyBorder="0" applyAlignment="0" applyProtection="0"/>
    <xf numFmtId="0" fontId="22" fillId="57"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43" fontId="81" fillId="0" borderId="0" applyFont="0" applyFill="0" applyBorder="0" applyAlignment="0" applyProtection="0"/>
    <xf numFmtId="43" fontId="70"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43" fontId="81" fillId="0" borderId="0" applyFont="0" applyFill="0" applyBorder="0" applyAlignment="0" applyProtection="0"/>
    <xf numFmtId="43" fontId="70" fillId="0" borderId="0" applyFont="0" applyFill="0" applyBorder="0" applyAlignment="0" applyProtection="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6" borderId="26" applyNumberFormat="0" applyFont="0" applyAlignment="0" applyProtection="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43" fontId="81" fillId="0" borderId="0" applyFont="0" applyFill="0" applyBorder="0" applyAlignment="0" applyProtection="0"/>
    <xf numFmtId="43" fontId="70"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43" fontId="81" fillId="0" borderId="0" applyFont="0" applyFill="0" applyBorder="0" applyAlignment="0" applyProtection="0"/>
    <xf numFmtId="43" fontId="70" fillId="0" borderId="0" applyFont="0" applyFill="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6" borderId="26" applyNumberFormat="0" applyFont="0" applyAlignment="0" applyProtection="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36" borderId="26" applyNumberFormat="0" applyFont="0" applyAlignment="0" applyProtection="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43" fontId="81" fillId="0" borderId="0" applyFont="0" applyFill="0" applyBorder="0" applyAlignment="0" applyProtection="0"/>
    <xf numFmtId="43" fontId="70"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43" fontId="81" fillId="0" borderId="0" applyFont="0" applyFill="0" applyBorder="0" applyAlignment="0" applyProtection="0"/>
    <xf numFmtId="43" fontId="70" fillId="0" borderId="0" applyFont="0" applyFill="0" applyBorder="0" applyAlignment="0" applyProtection="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6" borderId="26" applyNumberFormat="0" applyFont="0" applyAlignment="0" applyProtection="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43" fontId="81" fillId="0" borderId="0" applyFont="0" applyFill="0" applyBorder="0" applyAlignment="0" applyProtection="0"/>
    <xf numFmtId="43" fontId="70" fillId="0" borderId="0" applyFont="0" applyFill="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43" fontId="81" fillId="0" borderId="0" applyFont="0" applyFill="0" applyBorder="0" applyAlignment="0" applyProtection="0"/>
    <xf numFmtId="43" fontId="70" fillId="0" borderId="0" applyFont="0" applyFill="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36" borderId="26" applyNumberFormat="0" applyFont="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36" borderId="26" applyNumberFormat="0" applyFont="0" applyAlignment="0" applyProtection="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36" borderId="26" applyNumberFormat="0" applyFont="0" applyAlignment="0" applyProtection="0"/>
    <xf numFmtId="0" fontId="21" fillId="37" borderId="0" applyNumberFormat="0" applyBorder="0" applyAlignment="0" applyProtection="0"/>
    <xf numFmtId="0" fontId="21" fillId="38" borderId="0" applyNumberFormat="0" applyBorder="0" applyAlignment="0" applyProtection="0"/>
    <xf numFmtId="0" fontId="21" fillId="41" borderId="0" applyNumberFormat="0" applyBorder="0" applyAlignment="0" applyProtection="0"/>
    <xf numFmtId="0" fontId="21" fillId="42" borderId="0" applyNumberFormat="0" applyBorder="0" applyAlignment="0" applyProtection="0"/>
    <xf numFmtId="0" fontId="21" fillId="45" borderId="0" applyNumberFormat="0" applyBorder="0" applyAlignment="0" applyProtection="0"/>
    <xf numFmtId="0" fontId="21" fillId="46" borderId="0" applyNumberFormat="0" applyBorder="0" applyAlignment="0" applyProtection="0"/>
    <xf numFmtId="0" fontId="21" fillId="49" borderId="0" applyNumberFormat="0" applyBorder="0" applyAlignment="0" applyProtection="0"/>
    <xf numFmtId="0" fontId="21" fillId="50" borderId="0" applyNumberFormat="0" applyBorder="0" applyAlignment="0" applyProtection="0"/>
    <xf numFmtId="0" fontId="21" fillId="52" borderId="0" applyNumberFormat="0" applyBorder="0" applyAlignment="0" applyProtection="0"/>
    <xf numFmtId="0" fontId="21" fillId="53" borderId="0" applyNumberFormat="0" applyBorder="0" applyAlignment="0" applyProtection="0"/>
    <xf numFmtId="0" fontId="21" fillId="56" borderId="0" applyNumberFormat="0" applyBorder="0" applyAlignment="0" applyProtection="0"/>
    <xf numFmtId="0" fontId="21" fillId="57"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0" fillId="0" borderId="0"/>
    <xf numFmtId="0" fontId="19" fillId="0" borderId="0"/>
    <xf numFmtId="0" fontId="19" fillId="0" borderId="0"/>
    <xf numFmtId="0" fontId="19" fillId="0" borderId="0"/>
    <xf numFmtId="0" fontId="19" fillId="0" borderId="0"/>
    <xf numFmtId="0" fontId="54" fillId="2" borderId="0" applyNumberFormat="0" applyBorder="0" applyAlignment="0" applyProtection="0"/>
    <xf numFmtId="0" fontId="55" fillId="3" borderId="0" applyNumberFormat="0" applyBorder="0" applyAlignment="0" applyProtection="0"/>
    <xf numFmtId="0" fontId="19" fillId="0" borderId="0"/>
    <xf numFmtId="0" fontId="19" fillId="0" borderId="0"/>
    <xf numFmtId="0" fontId="19" fillId="0" borderId="0"/>
    <xf numFmtId="0" fontId="151" fillId="0" borderId="0"/>
    <xf numFmtId="0" fontId="104" fillId="0" borderId="0"/>
    <xf numFmtId="0" fontId="19" fillId="0" borderId="0"/>
    <xf numFmtId="0" fontId="19"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64"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0" fillId="0" borderId="0"/>
    <xf numFmtId="0" fontId="9" fillId="0" borderId="0"/>
    <xf numFmtId="0" fontId="8" fillId="0" borderId="0"/>
    <xf numFmtId="0" fontId="7" fillId="0" borderId="0"/>
    <xf numFmtId="0" fontId="64" fillId="0" borderId="0"/>
    <xf numFmtId="0" fontId="6" fillId="0" borderId="0"/>
    <xf numFmtId="0" fontId="6" fillId="0" borderId="0"/>
    <xf numFmtId="0" fontId="5" fillId="0" borderId="0"/>
    <xf numFmtId="0" fontId="5" fillId="0" borderId="0"/>
    <xf numFmtId="0" fontId="4" fillId="0" borderId="0"/>
    <xf numFmtId="0" fontId="4" fillId="0" borderId="0"/>
    <xf numFmtId="0" fontId="3" fillId="0" borderId="0"/>
    <xf numFmtId="0" fontId="3" fillId="0" borderId="0"/>
  </cellStyleXfs>
  <cellXfs count="60">
    <xf numFmtId="0" fontId="0" fillId="0" borderId="0" xfId="0"/>
    <xf numFmtId="0" fontId="0" fillId="0" borderId="0" xfId="0" quotePrefix="1"/>
    <xf numFmtId="0" fontId="52" fillId="0" borderId="0" xfId="0" applyFont="1"/>
    <xf numFmtId="0" fontId="55" fillId="3" borderId="0" xfId="2"/>
    <xf numFmtId="0" fontId="54" fillId="2" borderId="0" xfId="1"/>
    <xf numFmtId="0" fontId="0" fillId="0" borderId="0" xfId="0"/>
    <xf numFmtId="0" fontId="52" fillId="0" borderId="0" xfId="0" applyFont="1" applyProtection="1">
      <protection hidden="1"/>
    </xf>
    <xf numFmtId="0" fontId="0" fillId="0" borderId="0" xfId="0" applyProtection="1">
      <protection hidden="1"/>
    </xf>
    <xf numFmtId="0" fontId="0" fillId="0" borderId="0" xfId="0" applyNumberFormat="1"/>
    <xf numFmtId="0" fontId="0" fillId="0" borderId="0" xfId="0" applyAlignment="1">
      <alignment vertical="top"/>
    </xf>
    <xf numFmtId="0" fontId="0" fillId="0" borderId="0" xfId="0" applyAlignment="1">
      <alignment wrapText="1"/>
    </xf>
    <xf numFmtId="0" fontId="0" fillId="0" borderId="0" xfId="0"/>
    <xf numFmtId="0" fontId="0" fillId="0" borderId="0" xfId="0" applyAlignment="1">
      <alignment vertical="top"/>
    </xf>
    <xf numFmtId="0" fontId="0" fillId="0" borderId="0" xfId="0" applyAlignment="1"/>
    <xf numFmtId="0" fontId="0" fillId="0" borderId="0" xfId="0" applyAlignment="1">
      <alignment wrapText="1"/>
    </xf>
    <xf numFmtId="0" fontId="58" fillId="3" borderId="2" xfId="2" applyFont="1" applyFill="1" applyBorder="1" applyAlignment="1">
      <alignment vertical="top"/>
    </xf>
    <xf numFmtId="0" fontId="0" fillId="4" borderId="3" xfId="0" applyFont="1" applyFill="1" applyBorder="1" applyAlignment="1">
      <alignment vertical="top"/>
    </xf>
    <xf numFmtId="0" fontId="57" fillId="2" borderId="1" xfId="1" applyFont="1" applyFill="1" applyBorder="1" applyAlignment="1">
      <alignment vertical="top"/>
    </xf>
    <xf numFmtId="0" fontId="0" fillId="0" borderId="0" xfId="0" applyBorder="1" applyAlignment="1">
      <alignment wrapText="1"/>
    </xf>
    <xf numFmtId="0" fontId="0" fillId="0" borderId="0" xfId="0" quotePrefix="1" applyBorder="1" applyAlignment="1">
      <alignment wrapText="1"/>
    </xf>
    <xf numFmtId="0" fontId="0" fillId="4" borderId="4" xfId="0" applyNumberFormat="1" applyFont="1" applyFill="1" applyBorder="1" applyAlignment="1">
      <alignment vertical="top"/>
    </xf>
    <xf numFmtId="0" fontId="0" fillId="0" borderId="4" xfId="0" applyBorder="1" applyAlignment="1">
      <alignment vertical="top" wrapText="1"/>
    </xf>
    <xf numFmtId="0" fontId="0" fillId="4" borderId="3" xfId="0" applyNumberFormat="1" applyFont="1" applyFill="1" applyBorder="1" applyAlignment="1">
      <alignment vertical="top" wrapText="1"/>
    </xf>
    <xf numFmtId="0" fontId="56" fillId="0" borderId="0" xfId="0" applyFont="1" applyAlignment="1">
      <alignment vertical="top"/>
    </xf>
    <xf numFmtId="0" fontId="0" fillId="5" borderId="5" xfId="0" applyFont="1" applyFill="1" applyBorder="1"/>
    <xf numFmtId="0" fontId="0" fillId="0" borderId="0" xfId="0" applyAlignment="1">
      <alignment horizontal="right"/>
    </xf>
    <xf numFmtId="0" fontId="61" fillId="0" borderId="0" xfId="0" applyFont="1"/>
    <xf numFmtId="0" fontId="60" fillId="0" borderId="0" xfId="0" applyFont="1"/>
    <xf numFmtId="22" fontId="0" fillId="0" borderId="0" xfId="0" applyNumberFormat="1"/>
    <xf numFmtId="0" fontId="0" fillId="0" borderId="0" xfId="0"/>
    <xf numFmtId="0" fontId="0" fillId="0" borderId="0" xfId="0" applyProtection="1">
      <protection hidden="1"/>
    </xf>
    <xf numFmtId="20" fontId="0" fillId="0" borderId="0" xfId="0" applyNumberFormat="1" applyBorder="1"/>
    <xf numFmtId="20" fontId="0" fillId="0" borderId="7" xfId="0" applyNumberFormat="1" applyBorder="1"/>
    <xf numFmtId="22" fontId="52" fillId="0" borderId="0" xfId="0" applyNumberFormat="1" applyFont="1"/>
    <xf numFmtId="0" fontId="0" fillId="0" borderId="0" xfId="0" applyNumberFormat="1" applyAlignment="1">
      <alignment vertical="top"/>
    </xf>
    <xf numFmtId="0" fontId="52" fillId="0" borderId="7" xfId="0" applyFont="1" applyBorder="1"/>
    <xf numFmtId="0" fontId="52" fillId="0" borderId="0" xfId="0" applyFont="1" applyBorder="1"/>
    <xf numFmtId="0" fontId="0" fillId="0" borderId="0" xfId="0" applyAlignment="1"/>
    <xf numFmtId="0" fontId="0" fillId="0" borderId="0" xfId="0"/>
    <xf numFmtId="0" fontId="0" fillId="0" borderId="0" xfId="0" applyAlignment="1">
      <alignment vertical="top"/>
    </xf>
    <xf numFmtId="0" fontId="47" fillId="0" borderId="0" xfId="0" applyFont="1" applyFill="1" applyBorder="1"/>
    <xf numFmtId="0" fontId="0" fillId="0" borderId="0" xfId="0" quotePrefix="1" applyBorder="1" applyAlignment="1">
      <alignment vertical="top" wrapText="1"/>
    </xf>
    <xf numFmtId="0" fontId="0" fillId="0" borderId="0" xfId="0" applyAlignment="1">
      <alignment vertical="top" wrapText="1"/>
    </xf>
    <xf numFmtId="22" fontId="62" fillId="6" borderId="7" xfId="10" applyNumberFormat="1" applyBorder="1"/>
    <xf numFmtId="0" fontId="61" fillId="0" borderId="31" xfId="45497" applyFont="1" applyFill="1" applyBorder="1" applyAlignment="1"/>
    <xf numFmtId="0" fontId="72" fillId="0" borderId="0" xfId="0" applyNumberFormat="1" applyFont="1" applyFill="1" applyBorder="1" applyAlignment="1" applyProtection="1"/>
    <xf numFmtId="0" fontId="152" fillId="0" borderId="0" xfId="0" applyFont="1" applyFill="1" applyAlignment="1">
      <alignment vertical="top"/>
    </xf>
    <xf numFmtId="0" fontId="153" fillId="0" borderId="28" xfId="3" applyNumberFormat="1" applyFont="1" applyFill="1" applyBorder="1" applyAlignment="1"/>
    <xf numFmtId="14" fontId="0" fillId="0" borderId="0" xfId="0" applyNumberFormat="1" applyAlignment="1">
      <alignment vertical="top"/>
    </xf>
    <xf numFmtId="0" fontId="0" fillId="0" borderId="0" xfId="0" applyNumberFormat="1" applyAlignment="1">
      <alignment vertical="top" wrapText="1"/>
    </xf>
    <xf numFmtId="0" fontId="2" fillId="0" borderId="34" xfId="0" applyFont="1" applyBorder="1"/>
    <xf numFmtId="0" fontId="0" fillId="0" borderId="35" xfId="0" applyFont="1" applyBorder="1"/>
    <xf numFmtId="0" fontId="2" fillId="0" borderId="29" xfId="0" applyNumberFormat="1" applyFont="1" applyBorder="1" applyAlignment="1">
      <alignment vertical="top"/>
    </xf>
    <xf numFmtId="0" fontId="2" fillId="0" borderId="28" xfId="3" applyNumberFormat="1" applyFont="1" applyFill="1" applyBorder="1" applyAlignment="1">
      <alignment horizontal="left"/>
    </xf>
    <xf numFmtId="0" fontId="2" fillId="0" borderId="30" xfId="0" applyFont="1" applyFill="1" applyBorder="1" applyAlignment="1">
      <alignment horizontal="left"/>
    </xf>
    <xf numFmtId="0" fontId="154" fillId="0" borderId="32" xfId="0" applyNumberFormat="1" applyFont="1" applyFill="1" applyBorder="1" applyAlignment="1" applyProtection="1"/>
    <xf numFmtId="0" fontId="155" fillId="59" borderId="31" xfId="45492" applyNumberFormat="1" applyFont="1" applyFill="1" applyBorder="1" applyAlignment="1">
      <alignment vertical="top"/>
    </xf>
    <xf numFmtId="49" fontId="155" fillId="59" borderId="31" xfId="45492" applyNumberFormat="1" applyFont="1" applyFill="1" applyBorder="1" applyAlignment="1">
      <alignment vertical="top"/>
    </xf>
    <xf numFmtId="0" fontId="1" fillId="0" borderId="33" xfId="0" applyFont="1" applyBorder="1"/>
    <xf numFmtId="0" fontId="1" fillId="0" borderId="31" xfId="45492" applyNumberFormat="1" applyFont="1" applyFill="1" applyBorder="1" applyAlignment="1">
      <alignment horizontal="left"/>
    </xf>
  </cellXfs>
  <cellStyles count="45501">
    <cellStyle name=" Task]_x000d__x000a_TaskName=Scan At_x000d__x000a_TaskID=3_x000d__x000a_WorkstationName=SmarTone_x000d__x000a_LastExecuted=0_x000d__x000a_LastSt" xfId="48"/>
    <cellStyle name="20% - Accent1" xfId="621" builtinId="30" customBuiltin="1"/>
    <cellStyle name="20% - Accent1 10" xfId="7760"/>
    <cellStyle name="20% - Accent1 10 2" xfId="15283"/>
    <cellStyle name="20% - Accent1 10 2 2" xfId="30327"/>
    <cellStyle name="20% - Accent1 10 2 3" xfId="45370"/>
    <cellStyle name="20% - Accent1 10 3" xfId="22806"/>
    <cellStyle name="20% - Accent1 10 4" xfId="37849"/>
    <cellStyle name="20% - Accent1 11" xfId="8238"/>
    <cellStyle name="20% - Accent1 11 2" xfId="23282"/>
    <cellStyle name="20% - Accent1 11 3" xfId="38325"/>
    <cellStyle name="20% - Accent1 12" xfId="15761"/>
    <cellStyle name="20% - Accent1 13" xfId="30804"/>
    <cellStyle name="20% - Accent1 2" xfId="49"/>
    <cellStyle name="20% - Accent1 3" xfId="50"/>
    <cellStyle name="20% - Accent1 4" xfId="1114"/>
    <cellStyle name="20% - Accent1 4 2" xfId="2059"/>
    <cellStyle name="20% - Accent1 4 2 2" xfId="3930"/>
    <cellStyle name="20% - Accent1 4 2 2 2" xfId="7725"/>
    <cellStyle name="20% - Accent1 4 2 2 2 2" xfId="15248"/>
    <cellStyle name="20% - Accent1 4 2 2 2 2 2" xfId="30292"/>
    <cellStyle name="20% - Accent1 4 2 2 2 2 3" xfId="45335"/>
    <cellStyle name="20% - Accent1 4 2 2 2 3" xfId="22771"/>
    <cellStyle name="20% - Accent1 4 2 2 2 4" xfId="37814"/>
    <cellStyle name="20% - Accent1 4 2 2 3" xfId="11499"/>
    <cellStyle name="20% - Accent1 4 2 2 3 2" xfId="26543"/>
    <cellStyle name="20% - Accent1 4 2 2 3 3" xfId="41586"/>
    <cellStyle name="20% - Accent1 4 2 2 4" xfId="19022"/>
    <cellStyle name="20% - Accent1 4 2 2 5" xfId="34065"/>
    <cellStyle name="20% - Accent1 4 2 3" xfId="5860"/>
    <cellStyle name="20% - Accent1 4 2 3 2" xfId="13383"/>
    <cellStyle name="20% - Accent1 4 2 3 2 2" xfId="28427"/>
    <cellStyle name="20% - Accent1 4 2 3 2 3" xfId="43470"/>
    <cellStyle name="20% - Accent1 4 2 3 3" xfId="20906"/>
    <cellStyle name="20% - Accent1 4 2 3 4" xfId="35949"/>
    <cellStyle name="20% - Accent1 4 2 4" xfId="9634"/>
    <cellStyle name="20% - Accent1 4 2 4 2" xfId="24678"/>
    <cellStyle name="20% - Accent1 4 2 4 3" xfId="39721"/>
    <cellStyle name="20% - Accent1 4 2 5" xfId="17157"/>
    <cellStyle name="20% - Accent1 4 2 6" xfId="32200"/>
    <cellStyle name="20% - Accent1 4 3" xfId="2998"/>
    <cellStyle name="20% - Accent1 4 3 2" xfId="6793"/>
    <cellStyle name="20% - Accent1 4 3 2 2" xfId="14316"/>
    <cellStyle name="20% - Accent1 4 3 2 2 2" xfId="29360"/>
    <cellStyle name="20% - Accent1 4 3 2 2 3" xfId="44403"/>
    <cellStyle name="20% - Accent1 4 3 2 3" xfId="21839"/>
    <cellStyle name="20% - Accent1 4 3 2 4" xfId="36882"/>
    <cellStyle name="20% - Accent1 4 3 3" xfId="10567"/>
    <cellStyle name="20% - Accent1 4 3 3 2" xfId="25611"/>
    <cellStyle name="20% - Accent1 4 3 3 3" xfId="40654"/>
    <cellStyle name="20% - Accent1 4 3 4" xfId="18090"/>
    <cellStyle name="20% - Accent1 4 3 5" xfId="33133"/>
    <cellStyle name="20% - Accent1 4 4" xfId="4928"/>
    <cellStyle name="20% - Accent1 4 4 2" xfId="12451"/>
    <cellStyle name="20% - Accent1 4 4 2 2" xfId="27495"/>
    <cellStyle name="20% - Accent1 4 4 2 3" xfId="42538"/>
    <cellStyle name="20% - Accent1 4 4 3" xfId="19974"/>
    <cellStyle name="20% - Accent1 4 4 4" xfId="35017"/>
    <cellStyle name="20% - Accent1 4 5" xfId="8702"/>
    <cellStyle name="20% - Accent1 4 5 2" xfId="23746"/>
    <cellStyle name="20% - Accent1 4 5 3" xfId="38789"/>
    <cellStyle name="20% - Accent1 4 6" xfId="16225"/>
    <cellStyle name="20% - Accent1 4 7" xfId="31268"/>
    <cellStyle name="20% - Accent1 5" xfId="1145"/>
    <cellStyle name="20% - Accent1 5 2" xfId="3016"/>
    <cellStyle name="20% - Accent1 5 2 2" xfId="6811"/>
    <cellStyle name="20% - Accent1 5 2 2 2" xfId="14334"/>
    <cellStyle name="20% - Accent1 5 2 2 2 2" xfId="29378"/>
    <cellStyle name="20% - Accent1 5 2 2 2 3" xfId="44421"/>
    <cellStyle name="20% - Accent1 5 2 2 3" xfId="21857"/>
    <cellStyle name="20% - Accent1 5 2 2 4" xfId="36900"/>
    <cellStyle name="20% - Accent1 5 2 3" xfId="10585"/>
    <cellStyle name="20% - Accent1 5 2 3 2" xfId="25629"/>
    <cellStyle name="20% - Accent1 5 2 3 3" xfId="40672"/>
    <cellStyle name="20% - Accent1 5 2 4" xfId="18108"/>
    <cellStyle name="20% - Accent1 5 2 5" xfId="33151"/>
    <cellStyle name="20% - Accent1 5 3" xfId="4946"/>
    <cellStyle name="20% - Accent1 5 3 2" xfId="12469"/>
    <cellStyle name="20% - Accent1 5 3 2 2" xfId="27513"/>
    <cellStyle name="20% - Accent1 5 3 2 3" xfId="42556"/>
    <cellStyle name="20% - Accent1 5 3 3" xfId="19992"/>
    <cellStyle name="20% - Accent1 5 3 4" xfId="35035"/>
    <cellStyle name="20% - Accent1 5 4" xfId="8720"/>
    <cellStyle name="20% - Accent1 5 4 2" xfId="23764"/>
    <cellStyle name="20% - Accent1 5 4 3" xfId="38807"/>
    <cellStyle name="20% - Accent1 5 5" xfId="16243"/>
    <cellStyle name="20% - Accent1 5 6" xfId="31286"/>
    <cellStyle name="20% - Accent1 6" xfId="2079"/>
    <cellStyle name="20% - Accent1 6 2" xfId="5878"/>
    <cellStyle name="20% - Accent1 6 2 2" xfId="13401"/>
    <cellStyle name="20% - Accent1 6 2 2 2" xfId="28445"/>
    <cellStyle name="20% - Accent1 6 2 2 3" xfId="43488"/>
    <cellStyle name="20% - Accent1 6 2 3" xfId="20924"/>
    <cellStyle name="20% - Accent1 6 2 4" xfId="35967"/>
    <cellStyle name="20% - Accent1 6 3" xfId="9652"/>
    <cellStyle name="20% - Accent1 6 3 2" xfId="24696"/>
    <cellStyle name="20% - Accent1 6 3 3" xfId="39739"/>
    <cellStyle name="20% - Accent1 6 4" xfId="17175"/>
    <cellStyle name="20% - Accent1 6 5" xfId="32218"/>
    <cellStyle name="20% - Accent1 7" xfId="3967"/>
    <cellStyle name="20% - Accent1 8" xfId="3993"/>
    <cellStyle name="20% - Accent1 8 2" xfId="7746"/>
    <cellStyle name="20% - Accent1 8 2 2" xfId="15269"/>
    <cellStyle name="20% - Accent1 8 2 2 2" xfId="30313"/>
    <cellStyle name="20% - Accent1 8 2 2 3" xfId="45356"/>
    <cellStyle name="20% - Accent1 8 2 3" xfId="22792"/>
    <cellStyle name="20% - Accent1 8 2 4" xfId="37835"/>
    <cellStyle name="20% - Accent1 8 3" xfId="11520"/>
    <cellStyle name="20% - Accent1 8 3 2" xfId="26564"/>
    <cellStyle name="20% - Accent1 8 3 3" xfId="41607"/>
    <cellStyle name="20% - Accent1 8 4" xfId="19043"/>
    <cellStyle name="20% - Accent1 8 5" xfId="34086"/>
    <cellStyle name="20% - Accent1 9" xfId="4006"/>
    <cellStyle name="20% - Accent1 9 2" xfId="11532"/>
    <cellStyle name="20% - Accent1 9 2 2" xfId="26576"/>
    <cellStyle name="20% - Accent1 9 2 3" xfId="41619"/>
    <cellStyle name="20% - Accent1 9 3" xfId="19055"/>
    <cellStyle name="20% - Accent1 9 4" xfId="34098"/>
    <cellStyle name="20% - Accent2" xfId="625" builtinId="34" customBuiltin="1"/>
    <cellStyle name="20% - Accent2 10" xfId="7762"/>
    <cellStyle name="20% - Accent2 10 2" xfId="15285"/>
    <cellStyle name="20% - Accent2 10 2 2" xfId="30329"/>
    <cellStyle name="20% - Accent2 10 2 3" xfId="45372"/>
    <cellStyle name="20% - Accent2 10 3" xfId="22808"/>
    <cellStyle name="20% - Accent2 10 4" xfId="37851"/>
    <cellStyle name="20% - Accent2 11" xfId="8240"/>
    <cellStyle name="20% - Accent2 11 2" xfId="23284"/>
    <cellStyle name="20% - Accent2 11 3" xfId="38327"/>
    <cellStyle name="20% - Accent2 12" xfId="15763"/>
    <cellStyle name="20% - Accent2 13" xfId="30806"/>
    <cellStyle name="20% - Accent2 2" xfId="51"/>
    <cellStyle name="20% - Accent2 3" xfId="52"/>
    <cellStyle name="20% - Accent2 4" xfId="1118"/>
    <cellStyle name="20% - Accent2 4 2" xfId="2061"/>
    <cellStyle name="20% - Accent2 4 2 2" xfId="3932"/>
    <cellStyle name="20% - Accent2 4 2 2 2" xfId="7727"/>
    <cellStyle name="20% - Accent2 4 2 2 2 2" xfId="15250"/>
    <cellStyle name="20% - Accent2 4 2 2 2 2 2" xfId="30294"/>
    <cellStyle name="20% - Accent2 4 2 2 2 2 3" xfId="45337"/>
    <cellStyle name="20% - Accent2 4 2 2 2 3" xfId="22773"/>
    <cellStyle name="20% - Accent2 4 2 2 2 4" xfId="37816"/>
    <cellStyle name="20% - Accent2 4 2 2 3" xfId="11501"/>
    <cellStyle name="20% - Accent2 4 2 2 3 2" xfId="26545"/>
    <cellStyle name="20% - Accent2 4 2 2 3 3" xfId="41588"/>
    <cellStyle name="20% - Accent2 4 2 2 4" xfId="19024"/>
    <cellStyle name="20% - Accent2 4 2 2 5" xfId="34067"/>
    <cellStyle name="20% - Accent2 4 2 3" xfId="5862"/>
    <cellStyle name="20% - Accent2 4 2 3 2" xfId="13385"/>
    <cellStyle name="20% - Accent2 4 2 3 2 2" xfId="28429"/>
    <cellStyle name="20% - Accent2 4 2 3 2 3" xfId="43472"/>
    <cellStyle name="20% - Accent2 4 2 3 3" xfId="20908"/>
    <cellStyle name="20% - Accent2 4 2 3 4" xfId="35951"/>
    <cellStyle name="20% - Accent2 4 2 4" xfId="9636"/>
    <cellStyle name="20% - Accent2 4 2 4 2" xfId="24680"/>
    <cellStyle name="20% - Accent2 4 2 4 3" xfId="39723"/>
    <cellStyle name="20% - Accent2 4 2 5" xfId="17159"/>
    <cellStyle name="20% - Accent2 4 2 6" xfId="32202"/>
    <cellStyle name="20% - Accent2 4 3" xfId="3000"/>
    <cellStyle name="20% - Accent2 4 3 2" xfId="6795"/>
    <cellStyle name="20% - Accent2 4 3 2 2" xfId="14318"/>
    <cellStyle name="20% - Accent2 4 3 2 2 2" xfId="29362"/>
    <cellStyle name="20% - Accent2 4 3 2 2 3" xfId="44405"/>
    <cellStyle name="20% - Accent2 4 3 2 3" xfId="21841"/>
    <cellStyle name="20% - Accent2 4 3 2 4" xfId="36884"/>
    <cellStyle name="20% - Accent2 4 3 3" xfId="10569"/>
    <cellStyle name="20% - Accent2 4 3 3 2" xfId="25613"/>
    <cellStyle name="20% - Accent2 4 3 3 3" xfId="40656"/>
    <cellStyle name="20% - Accent2 4 3 4" xfId="18092"/>
    <cellStyle name="20% - Accent2 4 3 5" xfId="33135"/>
    <cellStyle name="20% - Accent2 4 4" xfId="4930"/>
    <cellStyle name="20% - Accent2 4 4 2" xfId="12453"/>
    <cellStyle name="20% - Accent2 4 4 2 2" xfId="27497"/>
    <cellStyle name="20% - Accent2 4 4 2 3" xfId="42540"/>
    <cellStyle name="20% - Accent2 4 4 3" xfId="19976"/>
    <cellStyle name="20% - Accent2 4 4 4" xfId="35019"/>
    <cellStyle name="20% - Accent2 4 5" xfId="8704"/>
    <cellStyle name="20% - Accent2 4 5 2" xfId="23748"/>
    <cellStyle name="20% - Accent2 4 5 3" xfId="38791"/>
    <cellStyle name="20% - Accent2 4 6" xfId="16227"/>
    <cellStyle name="20% - Accent2 4 7" xfId="31270"/>
    <cellStyle name="20% - Accent2 5" xfId="1147"/>
    <cellStyle name="20% - Accent2 5 2" xfId="3018"/>
    <cellStyle name="20% - Accent2 5 2 2" xfId="6813"/>
    <cellStyle name="20% - Accent2 5 2 2 2" xfId="14336"/>
    <cellStyle name="20% - Accent2 5 2 2 2 2" xfId="29380"/>
    <cellStyle name="20% - Accent2 5 2 2 2 3" xfId="44423"/>
    <cellStyle name="20% - Accent2 5 2 2 3" xfId="21859"/>
    <cellStyle name="20% - Accent2 5 2 2 4" xfId="36902"/>
    <cellStyle name="20% - Accent2 5 2 3" xfId="10587"/>
    <cellStyle name="20% - Accent2 5 2 3 2" xfId="25631"/>
    <cellStyle name="20% - Accent2 5 2 3 3" xfId="40674"/>
    <cellStyle name="20% - Accent2 5 2 4" xfId="18110"/>
    <cellStyle name="20% - Accent2 5 2 5" xfId="33153"/>
    <cellStyle name="20% - Accent2 5 3" xfId="4948"/>
    <cellStyle name="20% - Accent2 5 3 2" xfId="12471"/>
    <cellStyle name="20% - Accent2 5 3 2 2" xfId="27515"/>
    <cellStyle name="20% - Accent2 5 3 2 3" xfId="42558"/>
    <cellStyle name="20% - Accent2 5 3 3" xfId="19994"/>
    <cellStyle name="20% - Accent2 5 3 4" xfId="35037"/>
    <cellStyle name="20% - Accent2 5 4" xfId="8722"/>
    <cellStyle name="20% - Accent2 5 4 2" xfId="23766"/>
    <cellStyle name="20% - Accent2 5 4 3" xfId="38809"/>
    <cellStyle name="20% - Accent2 5 5" xfId="16245"/>
    <cellStyle name="20% - Accent2 5 6" xfId="31288"/>
    <cellStyle name="20% - Accent2 6" xfId="2081"/>
    <cellStyle name="20% - Accent2 6 2" xfId="5880"/>
    <cellStyle name="20% - Accent2 6 2 2" xfId="13403"/>
    <cellStyle name="20% - Accent2 6 2 2 2" xfId="28447"/>
    <cellStyle name="20% - Accent2 6 2 2 3" xfId="43490"/>
    <cellStyle name="20% - Accent2 6 2 3" xfId="20926"/>
    <cellStyle name="20% - Accent2 6 2 4" xfId="35969"/>
    <cellStyle name="20% - Accent2 6 3" xfId="9654"/>
    <cellStyle name="20% - Accent2 6 3 2" xfId="24698"/>
    <cellStyle name="20% - Accent2 6 3 3" xfId="39741"/>
    <cellStyle name="20% - Accent2 6 4" xfId="17177"/>
    <cellStyle name="20% - Accent2 6 5" xfId="32220"/>
    <cellStyle name="20% - Accent2 7" xfId="3971"/>
    <cellStyle name="20% - Accent2 8" xfId="3995"/>
    <cellStyle name="20% - Accent2 8 2" xfId="7748"/>
    <cellStyle name="20% - Accent2 8 2 2" xfId="15271"/>
    <cellStyle name="20% - Accent2 8 2 2 2" xfId="30315"/>
    <cellStyle name="20% - Accent2 8 2 2 3" xfId="45358"/>
    <cellStyle name="20% - Accent2 8 2 3" xfId="22794"/>
    <cellStyle name="20% - Accent2 8 2 4" xfId="37837"/>
    <cellStyle name="20% - Accent2 8 3" xfId="11522"/>
    <cellStyle name="20% - Accent2 8 3 2" xfId="26566"/>
    <cellStyle name="20% - Accent2 8 3 3" xfId="41609"/>
    <cellStyle name="20% - Accent2 8 4" xfId="19045"/>
    <cellStyle name="20% - Accent2 8 5" xfId="34088"/>
    <cellStyle name="20% - Accent2 9" xfId="4008"/>
    <cellStyle name="20% - Accent2 9 2" xfId="11534"/>
    <cellStyle name="20% - Accent2 9 2 2" xfId="26578"/>
    <cellStyle name="20% - Accent2 9 2 3" xfId="41621"/>
    <cellStyle name="20% - Accent2 9 3" xfId="19057"/>
    <cellStyle name="20% - Accent2 9 4" xfId="34100"/>
    <cellStyle name="20% - Accent3" xfId="629" builtinId="38" customBuiltin="1"/>
    <cellStyle name="20% - Accent3 10" xfId="7764"/>
    <cellStyle name="20% - Accent3 10 2" xfId="15287"/>
    <cellStyle name="20% - Accent3 10 2 2" xfId="30331"/>
    <cellStyle name="20% - Accent3 10 2 3" xfId="45374"/>
    <cellStyle name="20% - Accent3 10 3" xfId="22810"/>
    <cellStyle name="20% - Accent3 10 4" xfId="37853"/>
    <cellStyle name="20% - Accent3 11" xfId="8242"/>
    <cellStyle name="20% - Accent3 11 2" xfId="23286"/>
    <cellStyle name="20% - Accent3 11 3" xfId="38329"/>
    <cellStyle name="20% - Accent3 12" xfId="15765"/>
    <cellStyle name="20% - Accent3 13" xfId="30808"/>
    <cellStyle name="20% - Accent3 2" xfId="53"/>
    <cellStyle name="20% - Accent3 3" xfId="54"/>
    <cellStyle name="20% - Accent3 4" xfId="1122"/>
    <cellStyle name="20% - Accent3 4 2" xfId="2063"/>
    <cellStyle name="20% - Accent3 4 2 2" xfId="3934"/>
    <cellStyle name="20% - Accent3 4 2 2 2" xfId="7729"/>
    <cellStyle name="20% - Accent3 4 2 2 2 2" xfId="15252"/>
    <cellStyle name="20% - Accent3 4 2 2 2 2 2" xfId="30296"/>
    <cellStyle name="20% - Accent3 4 2 2 2 2 3" xfId="45339"/>
    <cellStyle name="20% - Accent3 4 2 2 2 3" xfId="22775"/>
    <cellStyle name="20% - Accent3 4 2 2 2 4" xfId="37818"/>
    <cellStyle name="20% - Accent3 4 2 2 3" xfId="11503"/>
    <cellStyle name="20% - Accent3 4 2 2 3 2" xfId="26547"/>
    <cellStyle name="20% - Accent3 4 2 2 3 3" xfId="41590"/>
    <cellStyle name="20% - Accent3 4 2 2 4" xfId="19026"/>
    <cellStyle name="20% - Accent3 4 2 2 5" xfId="34069"/>
    <cellStyle name="20% - Accent3 4 2 3" xfId="5864"/>
    <cellStyle name="20% - Accent3 4 2 3 2" xfId="13387"/>
    <cellStyle name="20% - Accent3 4 2 3 2 2" xfId="28431"/>
    <cellStyle name="20% - Accent3 4 2 3 2 3" xfId="43474"/>
    <cellStyle name="20% - Accent3 4 2 3 3" xfId="20910"/>
    <cellStyle name="20% - Accent3 4 2 3 4" xfId="35953"/>
    <cellStyle name="20% - Accent3 4 2 4" xfId="9638"/>
    <cellStyle name="20% - Accent3 4 2 4 2" xfId="24682"/>
    <cellStyle name="20% - Accent3 4 2 4 3" xfId="39725"/>
    <cellStyle name="20% - Accent3 4 2 5" xfId="17161"/>
    <cellStyle name="20% - Accent3 4 2 6" xfId="32204"/>
    <cellStyle name="20% - Accent3 4 3" xfId="3002"/>
    <cellStyle name="20% - Accent3 4 3 2" xfId="6797"/>
    <cellStyle name="20% - Accent3 4 3 2 2" xfId="14320"/>
    <cellStyle name="20% - Accent3 4 3 2 2 2" xfId="29364"/>
    <cellStyle name="20% - Accent3 4 3 2 2 3" xfId="44407"/>
    <cellStyle name="20% - Accent3 4 3 2 3" xfId="21843"/>
    <cellStyle name="20% - Accent3 4 3 2 4" xfId="36886"/>
    <cellStyle name="20% - Accent3 4 3 3" xfId="10571"/>
    <cellStyle name="20% - Accent3 4 3 3 2" xfId="25615"/>
    <cellStyle name="20% - Accent3 4 3 3 3" xfId="40658"/>
    <cellStyle name="20% - Accent3 4 3 4" xfId="18094"/>
    <cellStyle name="20% - Accent3 4 3 5" xfId="33137"/>
    <cellStyle name="20% - Accent3 4 4" xfId="4932"/>
    <cellStyle name="20% - Accent3 4 4 2" xfId="12455"/>
    <cellStyle name="20% - Accent3 4 4 2 2" xfId="27499"/>
    <cellStyle name="20% - Accent3 4 4 2 3" xfId="42542"/>
    <cellStyle name="20% - Accent3 4 4 3" xfId="19978"/>
    <cellStyle name="20% - Accent3 4 4 4" xfId="35021"/>
    <cellStyle name="20% - Accent3 4 5" xfId="8706"/>
    <cellStyle name="20% - Accent3 4 5 2" xfId="23750"/>
    <cellStyle name="20% - Accent3 4 5 3" xfId="38793"/>
    <cellStyle name="20% - Accent3 4 6" xfId="16229"/>
    <cellStyle name="20% - Accent3 4 7" xfId="31272"/>
    <cellStyle name="20% - Accent3 5" xfId="1149"/>
    <cellStyle name="20% - Accent3 5 2" xfId="3020"/>
    <cellStyle name="20% - Accent3 5 2 2" xfId="6815"/>
    <cellStyle name="20% - Accent3 5 2 2 2" xfId="14338"/>
    <cellStyle name="20% - Accent3 5 2 2 2 2" xfId="29382"/>
    <cellStyle name="20% - Accent3 5 2 2 2 3" xfId="44425"/>
    <cellStyle name="20% - Accent3 5 2 2 3" xfId="21861"/>
    <cellStyle name="20% - Accent3 5 2 2 4" xfId="36904"/>
    <cellStyle name="20% - Accent3 5 2 3" xfId="10589"/>
    <cellStyle name="20% - Accent3 5 2 3 2" xfId="25633"/>
    <cellStyle name="20% - Accent3 5 2 3 3" xfId="40676"/>
    <cellStyle name="20% - Accent3 5 2 4" xfId="18112"/>
    <cellStyle name="20% - Accent3 5 2 5" xfId="33155"/>
    <cellStyle name="20% - Accent3 5 3" xfId="4950"/>
    <cellStyle name="20% - Accent3 5 3 2" xfId="12473"/>
    <cellStyle name="20% - Accent3 5 3 2 2" xfId="27517"/>
    <cellStyle name="20% - Accent3 5 3 2 3" xfId="42560"/>
    <cellStyle name="20% - Accent3 5 3 3" xfId="19996"/>
    <cellStyle name="20% - Accent3 5 3 4" xfId="35039"/>
    <cellStyle name="20% - Accent3 5 4" xfId="8724"/>
    <cellStyle name="20% - Accent3 5 4 2" xfId="23768"/>
    <cellStyle name="20% - Accent3 5 4 3" xfId="38811"/>
    <cellStyle name="20% - Accent3 5 5" xfId="16247"/>
    <cellStyle name="20% - Accent3 5 6" xfId="31290"/>
    <cellStyle name="20% - Accent3 6" xfId="2083"/>
    <cellStyle name="20% - Accent3 6 2" xfId="5882"/>
    <cellStyle name="20% - Accent3 6 2 2" xfId="13405"/>
    <cellStyle name="20% - Accent3 6 2 2 2" xfId="28449"/>
    <cellStyle name="20% - Accent3 6 2 2 3" xfId="43492"/>
    <cellStyle name="20% - Accent3 6 2 3" xfId="20928"/>
    <cellStyle name="20% - Accent3 6 2 4" xfId="35971"/>
    <cellStyle name="20% - Accent3 6 3" xfId="9656"/>
    <cellStyle name="20% - Accent3 6 3 2" xfId="24700"/>
    <cellStyle name="20% - Accent3 6 3 3" xfId="39743"/>
    <cellStyle name="20% - Accent3 6 4" xfId="17179"/>
    <cellStyle name="20% - Accent3 6 5" xfId="32222"/>
    <cellStyle name="20% - Accent3 7" xfId="3975"/>
    <cellStyle name="20% - Accent3 8" xfId="3997"/>
    <cellStyle name="20% - Accent3 8 2" xfId="7750"/>
    <cellStyle name="20% - Accent3 8 2 2" xfId="15273"/>
    <cellStyle name="20% - Accent3 8 2 2 2" xfId="30317"/>
    <cellStyle name="20% - Accent3 8 2 2 3" xfId="45360"/>
    <cellStyle name="20% - Accent3 8 2 3" xfId="22796"/>
    <cellStyle name="20% - Accent3 8 2 4" xfId="37839"/>
    <cellStyle name="20% - Accent3 8 3" xfId="11524"/>
    <cellStyle name="20% - Accent3 8 3 2" xfId="26568"/>
    <cellStyle name="20% - Accent3 8 3 3" xfId="41611"/>
    <cellStyle name="20% - Accent3 8 4" xfId="19047"/>
    <cellStyle name="20% - Accent3 8 5" xfId="34090"/>
    <cellStyle name="20% - Accent3 9" xfId="4010"/>
    <cellStyle name="20% - Accent3 9 2" xfId="11536"/>
    <cellStyle name="20% - Accent3 9 2 2" xfId="26580"/>
    <cellStyle name="20% - Accent3 9 2 3" xfId="41623"/>
    <cellStyle name="20% - Accent3 9 3" xfId="19059"/>
    <cellStyle name="20% - Accent3 9 4" xfId="34102"/>
    <cellStyle name="20% - Accent4" xfId="633" builtinId="42" customBuiltin="1"/>
    <cellStyle name="20% - Accent4 10" xfId="7766"/>
    <cellStyle name="20% - Accent4 10 2" xfId="15289"/>
    <cellStyle name="20% - Accent4 10 2 2" xfId="30333"/>
    <cellStyle name="20% - Accent4 10 2 3" xfId="45376"/>
    <cellStyle name="20% - Accent4 10 3" xfId="22812"/>
    <cellStyle name="20% - Accent4 10 4" xfId="37855"/>
    <cellStyle name="20% - Accent4 11" xfId="8244"/>
    <cellStyle name="20% - Accent4 11 2" xfId="23288"/>
    <cellStyle name="20% - Accent4 11 3" xfId="38331"/>
    <cellStyle name="20% - Accent4 12" xfId="15767"/>
    <cellStyle name="20% - Accent4 13" xfId="30810"/>
    <cellStyle name="20% - Accent4 2" xfId="55"/>
    <cellStyle name="20% - Accent4 3" xfId="56"/>
    <cellStyle name="20% - Accent4 4" xfId="1126"/>
    <cellStyle name="20% - Accent4 4 2" xfId="2065"/>
    <cellStyle name="20% - Accent4 4 2 2" xfId="3936"/>
    <cellStyle name="20% - Accent4 4 2 2 2" xfId="7731"/>
    <cellStyle name="20% - Accent4 4 2 2 2 2" xfId="15254"/>
    <cellStyle name="20% - Accent4 4 2 2 2 2 2" xfId="30298"/>
    <cellStyle name="20% - Accent4 4 2 2 2 2 3" xfId="45341"/>
    <cellStyle name="20% - Accent4 4 2 2 2 3" xfId="22777"/>
    <cellStyle name="20% - Accent4 4 2 2 2 4" xfId="37820"/>
    <cellStyle name="20% - Accent4 4 2 2 3" xfId="11505"/>
    <cellStyle name="20% - Accent4 4 2 2 3 2" xfId="26549"/>
    <cellStyle name="20% - Accent4 4 2 2 3 3" xfId="41592"/>
    <cellStyle name="20% - Accent4 4 2 2 4" xfId="19028"/>
    <cellStyle name="20% - Accent4 4 2 2 5" xfId="34071"/>
    <cellStyle name="20% - Accent4 4 2 3" xfId="5866"/>
    <cellStyle name="20% - Accent4 4 2 3 2" xfId="13389"/>
    <cellStyle name="20% - Accent4 4 2 3 2 2" xfId="28433"/>
    <cellStyle name="20% - Accent4 4 2 3 2 3" xfId="43476"/>
    <cellStyle name="20% - Accent4 4 2 3 3" xfId="20912"/>
    <cellStyle name="20% - Accent4 4 2 3 4" xfId="35955"/>
    <cellStyle name="20% - Accent4 4 2 4" xfId="9640"/>
    <cellStyle name="20% - Accent4 4 2 4 2" xfId="24684"/>
    <cellStyle name="20% - Accent4 4 2 4 3" xfId="39727"/>
    <cellStyle name="20% - Accent4 4 2 5" xfId="17163"/>
    <cellStyle name="20% - Accent4 4 2 6" xfId="32206"/>
    <cellStyle name="20% - Accent4 4 3" xfId="3004"/>
    <cellStyle name="20% - Accent4 4 3 2" xfId="6799"/>
    <cellStyle name="20% - Accent4 4 3 2 2" xfId="14322"/>
    <cellStyle name="20% - Accent4 4 3 2 2 2" xfId="29366"/>
    <cellStyle name="20% - Accent4 4 3 2 2 3" xfId="44409"/>
    <cellStyle name="20% - Accent4 4 3 2 3" xfId="21845"/>
    <cellStyle name="20% - Accent4 4 3 2 4" xfId="36888"/>
    <cellStyle name="20% - Accent4 4 3 3" xfId="10573"/>
    <cellStyle name="20% - Accent4 4 3 3 2" xfId="25617"/>
    <cellStyle name="20% - Accent4 4 3 3 3" xfId="40660"/>
    <cellStyle name="20% - Accent4 4 3 4" xfId="18096"/>
    <cellStyle name="20% - Accent4 4 3 5" xfId="33139"/>
    <cellStyle name="20% - Accent4 4 4" xfId="4934"/>
    <cellStyle name="20% - Accent4 4 4 2" xfId="12457"/>
    <cellStyle name="20% - Accent4 4 4 2 2" xfId="27501"/>
    <cellStyle name="20% - Accent4 4 4 2 3" xfId="42544"/>
    <cellStyle name="20% - Accent4 4 4 3" xfId="19980"/>
    <cellStyle name="20% - Accent4 4 4 4" xfId="35023"/>
    <cellStyle name="20% - Accent4 4 5" xfId="8708"/>
    <cellStyle name="20% - Accent4 4 5 2" xfId="23752"/>
    <cellStyle name="20% - Accent4 4 5 3" xfId="38795"/>
    <cellStyle name="20% - Accent4 4 6" xfId="16231"/>
    <cellStyle name="20% - Accent4 4 7" xfId="31274"/>
    <cellStyle name="20% - Accent4 5" xfId="1151"/>
    <cellStyle name="20% - Accent4 5 2" xfId="3022"/>
    <cellStyle name="20% - Accent4 5 2 2" xfId="6817"/>
    <cellStyle name="20% - Accent4 5 2 2 2" xfId="14340"/>
    <cellStyle name="20% - Accent4 5 2 2 2 2" xfId="29384"/>
    <cellStyle name="20% - Accent4 5 2 2 2 3" xfId="44427"/>
    <cellStyle name="20% - Accent4 5 2 2 3" xfId="21863"/>
    <cellStyle name="20% - Accent4 5 2 2 4" xfId="36906"/>
    <cellStyle name="20% - Accent4 5 2 3" xfId="10591"/>
    <cellStyle name="20% - Accent4 5 2 3 2" xfId="25635"/>
    <cellStyle name="20% - Accent4 5 2 3 3" xfId="40678"/>
    <cellStyle name="20% - Accent4 5 2 4" xfId="18114"/>
    <cellStyle name="20% - Accent4 5 2 5" xfId="33157"/>
    <cellStyle name="20% - Accent4 5 3" xfId="4952"/>
    <cellStyle name="20% - Accent4 5 3 2" xfId="12475"/>
    <cellStyle name="20% - Accent4 5 3 2 2" xfId="27519"/>
    <cellStyle name="20% - Accent4 5 3 2 3" xfId="42562"/>
    <cellStyle name="20% - Accent4 5 3 3" xfId="19998"/>
    <cellStyle name="20% - Accent4 5 3 4" xfId="35041"/>
    <cellStyle name="20% - Accent4 5 4" xfId="8726"/>
    <cellStyle name="20% - Accent4 5 4 2" xfId="23770"/>
    <cellStyle name="20% - Accent4 5 4 3" xfId="38813"/>
    <cellStyle name="20% - Accent4 5 5" xfId="16249"/>
    <cellStyle name="20% - Accent4 5 6" xfId="31292"/>
    <cellStyle name="20% - Accent4 6" xfId="2085"/>
    <cellStyle name="20% - Accent4 6 2" xfId="5884"/>
    <cellStyle name="20% - Accent4 6 2 2" xfId="13407"/>
    <cellStyle name="20% - Accent4 6 2 2 2" xfId="28451"/>
    <cellStyle name="20% - Accent4 6 2 2 3" xfId="43494"/>
    <cellStyle name="20% - Accent4 6 2 3" xfId="20930"/>
    <cellStyle name="20% - Accent4 6 2 4" xfId="35973"/>
    <cellStyle name="20% - Accent4 6 3" xfId="9658"/>
    <cellStyle name="20% - Accent4 6 3 2" xfId="24702"/>
    <cellStyle name="20% - Accent4 6 3 3" xfId="39745"/>
    <cellStyle name="20% - Accent4 6 4" xfId="17181"/>
    <cellStyle name="20% - Accent4 6 5" xfId="32224"/>
    <cellStyle name="20% - Accent4 7" xfId="3979"/>
    <cellStyle name="20% - Accent4 8" xfId="3999"/>
    <cellStyle name="20% - Accent4 8 2" xfId="7752"/>
    <cellStyle name="20% - Accent4 8 2 2" xfId="15275"/>
    <cellStyle name="20% - Accent4 8 2 2 2" xfId="30319"/>
    <cellStyle name="20% - Accent4 8 2 2 3" xfId="45362"/>
    <cellStyle name="20% - Accent4 8 2 3" xfId="22798"/>
    <cellStyle name="20% - Accent4 8 2 4" xfId="37841"/>
    <cellStyle name="20% - Accent4 8 3" xfId="11526"/>
    <cellStyle name="20% - Accent4 8 3 2" xfId="26570"/>
    <cellStyle name="20% - Accent4 8 3 3" xfId="41613"/>
    <cellStyle name="20% - Accent4 8 4" xfId="19049"/>
    <cellStyle name="20% - Accent4 8 5" xfId="34092"/>
    <cellStyle name="20% - Accent4 9" xfId="4012"/>
    <cellStyle name="20% - Accent4 9 2" xfId="11538"/>
    <cellStyle name="20% - Accent4 9 2 2" xfId="26582"/>
    <cellStyle name="20% - Accent4 9 2 3" xfId="41625"/>
    <cellStyle name="20% - Accent4 9 3" xfId="19061"/>
    <cellStyle name="20% - Accent4 9 4" xfId="34104"/>
    <cellStyle name="20% - Accent5" xfId="637" builtinId="46" customBuiltin="1"/>
    <cellStyle name="20% - Accent5 10" xfId="7768"/>
    <cellStyle name="20% - Accent5 10 2" xfId="15291"/>
    <cellStyle name="20% - Accent5 10 2 2" xfId="30335"/>
    <cellStyle name="20% - Accent5 10 2 3" xfId="45378"/>
    <cellStyle name="20% - Accent5 10 3" xfId="22814"/>
    <cellStyle name="20% - Accent5 10 4" xfId="37857"/>
    <cellStyle name="20% - Accent5 11" xfId="8246"/>
    <cellStyle name="20% - Accent5 11 2" xfId="23290"/>
    <cellStyle name="20% - Accent5 11 3" xfId="38333"/>
    <cellStyle name="20% - Accent5 12" xfId="15769"/>
    <cellStyle name="20% - Accent5 13" xfId="30812"/>
    <cellStyle name="20% - Accent5 2" xfId="57"/>
    <cellStyle name="20% - Accent5 3" xfId="58"/>
    <cellStyle name="20% - Accent5 4" xfId="1130"/>
    <cellStyle name="20% - Accent5 4 2" xfId="2067"/>
    <cellStyle name="20% - Accent5 4 2 2" xfId="3938"/>
    <cellStyle name="20% - Accent5 4 2 2 2" xfId="7733"/>
    <cellStyle name="20% - Accent5 4 2 2 2 2" xfId="15256"/>
    <cellStyle name="20% - Accent5 4 2 2 2 2 2" xfId="30300"/>
    <cellStyle name="20% - Accent5 4 2 2 2 2 3" xfId="45343"/>
    <cellStyle name="20% - Accent5 4 2 2 2 3" xfId="22779"/>
    <cellStyle name="20% - Accent5 4 2 2 2 4" xfId="37822"/>
    <cellStyle name="20% - Accent5 4 2 2 3" xfId="11507"/>
    <cellStyle name="20% - Accent5 4 2 2 3 2" xfId="26551"/>
    <cellStyle name="20% - Accent5 4 2 2 3 3" xfId="41594"/>
    <cellStyle name="20% - Accent5 4 2 2 4" xfId="19030"/>
    <cellStyle name="20% - Accent5 4 2 2 5" xfId="34073"/>
    <cellStyle name="20% - Accent5 4 2 3" xfId="5868"/>
    <cellStyle name="20% - Accent5 4 2 3 2" xfId="13391"/>
    <cellStyle name="20% - Accent5 4 2 3 2 2" xfId="28435"/>
    <cellStyle name="20% - Accent5 4 2 3 2 3" xfId="43478"/>
    <cellStyle name="20% - Accent5 4 2 3 3" xfId="20914"/>
    <cellStyle name="20% - Accent5 4 2 3 4" xfId="35957"/>
    <cellStyle name="20% - Accent5 4 2 4" xfId="9642"/>
    <cellStyle name="20% - Accent5 4 2 4 2" xfId="24686"/>
    <cellStyle name="20% - Accent5 4 2 4 3" xfId="39729"/>
    <cellStyle name="20% - Accent5 4 2 5" xfId="17165"/>
    <cellStyle name="20% - Accent5 4 2 6" xfId="32208"/>
    <cellStyle name="20% - Accent5 4 3" xfId="3006"/>
    <cellStyle name="20% - Accent5 4 3 2" xfId="6801"/>
    <cellStyle name="20% - Accent5 4 3 2 2" xfId="14324"/>
    <cellStyle name="20% - Accent5 4 3 2 2 2" xfId="29368"/>
    <cellStyle name="20% - Accent5 4 3 2 2 3" xfId="44411"/>
    <cellStyle name="20% - Accent5 4 3 2 3" xfId="21847"/>
    <cellStyle name="20% - Accent5 4 3 2 4" xfId="36890"/>
    <cellStyle name="20% - Accent5 4 3 3" xfId="10575"/>
    <cellStyle name="20% - Accent5 4 3 3 2" xfId="25619"/>
    <cellStyle name="20% - Accent5 4 3 3 3" xfId="40662"/>
    <cellStyle name="20% - Accent5 4 3 4" xfId="18098"/>
    <cellStyle name="20% - Accent5 4 3 5" xfId="33141"/>
    <cellStyle name="20% - Accent5 4 4" xfId="4936"/>
    <cellStyle name="20% - Accent5 4 4 2" xfId="12459"/>
    <cellStyle name="20% - Accent5 4 4 2 2" xfId="27503"/>
    <cellStyle name="20% - Accent5 4 4 2 3" xfId="42546"/>
    <cellStyle name="20% - Accent5 4 4 3" xfId="19982"/>
    <cellStyle name="20% - Accent5 4 4 4" xfId="35025"/>
    <cellStyle name="20% - Accent5 4 5" xfId="8710"/>
    <cellStyle name="20% - Accent5 4 5 2" xfId="23754"/>
    <cellStyle name="20% - Accent5 4 5 3" xfId="38797"/>
    <cellStyle name="20% - Accent5 4 6" xfId="16233"/>
    <cellStyle name="20% - Accent5 4 7" xfId="31276"/>
    <cellStyle name="20% - Accent5 5" xfId="1153"/>
    <cellStyle name="20% - Accent5 5 2" xfId="3024"/>
    <cellStyle name="20% - Accent5 5 2 2" xfId="6819"/>
    <cellStyle name="20% - Accent5 5 2 2 2" xfId="14342"/>
    <cellStyle name="20% - Accent5 5 2 2 2 2" xfId="29386"/>
    <cellStyle name="20% - Accent5 5 2 2 2 3" xfId="44429"/>
    <cellStyle name="20% - Accent5 5 2 2 3" xfId="21865"/>
    <cellStyle name="20% - Accent5 5 2 2 4" xfId="36908"/>
    <cellStyle name="20% - Accent5 5 2 3" xfId="10593"/>
    <cellStyle name="20% - Accent5 5 2 3 2" xfId="25637"/>
    <cellStyle name="20% - Accent5 5 2 3 3" xfId="40680"/>
    <cellStyle name="20% - Accent5 5 2 4" xfId="18116"/>
    <cellStyle name="20% - Accent5 5 2 5" xfId="33159"/>
    <cellStyle name="20% - Accent5 5 3" xfId="4954"/>
    <cellStyle name="20% - Accent5 5 3 2" xfId="12477"/>
    <cellStyle name="20% - Accent5 5 3 2 2" xfId="27521"/>
    <cellStyle name="20% - Accent5 5 3 2 3" xfId="42564"/>
    <cellStyle name="20% - Accent5 5 3 3" xfId="20000"/>
    <cellStyle name="20% - Accent5 5 3 4" xfId="35043"/>
    <cellStyle name="20% - Accent5 5 4" xfId="8728"/>
    <cellStyle name="20% - Accent5 5 4 2" xfId="23772"/>
    <cellStyle name="20% - Accent5 5 4 3" xfId="38815"/>
    <cellStyle name="20% - Accent5 5 5" xfId="16251"/>
    <cellStyle name="20% - Accent5 5 6" xfId="31294"/>
    <cellStyle name="20% - Accent5 6" xfId="2087"/>
    <cellStyle name="20% - Accent5 6 2" xfId="5886"/>
    <cellStyle name="20% - Accent5 6 2 2" xfId="13409"/>
    <cellStyle name="20% - Accent5 6 2 2 2" xfId="28453"/>
    <cellStyle name="20% - Accent5 6 2 2 3" xfId="43496"/>
    <cellStyle name="20% - Accent5 6 2 3" xfId="20932"/>
    <cellStyle name="20% - Accent5 6 2 4" xfId="35975"/>
    <cellStyle name="20% - Accent5 6 3" xfId="9660"/>
    <cellStyle name="20% - Accent5 6 3 2" xfId="24704"/>
    <cellStyle name="20% - Accent5 6 3 3" xfId="39747"/>
    <cellStyle name="20% - Accent5 6 4" xfId="17183"/>
    <cellStyle name="20% - Accent5 6 5" xfId="32226"/>
    <cellStyle name="20% - Accent5 7" xfId="3983"/>
    <cellStyle name="20% - Accent5 8" xfId="4001"/>
    <cellStyle name="20% - Accent5 8 2" xfId="7754"/>
    <cellStyle name="20% - Accent5 8 2 2" xfId="15277"/>
    <cellStyle name="20% - Accent5 8 2 2 2" xfId="30321"/>
    <cellStyle name="20% - Accent5 8 2 2 3" xfId="45364"/>
    <cellStyle name="20% - Accent5 8 2 3" xfId="22800"/>
    <cellStyle name="20% - Accent5 8 2 4" xfId="37843"/>
    <cellStyle name="20% - Accent5 8 3" xfId="11528"/>
    <cellStyle name="20% - Accent5 8 3 2" xfId="26572"/>
    <cellStyle name="20% - Accent5 8 3 3" xfId="41615"/>
    <cellStyle name="20% - Accent5 8 4" xfId="19051"/>
    <cellStyle name="20% - Accent5 8 5" xfId="34094"/>
    <cellStyle name="20% - Accent5 9" xfId="4014"/>
    <cellStyle name="20% - Accent5 9 2" xfId="11540"/>
    <cellStyle name="20% - Accent5 9 2 2" xfId="26584"/>
    <cellStyle name="20% - Accent5 9 2 3" xfId="41627"/>
    <cellStyle name="20% - Accent5 9 3" xfId="19063"/>
    <cellStyle name="20% - Accent5 9 4" xfId="34106"/>
    <cellStyle name="20% - Accent6" xfId="641" builtinId="50" customBuiltin="1"/>
    <cellStyle name="20% - Accent6 10" xfId="7770"/>
    <cellStyle name="20% - Accent6 10 2" xfId="15293"/>
    <cellStyle name="20% - Accent6 10 2 2" xfId="30337"/>
    <cellStyle name="20% - Accent6 10 2 3" xfId="45380"/>
    <cellStyle name="20% - Accent6 10 3" xfId="22816"/>
    <cellStyle name="20% - Accent6 10 4" xfId="37859"/>
    <cellStyle name="20% - Accent6 11" xfId="8248"/>
    <cellStyle name="20% - Accent6 11 2" xfId="23292"/>
    <cellStyle name="20% - Accent6 11 3" xfId="38335"/>
    <cellStyle name="20% - Accent6 12" xfId="15771"/>
    <cellStyle name="20% - Accent6 13" xfId="30814"/>
    <cellStyle name="20% - Accent6 2" xfId="59"/>
    <cellStyle name="20% - Accent6 3" xfId="60"/>
    <cellStyle name="20% - Accent6 4" xfId="1134"/>
    <cellStyle name="20% - Accent6 4 2" xfId="2069"/>
    <cellStyle name="20% - Accent6 4 2 2" xfId="3940"/>
    <cellStyle name="20% - Accent6 4 2 2 2" xfId="7735"/>
    <cellStyle name="20% - Accent6 4 2 2 2 2" xfId="15258"/>
    <cellStyle name="20% - Accent6 4 2 2 2 2 2" xfId="30302"/>
    <cellStyle name="20% - Accent6 4 2 2 2 2 3" xfId="45345"/>
    <cellStyle name="20% - Accent6 4 2 2 2 3" xfId="22781"/>
    <cellStyle name="20% - Accent6 4 2 2 2 4" xfId="37824"/>
    <cellStyle name="20% - Accent6 4 2 2 3" xfId="11509"/>
    <cellStyle name="20% - Accent6 4 2 2 3 2" xfId="26553"/>
    <cellStyle name="20% - Accent6 4 2 2 3 3" xfId="41596"/>
    <cellStyle name="20% - Accent6 4 2 2 4" xfId="19032"/>
    <cellStyle name="20% - Accent6 4 2 2 5" xfId="34075"/>
    <cellStyle name="20% - Accent6 4 2 3" xfId="5870"/>
    <cellStyle name="20% - Accent6 4 2 3 2" xfId="13393"/>
    <cellStyle name="20% - Accent6 4 2 3 2 2" xfId="28437"/>
    <cellStyle name="20% - Accent6 4 2 3 2 3" xfId="43480"/>
    <cellStyle name="20% - Accent6 4 2 3 3" xfId="20916"/>
    <cellStyle name="20% - Accent6 4 2 3 4" xfId="35959"/>
    <cellStyle name="20% - Accent6 4 2 4" xfId="9644"/>
    <cellStyle name="20% - Accent6 4 2 4 2" xfId="24688"/>
    <cellStyle name="20% - Accent6 4 2 4 3" xfId="39731"/>
    <cellStyle name="20% - Accent6 4 2 5" xfId="17167"/>
    <cellStyle name="20% - Accent6 4 2 6" xfId="32210"/>
    <cellStyle name="20% - Accent6 4 3" xfId="3008"/>
    <cellStyle name="20% - Accent6 4 3 2" xfId="6803"/>
    <cellStyle name="20% - Accent6 4 3 2 2" xfId="14326"/>
    <cellStyle name="20% - Accent6 4 3 2 2 2" xfId="29370"/>
    <cellStyle name="20% - Accent6 4 3 2 2 3" xfId="44413"/>
    <cellStyle name="20% - Accent6 4 3 2 3" xfId="21849"/>
    <cellStyle name="20% - Accent6 4 3 2 4" xfId="36892"/>
    <cellStyle name="20% - Accent6 4 3 3" xfId="10577"/>
    <cellStyle name="20% - Accent6 4 3 3 2" xfId="25621"/>
    <cellStyle name="20% - Accent6 4 3 3 3" xfId="40664"/>
    <cellStyle name="20% - Accent6 4 3 4" xfId="18100"/>
    <cellStyle name="20% - Accent6 4 3 5" xfId="33143"/>
    <cellStyle name="20% - Accent6 4 4" xfId="4938"/>
    <cellStyle name="20% - Accent6 4 4 2" xfId="12461"/>
    <cellStyle name="20% - Accent6 4 4 2 2" xfId="27505"/>
    <cellStyle name="20% - Accent6 4 4 2 3" xfId="42548"/>
    <cellStyle name="20% - Accent6 4 4 3" xfId="19984"/>
    <cellStyle name="20% - Accent6 4 4 4" xfId="35027"/>
    <cellStyle name="20% - Accent6 4 5" xfId="8712"/>
    <cellStyle name="20% - Accent6 4 5 2" xfId="23756"/>
    <cellStyle name="20% - Accent6 4 5 3" xfId="38799"/>
    <cellStyle name="20% - Accent6 4 6" xfId="16235"/>
    <cellStyle name="20% - Accent6 4 7" xfId="31278"/>
    <cellStyle name="20% - Accent6 5" xfId="1155"/>
    <cellStyle name="20% - Accent6 5 2" xfId="3026"/>
    <cellStyle name="20% - Accent6 5 2 2" xfId="6821"/>
    <cellStyle name="20% - Accent6 5 2 2 2" xfId="14344"/>
    <cellStyle name="20% - Accent6 5 2 2 2 2" xfId="29388"/>
    <cellStyle name="20% - Accent6 5 2 2 2 3" xfId="44431"/>
    <cellStyle name="20% - Accent6 5 2 2 3" xfId="21867"/>
    <cellStyle name="20% - Accent6 5 2 2 4" xfId="36910"/>
    <cellStyle name="20% - Accent6 5 2 3" xfId="10595"/>
    <cellStyle name="20% - Accent6 5 2 3 2" xfId="25639"/>
    <cellStyle name="20% - Accent6 5 2 3 3" xfId="40682"/>
    <cellStyle name="20% - Accent6 5 2 4" xfId="18118"/>
    <cellStyle name="20% - Accent6 5 2 5" xfId="33161"/>
    <cellStyle name="20% - Accent6 5 3" xfId="4956"/>
    <cellStyle name="20% - Accent6 5 3 2" xfId="12479"/>
    <cellStyle name="20% - Accent6 5 3 2 2" xfId="27523"/>
    <cellStyle name="20% - Accent6 5 3 2 3" xfId="42566"/>
    <cellStyle name="20% - Accent6 5 3 3" xfId="20002"/>
    <cellStyle name="20% - Accent6 5 3 4" xfId="35045"/>
    <cellStyle name="20% - Accent6 5 4" xfId="8730"/>
    <cellStyle name="20% - Accent6 5 4 2" xfId="23774"/>
    <cellStyle name="20% - Accent6 5 4 3" xfId="38817"/>
    <cellStyle name="20% - Accent6 5 5" xfId="16253"/>
    <cellStyle name="20% - Accent6 5 6" xfId="31296"/>
    <cellStyle name="20% - Accent6 6" xfId="2089"/>
    <cellStyle name="20% - Accent6 6 2" xfId="5888"/>
    <cellStyle name="20% - Accent6 6 2 2" xfId="13411"/>
    <cellStyle name="20% - Accent6 6 2 2 2" xfId="28455"/>
    <cellStyle name="20% - Accent6 6 2 2 3" xfId="43498"/>
    <cellStyle name="20% - Accent6 6 2 3" xfId="20934"/>
    <cellStyle name="20% - Accent6 6 2 4" xfId="35977"/>
    <cellStyle name="20% - Accent6 6 3" xfId="9662"/>
    <cellStyle name="20% - Accent6 6 3 2" xfId="24706"/>
    <cellStyle name="20% - Accent6 6 3 3" xfId="39749"/>
    <cellStyle name="20% - Accent6 6 4" xfId="17185"/>
    <cellStyle name="20% - Accent6 6 5" xfId="32228"/>
    <cellStyle name="20% - Accent6 7" xfId="3987"/>
    <cellStyle name="20% - Accent6 8" xfId="4003"/>
    <cellStyle name="20% - Accent6 8 2" xfId="7756"/>
    <cellStyle name="20% - Accent6 8 2 2" xfId="15279"/>
    <cellStyle name="20% - Accent6 8 2 2 2" xfId="30323"/>
    <cellStyle name="20% - Accent6 8 2 2 3" xfId="45366"/>
    <cellStyle name="20% - Accent6 8 2 3" xfId="22802"/>
    <cellStyle name="20% - Accent6 8 2 4" xfId="37845"/>
    <cellStyle name="20% - Accent6 8 3" xfId="11530"/>
    <cellStyle name="20% - Accent6 8 3 2" xfId="26574"/>
    <cellStyle name="20% - Accent6 8 3 3" xfId="41617"/>
    <cellStyle name="20% - Accent6 8 4" xfId="19053"/>
    <cellStyle name="20% - Accent6 8 5" xfId="34096"/>
    <cellStyle name="20% - Accent6 9" xfId="4016"/>
    <cellStyle name="20% - Accent6 9 2" xfId="11542"/>
    <cellStyle name="20% - Accent6 9 2 2" xfId="26586"/>
    <cellStyle name="20% - Accent6 9 2 3" xfId="41629"/>
    <cellStyle name="20% - Accent6 9 3" xfId="19065"/>
    <cellStyle name="20% - Accent6 9 4" xfId="34108"/>
    <cellStyle name="20% - akcent 1" xfId="61"/>
    <cellStyle name="20% - akcent 2" xfId="62"/>
    <cellStyle name="20% - akcent 3" xfId="63"/>
    <cellStyle name="20% - akcent 4" xfId="64"/>
    <cellStyle name="20% - akcent 5" xfId="65"/>
    <cellStyle name="20% - akcent 6" xfId="66"/>
    <cellStyle name="40% - Accent1" xfId="622" builtinId="31" customBuiltin="1"/>
    <cellStyle name="40% - Accent1 10" xfId="7761"/>
    <cellStyle name="40% - Accent1 10 2" xfId="15284"/>
    <cellStyle name="40% - Accent1 10 2 2" xfId="30328"/>
    <cellStyle name="40% - Accent1 10 2 3" xfId="45371"/>
    <cellStyle name="40% - Accent1 10 3" xfId="22807"/>
    <cellStyle name="40% - Accent1 10 4" xfId="37850"/>
    <cellStyle name="40% - Accent1 11" xfId="8239"/>
    <cellStyle name="40% - Accent1 11 2" xfId="23283"/>
    <cellStyle name="40% - Accent1 11 3" xfId="38326"/>
    <cellStyle name="40% - Accent1 12" xfId="15762"/>
    <cellStyle name="40% - Accent1 13" xfId="30805"/>
    <cellStyle name="40% - Accent1 2" xfId="67"/>
    <cellStyle name="40% - Accent1 3" xfId="68"/>
    <cellStyle name="40% - Accent1 4" xfId="1115"/>
    <cellStyle name="40% - Accent1 4 2" xfId="2060"/>
    <cellStyle name="40% - Accent1 4 2 2" xfId="3931"/>
    <cellStyle name="40% - Accent1 4 2 2 2" xfId="7726"/>
    <cellStyle name="40% - Accent1 4 2 2 2 2" xfId="15249"/>
    <cellStyle name="40% - Accent1 4 2 2 2 2 2" xfId="30293"/>
    <cellStyle name="40% - Accent1 4 2 2 2 2 3" xfId="45336"/>
    <cellStyle name="40% - Accent1 4 2 2 2 3" xfId="22772"/>
    <cellStyle name="40% - Accent1 4 2 2 2 4" xfId="37815"/>
    <cellStyle name="40% - Accent1 4 2 2 3" xfId="11500"/>
    <cellStyle name="40% - Accent1 4 2 2 3 2" xfId="26544"/>
    <cellStyle name="40% - Accent1 4 2 2 3 3" xfId="41587"/>
    <cellStyle name="40% - Accent1 4 2 2 4" xfId="19023"/>
    <cellStyle name="40% - Accent1 4 2 2 5" xfId="34066"/>
    <cellStyle name="40% - Accent1 4 2 3" xfId="5861"/>
    <cellStyle name="40% - Accent1 4 2 3 2" xfId="13384"/>
    <cellStyle name="40% - Accent1 4 2 3 2 2" xfId="28428"/>
    <cellStyle name="40% - Accent1 4 2 3 2 3" xfId="43471"/>
    <cellStyle name="40% - Accent1 4 2 3 3" xfId="20907"/>
    <cellStyle name="40% - Accent1 4 2 3 4" xfId="35950"/>
    <cellStyle name="40% - Accent1 4 2 4" xfId="9635"/>
    <cellStyle name="40% - Accent1 4 2 4 2" xfId="24679"/>
    <cellStyle name="40% - Accent1 4 2 4 3" xfId="39722"/>
    <cellStyle name="40% - Accent1 4 2 5" xfId="17158"/>
    <cellStyle name="40% - Accent1 4 2 6" xfId="32201"/>
    <cellStyle name="40% - Accent1 4 3" xfId="2999"/>
    <cellStyle name="40% - Accent1 4 3 2" xfId="6794"/>
    <cellStyle name="40% - Accent1 4 3 2 2" xfId="14317"/>
    <cellStyle name="40% - Accent1 4 3 2 2 2" xfId="29361"/>
    <cellStyle name="40% - Accent1 4 3 2 2 3" xfId="44404"/>
    <cellStyle name="40% - Accent1 4 3 2 3" xfId="21840"/>
    <cellStyle name="40% - Accent1 4 3 2 4" xfId="36883"/>
    <cellStyle name="40% - Accent1 4 3 3" xfId="10568"/>
    <cellStyle name="40% - Accent1 4 3 3 2" xfId="25612"/>
    <cellStyle name="40% - Accent1 4 3 3 3" xfId="40655"/>
    <cellStyle name="40% - Accent1 4 3 4" xfId="18091"/>
    <cellStyle name="40% - Accent1 4 3 5" xfId="33134"/>
    <cellStyle name="40% - Accent1 4 4" xfId="4929"/>
    <cellStyle name="40% - Accent1 4 4 2" xfId="12452"/>
    <cellStyle name="40% - Accent1 4 4 2 2" xfId="27496"/>
    <cellStyle name="40% - Accent1 4 4 2 3" xfId="42539"/>
    <cellStyle name="40% - Accent1 4 4 3" xfId="19975"/>
    <cellStyle name="40% - Accent1 4 4 4" xfId="35018"/>
    <cellStyle name="40% - Accent1 4 5" xfId="8703"/>
    <cellStyle name="40% - Accent1 4 5 2" xfId="23747"/>
    <cellStyle name="40% - Accent1 4 5 3" xfId="38790"/>
    <cellStyle name="40% - Accent1 4 6" xfId="16226"/>
    <cellStyle name="40% - Accent1 4 7" xfId="31269"/>
    <cellStyle name="40% - Accent1 5" xfId="1146"/>
    <cellStyle name="40% - Accent1 5 2" xfId="3017"/>
    <cellStyle name="40% - Accent1 5 2 2" xfId="6812"/>
    <cellStyle name="40% - Accent1 5 2 2 2" xfId="14335"/>
    <cellStyle name="40% - Accent1 5 2 2 2 2" xfId="29379"/>
    <cellStyle name="40% - Accent1 5 2 2 2 3" xfId="44422"/>
    <cellStyle name="40% - Accent1 5 2 2 3" xfId="21858"/>
    <cellStyle name="40% - Accent1 5 2 2 4" xfId="36901"/>
    <cellStyle name="40% - Accent1 5 2 3" xfId="10586"/>
    <cellStyle name="40% - Accent1 5 2 3 2" xfId="25630"/>
    <cellStyle name="40% - Accent1 5 2 3 3" xfId="40673"/>
    <cellStyle name="40% - Accent1 5 2 4" xfId="18109"/>
    <cellStyle name="40% - Accent1 5 2 5" xfId="33152"/>
    <cellStyle name="40% - Accent1 5 3" xfId="4947"/>
    <cellStyle name="40% - Accent1 5 3 2" xfId="12470"/>
    <cellStyle name="40% - Accent1 5 3 2 2" xfId="27514"/>
    <cellStyle name="40% - Accent1 5 3 2 3" xfId="42557"/>
    <cellStyle name="40% - Accent1 5 3 3" xfId="19993"/>
    <cellStyle name="40% - Accent1 5 3 4" xfId="35036"/>
    <cellStyle name="40% - Accent1 5 4" xfId="8721"/>
    <cellStyle name="40% - Accent1 5 4 2" xfId="23765"/>
    <cellStyle name="40% - Accent1 5 4 3" xfId="38808"/>
    <cellStyle name="40% - Accent1 5 5" xfId="16244"/>
    <cellStyle name="40% - Accent1 5 6" xfId="31287"/>
    <cellStyle name="40% - Accent1 6" xfId="2080"/>
    <cellStyle name="40% - Accent1 6 2" xfId="5879"/>
    <cellStyle name="40% - Accent1 6 2 2" xfId="13402"/>
    <cellStyle name="40% - Accent1 6 2 2 2" xfId="28446"/>
    <cellStyle name="40% - Accent1 6 2 2 3" xfId="43489"/>
    <cellStyle name="40% - Accent1 6 2 3" xfId="20925"/>
    <cellStyle name="40% - Accent1 6 2 4" xfId="35968"/>
    <cellStyle name="40% - Accent1 6 3" xfId="9653"/>
    <cellStyle name="40% - Accent1 6 3 2" xfId="24697"/>
    <cellStyle name="40% - Accent1 6 3 3" xfId="39740"/>
    <cellStyle name="40% - Accent1 6 4" xfId="17176"/>
    <cellStyle name="40% - Accent1 6 5" xfId="32219"/>
    <cellStyle name="40% - Accent1 7" xfId="3968"/>
    <cellStyle name="40% - Accent1 8" xfId="3994"/>
    <cellStyle name="40% - Accent1 8 2" xfId="7747"/>
    <cellStyle name="40% - Accent1 8 2 2" xfId="15270"/>
    <cellStyle name="40% - Accent1 8 2 2 2" xfId="30314"/>
    <cellStyle name="40% - Accent1 8 2 2 3" xfId="45357"/>
    <cellStyle name="40% - Accent1 8 2 3" xfId="22793"/>
    <cellStyle name="40% - Accent1 8 2 4" xfId="37836"/>
    <cellStyle name="40% - Accent1 8 3" xfId="11521"/>
    <cellStyle name="40% - Accent1 8 3 2" xfId="26565"/>
    <cellStyle name="40% - Accent1 8 3 3" xfId="41608"/>
    <cellStyle name="40% - Accent1 8 4" xfId="19044"/>
    <cellStyle name="40% - Accent1 8 5" xfId="34087"/>
    <cellStyle name="40% - Accent1 9" xfId="4007"/>
    <cellStyle name="40% - Accent1 9 2" xfId="11533"/>
    <cellStyle name="40% - Accent1 9 2 2" xfId="26577"/>
    <cellStyle name="40% - Accent1 9 2 3" xfId="41620"/>
    <cellStyle name="40% - Accent1 9 3" xfId="19056"/>
    <cellStyle name="40% - Accent1 9 4" xfId="34099"/>
    <cellStyle name="40% - Accent2" xfId="626" builtinId="35" customBuiltin="1"/>
    <cellStyle name="40% - Accent2 10" xfId="7763"/>
    <cellStyle name="40% - Accent2 10 2" xfId="15286"/>
    <cellStyle name="40% - Accent2 10 2 2" xfId="30330"/>
    <cellStyle name="40% - Accent2 10 2 3" xfId="45373"/>
    <cellStyle name="40% - Accent2 10 3" xfId="22809"/>
    <cellStyle name="40% - Accent2 10 4" xfId="37852"/>
    <cellStyle name="40% - Accent2 11" xfId="8241"/>
    <cellStyle name="40% - Accent2 11 2" xfId="23285"/>
    <cellStyle name="40% - Accent2 11 3" xfId="38328"/>
    <cellStyle name="40% - Accent2 12" xfId="15764"/>
    <cellStyle name="40% - Accent2 13" xfId="30807"/>
    <cellStyle name="40% - Accent2 2" xfId="69"/>
    <cellStyle name="40% - Accent2 3" xfId="70"/>
    <cellStyle name="40% - Accent2 4" xfId="1119"/>
    <cellStyle name="40% - Accent2 4 2" xfId="2062"/>
    <cellStyle name="40% - Accent2 4 2 2" xfId="3933"/>
    <cellStyle name="40% - Accent2 4 2 2 2" xfId="7728"/>
    <cellStyle name="40% - Accent2 4 2 2 2 2" xfId="15251"/>
    <cellStyle name="40% - Accent2 4 2 2 2 2 2" xfId="30295"/>
    <cellStyle name="40% - Accent2 4 2 2 2 2 3" xfId="45338"/>
    <cellStyle name="40% - Accent2 4 2 2 2 3" xfId="22774"/>
    <cellStyle name="40% - Accent2 4 2 2 2 4" xfId="37817"/>
    <cellStyle name="40% - Accent2 4 2 2 3" xfId="11502"/>
    <cellStyle name="40% - Accent2 4 2 2 3 2" xfId="26546"/>
    <cellStyle name="40% - Accent2 4 2 2 3 3" xfId="41589"/>
    <cellStyle name="40% - Accent2 4 2 2 4" xfId="19025"/>
    <cellStyle name="40% - Accent2 4 2 2 5" xfId="34068"/>
    <cellStyle name="40% - Accent2 4 2 3" xfId="5863"/>
    <cellStyle name="40% - Accent2 4 2 3 2" xfId="13386"/>
    <cellStyle name="40% - Accent2 4 2 3 2 2" xfId="28430"/>
    <cellStyle name="40% - Accent2 4 2 3 2 3" xfId="43473"/>
    <cellStyle name="40% - Accent2 4 2 3 3" xfId="20909"/>
    <cellStyle name="40% - Accent2 4 2 3 4" xfId="35952"/>
    <cellStyle name="40% - Accent2 4 2 4" xfId="9637"/>
    <cellStyle name="40% - Accent2 4 2 4 2" xfId="24681"/>
    <cellStyle name="40% - Accent2 4 2 4 3" xfId="39724"/>
    <cellStyle name="40% - Accent2 4 2 5" xfId="17160"/>
    <cellStyle name="40% - Accent2 4 2 6" xfId="32203"/>
    <cellStyle name="40% - Accent2 4 3" xfId="3001"/>
    <cellStyle name="40% - Accent2 4 3 2" xfId="6796"/>
    <cellStyle name="40% - Accent2 4 3 2 2" xfId="14319"/>
    <cellStyle name="40% - Accent2 4 3 2 2 2" xfId="29363"/>
    <cellStyle name="40% - Accent2 4 3 2 2 3" xfId="44406"/>
    <cellStyle name="40% - Accent2 4 3 2 3" xfId="21842"/>
    <cellStyle name="40% - Accent2 4 3 2 4" xfId="36885"/>
    <cellStyle name="40% - Accent2 4 3 3" xfId="10570"/>
    <cellStyle name="40% - Accent2 4 3 3 2" xfId="25614"/>
    <cellStyle name="40% - Accent2 4 3 3 3" xfId="40657"/>
    <cellStyle name="40% - Accent2 4 3 4" xfId="18093"/>
    <cellStyle name="40% - Accent2 4 3 5" xfId="33136"/>
    <cellStyle name="40% - Accent2 4 4" xfId="4931"/>
    <cellStyle name="40% - Accent2 4 4 2" xfId="12454"/>
    <cellStyle name="40% - Accent2 4 4 2 2" xfId="27498"/>
    <cellStyle name="40% - Accent2 4 4 2 3" xfId="42541"/>
    <cellStyle name="40% - Accent2 4 4 3" xfId="19977"/>
    <cellStyle name="40% - Accent2 4 4 4" xfId="35020"/>
    <cellStyle name="40% - Accent2 4 5" xfId="8705"/>
    <cellStyle name="40% - Accent2 4 5 2" xfId="23749"/>
    <cellStyle name="40% - Accent2 4 5 3" xfId="38792"/>
    <cellStyle name="40% - Accent2 4 6" xfId="16228"/>
    <cellStyle name="40% - Accent2 4 7" xfId="31271"/>
    <cellStyle name="40% - Accent2 5" xfId="1148"/>
    <cellStyle name="40% - Accent2 5 2" xfId="3019"/>
    <cellStyle name="40% - Accent2 5 2 2" xfId="6814"/>
    <cellStyle name="40% - Accent2 5 2 2 2" xfId="14337"/>
    <cellStyle name="40% - Accent2 5 2 2 2 2" xfId="29381"/>
    <cellStyle name="40% - Accent2 5 2 2 2 3" xfId="44424"/>
    <cellStyle name="40% - Accent2 5 2 2 3" xfId="21860"/>
    <cellStyle name="40% - Accent2 5 2 2 4" xfId="36903"/>
    <cellStyle name="40% - Accent2 5 2 3" xfId="10588"/>
    <cellStyle name="40% - Accent2 5 2 3 2" xfId="25632"/>
    <cellStyle name="40% - Accent2 5 2 3 3" xfId="40675"/>
    <cellStyle name="40% - Accent2 5 2 4" xfId="18111"/>
    <cellStyle name="40% - Accent2 5 2 5" xfId="33154"/>
    <cellStyle name="40% - Accent2 5 3" xfId="4949"/>
    <cellStyle name="40% - Accent2 5 3 2" xfId="12472"/>
    <cellStyle name="40% - Accent2 5 3 2 2" xfId="27516"/>
    <cellStyle name="40% - Accent2 5 3 2 3" xfId="42559"/>
    <cellStyle name="40% - Accent2 5 3 3" xfId="19995"/>
    <cellStyle name="40% - Accent2 5 3 4" xfId="35038"/>
    <cellStyle name="40% - Accent2 5 4" xfId="8723"/>
    <cellStyle name="40% - Accent2 5 4 2" xfId="23767"/>
    <cellStyle name="40% - Accent2 5 4 3" xfId="38810"/>
    <cellStyle name="40% - Accent2 5 5" xfId="16246"/>
    <cellStyle name="40% - Accent2 5 6" xfId="31289"/>
    <cellStyle name="40% - Accent2 6" xfId="2082"/>
    <cellStyle name="40% - Accent2 6 2" xfId="5881"/>
    <cellStyle name="40% - Accent2 6 2 2" xfId="13404"/>
    <cellStyle name="40% - Accent2 6 2 2 2" xfId="28448"/>
    <cellStyle name="40% - Accent2 6 2 2 3" xfId="43491"/>
    <cellStyle name="40% - Accent2 6 2 3" xfId="20927"/>
    <cellStyle name="40% - Accent2 6 2 4" xfId="35970"/>
    <cellStyle name="40% - Accent2 6 3" xfId="9655"/>
    <cellStyle name="40% - Accent2 6 3 2" xfId="24699"/>
    <cellStyle name="40% - Accent2 6 3 3" xfId="39742"/>
    <cellStyle name="40% - Accent2 6 4" xfId="17178"/>
    <cellStyle name="40% - Accent2 6 5" xfId="32221"/>
    <cellStyle name="40% - Accent2 7" xfId="3972"/>
    <cellStyle name="40% - Accent2 8" xfId="3996"/>
    <cellStyle name="40% - Accent2 8 2" xfId="7749"/>
    <cellStyle name="40% - Accent2 8 2 2" xfId="15272"/>
    <cellStyle name="40% - Accent2 8 2 2 2" xfId="30316"/>
    <cellStyle name="40% - Accent2 8 2 2 3" xfId="45359"/>
    <cellStyle name="40% - Accent2 8 2 3" xfId="22795"/>
    <cellStyle name="40% - Accent2 8 2 4" xfId="37838"/>
    <cellStyle name="40% - Accent2 8 3" xfId="11523"/>
    <cellStyle name="40% - Accent2 8 3 2" xfId="26567"/>
    <cellStyle name="40% - Accent2 8 3 3" xfId="41610"/>
    <cellStyle name="40% - Accent2 8 4" xfId="19046"/>
    <cellStyle name="40% - Accent2 8 5" xfId="34089"/>
    <cellStyle name="40% - Accent2 9" xfId="4009"/>
    <cellStyle name="40% - Accent2 9 2" xfId="11535"/>
    <cellStyle name="40% - Accent2 9 2 2" xfId="26579"/>
    <cellStyle name="40% - Accent2 9 2 3" xfId="41622"/>
    <cellStyle name="40% - Accent2 9 3" xfId="19058"/>
    <cellStyle name="40% - Accent2 9 4" xfId="34101"/>
    <cellStyle name="40% - Accent3" xfId="630" builtinId="39" customBuiltin="1"/>
    <cellStyle name="40% - Accent3 10" xfId="7765"/>
    <cellStyle name="40% - Accent3 10 2" xfId="15288"/>
    <cellStyle name="40% - Accent3 10 2 2" xfId="30332"/>
    <cellStyle name="40% - Accent3 10 2 3" xfId="45375"/>
    <cellStyle name="40% - Accent3 10 3" xfId="22811"/>
    <cellStyle name="40% - Accent3 10 4" xfId="37854"/>
    <cellStyle name="40% - Accent3 11" xfId="8243"/>
    <cellStyle name="40% - Accent3 11 2" xfId="23287"/>
    <cellStyle name="40% - Accent3 11 3" xfId="38330"/>
    <cellStyle name="40% - Accent3 12" xfId="15766"/>
    <cellStyle name="40% - Accent3 13" xfId="30809"/>
    <cellStyle name="40% - Accent3 2" xfId="71"/>
    <cellStyle name="40% - Accent3 3" xfId="72"/>
    <cellStyle name="40% - Accent3 4" xfId="1123"/>
    <cellStyle name="40% - Accent3 4 2" xfId="2064"/>
    <cellStyle name="40% - Accent3 4 2 2" xfId="3935"/>
    <cellStyle name="40% - Accent3 4 2 2 2" xfId="7730"/>
    <cellStyle name="40% - Accent3 4 2 2 2 2" xfId="15253"/>
    <cellStyle name="40% - Accent3 4 2 2 2 2 2" xfId="30297"/>
    <cellStyle name="40% - Accent3 4 2 2 2 2 3" xfId="45340"/>
    <cellStyle name="40% - Accent3 4 2 2 2 3" xfId="22776"/>
    <cellStyle name="40% - Accent3 4 2 2 2 4" xfId="37819"/>
    <cellStyle name="40% - Accent3 4 2 2 3" xfId="11504"/>
    <cellStyle name="40% - Accent3 4 2 2 3 2" xfId="26548"/>
    <cellStyle name="40% - Accent3 4 2 2 3 3" xfId="41591"/>
    <cellStyle name="40% - Accent3 4 2 2 4" xfId="19027"/>
    <cellStyle name="40% - Accent3 4 2 2 5" xfId="34070"/>
    <cellStyle name="40% - Accent3 4 2 3" xfId="5865"/>
    <cellStyle name="40% - Accent3 4 2 3 2" xfId="13388"/>
    <cellStyle name="40% - Accent3 4 2 3 2 2" xfId="28432"/>
    <cellStyle name="40% - Accent3 4 2 3 2 3" xfId="43475"/>
    <cellStyle name="40% - Accent3 4 2 3 3" xfId="20911"/>
    <cellStyle name="40% - Accent3 4 2 3 4" xfId="35954"/>
    <cellStyle name="40% - Accent3 4 2 4" xfId="9639"/>
    <cellStyle name="40% - Accent3 4 2 4 2" xfId="24683"/>
    <cellStyle name="40% - Accent3 4 2 4 3" xfId="39726"/>
    <cellStyle name="40% - Accent3 4 2 5" xfId="17162"/>
    <cellStyle name="40% - Accent3 4 2 6" xfId="32205"/>
    <cellStyle name="40% - Accent3 4 3" xfId="3003"/>
    <cellStyle name="40% - Accent3 4 3 2" xfId="6798"/>
    <cellStyle name="40% - Accent3 4 3 2 2" xfId="14321"/>
    <cellStyle name="40% - Accent3 4 3 2 2 2" xfId="29365"/>
    <cellStyle name="40% - Accent3 4 3 2 2 3" xfId="44408"/>
    <cellStyle name="40% - Accent3 4 3 2 3" xfId="21844"/>
    <cellStyle name="40% - Accent3 4 3 2 4" xfId="36887"/>
    <cellStyle name="40% - Accent3 4 3 3" xfId="10572"/>
    <cellStyle name="40% - Accent3 4 3 3 2" xfId="25616"/>
    <cellStyle name="40% - Accent3 4 3 3 3" xfId="40659"/>
    <cellStyle name="40% - Accent3 4 3 4" xfId="18095"/>
    <cellStyle name="40% - Accent3 4 3 5" xfId="33138"/>
    <cellStyle name="40% - Accent3 4 4" xfId="4933"/>
    <cellStyle name="40% - Accent3 4 4 2" xfId="12456"/>
    <cellStyle name="40% - Accent3 4 4 2 2" xfId="27500"/>
    <cellStyle name="40% - Accent3 4 4 2 3" xfId="42543"/>
    <cellStyle name="40% - Accent3 4 4 3" xfId="19979"/>
    <cellStyle name="40% - Accent3 4 4 4" xfId="35022"/>
    <cellStyle name="40% - Accent3 4 5" xfId="8707"/>
    <cellStyle name="40% - Accent3 4 5 2" xfId="23751"/>
    <cellStyle name="40% - Accent3 4 5 3" xfId="38794"/>
    <cellStyle name="40% - Accent3 4 6" xfId="16230"/>
    <cellStyle name="40% - Accent3 4 7" xfId="31273"/>
    <cellStyle name="40% - Accent3 5" xfId="1150"/>
    <cellStyle name="40% - Accent3 5 2" xfId="3021"/>
    <cellStyle name="40% - Accent3 5 2 2" xfId="6816"/>
    <cellStyle name="40% - Accent3 5 2 2 2" xfId="14339"/>
    <cellStyle name="40% - Accent3 5 2 2 2 2" xfId="29383"/>
    <cellStyle name="40% - Accent3 5 2 2 2 3" xfId="44426"/>
    <cellStyle name="40% - Accent3 5 2 2 3" xfId="21862"/>
    <cellStyle name="40% - Accent3 5 2 2 4" xfId="36905"/>
    <cellStyle name="40% - Accent3 5 2 3" xfId="10590"/>
    <cellStyle name="40% - Accent3 5 2 3 2" xfId="25634"/>
    <cellStyle name="40% - Accent3 5 2 3 3" xfId="40677"/>
    <cellStyle name="40% - Accent3 5 2 4" xfId="18113"/>
    <cellStyle name="40% - Accent3 5 2 5" xfId="33156"/>
    <cellStyle name="40% - Accent3 5 3" xfId="4951"/>
    <cellStyle name="40% - Accent3 5 3 2" xfId="12474"/>
    <cellStyle name="40% - Accent3 5 3 2 2" xfId="27518"/>
    <cellStyle name="40% - Accent3 5 3 2 3" xfId="42561"/>
    <cellStyle name="40% - Accent3 5 3 3" xfId="19997"/>
    <cellStyle name="40% - Accent3 5 3 4" xfId="35040"/>
    <cellStyle name="40% - Accent3 5 4" xfId="8725"/>
    <cellStyle name="40% - Accent3 5 4 2" xfId="23769"/>
    <cellStyle name="40% - Accent3 5 4 3" xfId="38812"/>
    <cellStyle name="40% - Accent3 5 5" xfId="16248"/>
    <cellStyle name="40% - Accent3 5 6" xfId="31291"/>
    <cellStyle name="40% - Accent3 6" xfId="2084"/>
    <cellStyle name="40% - Accent3 6 2" xfId="5883"/>
    <cellStyle name="40% - Accent3 6 2 2" xfId="13406"/>
    <cellStyle name="40% - Accent3 6 2 2 2" xfId="28450"/>
    <cellStyle name="40% - Accent3 6 2 2 3" xfId="43493"/>
    <cellStyle name="40% - Accent3 6 2 3" xfId="20929"/>
    <cellStyle name="40% - Accent3 6 2 4" xfId="35972"/>
    <cellStyle name="40% - Accent3 6 3" xfId="9657"/>
    <cellStyle name="40% - Accent3 6 3 2" xfId="24701"/>
    <cellStyle name="40% - Accent3 6 3 3" xfId="39744"/>
    <cellStyle name="40% - Accent3 6 4" xfId="17180"/>
    <cellStyle name="40% - Accent3 6 5" xfId="32223"/>
    <cellStyle name="40% - Accent3 7" xfId="3976"/>
    <cellStyle name="40% - Accent3 8" xfId="3998"/>
    <cellStyle name="40% - Accent3 8 2" xfId="7751"/>
    <cellStyle name="40% - Accent3 8 2 2" xfId="15274"/>
    <cellStyle name="40% - Accent3 8 2 2 2" xfId="30318"/>
    <cellStyle name="40% - Accent3 8 2 2 3" xfId="45361"/>
    <cellStyle name="40% - Accent3 8 2 3" xfId="22797"/>
    <cellStyle name="40% - Accent3 8 2 4" xfId="37840"/>
    <cellStyle name="40% - Accent3 8 3" xfId="11525"/>
    <cellStyle name="40% - Accent3 8 3 2" xfId="26569"/>
    <cellStyle name="40% - Accent3 8 3 3" xfId="41612"/>
    <cellStyle name="40% - Accent3 8 4" xfId="19048"/>
    <cellStyle name="40% - Accent3 8 5" xfId="34091"/>
    <cellStyle name="40% - Accent3 9" xfId="4011"/>
    <cellStyle name="40% - Accent3 9 2" xfId="11537"/>
    <cellStyle name="40% - Accent3 9 2 2" xfId="26581"/>
    <cellStyle name="40% - Accent3 9 2 3" xfId="41624"/>
    <cellStyle name="40% - Accent3 9 3" xfId="19060"/>
    <cellStyle name="40% - Accent3 9 4" xfId="34103"/>
    <cellStyle name="40% - Accent4" xfId="634" builtinId="43" customBuiltin="1"/>
    <cellStyle name="40% - Accent4 10" xfId="7767"/>
    <cellStyle name="40% - Accent4 10 2" xfId="15290"/>
    <cellStyle name="40% - Accent4 10 2 2" xfId="30334"/>
    <cellStyle name="40% - Accent4 10 2 3" xfId="45377"/>
    <cellStyle name="40% - Accent4 10 3" xfId="22813"/>
    <cellStyle name="40% - Accent4 10 4" xfId="37856"/>
    <cellStyle name="40% - Accent4 11" xfId="8245"/>
    <cellStyle name="40% - Accent4 11 2" xfId="23289"/>
    <cellStyle name="40% - Accent4 11 3" xfId="38332"/>
    <cellStyle name="40% - Accent4 12" xfId="15768"/>
    <cellStyle name="40% - Accent4 13" xfId="30811"/>
    <cellStyle name="40% - Accent4 2" xfId="73"/>
    <cellStyle name="40% - Accent4 3" xfId="74"/>
    <cellStyle name="40% - Accent4 4" xfId="1127"/>
    <cellStyle name="40% - Accent4 4 2" xfId="2066"/>
    <cellStyle name="40% - Accent4 4 2 2" xfId="3937"/>
    <cellStyle name="40% - Accent4 4 2 2 2" xfId="7732"/>
    <cellStyle name="40% - Accent4 4 2 2 2 2" xfId="15255"/>
    <cellStyle name="40% - Accent4 4 2 2 2 2 2" xfId="30299"/>
    <cellStyle name="40% - Accent4 4 2 2 2 2 3" xfId="45342"/>
    <cellStyle name="40% - Accent4 4 2 2 2 3" xfId="22778"/>
    <cellStyle name="40% - Accent4 4 2 2 2 4" xfId="37821"/>
    <cellStyle name="40% - Accent4 4 2 2 3" xfId="11506"/>
    <cellStyle name="40% - Accent4 4 2 2 3 2" xfId="26550"/>
    <cellStyle name="40% - Accent4 4 2 2 3 3" xfId="41593"/>
    <cellStyle name="40% - Accent4 4 2 2 4" xfId="19029"/>
    <cellStyle name="40% - Accent4 4 2 2 5" xfId="34072"/>
    <cellStyle name="40% - Accent4 4 2 3" xfId="5867"/>
    <cellStyle name="40% - Accent4 4 2 3 2" xfId="13390"/>
    <cellStyle name="40% - Accent4 4 2 3 2 2" xfId="28434"/>
    <cellStyle name="40% - Accent4 4 2 3 2 3" xfId="43477"/>
    <cellStyle name="40% - Accent4 4 2 3 3" xfId="20913"/>
    <cellStyle name="40% - Accent4 4 2 3 4" xfId="35956"/>
    <cellStyle name="40% - Accent4 4 2 4" xfId="9641"/>
    <cellStyle name="40% - Accent4 4 2 4 2" xfId="24685"/>
    <cellStyle name="40% - Accent4 4 2 4 3" xfId="39728"/>
    <cellStyle name="40% - Accent4 4 2 5" xfId="17164"/>
    <cellStyle name="40% - Accent4 4 2 6" xfId="32207"/>
    <cellStyle name="40% - Accent4 4 3" xfId="3005"/>
    <cellStyle name="40% - Accent4 4 3 2" xfId="6800"/>
    <cellStyle name="40% - Accent4 4 3 2 2" xfId="14323"/>
    <cellStyle name="40% - Accent4 4 3 2 2 2" xfId="29367"/>
    <cellStyle name="40% - Accent4 4 3 2 2 3" xfId="44410"/>
    <cellStyle name="40% - Accent4 4 3 2 3" xfId="21846"/>
    <cellStyle name="40% - Accent4 4 3 2 4" xfId="36889"/>
    <cellStyle name="40% - Accent4 4 3 3" xfId="10574"/>
    <cellStyle name="40% - Accent4 4 3 3 2" xfId="25618"/>
    <cellStyle name="40% - Accent4 4 3 3 3" xfId="40661"/>
    <cellStyle name="40% - Accent4 4 3 4" xfId="18097"/>
    <cellStyle name="40% - Accent4 4 3 5" xfId="33140"/>
    <cellStyle name="40% - Accent4 4 4" xfId="4935"/>
    <cellStyle name="40% - Accent4 4 4 2" xfId="12458"/>
    <cellStyle name="40% - Accent4 4 4 2 2" xfId="27502"/>
    <cellStyle name="40% - Accent4 4 4 2 3" xfId="42545"/>
    <cellStyle name="40% - Accent4 4 4 3" xfId="19981"/>
    <cellStyle name="40% - Accent4 4 4 4" xfId="35024"/>
    <cellStyle name="40% - Accent4 4 5" xfId="8709"/>
    <cellStyle name="40% - Accent4 4 5 2" xfId="23753"/>
    <cellStyle name="40% - Accent4 4 5 3" xfId="38796"/>
    <cellStyle name="40% - Accent4 4 6" xfId="16232"/>
    <cellStyle name="40% - Accent4 4 7" xfId="31275"/>
    <cellStyle name="40% - Accent4 5" xfId="1152"/>
    <cellStyle name="40% - Accent4 5 2" xfId="3023"/>
    <cellStyle name="40% - Accent4 5 2 2" xfId="6818"/>
    <cellStyle name="40% - Accent4 5 2 2 2" xfId="14341"/>
    <cellStyle name="40% - Accent4 5 2 2 2 2" xfId="29385"/>
    <cellStyle name="40% - Accent4 5 2 2 2 3" xfId="44428"/>
    <cellStyle name="40% - Accent4 5 2 2 3" xfId="21864"/>
    <cellStyle name="40% - Accent4 5 2 2 4" xfId="36907"/>
    <cellStyle name="40% - Accent4 5 2 3" xfId="10592"/>
    <cellStyle name="40% - Accent4 5 2 3 2" xfId="25636"/>
    <cellStyle name="40% - Accent4 5 2 3 3" xfId="40679"/>
    <cellStyle name="40% - Accent4 5 2 4" xfId="18115"/>
    <cellStyle name="40% - Accent4 5 2 5" xfId="33158"/>
    <cellStyle name="40% - Accent4 5 3" xfId="4953"/>
    <cellStyle name="40% - Accent4 5 3 2" xfId="12476"/>
    <cellStyle name="40% - Accent4 5 3 2 2" xfId="27520"/>
    <cellStyle name="40% - Accent4 5 3 2 3" xfId="42563"/>
    <cellStyle name="40% - Accent4 5 3 3" xfId="19999"/>
    <cellStyle name="40% - Accent4 5 3 4" xfId="35042"/>
    <cellStyle name="40% - Accent4 5 4" xfId="8727"/>
    <cellStyle name="40% - Accent4 5 4 2" xfId="23771"/>
    <cellStyle name="40% - Accent4 5 4 3" xfId="38814"/>
    <cellStyle name="40% - Accent4 5 5" xfId="16250"/>
    <cellStyle name="40% - Accent4 5 6" xfId="31293"/>
    <cellStyle name="40% - Accent4 6" xfId="2086"/>
    <cellStyle name="40% - Accent4 6 2" xfId="5885"/>
    <cellStyle name="40% - Accent4 6 2 2" xfId="13408"/>
    <cellStyle name="40% - Accent4 6 2 2 2" xfId="28452"/>
    <cellStyle name="40% - Accent4 6 2 2 3" xfId="43495"/>
    <cellStyle name="40% - Accent4 6 2 3" xfId="20931"/>
    <cellStyle name="40% - Accent4 6 2 4" xfId="35974"/>
    <cellStyle name="40% - Accent4 6 3" xfId="9659"/>
    <cellStyle name="40% - Accent4 6 3 2" xfId="24703"/>
    <cellStyle name="40% - Accent4 6 3 3" xfId="39746"/>
    <cellStyle name="40% - Accent4 6 4" xfId="17182"/>
    <cellStyle name="40% - Accent4 6 5" xfId="32225"/>
    <cellStyle name="40% - Accent4 7" xfId="3980"/>
    <cellStyle name="40% - Accent4 8" xfId="4000"/>
    <cellStyle name="40% - Accent4 8 2" xfId="7753"/>
    <cellStyle name="40% - Accent4 8 2 2" xfId="15276"/>
    <cellStyle name="40% - Accent4 8 2 2 2" xfId="30320"/>
    <cellStyle name="40% - Accent4 8 2 2 3" xfId="45363"/>
    <cellStyle name="40% - Accent4 8 2 3" xfId="22799"/>
    <cellStyle name="40% - Accent4 8 2 4" xfId="37842"/>
    <cellStyle name="40% - Accent4 8 3" xfId="11527"/>
    <cellStyle name="40% - Accent4 8 3 2" xfId="26571"/>
    <cellStyle name="40% - Accent4 8 3 3" xfId="41614"/>
    <cellStyle name="40% - Accent4 8 4" xfId="19050"/>
    <cellStyle name="40% - Accent4 8 5" xfId="34093"/>
    <cellStyle name="40% - Accent4 9" xfId="4013"/>
    <cellStyle name="40% - Accent4 9 2" xfId="11539"/>
    <cellStyle name="40% - Accent4 9 2 2" xfId="26583"/>
    <cellStyle name="40% - Accent4 9 2 3" xfId="41626"/>
    <cellStyle name="40% - Accent4 9 3" xfId="19062"/>
    <cellStyle name="40% - Accent4 9 4" xfId="34105"/>
    <cellStyle name="40% - Accent5" xfId="638" builtinId="47" customBuiltin="1"/>
    <cellStyle name="40% - Accent5 10" xfId="7769"/>
    <cellStyle name="40% - Accent5 10 2" xfId="15292"/>
    <cellStyle name="40% - Accent5 10 2 2" xfId="30336"/>
    <cellStyle name="40% - Accent5 10 2 3" xfId="45379"/>
    <cellStyle name="40% - Accent5 10 3" xfId="22815"/>
    <cellStyle name="40% - Accent5 10 4" xfId="37858"/>
    <cellStyle name="40% - Accent5 11" xfId="8247"/>
    <cellStyle name="40% - Accent5 11 2" xfId="23291"/>
    <cellStyle name="40% - Accent5 11 3" xfId="38334"/>
    <cellStyle name="40% - Accent5 12" xfId="15770"/>
    <cellStyle name="40% - Accent5 13" xfId="30813"/>
    <cellStyle name="40% - Accent5 2" xfId="75"/>
    <cellStyle name="40% - Accent5 3" xfId="76"/>
    <cellStyle name="40% - Accent5 4" xfId="1131"/>
    <cellStyle name="40% - Accent5 4 2" xfId="2068"/>
    <cellStyle name="40% - Accent5 4 2 2" xfId="3939"/>
    <cellStyle name="40% - Accent5 4 2 2 2" xfId="7734"/>
    <cellStyle name="40% - Accent5 4 2 2 2 2" xfId="15257"/>
    <cellStyle name="40% - Accent5 4 2 2 2 2 2" xfId="30301"/>
    <cellStyle name="40% - Accent5 4 2 2 2 2 3" xfId="45344"/>
    <cellStyle name="40% - Accent5 4 2 2 2 3" xfId="22780"/>
    <cellStyle name="40% - Accent5 4 2 2 2 4" xfId="37823"/>
    <cellStyle name="40% - Accent5 4 2 2 3" xfId="11508"/>
    <cellStyle name="40% - Accent5 4 2 2 3 2" xfId="26552"/>
    <cellStyle name="40% - Accent5 4 2 2 3 3" xfId="41595"/>
    <cellStyle name="40% - Accent5 4 2 2 4" xfId="19031"/>
    <cellStyle name="40% - Accent5 4 2 2 5" xfId="34074"/>
    <cellStyle name="40% - Accent5 4 2 3" xfId="5869"/>
    <cellStyle name="40% - Accent5 4 2 3 2" xfId="13392"/>
    <cellStyle name="40% - Accent5 4 2 3 2 2" xfId="28436"/>
    <cellStyle name="40% - Accent5 4 2 3 2 3" xfId="43479"/>
    <cellStyle name="40% - Accent5 4 2 3 3" xfId="20915"/>
    <cellStyle name="40% - Accent5 4 2 3 4" xfId="35958"/>
    <cellStyle name="40% - Accent5 4 2 4" xfId="9643"/>
    <cellStyle name="40% - Accent5 4 2 4 2" xfId="24687"/>
    <cellStyle name="40% - Accent5 4 2 4 3" xfId="39730"/>
    <cellStyle name="40% - Accent5 4 2 5" xfId="17166"/>
    <cellStyle name="40% - Accent5 4 2 6" xfId="32209"/>
    <cellStyle name="40% - Accent5 4 3" xfId="3007"/>
    <cellStyle name="40% - Accent5 4 3 2" xfId="6802"/>
    <cellStyle name="40% - Accent5 4 3 2 2" xfId="14325"/>
    <cellStyle name="40% - Accent5 4 3 2 2 2" xfId="29369"/>
    <cellStyle name="40% - Accent5 4 3 2 2 3" xfId="44412"/>
    <cellStyle name="40% - Accent5 4 3 2 3" xfId="21848"/>
    <cellStyle name="40% - Accent5 4 3 2 4" xfId="36891"/>
    <cellStyle name="40% - Accent5 4 3 3" xfId="10576"/>
    <cellStyle name="40% - Accent5 4 3 3 2" xfId="25620"/>
    <cellStyle name="40% - Accent5 4 3 3 3" xfId="40663"/>
    <cellStyle name="40% - Accent5 4 3 4" xfId="18099"/>
    <cellStyle name="40% - Accent5 4 3 5" xfId="33142"/>
    <cellStyle name="40% - Accent5 4 4" xfId="4937"/>
    <cellStyle name="40% - Accent5 4 4 2" xfId="12460"/>
    <cellStyle name="40% - Accent5 4 4 2 2" xfId="27504"/>
    <cellStyle name="40% - Accent5 4 4 2 3" xfId="42547"/>
    <cellStyle name="40% - Accent5 4 4 3" xfId="19983"/>
    <cellStyle name="40% - Accent5 4 4 4" xfId="35026"/>
    <cellStyle name="40% - Accent5 4 5" xfId="8711"/>
    <cellStyle name="40% - Accent5 4 5 2" xfId="23755"/>
    <cellStyle name="40% - Accent5 4 5 3" xfId="38798"/>
    <cellStyle name="40% - Accent5 4 6" xfId="16234"/>
    <cellStyle name="40% - Accent5 4 7" xfId="31277"/>
    <cellStyle name="40% - Accent5 5" xfId="1154"/>
    <cellStyle name="40% - Accent5 5 2" xfId="3025"/>
    <cellStyle name="40% - Accent5 5 2 2" xfId="6820"/>
    <cellStyle name="40% - Accent5 5 2 2 2" xfId="14343"/>
    <cellStyle name="40% - Accent5 5 2 2 2 2" xfId="29387"/>
    <cellStyle name="40% - Accent5 5 2 2 2 3" xfId="44430"/>
    <cellStyle name="40% - Accent5 5 2 2 3" xfId="21866"/>
    <cellStyle name="40% - Accent5 5 2 2 4" xfId="36909"/>
    <cellStyle name="40% - Accent5 5 2 3" xfId="10594"/>
    <cellStyle name="40% - Accent5 5 2 3 2" xfId="25638"/>
    <cellStyle name="40% - Accent5 5 2 3 3" xfId="40681"/>
    <cellStyle name="40% - Accent5 5 2 4" xfId="18117"/>
    <cellStyle name="40% - Accent5 5 2 5" xfId="33160"/>
    <cellStyle name="40% - Accent5 5 3" xfId="4955"/>
    <cellStyle name="40% - Accent5 5 3 2" xfId="12478"/>
    <cellStyle name="40% - Accent5 5 3 2 2" xfId="27522"/>
    <cellStyle name="40% - Accent5 5 3 2 3" xfId="42565"/>
    <cellStyle name="40% - Accent5 5 3 3" xfId="20001"/>
    <cellStyle name="40% - Accent5 5 3 4" xfId="35044"/>
    <cellStyle name="40% - Accent5 5 4" xfId="8729"/>
    <cellStyle name="40% - Accent5 5 4 2" xfId="23773"/>
    <cellStyle name="40% - Accent5 5 4 3" xfId="38816"/>
    <cellStyle name="40% - Accent5 5 5" xfId="16252"/>
    <cellStyle name="40% - Accent5 5 6" xfId="31295"/>
    <cellStyle name="40% - Accent5 6" xfId="2088"/>
    <cellStyle name="40% - Accent5 6 2" xfId="5887"/>
    <cellStyle name="40% - Accent5 6 2 2" xfId="13410"/>
    <cellStyle name="40% - Accent5 6 2 2 2" xfId="28454"/>
    <cellStyle name="40% - Accent5 6 2 2 3" xfId="43497"/>
    <cellStyle name="40% - Accent5 6 2 3" xfId="20933"/>
    <cellStyle name="40% - Accent5 6 2 4" xfId="35976"/>
    <cellStyle name="40% - Accent5 6 3" xfId="9661"/>
    <cellStyle name="40% - Accent5 6 3 2" xfId="24705"/>
    <cellStyle name="40% - Accent5 6 3 3" xfId="39748"/>
    <cellStyle name="40% - Accent5 6 4" xfId="17184"/>
    <cellStyle name="40% - Accent5 6 5" xfId="32227"/>
    <cellStyle name="40% - Accent5 7" xfId="3984"/>
    <cellStyle name="40% - Accent5 8" xfId="4002"/>
    <cellStyle name="40% - Accent5 8 2" xfId="7755"/>
    <cellStyle name="40% - Accent5 8 2 2" xfId="15278"/>
    <cellStyle name="40% - Accent5 8 2 2 2" xfId="30322"/>
    <cellStyle name="40% - Accent5 8 2 2 3" xfId="45365"/>
    <cellStyle name="40% - Accent5 8 2 3" xfId="22801"/>
    <cellStyle name="40% - Accent5 8 2 4" xfId="37844"/>
    <cellStyle name="40% - Accent5 8 3" xfId="11529"/>
    <cellStyle name="40% - Accent5 8 3 2" xfId="26573"/>
    <cellStyle name="40% - Accent5 8 3 3" xfId="41616"/>
    <cellStyle name="40% - Accent5 8 4" xfId="19052"/>
    <cellStyle name="40% - Accent5 8 5" xfId="34095"/>
    <cellStyle name="40% - Accent5 9" xfId="4015"/>
    <cellStyle name="40% - Accent5 9 2" xfId="11541"/>
    <cellStyle name="40% - Accent5 9 2 2" xfId="26585"/>
    <cellStyle name="40% - Accent5 9 2 3" xfId="41628"/>
    <cellStyle name="40% - Accent5 9 3" xfId="19064"/>
    <cellStyle name="40% - Accent5 9 4" xfId="34107"/>
    <cellStyle name="40% - Accent6" xfId="642" builtinId="51" customBuiltin="1"/>
    <cellStyle name="40% - Accent6 10" xfId="7771"/>
    <cellStyle name="40% - Accent6 10 2" xfId="15294"/>
    <cellStyle name="40% - Accent6 10 2 2" xfId="30338"/>
    <cellStyle name="40% - Accent6 10 2 3" xfId="45381"/>
    <cellStyle name="40% - Accent6 10 3" xfId="22817"/>
    <cellStyle name="40% - Accent6 10 4" xfId="37860"/>
    <cellStyle name="40% - Accent6 11" xfId="8249"/>
    <cellStyle name="40% - Accent6 11 2" xfId="23293"/>
    <cellStyle name="40% - Accent6 11 3" xfId="38336"/>
    <cellStyle name="40% - Accent6 12" xfId="15772"/>
    <cellStyle name="40% - Accent6 13" xfId="30815"/>
    <cellStyle name="40% - Accent6 2" xfId="77"/>
    <cellStyle name="40% - Accent6 3" xfId="78"/>
    <cellStyle name="40% - Accent6 4" xfId="1135"/>
    <cellStyle name="40% - Accent6 4 2" xfId="2070"/>
    <cellStyle name="40% - Accent6 4 2 2" xfId="3941"/>
    <cellStyle name="40% - Accent6 4 2 2 2" xfId="7736"/>
    <cellStyle name="40% - Accent6 4 2 2 2 2" xfId="15259"/>
    <cellStyle name="40% - Accent6 4 2 2 2 2 2" xfId="30303"/>
    <cellStyle name="40% - Accent6 4 2 2 2 2 3" xfId="45346"/>
    <cellStyle name="40% - Accent6 4 2 2 2 3" xfId="22782"/>
    <cellStyle name="40% - Accent6 4 2 2 2 4" xfId="37825"/>
    <cellStyle name="40% - Accent6 4 2 2 3" xfId="11510"/>
    <cellStyle name="40% - Accent6 4 2 2 3 2" xfId="26554"/>
    <cellStyle name="40% - Accent6 4 2 2 3 3" xfId="41597"/>
    <cellStyle name="40% - Accent6 4 2 2 4" xfId="19033"/>
    <cellStyle name="40% - Accent6 4 2 2 5" xfId="34076"/>
    <cellStyle name="40% - Accent6 4 2 3" xfId="5871"/>
    <cellStyle name="40% - Accent6 4 2 3 2" xfId="13394"/>
    <cellStyle name="40% - Accent6 4 2 3 2 2" xfId="28438"/>
    <cellStyle name="40% - Accent6 4 2 3 2 3" xfId="43481"/>
    <cellStyle name="40% - Accent6 4 2 3 3" xfId="20917"/>
    <cellStyle name="40% - Accent6 4 2 3 4" xfId="35960"/>
    <cellStyle name="40% - Accent6 4 2 4" xfId="9645"/>
    <cellStyle name="40% - Accent6 4 2 4 2" xfId="24689"/>
    <cellStyle name="40% - Accent6 4 2 4 3" xfId="39732"/>
    <cellStyle name="40% - Accent6 4 2 5" xfId="17168"/>
    <cellStyle name="40% - Accent6 4 2 6" xfId="32211"/>
    <cellStyle name="40% - Accent6 4 3" xfId="3009"/>
    <cellStyle name="40% - Accent6 4 3 2" xfId="6804"/>
    <cellStyle name="40% - Accent6 4 3 2 2" xfId="14327"/>
    <cellStyle name="40% - Accent6 4 3 2 2 2" xfId="29371"/>
    <cellStyle name="40% - Accent6 4 3 2 2 3" xfId="44414"/>
    <cellStyle name="40% - Accent6 4 3 2 3" xfId="21850"/>
    <cellStyle name="40% - Accent6 4 3 2 4" xfId="36893"/>
    <cellStyle name="40% - Accent6 4 3 3" xfId="10578"/>
    <cellStyle name="40% - Accent6 4 3 3 2" xfId="25622"/>
    <cellStyle name="40% - Accent6 4 3 3 3" xfId="40665"/>
    <cellStyle name="40% - Accent6 4 3 4" xfId="18101"/>
    <cellStyle name="40% - Accent6 4 3 5" xfId="33144"/>
    <cellStyle name="40% - Accent6 4 4" xfId="4939"/>
    <cellStyle name="40% - Accent6 4 4 2" xfId="12462"/>
    <cellStyle name="40% - Accent6 4 4 2 2" xfId="27506"/>
    <cellStyle name="40% - Accent6 4 4 2 3" xfId="42549"/>
    <cellStyle name="40% - Accent6 4 4 3" xfId="19985"/>
    <cellStyle name="40% - Accent6 4 4 4" xfId="35028"/>
    <cellStyle name="40% - Accent6 4 5" xfId="8713"/>
    <cellStyle name="40% - Accent6 4 5 2" xfId="23757"/>
    <cellStyle name="40% - Accent6 4 5 3" xfId="38800"/>
    <cellStyle name="40% - Accent6 4 6" xfId="16236"/>
    <cellStyle name="40% - Accent6 4 7" xfId="31279"/>
    <cellStyle name="40% - Accent6 5" xfId="1156"/>
    <cellStyle name="40% - Accent6 5 2" xfId="3027"/>
    <cellStyle name="40% - Accent6 5 2 2" xfId="6822"/>
    <cellStyle name="40% - Accent6 5 2 2 2" xfId="14345"/>
    <cellStyle name="40% - Accent6 5 2 2 2 2" xfId="29389"/>
    <cellStyle name="40% - Accent6 5 2 2 2 3" xfId="44432"/>
    <cellStyle name="40% - Accent6 5 2 2 3" xfId="21868"/>
    <cellStyle name="40% - Accent6 5 2 2 4" xfId="36911"/>
    <cellStyle name="40% - Accent6 5 2 3" xfId="10596"/>
    <cellStyle name="40% - Accent6 5 2 3 2" xfId="25640"/>
    <cellStyle name="40% - Accent6 5 2 3 3" xfId="40683"/>
    <cellStyle name="40% - Accent6 5 2 4" xfId="18119"/>
    <cellStyle name="40% - Accent6 5 2 5" xfId="33162"/>
    <cellStyle name="40% - Accent6 5 3" xfId="4957"/>
    <cellStyle name="40% - Accent6 5 3 2" xfId="12480"/>
    <cellStyle name="40% - Accent6 5 3 2 2" xfId="27524"/>
    <cellStyle name="40% - Accent6 5 3 2 3" xfId="42567"/>
    <cellStyle name="40% - Accent6 5 3 3" xfId="20003"/>
    <cellStyle name="40% - Accent6 5 3 4" xfId="35046"/>
    <cellStyle name="40% - Accent6 5 4" xfId="8731"/>
    <cellStyle name="40% - Accent6 5 4 2" xfId="23775"/>
    <cellStyle name="40% - Accent6 5 4 3" xfId="38818"/>
    <cellStyle name="40% - Accent6 5 5" xfId="16254"/>
    <cellStyle name="40% - Accent6 5 6" xfId="31297"/>
    <cellStyle name="40% - Accent6 6" xfId="2090"/>
    <cellStyle name="40% - Accent6 6 2" xfId="5889"/>
    <cellStyle name="40% - Accent6 6 2 2" xfId="13412"/>
    <cellStyle name="40% - Accent6 6 2 2 2" xfId="28456"/>
    <cellStyle name="40% - Accent6 6 2 2 3" xfId="43499"/>
    <cellStyle name="40% - Accent6 6 2 3" xfId="20935"/>
    <cellStyle name="40% - Accent6 6 2 4" xfId="35978"/>
    <cellStyle name="40% - Accent6 6 3" xfId="9663"/>
    <cellStyle name="40% - Accent6 6 3 2" xfId="24707"/>
    <cellStyle name="40% - Accent6 6 3 3" xfId="39750"/>
    <cellStyle name="40% - Accent6 6 4" xfId="17186"/>
    <cellStyle name="40% - Accent6 6 5" xfId="32229"/>
    <cellStyle name="40% - Accent6 7" xfId="3988"/>
    <cellStyle name="40% - Accent6 8" xfId="4004"/>
    <cellStyle name="40% - Accent6 8 2" xfId="7757"/>
    <cellStyle name="40% - Accent6 8 2 2" xfId="15280"/>
    <cellStyle name="40% - Accent6 8 2 2 2" xfId="30324"/>
    <cellStyle name="40% - Accent6 8 2 2 3" xfId="45367"/>
    <cellStyle name="40% - Accent6 8 2 3" xfId="22803"/>
    <cellStyle name="40% - Accent6 8 2 4" xfId="37846"/>
    <cellStyle name="40% - Accent6 8 3" xfId="11531"/>
    <cellStyle name="40% - Accent6 8 3 2" xfId="26575"/>
    <cellStyle name="40% - Accent6 8 3 3" xfId="41618"/>
    <cellStyle name="40% - Accent6 8 4" xfId="19054"/>
    <cellStyle name="40% - Accent6 8 5" xfId="34097"/>
    <cellStyle name="40% - Accent6 9" xfId="4017"/>
    <cellStyle name="40% - Accent6 9 2" xfId="11543"/>
    <cellStyle name="40% - Accent6 9 2 2" xfId="26587"/>
    <cellStyle name="40% - Accent6 9 2 3" xfId="41630"/>
    <cellStyle name="40% - Accent6 9 3" xfId="19066"/>
    <cellStyle name="40% - Accent6 9 4" xfId="34109"/>
    <cellStyle name="40% - akcent 1" xfId="79"/>
    <cellStyle name="40% - akcent 2" xfId="80"/>
    <cellStyle name="40% - akcent 3" xfId="81"/>
    <cellStyle name="40% - akcent 4" xfId="82"/>
    <cellStyle name="40% - akcent 5" xfId="83"/>
    <cellStyle name="40% - akcent 6" xfId="84"/>
    <cellStyle name="60% - Accent1" xfId="623" builtinId="32" customBuiltin="1"/>
    <cellStyle name="60% - Accent1 2" xfId="85"/>
    <cellStyle name="60% - Accent1 3" xfId="86"/>
    <cellStyle name="60% - Accent1 4" xfId="1116"/>
    <cellStyle name="60% - Accent1 5" xfId="3969"/>
    <cellStyle name="60% - Accent2" xfId="627" builtinId="36" customBuiltin="1"/>
    <cellStyle name="60% - Accent2 2" xfId="87"/>
    <cellStyle name="60% - Accent2 3" xfId="88"/>
    <cellStyle name="60% - Accent2 4" xfId="1120"/>
    <cellStyle name="60% - Accent2 5" xfId="3973"/>
    <cellStyle name="60% - Accent3" xfId="631" builtinId="40" customBuiltin="1"/>
    <cellStyle name="60% - Accent3 2" xfId="89"/>
    <cellStyle name="60% - Accent3 3" xfId="90"/>
    <cellStyle name="60% - Accent3 4" xfId="1124"/>
    <cellStyle name="60% - Accent3 5" xfId="3977"/>
    <cellStyle name="60% - Accent4" xfId="635" builtinId="44" customBuiltin="1"/>
    <cellStyle name="60% - Accent4 2" xfId="91"/>
    <cellStyle name="60% - Accent4 3" xfId="92"/>
    <cellStyle name="60% - Accent4 4" xfId="1128"/>
    <cellStyle name="60% - Accent4 5" xfId="3981"/>
    <cellStyle name="60% - Accent5" xfId="639" builtinId="48" customBuiltin="1"/>
    <cellStyle name="60% - Accent5 2" xfId="93"/>
    <cellStyle name="60% - Accent5 3" xfId="94"/>
    <cellStyle name="60% - Accent5 4" xfId="1132"/>
    <cellStyle name="60% - Accent5 5" xfId="3985"/>
    <cellStyle name="60% - Accent6" xfId="643" builtinId="52" customBuiltin="1"/>
    <cellStyle name="60% - Accent6 2" xfId="95"/>
    <cellStyle name="60% - Accent6 3" xfId="96"/>
    <cellStyle name="60% - Accent6 4" xfId="1136"/>
    <cellStyle name="60% - Accent6 5" xfId="3989"/>
    <cellStyle name="60% - akcent 1" xfId="97"/>
    <cellStyle name="60% - akcent 2" xfId="98"/>
    <cellStyle name="60% - akcent 3" xfId="99"/>
    <cellStyle name="60% - akcent 4" xfId="100"/>
    <cellStyle name="60% - akcent 5" xfId="101"/>
    <cellStyle name="60% - akcent 6" xfId="102"/>
    <cellStyle name="Accent1" xfId="620" builtinId="29" customBuiltin="1"/>
    <cellStyle name="Accent1 2" xfId="12"/>
    <cellStyle name="Accent1 3" xfId="103"/>
    <cellStyle name="Accent1 4" xfId="1113"/>
    <cellStyle name="Accent1 5" xfId="3966"/>
    <cellStyle name="Accent2" xfId="624" builtinId="33" customBuiltin="1"/>
    <cellStyle name="Accent2 2" xfId="104"/>
    <cellStyle name="Accent2 3" xfId="105"/>
    <cellStyle name="Accent2 4" xfId="1117"/>
    <cellStyle name="Accent2 5" xfId="3970"/>
    <cellStyle name="Accent3" xfId="628" builtinId="37" customBuiltin="1"/>
    <cellStyle name="Accent3 2" xfId="106"/>
    <cellStyle name="Accent3 3" xfId="107"/>
    <cellStyle name="Accent3 4" xfId="1121"/>
    <cellStyle name="Accent3 5" xfId="3974"/>
    <cellStyle name="Accent4" xfId="632" builtinId="41" customBuiltin="1"/>
    <cellStyle name="Accent4 2" xfId="108"/>
    <cellStyle name="Accent4 3" xfId="109"/>
    <cellStyle name="Accent4 4" xfId="1125"/>
    <cellStyle name="Accent4 5" xfId="3978"/>
    <cellStyle name="Accent5" xfId="636" builtinId="45" customBuiltin="1"/>
    <cellStyle name="Accent5 2" xfId="13"/>
    <cellStyle name="Accent5 3" xfId="110"/>
    <cellStyle name="Accent5 4" xfId="1129"/>
    <cellStyle name="Accent5 5" xfId="3982"/>
    <cellStyle name="Accent6" xfId="640" builtinId="49" customBuiltin="1"/>
    <cellStyle name="Accent6 2" xfId="111"/>
    <cellStyle name="Accent6 3" xfId="112"/>
    <cellStyle name="Accent6 4" xfId="1133"/>
    <cellStyle name="Accent6 5" xfId="3986"/>
    <cellStyle name="Akcent 1" xfId="113"/>
    <cellStyle name="Akcent 2" xfId="114"/>
    <cellStyle name="Akcent 3" xfId="115"/>
    <cellStyle name="Akcent 4" xfId="116"/>
    <cellStyle name="Akcent 5" xfId="117"/>
    <cellStyle name="Akcent 6" xfId="118"/>
    <cellStyle name="Bad" xfId="612" builtinId="27" customBuiltin="1"/>
    <cellStyle name="Bad 2" xfId="119"/>
    <cellStyle name="Bad 3" xfId="120"/>
    <cellStyle name="Bad 4" xfId="1105"/>
    <cellStyle name="Bad 5" xfId="3955"/>
    <cellStyle name="Calculation" xfId="614" builtinId="22" customBuiltin="1"/>
    <cellStyle name="Calculation 2" xfId="121"/>
    <cellStyle name="Calculation 3" xfId="122"/>
    <cellStyle name="Calculation 4" xfId="1107"/>
    <cellStyle name="Calculation 5" xfId="3959"/>
    <cellStyle name="Check Cell" xfId="616" builtinId="23" customBuiltin="1"/>
    <cellStyle name="Check Cell 2" xfId="123"/>
    <cellStyle name="Check Cell 3" xfId="124"/>
    <cellStyle name="Check Cell 4" xfId="1109"/>
    <cellStyle name="Check Cell 5" xfId="3961"/>
    <cellStyle name="Comma 2" xfId="125"/>
    <cellStyle name="Comma 2 2" xfId="603"/>
    <cellStyle name="Comma 2 2 2" xfId="4473"/>
    <cellStyle name="Comma 2 2 2 2" xfId="11997"/>
    <cellStyle name="Comma 2 2 2 2 2" xfId="27041"/>
    <cellStyle name="Comma 2 2 2 2 3" xfId="42084"/>
    <cellStyle name="Comma 2 2 2 3" xfId="19520"/>
    <cellStyle name="Comma 2 2 2 4" xfId="34563"/>
    <cellStyle name="Comma 2 2 3" xfId="8236"/>
    <cellStyle name="Comma 2 2 3 2" xfId="23280"/>
    <cellStyle name="Comma 2 2 3 3" xfId="38323"/>
    <cellStyle name="Comma 2 2 4" xfId="15759"/>
    <cellStyle name="Comma 2 2 5" xfId="30802"/>
    <cellStyle name="Comma 2 3" xfId="4054"/>
    <cellStyle name="Comma 2 3 2" xfId="11578"/>
    <cellStyle name="Comma 2 3 2 2" xfId="26622"/>
    <cellStyle name="Comma 2 3 2 3" xfId="41665"/>
    <cellStyle name="Comma 2 3 3" xfId="19101"/>
    <cellStyle name="Comma 2 3 4" xfId="34144"/>
    <cellStyle name="Comma 2 4" xfId="7817"/>
    <cellStyle name="Comma 2 4 2" xfId="22861"/>
    <cellStyle name="Comma 2 4 3" xfId="37904"/>
    <cellStyle name="Comma 2 5" xfId="15340"/>
    <cellStyle name="Comma 2 6" xfId="30383"/>
    <cellStyle name="Comma 3" xfId="126"/>
    <cellStyle name="Comma 3 2" xfId="604"/>
    <cellStyle name="Comma 3 2 2" xfId="4474"/>
    <cellStyle name="Comma 3 2 2 2" xfId="11998"/>
    <cellStyle name="Comma 3 2 2 2 2" xfId="27042"/>
    <cellStyle name="Comma 3 2 2 2 3" xfId="42085"/>
    <cellStyle name="Comma 3 2 2 3" xfId="19521"/>
    <cellStyle name="Comma 3 2 2 4" xfId="34564"/>
    <cellStyle name="Comma 3 2 3" xfId="8237"/>
    <cellStyle name="Comma 3 2 3 2" xfId="23281"/>
    <cellStyle name="Comma 3 2 3 3" xfId="38324"/>
    <cellStyle name="Comma 3 2 4" xfId="15760"/>
    <cellStyle name="Comma 3 2 5" xfId="30803"/>
    <cellStyle name="Comma 3 3" xfId="4055"/>
    <cellStyle name="Comma 3 3 2" xfId="11579"/>
    <cellStyle name="Comma 3 3 2 2" xfId="26623"/>
    <cellStyle name="Comma 3 3 2 3" xfId="41666"/>
    <cellStyle name="Comma 3 3 3" xfId="19102"/>
    <cellStyle name="Comma 3 3 4" xfId="34145"/>
    <cellStyle name="Comma 3 4" xfId="7818"/>
    <cellStyle name="Comma 3 4 2" xfId="22862"/>
    <cellStyle name="Comma 3 4 3" xfId="37905"/>
    <cellStyle name="Comma 3 5" xfId="15341"/>
    <cellStyle name="Comma 3 6" xfId="30384"/>
    <cellStyle name="Comma 4" xfId="127"/>
    <cellStyle name="Currency 2" xfId="128"/>
    <cellStyle name="Dane wejściowe" xfId="129"/>
    <cellStyle name="Dane wyjściowe" xfId="130"/>
    <cellStyle name="Dobre" xfId="131"/>
    <cellStyle name="Explanatory Text" xfId="618" builtinId="53" customBuiltin="1"/>
    <cellStyle name="Explanatory Text 2" xfId="132"/>
    <cellStyle name="Explanatory Text 3" xfId="133"/>
    <cellStyle name="Explanatory Text 4" xfId="1111"/>
    <cellStyle name="Explanatory Text 5" xfId="3964"/>
    <cellStyle name="Good" xfId="1" builtinId="26"/>
    <cellStyle name="Good 2" xfId="17"/>
    <cellStyle name="Good 3" xfId="46"/>
    <cellStyle name="Good 4" xfId="646"/>
    <cellStyle name="Good 5" xfId="2092"/>
    <cellStyle name="Good 6" xfId="3954"/>
    <cellStyle name="Good 6 2" xfId="45397"/>
    <cellStyle name="Good 7" xfId="4018"/>
    <cellStyle name="Heading 1" xfId="608" builtinId="16" customBuiltin="1"/>
    <cellStyle name="Heading 1 2" xfId="134"/>
    <cellStyle name="Heading 1 3" xfId="135"/>
    <cellStyle name="Heading 1 4" xfId="1101"/>
    <cellStyle name="Heading 1 5" xfId="3950"/>
    <cellStyle name="Heading 2" xfId="609" builtinId="17" customBuiltin="1"/>
    <cellStyle name="Heading 2 2" xfId="136"/>
    <cellStyle name="Heading 2 3" xfId="137"/>
    <cellStyle name="Heading 2 4" xfId="1102"/>
    <cellStyle name="Heading 2 5" xfId="3951"/>
    <cellStyle name="Heading 3" xfId="610" builtinId="18" customBuiltin="1"/>
    <cellStyle name="Heading 3 2" xfId="138"/>
    <cellStyle name="Heading 3 3" xfId="139"/>
    <cellStyle name="Heading 3 4" xfId="1103"/>
    <cellStyle name="Heading 3 5" xfId="3952"/>
    <cellStyle name="Heading 4" xfId="611" builtinId="19" customBuiltin="1"/>
    <cellStyle name="Heading 4 2" xfId="140"/>
    <cellStyle name="Heading 4 3" xfId="141"/>
    <cellStyle name="Heading 4 4" xfId="1104"/>
    <cellStyle name="Heading 4 5" xfId="3953"/>
    <cellStyle name="Hyperlink 2" xfId="142"/>
    <cellStyle name="Hyperlink 3" xfId="2078"/>
    <cellStyle name="Input" xfId="10" builtinId="20" customBuiltin="1"/>
    <cellStyle name="Input 2" xfId="47"/>
    <cellStyle name="Input 3" xfId="143"/>
    <cellStyle name="Input 4" xfId="655"/>
    <cellStyle name="Input 5" xfId="3957"/>
    <cellStyle name="Komórka połączona" xfId="144"/>
    <cellStyle name="Komórka zaznaczona" xfId="145"/>
    <cellStyle name="Linked Cell" xfId="615" builtinId="24" customBuiltin="1"/>
    <cellStyle name="Linked Cell 2" xfId="146"/>
    <cellStyle name="Linked Cell 3" xfId="147"/>
    <cellStyle name="Linked Cell 4" xfId="1108"/>
    <cellStyle name="Linked Cell 5" xfId="3960"/>
    <cellStyle name="Nagłówek 1" xfId="148"/>
    <cellStyle name="Nagłówek 2" xfId="149"/>
    <cellStyle name="Nagłówek 3" xfId="150"/>
    <cellStyle name="Nagłówek 4" xfId="151"/>
    <cellStyle name="Neutral" xfId="2" builtinId="28"/>
    <cellStyle name="Neutral 2" xfId="14"/>
    <cellStyle name="Neutral 3" xfId="18"/>
    <cellStyle name="Neutral 4" xfId="644"/>
    <cellStyle name="Neutral 4 2" xfId="45398"/>
    <cellStyle name="Neutral 5" xfId="647"/>
    <cellStyle name="Neutral 6" xfId="2093"/>
    <cellStyle name="Neutral 7" xfId="3947"/>
    <cellStyle name="Neutral 8" xfId="3956"/>
    <cellStyle name="Neutral 9" xfId="4019"/>
    <cellStyle name="Neutralne" xfId="152"/>
    <cellStyle name="Normal" xfId="0" builtinId="0"/>
    <cellStyle name="Normal 10" xfId="153"/>
    <cellStyle name="Normal 10 10" xfId="7819"/>
    <cellStyle name="Normal 10 10 2" xfId="22863"/>
    <cellStyle name="Normal 10 10 3" xfId="37906"/>
    <cellStyle name="Normal 10 11" xfId="15342"/>
    <cellStyle name="Normal 10 12" xfId="30385"/>
    <cellStyle name="Normal 10 14" xfId="45405"/>
    <cellStyle name="Normal 10 14 2" xfId="45414"/>
    <cellStyle name="Normal 10 14 3" xfId="45425"/>
    <cellStyle name="Normal 10 14 4" xfId="45435"/>
    <cellStyle name="Normal 10 14 5" xfId="45445"/>
    <cellStyle name="Normal 10 14 5 2" xfId="45457"/>
    <cellStyle name="Normal 10 14 5 3" xfId="45469"/>
    <cellStyle name="Normal 10 14 5 3 2" xfId="45486"/>
    <cellStyle name="Normal 10 14 5 4" xfId="45483"/>
    <cellStyle name="Normal 10 14 6" xfId="45455"/>
    <cellStyle name="Normal 10 14 7" xfId="45467"/>
    <cellStyle name="Normal 10 14 8" xfId="45481"/>
    <cellStyle name="Normal 10 2" xfId="154"/>
    <cellStyle name="Normal 10 2 10" xfId="15343"/>
    <cellStyle name="Normal 10 2 11" xfId="30386"/>
    <cellStyle name="Normal 10 2 2" xfId="155"/>
    <cellStyle name="Normal 10 2 2 2" xfId="156"/>
    <cellStyle name="Normal 10 2 2 2 2" xfId="686"/>
    <cellStyle name="Normal 10 2 2 2 2 2" xfId="1645"/>
    <cellStyle name="Normal 10 2 2 2 2 2 2" xfId="3516"/>
    <cellStyle name="Normal 10 2 2 2 2 2 2 2" xfId="7311"/>
    <cellStyle name="Normal 10 2 2 2 2 2 2 2 2" xfId="14834"/>
    <cellStyle name="Normal 10 2 2 2 2 2 2 2 2 2" xfId="29878"/>
    <cellStyle name="Normal 10 2 2 2 2 2 2 2 2 3" xfId="44921"/>
    <cellStyle name="Normal 10 2 2 2 2 2 2 2 3" xfId="22357"/>
    <cellStyle name="Normal 10 2 2 2 2 2 2 2 4" xfId="37400"/>
    <cellStyle name="Normal 10 2 2 2 2 2 2 3" xfId="11085"/>
    <cellStyle name="Normal 10 2 2 2 2 2 2 3 2" xfId="26129"/>
    <cellStyle name="Normal 10 2 2 2 2 2 2 3 3" xfId="41172"/>
    <cellStyle name="Normal 10 2 2 2 2 2 2 4" xfId="18608"/>
    <cellStyle name="Normal 10 2 2 2 2 2 2 5" xfId="33651"/>
    <cellStyle name="Normal 10 2 2 2 2 2 3" xfId="5446"/>
    <cellStyle name="Normal 10 2 2 2 2 2 3 2" xfId="12969"/>
    <cellStyle name="Normal 10 2 2 2 2 2 3 2 2" xfId="28013"/>
    <cellStyle name="Normal 10 2 2 2 2 2 3 2 3" xfId="43056"/>
    <cellStyle name="Normal 10 2 2 2 2 2 3 3" xfId="20492"/>
    <cellStyle name="Normal 10 2 2 2 2 2 3 4" xfId="35535"/>
    <cellStyle name="Normal 10 2 2 2 2 2 4" xfId="9220"/>
    <cellStyle name="Normal 10 2 2 2 2 2 4 2" xfId="24264"/>
    <cellStyle name="Normal 10 2 2 2 2 2 4 3" xfId="39307"/>
    <cellStyle name="Normal 10 2 2 2 2 2 5" xfId="16743"/>
    <cellStyle name="Normal 10 2 2 2 2 2 6" xfId="31786"/>
    <cellStyle name="Normal 10 2 2 2 2 3" xfId="2584"/>
    <cellStyle name="Normal 10 2 2 2 2 3 2" xfId="6379"/>
    <cellStyle name="Normal 10 2 2 2 2 3 2 2" xfId="13902"/>
    <cellStyle name="Normal 10 2 2 2 2 3 2 2 2" xfId="28946"/>
    <cellStyle name="Normal 10 2 2 2 2 3 2 2 3" xfId="43989"/>
    <cellStyle name="Normal 10 2 2 2 2 3 2 3" xfId="21425"/>
    <cellStyle name="Normal 10 2 2 2 2 3 2 4" xfId="36468"/>
    <cellStyle name="Normal 10 2 2 2 2 3 3" xfId="10153"/>
    <cellStyle name="Normal 10 2 2 2 2 3 3 2" xfId="25197"/>
    <cellStyle name="Normal 10 2 2 2 2 3 3 3" xfId="40240"/>
    <cellStyle name="Normal 10 2 2 2 2 3 4" xfId="17676"/>
    <cellStyle name="Normal 10 2 2 2 2 3 5" xfId="32719"/>
    <cellStyle name="Normal 10 2 2 2 2 4" xfId="4514"/>
    <cellStyle name="Normal 10 2 2 2 2 4 2" xfId="12037"/>
    <cellStyle name="Normal 10 2 2 2 2 4 2 2" xfId="27081"/>
    <cellStyle name="Normal 10 2 2 2 2 4 2 3" xfId="42124"/>
    <cellStyle name="Normal 10 2 2 2 2 4 3" xfId="19560"/>
    <cellStyle name="Normal 10 2 2 2 2 4 4" xfId="34603"/>
    <cellStyle name="Normal 10 2 2 2 2 5" xfId="8288"/>
    <cellStyle name="Normal 10 2 2 2 2 5 2" xfId="23332"/>
    <cellStyle name="Normal 10 2 2 2 2 5 3" xfId="38375"/>
    <cellStyle name="Normal 10 2 2 2 2 6" xfId="15811"/>
    <cellStyle name="Normal 10 2 2 2 2 7" xfId="30854"/>
    <cellStyle name="Normal 10 2 2 2 3" xfId="1193"/>
    <cellStyle name="Normal 10 2 2 2 3 2" xfId="3064"/>
    <cellStyle name="Normal 10 2 2 2 3 2 2" xfId="6859"/>
    <cellStyle name="Normal 10 2 2 2 3 2 2 2" xfId="14382"/>
    <cellStyle name="Normal 10 2 2 2 3 2 2 2 2" xfId="29426"/>
    <cellStyle name="Normal 10 2 2 2 3 2 2 2 3" xfId="44469"/>
    <cellStyle name="Normal 10 2 2 2 3 2 2 3" xfId="21905"/>
    <cellStyle name="Normal 10 2 2 2 3 2 2 4" xfId="36948"/>
    <cellStyle name="Normal 10 2 2 2 3 2 3" xfId="10633"/>
    <cellStyle name="Normal 10 2 2 2 3 2 3 2" xfId="25677"/>
    <cellStyle name="Normal 10 2 2 2 3 2 3 3" xfId="40720"/>
    <cellStyle name="Normal 10 2 2 2 3 2 4" xfId="18156"/>
    <cellStyle name="Normal 10 2 2 2 3 2 5" xfId="33199"/>
    <cellStyle name="Normal 10 2 2 2 3 3" xfId="4994"/>
    <cellStyle name="Normal 10 2 2 2 3 3 2" xfId="12517"/>
    <cellStyle name="Normal 10 2 2 2 3 3 2 2" xfId="27561"/>
    <cellStyle name="Normal 10 2 2 2 3 3 2 3" xfId="42604"/>
    <cellStyle name="Normal 10 2 2 2 3 3 3" xfId="20040"/>
    <cellStyle name="Normal 10 2 2 2 3 3 4" xfId="35083"/>
    <cellStyle name="Normal 10 2 2 2 3 4" xfId="8768"/>
    <cellStyle name="Normal 10 2 2 2 3 4 2" xfId="23812"/>
    <cellStyle name="Normal 10 2 2 2 3 4 3" xfId="38855"/>
    <cellStyle name="Normal 10 2 2 2 3 5" xfId="16291"/>
    <cellStyle name="Normal 10 2 2 2 3 6" xfId="31334"/>
    <cellStyle name="Normal 10 2 2 2 4" xfId="2131"/>
    <cellStyle name="Normal 10 2 2 2 4 2" xfId="5927"/>
    <cellStyle name="Normal 10 2 2 2 4 2 2" xfId="13450"/>
    <cellStyle name="Normal 10 2 2 2 4 2 2 2" xfId="28494"/>
    <cellStyle name="Normal 10 2 2 2 4 2 2 3" xfId="43537"/>
    <cellStyle name="Normal 10 2 2 2 4 2 3" xfId="20973"/>
    <cellStyle name="Normal 10 2 2 2 4 2 4" xfId="36016"/>
    <cellStyle name="Normal 10 2 2 2 4 3" xfId="9701"/>
    <cellStyle name="Normal 10 2 2 2 4 3 2" xfId="24745"/>
    <cellStyle name="Normal 10 2 2 2 4 3 3" xfId="39788"/>
    <cellStyle name="Normal 10 2 2 2 4 4" xfId="17224"/>
    <cellStyle name="Normal 10 2 2 2 4 5" xfId="32267"/>
    <cellStyle name="Normal 10 2 2 2 5" xfId="4059"/>
    <cellStyle name="Normal 10 2 2 2 5 2" xfId="11583"/>
    <cellStyle name="Normal 10 2 2 2 5 2 2" xfId="26627"/>
    <cellStyle name="Normal 10 2 2 2 5 2 3" xfId="41670"/>
    <cellStyle name="Normal 10 2 2 2 5 3" xfId="19106"/>
    <cellStyle name="Normal 10 2 2 2 5 4" xfId="34149"/>
    <cellStyle name="Normal 10 2 2 2 6" xfId="7822"/>
    <cellStyle name="Normal 10 2 2 2 6 2" xfId="22866"/>
    <cellStyle name="Normal 10 2 2 2 6 3" xfId="37909"/>
    <cellStyle name="Normal 10 2 2 2 7" xfId="15345"/>
    <cellStyle name="Normal 10 2 2 2 8" xfId="30388"/>
    <cellStyle name="Normal 10 2 2 3" xfId="685"/>
    <cellStyle name="Normal 10 2 2 3 2" xfId="1644"/>
    <cellStyle name="Normal 10 2 2 3 2 2" xfId="3515"/>
    <cellStyle name="Normal 10 2 2 3 2 2 2" xfId="7310"/>
    <cellStyle name="Normal 10 2 2 3 2 2 2 2" xfId="14833"/>
    <cellStyle name="Normal 10 2 2 3 2 2 2 2 2" xfId="29877"/>
    <cellStyle name="Normal 10 2 2 3 2 2 2 2 3" xfId="44920"/>
    <cellStyle name="Normal 10 2 2 3 2 2 2 3" xfId="22356"/>
    <cellStyle name="Normal 10 2 2 3 2 2 2 4" xfId="37399"/>
    <cellStyle name="Normal 10 2 2 3 2 2 3" xfId="11084"/>
    <cellStyle name="Normal 10 2 2 3 2 2 3 2" xfId="26128"/>
    <cellStyle name="Normal 10 2 2 3 2 2 3 3" xfId="41171"/>
    <cellStyle name="Normal 10 2 2 3 2 2 4" xfId="18607"/>
    <cellStyle name="Normal 10 2 2 3 2 2 5" xfId="33650"/>
    <cellStyle name="Normal 10 2 2 3 2 3" xfId="5445"/>
    <cellStyle name="Normal 10 2 2 3 2 3 2" xfId="12968"/>
    <cellStyle name="Normal 10 2 2 3 2 3 2 2" xfId="28012"/>
    <cellStyle name="Normal 10 2 2 3 2 3 2 3" xfId="43055"/>
    <cellStyle name="Normal 10 2 2 3 2 3 3" xfId="20491"/>
    <cellStyle name="Normal 10 2 2 3 2 3 4" xfId="35534"/>
    <cellStyle name="Normal 10 2 2 3 2 4" xfId="9219"/>
    <cellStyle name="Normal 10 2 2 3 2 4 2" xfId="24263"/>
    <cellStyle name="Normal 10 2 2 3 2 4 3" xfId="39306"/>
    <cellStyle name="Normal 10 2 2 3 2 5" xfId="16742"/>
    <cellStyle name="Normal 10 2 2 3 2 6" xfId="31785"/>
    <cellStyle name="Normal 10 2 2 3 3" xfId="2583"/>
    <cellStyle name="Normal 10 2 2 3 3 2" xfId="6378"/>
    <cellStyle name="Normal 10 2 2 3 3 2 2" xfId="13901"/>
    <cellStyle name="Normal 10 2 2 3 3 2 2 2" xfId="28945"/>
    <cellStyle name="Normal 10 2 2 3 3 2 2 3" xfId="43988"/>
    <cellStyle name="Normal 10 2 2 3 3 2 3" xfId="21424"/>
    <cellStyle name="Normal 10 2 2 3 3 2 4" xfId="36467"/>
    <cellStyle name="Normal 10 2 2 3 3 3" xfId="10152"/>
    <cellStyle name="Normal 10 2 2 3 3 3 2" xfId="25196"/>
    <cellStyle name="Normal 10 2 2 3 3 3 3" xfId="40239"/>
    <cellStyle name="Normal 10 2 2 3 3 4" xfId="17675"/>
    <cellStyle name="Normal 10 2 2 3 3 5" xfId="32718"/>
    <cellStyle name="Normal 10 2 2 3 4" xfId="4513"/>
    <cellStyle name="Normal 10 2 2 3 4 2" xfId="12036"/>
    <cellStyle name="Normal 10 2 2 3 4 2 2" xfId="27080"/>
    <cellStyle name="Normal 10 2 2 3 4 2 3" xfId="42123"/>
    <cellStyle name="Normal 10 2 2 3 4 3" xfId="19559"/>
    <cellStyle name="Normal 10 2 2 3 4 4" xfId="34602"/>
    <cellStyle name="Normal 10 2 2 3 5" xfId="8287"/>
    <cellStyle name="Normal 10 2 2 3 5 2" xfId="23331"/>
    <cellStyle name="Normal 10 2 2 3 5 3" xfId="38374"/>
    <cellStyle name="Normal 10 2 2 3 6" xfId="15810"/>
    <cellStyle name="Normal 10 2 2 3 7" xfId="30853"/>
    <cellStyle name="Normal 10 2 2 4" xfId="1192"/>
    <cellStyle name="Normal 10 2 2 4 2" xfId="3063"/>
    <cellStyle name="Normal 10 2 2 4 2 2" xfId="6858"/>
    <cellStyle name="Normal 10 2 2 4 2 2 2" xfId="14381"/>
    <cellStyle name="Normal 10 2 2 4 2 2 2 2" xfId="29425"/>
    <cellStyle name="Normal 10 2 2 4 2 2 2 3" xfId="44468"/>
    <cellStyle name="Normal 10 2 2 4 2 2 3" xfId="21904"/>
    <cellStyle name="Normal 10 2 2 4 2 2 4" xfId="36947"/>
    <cellStyle name="Normal 10 2 2 4 2 3" xfId="10632"/>
    <cellStyle name="Normal 10 2 2 4 2 3 2" xfId="25676"/>
    <cellStyle name="Normal 10 2 2 4 2 3 3" xfId="40719"/>
    <cellStyle name="Normal 10 2 2 4 2 4" xfId="18155"/>
    <cellStyle name="Normal 10 2 2 4 2 5" xfId="33198"/>
    <cellStyle name="Normal 10 2 2 4 3" xfId="4993"/>
    <cellStyle name="Normal 10 2 2 4 3 2" xfId="12516"/>
    <cellStyle name="Normal 10 2 2 4 3 2 2" xfId="27560"/>
    <cellStyle name="Normal 10 2 2 4 3 2 3" xfId="42603"/>
    <cellStyle name="Normal 10 2 2 4 3 3" xfId="20039"/>
    <cellStyle name="Normal 10 2 2 4 3 4" xfId="35082"/>
    <cellStyle name="Normal 10 2 2 4 4" xfId="8767"/>
    <cellStyle name="Normal 10 2 2 4 4 2" xfId="23811"/>
    <cellStyle name="Normal 10 2 2 4 4 3" xfId="38854"/>
    <cellStyle name="Normal 10 2 2 4 5" xfId="16290"/>
    <cellStyle name="Normal 10 2 2 4 6" xfId="31333"/>
    <cellStyle name="Normal 10 2 2 5" xfId="2130"/>
    <cellStyle name="Normal 10 2 2 5 2" xfId="5926"/>
    <cellStyle name="Normal 10 2 2 5 2 2" xfId="13449"/>
    <cellStyle name="Normal 10 2 2 5 2 2 2" xfId="28493"/>
    <cellStyle name="Normal 10 2 2 5 2 2 3" xfId="43536"/>
    <cellStyle name="Normal 10 2 2 5 2 3" xfId="20972"/>
    <cellStyle name="Normal 10 2 2 5 2 4" xfId="36015"/>
    <cellStyle name="Normal 10 2 2 5 3" xfId="9700"/>
    <cellStyle name="Normal 10 2 2 5 3 2" xfId="24744"/>
    <cellStyle name="Normal 10 2 2 5 3 3" xfId="39787"/>
    <cellStyle name="Normal 10 2 2 5 4" xfId="17223"/>
    <cellStyle name="Normal 10 2 2 5 5" xfId="32266"/>
    <cellStyle name="Normal 10 2 2 6" xfId="4058"/>
    <cellStyle name="Normal 10 2 2 6 2" xfId="11582"/>
    <cellStyle name="Normal 10 2 2 6 2 2" xfId="26626"/>
    <cellStyle name="Normal 10 2 2 6 2 3" xfId="41669"/>
    <cellStyle name="Normal 10 2 2 6 3" xfId="19105"/>
    <cellStyle name="Normal 10 2 2 6 4" xfId="34148"/>
    <cellStyle name="Normal 10 2 2 7" xfId="7821"/>
    <cellStyle name="Normal 10 2 2 7 2" xfId="22865"/>
    <cellStyle name="Normal 10 2 2 7 3" xfId="37908"/>
    <cellStyle name="Normal 10 2 2 8" xfId="15344"/>
    <cellStyle name="Normal 10 2 2 9" xfId="30387"/>
    <cellStyle name="Normal 10 2 3" xfId="157"/>
    <cellStyle name="Normal 10 2 3 2" xfId="158"/>
    <cellStyle name="Normal 10 2 3 2 2" xfId="688"/>
    <cellStyle name="Normal 10 2 3 2 2 2" xfId="1647"/>
    <cellStyle name="Normal 10 2 3 2 2 2 2" xfId="3518"/>
    <cellStyle name="Normal 10 2 3 2 2 2 2 2" xfId="7313"/>
    <cellStyle name="Normal 10 2 3 2 2 2 2 2 2" xfId="14836"/>
    <cellStyle name="Normal 10 2 3 2 2 2 2 2 2 2" xfId="29880"/>
    <cellStyle name="Normal 10 2 3 2 2 2 2 2 2 3" xfId="44923"/>
    <cellStyle name="Normal 10 2 3 2 2 2 2 2 3" xfId="22359"/>
    <cellStyle name="Normal 10 2 3 2 2 2 2 2 4" xfId="37402"/>
    <cellStyle name="Normal 10 2 3 2 2 2 2 3" xfId="11087"/>
    <cellStyle name="Normal 10 2 3 2 2 2 2 3 2" xfId="26131"/>
    <cellStyle name="Normal 10 2 3 2 2 2 2 3 3" xfId="41174"/>
    <cellStyle name="Normal 10 2 3 2 2 2 2 4" xfId="18610"/>
    <cellStyle name="Normal 10 2 3 2 2 2 2 5" xfId="33653"/>
    <cellStyle name="Normal 10 2 3 2 2 2 3" xfId="5448"/>
    <cellStyle name="Normal 10 2 3 2 2 2 3 2" xfId="12971"/>
    <cellStyle name="Normal 10 2 3 2 2 2 3 2 2" xfId="28015"/>
    <cellStyle name="Normal 10 2 3 2 2 2 3 2 3" xfId="43058"/>
    <cellStyle name="Normal 10 2 3 2 2 2 3 3" xfId="20494"/>
    <cellStyle name="Normal 10 2 3 2 2 2 3 4" xfId="35537"/>
    <cellStyle name="Normal 10 2 3 2 2 2 4" xfId="9222"/>
    <cellStyle name="Normal 10 2 3 2 2 2 4 2" xfId="24266"/>
    <cellStyle name="Normal 10 2 3 2 2 2 4 3" xfId="39309"/>
    <cellStyle name="Normal 10 2 3 2 2 2 5" xfId="16745"/>
    <cellStyle name="Normal 10 2 3 2 2 2 6" xfId="31788"/>
    <cellStyle name="Normal 10 2 3 2 2 3" xfId="2586"/>
    <cellStyle name="Normal 10 2 3 2 2 3 2" xfId="6381"/>
    <cellStyle name="Normal 10 2 3 2 2 3 2 2" xfId="13904"/>
    <cellStyle name="Normal 10 2 3 2 2 3 2 2 2" xfId="28948"/>
    <cellStyle name="Normal 10 2 3 2 2 3 2 2 3" xfId="43991"/>
    <cellStyle name="Normal 10 2 3 2 2 3 2 3" xfId="21427"/>
    <cellStyle name="Normal 10 2 3 2 2 3 2 4" xfId="36470"/>
    <cellStyle name="Normal 10 2 3 2 2 3 3" xfId="10155"/>
    <cellStyle name="Normal 10 2 3 2 2 3 3 2" xfId="25199"/>
    <cellStyle name="Normal 10 2 3 2 2 3 3 3" xfId="40242"/>
    <cellStyle name="Normal 10 2 3 2 2 3 4" xfId="17678"/>
    <cellStyle name="Normal 10 2 3 2 2 3 5" xfId="32721"/>
    <cellStyle name="Normal 10 2 3 2 2 4" xfId="4516"/>
    <cellStyle name="Normal 10 2 3 2 2 4 2" xfId="12039"/>
    <cellStyle name="Normal 10 2 3 2 2 4 2 2" xfId="27083"/>
    <cellStyle name="Normal 10 2 3 2 2 4 2 3" xfId="42126"/>
    <cellStyle name="Normal 10 2 3 2 2 4 3" xfId="19562"/>
    <cellStyle name="Normal 10 2 3 2 2 4 4" xfId="34605"/>
    <cellStyle name="Normal 10 2 3 2 2 5" xfId="8290"/>
    <cellStyle name="Normal 10 2 3 2 2 5 2" xfId="23334"/>
    <cellStyle name="Normal 10 2 3 2 2 5 3" xfId="38377"/>
    <cellStyle name="Normal 10 2 3 2 2 6" xfId="15813"/>
    <cellStyle name="Normal 10 2 3 2 2 7" xfId="30856"/>
    <cellStyle name="Normal 10 2 3 2 3" xfId="1195"/>
    <cellStyle name="Normal 10 2 3 2 3 2" xfId="3066"/>
    <cellStyle name="Normal 10 2 3 2 3 2 2" xfId="6861"/>
    <cellStyle name="Normal 10 2 3 2 3 2 2 2" xfId="14384"/>
    <cellStyle name="Normal 10 2 3 2 3 2 2 2 2" xfId="29428"/>
    <cellStyle name="Normal 10 2 3 2 3 2 2 2 3" xfId="44471"/>
    <cellStyle name="Normal 10 2 3 2 3 2 2 3" xfId="21907"/>
    <cellStyle name="Normal 10 2 3 2 3 2 2 4" xfId="36950"/>
    <cellStyle name="Normal 10 2 3 2 3 2 3" xfId="10635"/>
    <cellStyle name="Normal 10 2 3 2 3 2 3 2" xfId="25679"/>
    <cellStyle name="Normal 10 2 3 2 3 2 3 3" xfId="40722"/>
    <cellStyle name="Normal 10 2 3 2 3 2 4" xfId="18158"/>
    <cellStyle name="Normal 10 2 3 2 3 2 5" xfId="33201"/>
    <cellStyle name="Normal 10 2 3 2 3 3" xfId="4996"/>
    <cellStyle name="Normal 10 2 3 2 3 3 2" xfId="12519"/>
    <cellStyle name="Normal 10 2 3 2 3 3 2 2" xfId="27563"/>
    <cellStyle name="Normal 10 2 3 2 3 3 2 3" xfId="42606"/>
    <cellStyle name="Normal 10 2 3 2 3 3 3" xfId="20042"/>
    <cellStyle name="Normal 10 2 3 2 3 3 4" xfId="35085"/>
    <cellStyle name="Normal 10 2 3 2 3 4" xfId="8770"/>
    <cellStyle name="Normal 10 2 3 2 3 4 2" xfId="23814"/>
    <cellStyle name="Normal 10 2 3 2 3 4 3" xfId="38857"/>
    <cellStyle name="Normal 10 2 3 2 3 5" xfId="16293"/>
    <cellStyle name="Normal 10 2 3 2 3 6" xfId="31336"/>
    <cellStyle name="Normal 10 2 3 2 4" xfId="2133"/>
    <cellStyle name="Normal 10 2 3 2 4 2" xfId="5929"/>
    <cellStyle name="Normal 10 2 3 2 4 2 2" xfId="13452"/>
    <cellStyle name="Normal 10 2 3 2 4 2 2 2" xfId="28496"/>
    <cellStyle name="Normal 10 2 3 2 4 2 2 3" xfId="43539"/>
    <cellStyle name="Normal 10 2 3 2 4 2 3" xfId="20975"/>
    <cellStyle name="Normal 10 2 3 2 4 2 4" xfId="36018"/>
    <cellStyle name="Normal 10 2 3 2 4 3" xfId="9703"/>
    <cellStyle name="Normal 10 2 3 2 4 3 2" xfId="24747"/>
    <cellStyle name="Normal 10 2 3 2 4 3 3" xfId="39790"/>
    <cellStyle name="Normal 10 2 3 2 4 4" xfId="17226"/>
    <cellStyle name="Normal 10 2 3 2 4 5" xfId="32269"/>
    <cellStyle name="Normal 10 2 3 2 5" xfId="4061"/>
    <cellStyle name="Normal 10 2 3 2 5 2" xfId="11585"/>
    <cellStyle name="Normal 10 2 3 2 5 2 2" xfId="26629"/>
    <cellStyle name="Normal 10 2 3 2 5 2 3" xfId="41672"/>
    <cellStyle name="Normal 10 2 3 2 5 3" xfId="19108"/>
    <cellStyle name="Normal 10 2 3 2 5 4" xfId="34151"/>
    <cellStyle name="Normal 10 2 3 2 6" xfId="7824"/>
    <cellStyle name="Normal 10 2 3 2 6 2" xfId="22868"/>
    <cellStyle name="Normal 10 2 3 2 6 3" xfId="37911"/>
    <cellStyle name="Normal 10 2 3 2 7" xfId="15347"/>
    <cellStyle name="Normal 10 2 3 2 8" xfId="30390"/>
    <cellStyle name="Normal 10 2 3 3" xfId="687"/>
    <cellStyle name="Normal 10 2 3 3 2" xfId="1646"/>
    <cellStyle name="Normal 10 2 3 3 2 2" xfId="3517"/>
    <cellStyle name="Normal 10 2 3 3 2 2 2" xfId="7312"/>
    <cellStyle name="Normal 10 2 3 3 2 2 2 2" xfId="14835"/>
    <cellStyle name="Normal 10 2 3 3 2 2 2 2 2" xfId="29879"/>
    <cellStyle name="Normal 10 2 3 3 2 2 2 2 3" xfId="44922"/>
    <cellStyle name="Normal 10 2 3 3 2 2 2 3" xfId="22358"/>
    <cellStyle name="Normal 10 2 3 3 2 2 2 4" xfId="37401"/>
    <cellStyle name="Normal 10 2 3 3 2 2 3" xfId="11086"/>
    <cellStyle name="Normal 10 2 3 3 2 2 3 2" xfId="26130"/>
    <cellStyle name="Normal 10 2 3 3 2 2 3 3" xfId="41173"/>
    <cellStyle name="Normal 10 2 3 3 2 2 4" xfId="18609"/>
    <cellStyle name="Normal 10 2 3 3 2 2 5" xfId="33652"/>
    <cellStyle name="Normal 10 2 3 3 2 3" xfId="5447"/>
    <cellStyle name="Normal 10 2 3 3 2 3 2" xfId="12970"/>
    <cellStyle name="Normal 10 2 3 3 2 3 2 2" xfId="28014"/>
    <cellStyle name="Normal 10 2 3 3 2 3 2 3" xfId="43057"/>
    <cellStyle name="Normal 10 2 3 3 2 3 3" xfId="20493"/>
    <cellStyle name="Normal 10 2 3 3 2 3 4" xfId="35536"/>
    <cellStyle name="Normal 10 2 3 3 2 4" xfId="9221"/>
    <cellStyle name="Normal 10 2 3 3 2 4 2" xfId="24265"/>
    <cellStyle name="Normal 10 2 3 3 2 4 3" xfId="39308"/>
    <cellStyle name="Normal 10 2 3 3 2 5" xfId="16744"/>
    <cellStyle name="Normal 10 2 3 3 2 6" xfId="31787"/>
    <cellStyle name="Normal 10 2 3 3 3" xfId="2585"/>
    <cellStyle name="Normal 10 2 3 3 3 2" xfId="6380"/>
    <cellStyle name="Normal 10 2 3 3 3 2 2" xfId="13903"/>
    <cellStyle name="Normal 10 2 3 3 3 2 2 2" xfId="28947"/>
    <cellStyle name="Normal 10 2 3 3 3 2 2 3" xfId="43990"/>
    <cellStyle name="Normal 10 2 3 3 3 2 3" xfId="21426"/>
    <cellStyle name="Normal 10 2 3 3 3 2 4" xfId="36469"/>
    <cellStyle name="Normal 10 2 3 3 3 3" xfId="10154"/>
    <cellStyle name="Normal 10 2 3 3 3 3 2" xfId="25198"/>
    <cellStyle name="Normal 10 2 3 3 3 3 3" xfId="40241"/>
    <cellStyle name="Normal 10 2 3 3 3 4" xfId="17677"/>
    <cellStyle name="Normal 10 2 3 3 3 5" xfId="32720"/>
    <cellStyle name="Normal 10 2 3 3 4" xfId="4515"/>
    <cellStyle name="Normal 10 2 3 3 4 2" xfId="12038"/>
    <cellStyle name="Normal 10 2 3 3 4 2 2" xfId="27082"/>
    <cellStyle name="Normal 10 2 3 3 4 2 3" xfId="42125"/>
    <cellStyle name="Normal 10 2 3 3 4 3" xfId="19561"/>
    <cellStyle name="Normal 10 2 3 3 4 4" xfId="34604"/>
    <cellStyle name="Normal 10 2 3 3 5" xfId="8289"/>
    <cellStyle name="Normal 10 2 3 3 5 2" xfId="23333"/>
    <cellStyle name="Normal 10 2 3 3 5 3" xfId="38376"/>
    <cellStyle name="Normal 10 2 3 3 6" xfId="15812"/>
    <cellStyle name="Normal 10 2 3 3 7" xfId="30855"/>
    <cellStyle name="Normal 10 2 3 4" xfId="1194"/>
    <cellStyle name="Normal 10 2 3 4 2" xfId="3065"/>
    <cellStyle name="Normal 10 2 3 4 2 2" xfId="6860"/>
    <cellStyle name="Normal 10 2 3 4 2 2 2" xfId="14383"/>
    <cellStyle name="Normal 10 2 3 4 2 2 2 2" xfId="29427"/>
    <cellStyle name="Normal 10 2 3 4 2 2 2 3" xfId="44470"/>
    <cellStyle name="Normal 10 2 3 4 2 2 3" xfId="21906"/>
    <cellStyle name="Normal 10 2 3 4 2 2 4" xfId="36949"/>
    <cellStyle name="Normal 10 2 3 4 2 3" xfId="10634"/>
    <cellStyle name="Normal 10 2 3 4 2 3 2" xfId="25678"/>
    <cellStyle name="Normal 10 2 3 4 2 3 3" xfId="40721"/>
    <cellStyle name="Normal 10 2 3 4 2 4" xfId="18157"/>
    <cellStyle name="Normal 10 2 3 4 2 5" xfId="33200"/>
    <cellStyle name="Normal 10 2 3 4 3" xfId="4995"/>
    <cellStyle name="Normal 10 2 3 4 3 2" xfId="12518"/>
    <cellStyle name="Normal 10 2 3 4 3 2 2" xfId="27562"/>
    <cellStyle name="Normal 10 2 3 4 3 2 3" xfId="42605"/>
    <cellStyle name="Normal 10 2 3 4 3 3" xfId="20041"/>
    <cellStyle name="Normal 10 2 3 4 3 4" xfId="35084"/>
    <cellStyle name="Normal 10 2 3 4 4" xfId="8769"/>
    <cellStyle name="Normal 10 2 3 4 4 2" xfId="23813"/>
    <cellStyle name="Normal 10 2 3 4 4 3" xfId="38856"/>
    <cellStyle name="Normal 10 2 3 4 5" xfId="16292"/>
    <cellStyle name="Normal 10 2 3 4 6" xfId="31335"/>
    <cellStyle name="Normal 10 2 3 5" xfId="2132"/>
    <cellStyle name="Normal 10 2 3 5 2" xfId="5928"/>
    <cellStyle name="Normal 10 2 3 5 2 2" xfId="13451"/>
    <cellStyle name="Normal 10 2 3 5 2 2 2" xfId="28495"/>
    <cellStyle name="Normal 10 2 3 5 2 2 3" xfId="43538"/>
    <cellStyle name="Normal 10 2 3 5 2 3" xfId="20974"/>
    <cellStyle name="Normal 10 2 3 5 2 4" xfId="36017"/>
    <cellStyle name="Normal 10 2 3 5 3" xfId="9702"/>
    <cellStyle name="Normal 10 2 3 5 3 2" xfId="24746"/>
    <cellStyle name="Normal 10 2 3 5 3 3" xfId="39789"/>
    <cellStyle name="Normal 10 2 3 5 4" xfId="17225"/>
    <cellStyle name="Normal 10 2 3 5 5" xfId="32268"/>
    <cellStyle name="Normal 10 2 3 6" xfId="4060"/>
    <cellStyle name="Normal 10 2 3 6 2" xfId="11584"/>
    <cellStyle name="Normal 10 2 3 6 2 2" xfId="26628"/>
    <cellStyle name="Normal 10 2 3 6 2 3" xfId="41671"/>
    <cellStyle name="Normal 10 2 3 6 3" xfId="19107"/>
    <cellStyle name="Normal 10 2 3 6 4" xfId="34150"/>
    <cellStyle name="Normal 10 2 3 7" xfId="7823"/>
    <cellStyle name="Normal 10 2 3 7 2" xfId="22867"/>
    <cellStyle name="Normal 10 2 3 7 3" xfId="37910"/>
    <cellStyle name="Normal 10 2 3 8" xfId="15346"/>
    <cellStyle name="Normal 10 2 3 9" xfId="30389"/>
    <cellStyle name="Normal 10 2 4" xfId="159"/>
    <cellStyle name="Normal 10 2 4 2" xfId="689"/>
    <cellStyle name="Normal 10 2 4 2 2" xfId="1648"/>
    <cellStyle name="Normal 10 2 4 2 2 2" xfId="3519"/>
    <cellStyle name="Normal 10 2 4 2 2 2 2" xfId="7314"/>
    <cellStyle name="Normal 10 2 4 2 2 2 2 2" xfId="14837"/>
    <cellStyle name="Normal 10 2 4 2 2 2 2 2 2" xfId="29881"/>
    <cellStyle name="Normal 10 2 4 2 2 2 2 2 3" xfId="44924"/>
    <cellStyle name="Normal 10 2 4 2 2 2 2 3" xfId="22360"/>
    <cellStyle name="Normal 10 2 4 2 2 2 2 4" xfId="37403"/>
    <cellStyle name="Normal 10 2 4 2 2 2 3" xfId="11088"/>
    <cellStyle name="Normal 10 2 4 2 2 2 3 2" xfId="26132"/>
    <cellStyle name="Normal 10 2 4 2 2 2 3 3" xfId="41175"/>
    <cellStyle name="Normal 10 2 4 2 2 2 4" xfId="18611"/>
    <cellStyle name="Normal 10 2 4 2 2 2 5" xfId="33654"/>
    <cellStyle name="Normal 10 2 4 2 2 3" xfId="5449"/>
    <cellStyle name="Normal 10 2 4 2 2 3 2" xfId="12972"/>
    <cellStyle name="Normal 10 2 4 2 2 3 2 2" xfId="28016"/>
    <cellStyle name="Normal 10 2 4 2 2 3 2 3" xfId="43059"/>
    <cellStyle name="Normal 10 2 4 2 2 3 3" xfId="20495"/>
    <cellStyle name="Normal 10 2 4 2 2 3 4" xfId="35538"/>
    <cellStyle name="Normal 10 2 4 2 2 4" xfId="9223"/>
    <cellStyle name="Normal 10 2 4 2 2 4 2" xfId="24267"/>
    <cellStyle name="Normal 10 2 4 2 2 4 3" xfId="39310"/>
    <cellStyle name="Normal 10 2 4 2 2 5" xfId="16746"/>
    <cellStyle name="Normal 10 2 4 2 2 6" xfId="31789"/>
    <cellStyle name="Normal 10 2 4 2 3" xfId="2587"/>
    <cellStyle name="Normal 10 2 4 2 3 2" xfId="6382"/>
    <cellStyle name="Normal 10 2 4 2 3 2 2" xfId="13905"/>
    <cellStyle name="Normal 10 2 4 2 3 2 2 2" xfId="28949"/>
    <cellStyle name="Normal 10 2 4 2 3 2 2 3" xfId="43992"/>
    <cellStyle name="Normal 10 2 4 2 3 2 3" xfId="21428"/>
    <cellStyle name="Normal 10 2 4 2 3 2 4" xfId="36471"/>
    <cellStyle name="Normal 10 2 4 2 3 3" xfId="10156"/>
    <cellStyle name="Normal 10 2 4 2 3 3 2" xfId="25200"/>
    <cellStyle name="Normal 10 2 4 2 3 3 3" xfId="40243"/>
    <cellStyle name="Normal 10 2 4 2 3 4" xfId="17679"/>
    <cellStyle name="Normal 10 2 4 2 3 5" xfId="32722"/>
    <cellStyle name="Normal 10 2 4 2 4" xfId="4517"/>
    <cellStyle name="Normal 10 2 4 2 4 2" xfId="12040"/>
    <cellStyle name="Normal 10 2 4 2 4 2 2" xfId="27084"/>
    <cellStyle name="Normal 10 2 4 2 4 2 3" xfId="42127"/>
    <cellStyle name="Normal 10 2 4 2 4 3" xfId="19563"/>
    <cellStyle name="Normal 10 2 4 2 4 4" xfId="34606"/>
    <cellStyle name="Normal 10 2 4 2 5" xfId="8291"/>
    <cellStyle name="Normal 10 2 4 2 5 2" xfId="23335"/>
    <cellStyle name="Normal 10 2 4 2 5 3" xfId="38378"/>
    <cellStyle name="Normal 10 2 4 2 6" xfId="15814"/>
    <cellStyle name="Normal 10 2 4 2 7" xfId="30857"/>
    <cellStyle name="Normal 10 2 4 3" xfId="1196"/>
    <cellStyle name="Normal 10 2 4 3 2" xfId="3067"/>
    <cellStyle name="Normal 10 2 4 3 2 2" xfId="6862"/>
    <cellStyle name="Normal 10 2 4 3 2 2 2" xfId="14385"/>
    <cellStyle name="Normal 10 2 4 3 2 2 2 2" xfId="29429"/>
    <cellStyle name="Normal 10 2 4 3 2 2 2 3" xfId="44472"/>
    <cellStyle name="Normal 10 2 4 3 2 2 3" xfId="21908"/>
    <cellStyle name="Normal 10 2 4 3 2 2 4" xfId="36951"/>
    <cellStyle name="Normal 10 2 4 3 2 3" xfId="10636"/>
    <cellStyle name="Normal 10 2 4 3 2 3 2" xfId="25680"/>
    <cellStyle name="Normal 10 2 4 3 2 3 3" xfId="40723"/>
    <cellStyle name="Normal 10 2 4 3 2 4" xfId="18159"/>
    <cellStyle name="Normal 10 2 4 3 2 5" xfId="33202"/>
    <cellStyle name="Normal 10 2 4 3 3" xfId="4997"/>
    <cellStyle name="Normal 10 2 4 3 3 2" xfId="12520"/>
    <cellStyle name="Normal 10 2 4 3 3 2 2" xfId="27564"/>
    <cellStyle name="Normal 10 2 4 3 3 2 3" xfId="42607"/>
    <cellStyle name="Normal 10 2 4 3 3 3" xfId="20043"/>
    <cellStyle name="Normal 10 2 4 3 3 4" xfId="35086"/>
    <cellStyle name="Normal 10 2 4 3 4" xfId="8771"/>
    <cellStyle name="Normal 10 2 4 3 4 2" xfId="23815"/>
    <cellStyle name="Normal 10 2 4 3 4 3" xfId="38858"/>
    <cellStyle name="Normal 10 2 4 3 5" xfId="16294"/>
    <cellStyle name="Normal 10 2 4 3 6" xfId="31337"/>
    <cellStyle name="Normal 10 2 4 4" xfId="2134"/>
    <cellStyle name="Normal 10 2 4 4 2" xfId="5930"/>
    <cellStyle name="Normal 10 2 4 4 2 2" xfId="13453"/>
    <cellStyle name="Normal 10 2 4 4 2 2 2" xfId="28497"/>
    <cellStyle name="Normal 10 2 4 4 2 2 3" xfId="43540"/>
    <cellStyle name="Normal 10 2 4 4 2 3" xfId="20976"/>
    <cellStyle name="Normal 10 2 4 4 2 4" xfId="36019"/>
    <cellStyle name="Normal 10 2 4 4 3" xfId="9704"/>
    <cellStyle name="Normal 10 2 4 4 3 2" xfId="24748"/>
    <cellStyle name="Normal 10 2 4 4 3 3" xfId="39791"/>
    <cellStyle name="Normal 10 2 4 4 4" xfId="17227"/>
    <cellStyle name="Normal 10 2 4 4 5" xfId="32270"/>
    <cellStyle name="Normal 10 2 4 5" xfId="4062"/>
    <cellStyle name="Normal 10 2 4 5 2" xfId="11586"/>
    <cellStyle name="Normal 10 2 4 5 2 2" xfId="26630"/>
    <cellStyle name="Normal 10 2 4 5 2 3" xfId="41673"/>
    <cellStyle name="Normal 10 2 4 5 3" xfId="19109"/>
    <cellStyle name="Normal 10 2 4 5 4" xfId="34152"/>
    <cellStyle name="Normal 10 2 4 6" xfId="7825"/>
    <cellStyle name="Normal 10 2 4 6 2" xfId="22869"/>
    <cellStyle name="Normal 10 2 4 6 3" xfId="37912"/>
    <cellStyle name="Normal 10 2 4 7" xfId="15348"/>
    <cellStyle name="Normal 10 2 4 8" xfId="30391"/>
    <cellStyle name="Normal 10 2 5" xfId="684"/>
    <cellStyle name="Normal 10 2 5 2" xfId="1643"/>
    <cellStyle name="Normal 10 2 5 2 2" xfId="3514"/>
    <cellStyle name="Normal 10 2 5 2 2 2" xfId="7309"/>
    <cellStyle name="Normal 10 2 5 2 2 2 2" xfId="14832"/>
    <cellStyle name="Normal 10 2 5 2 2 2 2 2" xfId="29876"/>
    <cellStyle name="Normal 10 2 5 2 2 2 2 3" xfId="44919"/>
    <cellStyle name="Normal 10 2 5 2 2 2 3" xfId="22355"/>
    <cellStyle name="Normal 10 2 5 2 2 2 4" xfId="37398"/>
    <cellStyle name="Normal 10 2 5 2 2 3" xfId="11083"/>
    <cellStyle name="Normal 10 2 5 2 2 3 2" xfId="26127"/>
    <cellStyle name="Normal 10 2 5 2 2 3 3" xfId="41170"/>
    <cellStyle name="Normal 10 2 5 2 2 4" xfId="18606"/>
    <cellStyle name="Normal 10 2 5 2 2 5" xfId="33649"/>
    <cellStyle name="Normal 10 2 5 2 3" xfId="5444"/>
    <cellStyle name="Normal 10 2 5 2 3 2" xfId="12967"/>
    <cellStyle name="Normal 10 2 5 2 3 2 2" xfId="28011"/>
    <cellStyle name="Normal 10 2 5 2 3 2 3" xfId="43054"/>
    <cellStyle name="Normal 10 2 5 2 3 3" xfId="20490"/>
    <cellStyle name="Normal 10 2 5 2 3 4" xfId="35533"/>
    <cellStyle name="Normal 10 2 5 2 4" xfId="9218"/>
    <cellStyle name="Normal 10 2 5 2 4 2" xfId="24262"/>
    <cellStyle name="Normal 10 2 5 2 4 3" xfId="39305"/>
    <cellStyle name="Normal 10 2 5 2 5" xfId="16741"/>
    <cellStyle name="Normal 10 2 5 2 6" xfId="31784"/>
    <cellStyle name="Normal 10 2 5 3" xfId="2582"/>
    <cellStyle name="Normal 10 2 5 3 2" xfId="6377"/>
    <cellStyle name="Normal 10 2 5 3 2 2" xfId="13900"/>
    <cellStyle name="Normal 10 2 5 3 2 2 2" xfId="28944"/>
    <cellStyle name="Normal 10 2 5 3 2 2 3" xfId="43987"/>
    <cellStyle name="Normal 10 2 5 3 2 3" xfId="21423"/>
    <cellStyle name="Normal 10 2 5 3 2 4" xfId="36466"/>
    <cellStyle name="Normal 10 2 5 3 3" xfId="10151"/>
    <cellStyle name="Normal 10 2 5 3 3 2" xfId="25195"/>
    <cellStyle name="Normal 10 2 5 3 3 3" xfId="40238"/>
    <cellStyle name="Normal 10 2 5 3 4" xfId="17674"/>
    <cellStyle name="Normal 10 2 5 3 5" xfId="32717"/>
    <cellStyle name="Normal 10 2 5 4" xfId="4512"/>
    <cellStyle name="Normal 10 2 5 4 2" xfId="12035"/>
    <cellStyle name="Normal 10 2 5 4 2 2" xfId="27079"/>
    <cellStyle name="Normal 10 2 5 4 2 3" xfId="42122"/>
    <cellStyle name="Normal 10 2 5 4 3" xfId="19558"/>
    <cellStyle name="Normal 10 2 5 4 4" xfId="34601"/>
    <cellStyle name="Normal 10 2 5 5" xfId="8286"/>
    <cellStyle name="Normal 10 2 5 5 2" xfId="23330"/>
    <cellStyle name="Normal 10 2 5 5 3" xfId="38373"/>
    <cellStyle name="Normal 10 2 5 6" xfId="15809"/>
    <cellStyle name="Normal 10 2 5 7" xfId="30852"/>
    <cellStyle name="Normal 10 2 6" xfId="1191"/>
    <cellStyle name="Normal 10 2 6 2" xfId="3062"/>
    <cellStyle name="Normal 10 2 6 2 2" xfId="6857"/>
    <cellStyle name="Normal 10 2 6 2 2 2" xfId="14380"/>
    <cellStyle name="Normal 10 2 6 2 2 2 2" xfId="29424"/>
    <cellStyle name="Normal 10 2 6 2 2 2 3" xfId="44467"/>
    <cellStyle name="Normal 10 2 6 2 2 3" xfId="21903"/>
    <cellStyle name="Normal 10 2 6 2 2 4" xfId="36946"/>
    <cellStyle name="Normal 10 2 6 2 3" xfId="10631"/>
    <cellStyle name="Normal 10 2 6 2 3 2" xfId="25675"/>
    <cellStyle name="Normal 10 2 6 2 3 3" xfId="40718"/>
    <cellStyle name="Normal 10 2 6 2 4" xfId="18154"/>
    <cellStyle name="Normal 10 2 6 2 5" xfId="33197"/>
    <cellStyle name="Normal 10 2 6 3" xfId="4992"/>
    <cellStyle name="Normal 10 2 6 3 2" xfId="12515"/>
    <cellStyle name="Normal 10 2 6 3 2 2" xfId="27559"/>
    <cellStyle name="Normal 10 2 6 3 2 3" xfId="42602"/>
    <cellStyle name="Normal 10 2 6 3 3" xfId="20038"/>
    <cellStyle name="Normal 10 2 6 3 4" xfId="35081"/>
    <cellStyle name="Normal 10 2 6 4" xfId="8766"/>
    <cellStyle name="Normal 10 2 6 4 2" xfId="23810"/>
    <cellStyle name="Normal 10 2 6 4 3" xfId="38853"/>
    <cellStyle name="Normal 10 2 6 5" xfId="16289"/>
    <cellStyle name="Normal 10 2 6 6" xfId="31332"/>
    <cellStyle name="Normal 10 2 7" xfId="2129"/>
    <cellStyle name="Normal 10 2 7 2" xfId="5925"/>
    <cellStyle name="Normal 10 2 7 2 2" xfId="13448"/>
    <cellStyle name="Normal 10 2 7 2 2 2" xfId="28492"/>
    <cellStyle name="Normal 10 2 7 2 2 3" xfId="43535"/>
    <cellStyle name="Normal 10 2 7 2 3" xfId="20971"/>
    <cellStyle name="Normal 10 2 7 2 4" xfId="36014"/>
    <cellStyle name="Normal 10 2 7 3" xfId="9699"/>
    <cellStyle name="Normal 10 2 7 3 2" xfId="24743"/>
    <cellStyle name="Normal 10 2 7 3 3" xfId="39786"/>
    <cellStyle name="Normal 10 2 7 4" xfId="17222"/>
    <cellStyle name="Normal 10 2 7 5" xfId="32265"/>
    <cellStyle name="Normal 10 2 8" xfId="4057"/>
    <cellStyle name="Normal 10 2 8 2" xfId="11581"/>
    <cellStyle name="Normal 10 2 8 2 2" xfId="26625"/>
    <cellStyle name="Normal 10 2 8 2 3" xfId="41668"/>
    <cellStyle name="Normal 10 2 8 3" xfId="19104"/>
    <cellStyle name="Normal 10 2 8 4" xfId="34147"/>
    <cellStyle name="Normal 10 2 9" xfId="7820"/>
    <cellStyle name="Normal 10 2 9 2" xfId="22864"/>
    <cellStyle name="Normal 10 2 9 3" xfId="37907"/>
    <cellStyle name="Normal 10 3" xfId="160"/>
    <cellStyle name="Normal 10 3 2" xfId="161"/>
    <cellStyle name="Normal 10 3 2 2" xfId="691"/>
    <cellStyle name="Normal 10 3 2 2 2" xfId="1650"/>
    <cellStyle name="Normal 10 3 2 2 2 2" xfId="3521"/>
    <cellStyle name="Normal 10 3 2 2 2 2 2" xfId="7316"/>
    <cellStyle name="Normal 10 3 2 2 2 2 2 2" xfId="14839"/>
    <cellStyle name="Normal 10 3 2 2 2 2 2 2 2" xfId="29883"/>
    <cellStyle name="Normal 10 3 2 2 2 2 2 2 3" xfId="44926"/>
    <cellStyle name="Normal 10 3 2 2 2 2 2 3" xfId="22362"/>
    <cellStyle name="Normal 10 3 2 2 2 2 2 4" xfId="37405"/>
    <cellStyle name="Normal 10 3 2 2 2 2 3" xfId="11090"/>
    <cellStyle name="Normal 10 3 2 2 2 2 3 2" xfId="26134"/>
    <cellStyle name="Normal 10 3 2 2 2 2 3 3" xfId="41177"/>
    <cellStyle name="Normal 10 3 2 2 2 2 4" xfId="18613"/>
    <cellStyle name="Normal 10 3 2 2 2 2 5" xfId="33656"/>
    <cellStyle name="Normal 10 3 2 2 2 3" xfId="5451"/>
    <cellStyle name="Normal 10 3 2 2 2 3 2" xfId="12974"/>
    <cellStyle name="Normal 10 3 2 2 2 3 2 2" xfId="28018"/>
    <cellStyle name="Normal 10 3 2 2 2 3 2 3" xfId="43061"/>
    <cellStyle name="Normal 10 3 2 2 2 3 3" xfId="20497"/>
    <cellStyle name="Normal 10 3 2 2 2 3 4" xfId="35540"/>
    <cellStyle name="Normal 10 3 2 2 2 4" xfId="9225"/>
    <cellStyle name="Normal 10 3 2 2 2 4 2" xfId="24269"/>
    <cellStyle name="Normal 10 3 2 2 2 4 3" xfId="39312"/>
    <cellStyle name="Normal 10 3 2 2 2 5" xfId="16748"/>
    <cellStyle name="Normal 10 3 2 2 2 6" xfId="31791"/>
    <cellStyle name="Normal 10 3 2 2 3" xfId="2589"/>
    <cellStyle name="Normal 10 3 2 2 3 2" xfId="6384"/>
    <cellStyle name="Normal 10 3 2 2 3 2 2" xfId="13907"/>
    <cellStyle name="Normal 10 3 2 2 3 2 2 2" xfId="28951"/>
    <cellStyle name="Normal 10 3 2 2 3 2 2 3" xfId="43994"/>
    <cellStyle name="Normal 10 3 2 2 3 2 3" xfId="21430"/>
    <cellStyle name="Normal 10 3 2 2 3 2 4" xfId="36473"/>
    <cellStyle name="Normal 10 3 2 2 3 3" xfId="10158"/>
    <cellStyle name="Normal 10 3 2 2 3 3 2" xfId="25202"/>
    <cellStyle name="Normal 10 3 2 2 3 3 3" xfId="40245"/>
    <cellStyle name="Normal 10 3 2 2 3 4" xfId="17681"/>
    <cellStyle name="Normal 10 3 2 2 3 5" xfId="32724"/>
    <cellStyle name="Normal 10 3 2 2 4" xfId="4519"/>
    <cellStyle name="Normal 10 3 2 2 4 2" xfId="12042"/>
    <cellStyle name="Normal 10 3 2 2 4 2 2" xfId="27086"/>
    <cellStyle name="Normal 10 3 2 2 4 2 3" xfId="42129"/>
    <cellStyle name="Normal 10 3 2 2 4 3" xfId="19565"/>
    <cellStyle name="Normal 10 3 2 2 4 4" xfId="34608"/>
    <cellStyle name="Normal 10 3 2 2 5" xfId="8293"/>
    <cellStyle name="Normal 10 3 2 2 5 2" xfId="23337"/>
    <cellStyle name="Normal 10 3 2 2 5 3" xfId="38380"/>
    <cellStyle name="Normal 10 3 2 2 6" xfId="15816"/>
    <cellStyle name="Normal 10 3 2 2 7" xfId="30859"/>
    <cellStyle name="Normal 10 3 2 3" xfId="1198"/>
    <cellStyle name="Normal 10 3 2 3 2" xfId="3069"/>
    <cellStyle name="Normal 10 3 2 3 2 2" xfId="6864"/>
    <cellStyle name="Normal 10 3 2 3 2 2 2" xfId="14387"/>
    <cellStyle name="Normal 10 3 2 3 2 2 2 2" xfId="29431"/>
    <cellStyle name="Normal 10 3 2 3 2 2 2 3" xfId="44474"/>
    <cellStyle name="Normal 10 3 2 3 2 2 3" xfId="21910"/>
    <cellStyle name="Normal 10 3 2 3 2 2 4" xfId="36953"/>
    <cellStyle name="Normal 10 3 2 3 2 3" xfId="10638"/>
    <cellStyle name="Normal 10 3 2 3 2 3 2" xfId="25682"/>
    <cellStyle name="Normal 10 3 2 3 2 3 3" xfId="40725"/>
    <cellStyle name="Normal 10 3 2 3 2 4" xfId="18161"/>
    <cellStyle name="Normal 10 3 2 3 2 5" xfId="33204"/>
    <cellStyle name="Normal 10 3 2 3 3" xfId="4999"/>
    <cellStyle name="Normal 10 3 2 3 3 2" xfId="12522"/>
    <cellStyle name="Normal 10 3 2 3 3 2 2" xfId="27566"/>
    <cellStyle name="Normal 10 3 2 3 3 2 3" xfId="42609"/>
    <cellStyle name="Normal 10 3 2 3 3 3" xfId="20045"/>
    <cellStyle name="Normal 10 3 2 3 3 4" xfId="35088"/>
    <cellStyle name="Normal 10 3 2 3 4" xfId="8773"/>
    <cellStyle name="Normal 10 3 2 3 4 2" xfId="23817"/>
    <cellStyle name="Normal 10 3 2 3 4 3" xfId="38860"/>
    <cellStyle name="Normal 10 3 2 3 5" xfId="16296"/>
    <cellStyle name="Normal 10 3 2 3 6" xfId="31339"/>
    <cellStyle name="Normal 10 3 2 4" xfId="2136"/>
    <cellStyle name="Normal 10 3 2 4 2" xfId="5932"/>
    <cellStyle name="Normal 10 3 2 4 2 2" xfId="13455"/>
    <cellStyle name="Normal 10 3 2 4 2 2 2" xfId="28499"/>
    <cellStyle name="Normal 10 3 2 4 2 2 3" xfId="43542"/>
    <cellStyle name="Normal 10 3 2 4 2 3" xfId="20978"/>
    <cellStyle name="Normal 10 3 2 4 2 4" xfId="36021"/>
    <cellStyle name="Normal 10 3 2 4 3" xfId="9706"/>
    <cellStyle name="Normal 10 3 2 4 3 2" xfId="24750"/>
    <cellStyle name="Normal 10 3 2 4 3 3" xfId="39793"/>
    <cellStyle name="Normal 10 3 2 4 4" xfId="17229"/>
    <cellStyle name="Normal 10 3 2 4 5" xfId="32272"/>
    <cellStyle name="Normal 10 3 2 5" xfId="4064"/>
    <cellStyle name="Normal 10 3 2 5 2" xfId="11588"/>
    <cellStyle name="Normal 10 3 2 5 2 2" xfId="26632"/>
    <cellStyle name="Normal 10 3 2 5 2 3" xfId="41675"/>
    <cellStyle name="Normal 10 3 2 5 3" xfId="19111"/>
    <cellStyle name="Normal 10 3 2 5 4" xfId="34154"/>
    <cellStyle name="Normal 10 3 2 6" xfId="7827"/>
    <cellStyle name="Normal 10 3 2 6 2" xfId="22871"/>
    <cellStyle name="Normal 10 3 2 6 3" xfId="37914"/>
    <cellStyle name="Normal 10 3 2 7" xfId="15350"/>
    <cellStyle name="Normal 10 3 2 8" xfId="30393"/>
    <cellStyle name="Normal 10 3 3" xfId="690"/>
    <cellStyle name="Normal 10 3 3 2" xfId="1649"/>
    <cellStyle name="Normal 10 3 3 2 2" xfId="3520"/>
    <cellStyle name="Normal 10 3 3 2 2 2" xfId="7315"/>
    <cellStyle name="Normal 10 3 3 2 2 2 2" xfId="14838"/>
    <cellStyle name="Normal 10 3 3 2 2 2 2 2" xfId="29882"/>
    <cellStyle name="Normal 10 3 3 2 2 2 2 3" xfId="44925"/>
    <cellStyle name="Normal 10 3 3 2 2 2 3" xfId="22361"/>
    <cellStyle name="Normal 10 3 3 2 2 2 4" xfId="37404"/>
    <cellStyle name="Normal 10 3 3 2 2 3" xfId="11089"/>
    <cellStyle name="Normal 10 3 3 2 2 3 2" xfId="26133"/>
    <cellStyle name="Normal 10 3 3 2 2 3 3" xfId="41176"/>
    <cellStyle name="Normal 10 3 3 2 2 4" xfId="18612"/>
    <cellStyle name="Normal 10 3 3 2 2 5" xfId="33655"/>
    <cellStyle name="Normal 10 3 3 2 3" xfId="5450"/>
    <cellStyle name="Normal 10 3 3 2 3 2" xfId="12973"/>
    <cellStyle name="Normal 10 3 3 2 3 2 2" xfId="28017"/>
    <cellStyle name="Normal 10 3 3 2 3 2 3" xfId="43060"/>
    <cellStyle name="Normal 10 3 3 2 3 3" xfId="20496"/>
    <cellStyle name="Normal 10 3 3 2 3 4" xfId="35539"/>
    <cellStyle name="Normal 10 3 3 2 4" xfId="9224"/>
    <cellStyle name="Normal 10 3 3 2 4 2" xfId="24268"/>
    <cellStyle name="Normal 10 3 3 2 4 3" xfId="39311"/>
    <cellStyle name="Normal 10 3 3 2 5" xfId="16747"/>
    <cellStyle name="Normal 10 3 3 2 6" xfId="31790"/>
    <cellStyle name="Normal 10 3 3 3" xfId="2588"/>
    <cellStyle name="Normal 10 3 3 3 2" xfId="6383"/>
    <cellStyle name="Normal 10 3 3 3 2 2" xfId="13906"/>
    <cellStyle name="Normal 10 3 3 3 2 2 2" xfId="28950"/>
    <cellStyle name="Normal 10 3 3 3 2 2 3" xfId="43993"/>
    <cellStyle name="Normal 10 3 3 3 2 3" xfId="21429"/>
    <cellStyle name="Normal 10 3 3 3 2 4" xfId="36472"/>
    <cellStyle name="Normal 10 3 3 3 3" xfId="10157"/>
    <cellStyle name="Normal 10 3 3 3 3 2" xfId="25201"/>
    <cellStyle name="Normal 10 3 3 3 3 3" xfId="40244"/>
    <cellStyle name="Normal 10 3 3 3 4" xfId="17680"/>
    <cellStyle name="Normal 10 3 3 3 5" xfId="32723"/>
    <cellStyle name="Normal 10 3 3 4" xfId="4518"/>
    <cellStyle name="Normal 10 3 3 4 2" xfId="12041"/>
    <cellStyle name="Normal 10 3 3 4 2 2" xfId="27085"/>
    <cellStyle name="Normal 10 3 3 4 2 3" xfId="42128"/>
    <cellStyle name="Normal 10 3 3 4 3" xfId="19564"/>
    <cellStyle name="Normal 10 3 3 4 4" xfId="34607"/>
    <cellStyle name="Normal 10 3 3 5" xfId="8292"/>
    <cellStyle name="Normal 10 3 3 5 2" xfId="23336"/>
    <cellStyle name="Normal 10 3 3 5 3" xfId="38379"/>
    <cellStyle name="Normal 10 3 3 6" xfId="15815"/>
    <cellStyle name="Normal 10 3 3 7" xfId="30858"/>
    <cellStyle name="Normal 10 3 4" xfId="1197"/>
    <cellStyle name="Normal 10 3 4 2" xfId="3068"/>
    <cellStyle name="Normal 10 3 4 2 2" xfId="6863"/>
    <cellStyle name="Normal 10 3 4 2 2 2" xfId="14386"/>
    <cellStyle name="Normal 10 3 4 2 2 2 2" xfId="29430"/>
    <cellStyle name="Normal 10 3 4 2 2 2 3" xfId="44473"/>
    <cellStyle name="Normal 10 3 4 2 2 3" xfId="21909"/>
    <cellStyle name="Normal 10 3 4 2 2 4" xfId="36952"/>
    <cellStyle name="Normal 10 3 4 2 3" xfId="10637"/>
    <cellStyle name="Normal 10 3 4 2 3 2" xfId="25681"/>
    <cellStyle name="Normal 10 3 4 2 3 3" xfId="40724"/>
    <cellStyle name="Normal 10 3 4 2 4" xfId="18160"/>
    <cellStyle name="Normal 10 3 4 2 5" xfId="33203"/>
    <cellStyle name="Normal 10 3 4 3" xfId="4998"/>
    <cellStyle name="Normal 10 3 4 3 2" xfId="12521"/>
    <cellStyle name="Normal 10 3 4 3 2 2" xfId="27565"/>
    <cellStyle name="Normal 10 3 4 3 2 3" xfId="42608"/>
    <cellStyle name="Normal 10 3 4 3 3" xfId="20044"/>
    <cellStyle name="Normal 10 3 4 3 4" xfId="35087"/>
    <cellStyle name="Normal 10 3 4 4" xfId="8772"/>
    <cellStyle name="Normal 10 3 4 4 2" xfId="23816"/>
    <cellStyle name="Normal 10 3 4 4 3" xfId="38859"/>
    <cellStyle name="Normal 10 3 4 5" xfId="16295"/>
    <cellStyle name="Normal 10 3 4 6" xfId="31338"/>
    <cellStyle name="Normal 10 3 5" xfId="2135"/>
    <cellStyle name="Normal 10 3 5 2" xfId="5931"/>
    <cellStyle name="Normal 10 3 5 2 2" xfId="13454"/>
    <cellStyle name="Normal 10 3 5 2 2 2" xfId="28498"/>
    <cellStyle name="Normal 10 3 5 2 2 3" xfId="43541"/>
    <cellStyle name="Normal 10 3 5 2 3" xfId="20977"/>
    <cellStyle name="Normal 10 3 5 2 4" xfId="36020"/>
    <cellStyle name="Normal 10 3 5 3" xfId="9705"/>
    <cellStyle name="Normal 10 3 5 3 2" xfId="24749"/>
    <cellStyle name="Normal 10 3 5 3 3" xfId="39792"/>
    <cellStyle name="Normal 10 3 5 4" xfId="17228"/>
    <cellStyle name="Normal 10 3 5 5" xfId="32271"/>
    <cellStyle name="Normal 10 3 6" xfId="4063"/>
    <cellStyle name="Normal 10 3 6 2" xfId="11587"/>
    <cellStyle name="Normal 10 3 6 2 2" xfId="26631"/>
    <cellStyle name="Normal 10 3 6 2 3" xfId="41674"/>
    <cellStyle name="Normal 10 3 6 3" xfId="19110"/>
    <cellStyle name="Normal 10 3 6 4" xfId="34153"/>
    <cellStyle name="Normal 10 3 7" xfId="7826"/>
    <cellStyle name="Normal 10 3 7 2" xfId="22870"/>
    <cellStyle name="Normal 10 3 7 3" xfId="37913"/>
    <cellStyle name="Normal 10 3 8" xfId="15349"/>
    <cellStyle name="Normal 10 3 9" xfId="30392"/>
    <cellStyle name="Normal 10 4" xfId="162"/>
    <cellStyle name="Normal 10 4 2" xfId="163"/>
    <cellStyle name="Normal 10 4 2 2" xfId="693"/>
    <cellStyle name="Normal 10 4 2 2 2" xfId="1652"/>
    <cellStyle name="Normal 10 4 2 2 2 2" xfId="3523"/>
    <cellStyle name="Normal 10 4 2 2 2 2 2" xfId="7318"/>
    <cellStyle name="Normal 10 4 2 2 2 2 2 2" xfId="14841"/>
    <cellStyle name="Normal 10 4 2 2 2 2 2 2 2" xfId="29885"/>
    <cellStyle name="Normal 10 4 2 2 2 2 2 2 3" xfId="44928"/>
    <cellStyle name="Normal 10 4 2 2 2 2 2 3" xfId="22364"/>
    <cellStyle name="Normal 10 4 2 2 2 2 2 4" xfId="37407"/>
    <cellStyle name="Normal 10 4 2 2 2 2 3" xfId="11092"/>
    <cellStyle name="Normal 10 4 2 2 2 2 3 2" xfId="26136"/>
    <cellStyle name="Normal 10 4 2 2 2 2 3 3" xfId="41179"/>
    <cellStyle name="Normal 10 4 2 2 2 2 4" xfId="18615"/>
    <cellStyle name="Normal 10 4 2 2 2 2 5" xfId="33658"/>
    <cellStyle name="Normal 10 4 2 2 2 3" xfId="5453"/>
    <cellStyle name="Normal 10 4 2 2 2 3 2" xfId="12976"/>
    <cellStyle name="Normal 10 4 2 2 2 3 2 2" xfId="28020"/>
    <cellStyle name="Normal 10 4 2 2 2 3 2 3" xfId="43063"/>
    <cellStyle name="Normal 10 4 2 2 2 3 3" xfId="20499"/>
    <cellStyle name="Normal 10 4 2 2 2 3 4" xfId="35542"/>
    <cellStyle name="Normal 10 4 2 2 2 4" xfId="9227"/>
    <cellStyle name="Normal 10 4 2 2 2 4 2" xfId="24271"/>
    <cellStyle name="Normal 10 4 2 2 2 4 3" xfId="39314"/>
    <cellStyle name="Normal 10 4 2 2 2 5" xfId="16750"/>
    <cellStyle name="Normal 10 4 2 2 2 6" xfId="31793"/>
    <cellStyle name="Normal 10 4 2 2 3" xfId="2591"/>
    <cellStyle name="Normal 10 4 2 2 3 2" xfId="6386"/>
    <cellStyle name="Normal 10 4 2 2 3 2 2" xfId="13909"/>
    <cellStyle name="Normal 10 4 2 2 3 2 2 2" xfId="28953"/>
    <cellStyle name="Normal 10 4 2 2 3 2 2 3" xfId="43996"/>
    <cellStyle name="Normal 10 4 2 2 3 2 3" xfId="21432"/>
    <cellStyle name="Normal 10 4 2 2 3 2 4" xfId="36475"/>
    <cellStyle name="Normal 10 4 2 2 3 3" xfId="10160"/>
    <cellStyle name="Normal 10 4 2 2 3 3 2" xfId="25204"/>
    <cellStyle name="Normal 10 4 2 2 3 3 3" xfId="40247"/>
    <cellStyle name="Normal 10 4 2 2 3 4" xfId="17683"/>
    <cellStyle name="Normal 10 4 2 2 3 5" xfId="32726"/>
    <cellStyle name="Normal 10 4 2 2 4" xfId="4521"/>
    <cellStyle name="Normal 10 4 2 2 4 2" xfId="12044"/>
    <cellStyle name="Normal 10 4 2 2 4 2 2" xfId="27088"/>
    <cellStyle name="Normal 10 4 2 2 4 2 3" xfId="42131"/>
    <cellStyle name="Normal 10 4 2 2 4 3" xfId="19567"/>
    <cellStyle name="Normal 10 4 2 2 4 4" xfId="34610"/>
    <cellStyle name="Normal 10 4 2 2 5" xfId="8295"/>
    <cellStyle name="Normal 10 4 2 2 5 2" xfId="23339"/>
    <cellStyle name="Normal 10 4 2 2 5 3" xfId="38382"/>
    <cellStyle name="Normal 10 4 2 2 6" xfId="15818"/>
    <cellStyle name="Normal 10 4 2 2 7" xfId="30861"/>
    <cellStyle name="Normal 10 4 2 3" xfId="1200"/>
    <cellStyle name="Normal 10 4 2 3 2" xfId="3071"/>
    <cellStyle name="Normal 10 4 2 3 2 2" xfId="6866"/>
    <cellStyle name="Normal 10 4 2 3 2 2 2" xfId="14389"/>
    <cellStyle name="Normal 10 4 2 3 2 2 2 2" xfId="29433"/>
    <cellStyle name="Normal 10 4 2 3 2 2 2 3" xfId="44476"/>
    <cellStyle name="Normal 10 4 2 3 2 2 3" xfId="21912"/>
    <cellStyle name="Normal 10 4 2 3 2 2 4" xfId="36955"/>
    <cellStyle name="Normal 10 4 2 3 2 3" xfId="10640"/>
    <cellStyle name="Normal 10 4 2 3 2 3 2" xfId="25684"/>
    <cellStyle name="Normal 10 4 2 3 2 3 3" xfId="40727"/>
    <cellStyle name="Normal 10 4 2 3 2 4" xfId="18163"/>
    <cellStyle name="Normal 10 4 2 3 2 5" xfId="33206"/>
    <cellStyle name="Normal 10 4 2 3 3" xfId="5001"/>
    <cellStyle name="Normal 10 4 2 3 3 2" xfId="12524"/>
    <cellStyle name="Normal 10 4 2 3 3 2 2" xfId="27568"/>
    <cellStyle name="Normal 10 4 2 3 3 2 3" xfId="42611"/>
    <cellStyle name="Normal 10 4 2 3 3 3" xfId="20047"/>
    <cellStyle name="Normal 10 4 2 3 3 4" xfId="35090"/>
    <cellStyle name="Normal 10 4 2 3 4" xfId="8775"/>
    <cellStyle name="Normal 10 4 2 3 4 2" xfId="23819"/>
    <cellStyle name="Normal 10 4 2 3 4 3" xfId="38862"/>
    <cellStyle name="Normal 10 4 2 3 5" xfId="16298"/>
    <cellStyle name="Normal 10 4 2 3 6" xfId="31341"/>
    <cellStyle name="Normal 10 4 2 4" xfId="2138"/>
    <cellStyle name="Normal 10 4 2 4 2" xfId="5934"/>
    <cellStyle name="Normal 10 4 2 4 2 2" xfId="13457"/>
    <cellStyle name="Normal 10 4 2 4 2 2 2" xfId="28501"/>
    <cellStyle name="Normal 10 4 2 4 2 2 3" xfId="43544"/>
    <cellStyle name="Normal 10 4 2 4 2 3" xfId="20980"/>
    <cellStyle name="Normal 10 4 2 4 2 4" xfId="36023"/>
    <cellStyle name="Normal 10 4 2 4 3" xfId="9708"/>
    <cellStyle name="Normal 10 4 2 4 3 2" xfId="24752"/>
    <cellStyle name="Normal 10 4 2 4 3 3" xfId="39795"/>
    <cellStyle name="Normal 10 4 2 4 4" xfId="17231"/>
    <cellStyle name="Normal 10 4 2 4 5" xfId="32274"/>
    <cellStyle name="Normal 10 4 2 5" xfId="4066"/>
    <cellStyle name="Normal 10 4 2 5 2" xfId="11590"/>
    <cellStyle name="Normal 10 4 2 5 2 2" xfId="26634"/>
    <cellStyle name="Normal 10 4 2 5 2 3" xfId="41677"/>
    <cellStyle name="Normal 10 4 2 5 3" xfId="19113"/>
    <cellStyle name="Normal 10 4 2 5 4" xfId="34156"/>
    <cellStyle name="Normal 10 4 2 6" xfId="7829"/>
    <cellStyle name="Normal 10 4 2 6 2" xfId="22873"/>
    <cellStyle name="Normal 10 4 2 6 3" xfId="37916"/>
    <cellStyle name="Normal 10 4 2 7" xfId="15352"/>
    <cellStyle name="Normal 10 4 2 8" xfId="30395"/>
    <cellStyle name="Normal 10 4 3" xfId="692"/>
    <cellStyle name="Normal 10 4 3 2" xfId="1651"/>
    <cellStyle name="Normal 10 4 3 2 2" xfId="3522"/>
    <cellStyle name="Normal 10 4 3 2 2 2" xfId="7317"/>
    <cellStyle name="Normal 10 4 3 2 2 2 2" xfId="14840"/>
    <cellStyle name="Normal 10 4 3 2 2 2 2 2" xfId="29884"/>
    <cellStyle name="Normal 10 4 3 2 2 2 2 3" xfId="44927"/>
    <cellStyle name="Normal 10 4 3 2 2 2 3" xfId="22363"/>
    <cellStyle name="Normal 10 4 3 2 2 2 4" xfId="37406"/>
    <cellStyle name="Normal 10 4 3 2 2 3" xfId="11091"/>
    <cellStyle name="Normal 10 4 3 2 2 3 2" xfId="26135"/>
    <cellStyle name="Normal 10 4 3 2 2 3 3" xfId="41178"/>
    <cellStyle name="Normal 10 4 3 2 2 4" xfId="18614"/>
    <cellStyle name="Normal 10 4 3 2 2 5" xfId="33657"/>
    <cellStyle name="Normal 10 4 3 2 3" xfId="5452"/>
    <cellStyle name="Normal 10 4 3 2 3 2" xfId="12975"/>
    <cellStyle name="Normal 10 4 3 2 3 2 2" xfId="28019"/>
    <cellStyle name="Normal 10 4 3 2 3 2 3" xfId="43062"/>
    <cellStyle name="Normal 10 4 3 2 3 3" xfId="20498"/>
    <cellStyle name="Normal 10 4 3 2 3 4" xfId="35541"/>
    <cellStyle name="Normal 10 4 3 2 4" xfId="9226"/>
    <cellStyle name="Normal 10 4 3 2 4 2" xfId="24270"/>
    <cellStyle name="Normal 10 4 3 2 4 3" xfId="39313"/>
    <cellStyle name="Normal 10 4 3 2 5" xfId="16749"/>
    <cellStyle name="Normal 10 4 3 2 6" xfId="31792"/>
    <cellStyle name="Normal 10 4 3 3" xfId="2590"/>
    <cellStyle name="Normal 10 4 3 3 2" xfId="6385"/>
    <cellStyle name="Normal 10 4 3 3 2 2" xfId="13908"/>
    <cellStyle name="Normal 10 4 3 3 2 2 2" xfId="28952"/>
    <cellStyle name="Normal 10 4 3 3 2 2 3" xfId="43995"/>
    <cellStyle name="Normal 10 4 3 3 2 3" xfId="21431"/>
    <cellStyle name="Normal 10 4 3 3 2 4" xfId="36474"/>
    <cellStyle name="Normal 10 4 3 3 3" xfId="10159"/>
    <cellStyle name="Normal 10 4 3 3 3 2" xfId="25203"/>
    <cellStyle name="Normal 10 4 3 3 3 3" xfId="40246"/>
    <cellStyle name="Normal 10 4 3 3 4" xfId="17682"/>
    <cellStyle name="Normal 10 4 3 3 5" xfId="32725"/>
    <cellStyle name="Normal 10 4 3 4" xfId="4520"/>
    <cellStyle name="Normal 10 4 3 4 2" xfId="12043"/>
    <cellStyle name="Normal 10 4 3 4 2 2" xfId="27087"/>
    <cellStyle name="Normal 10 4 3 4 2 3" xfId="42130"/>
    <cellStyle name="Normal 10 4 3 4 3" xfId="19566"/>
    <cellStyle name="Normal 10 4 3 4 4" xfId="34609"/>
    <cellStyle name="Normal 10 4 3 5" xfId="8294"/>
    <cellStyle name="Normal 10 4 3 5 2" xfId="23338"/>
    <cellStyle name="Normal 10 4 3 5 3" xfId="38381"/>
    <cellStyle name="Normal 10 4 3 6" xfId="15817"/>
    <cellStyle name="Normal 10 4 3 7" xfId="30860"/>
    <cellStyle name="Normal 10 4 4" xfId="1199"/>
    <cellStyle name="Normal 10 4 4 2" xfId="3070"/>
    <cellStyle name="Normal 10 4 4 2 2" xfId="6865"/>
    <cellStyle name="Normal 10 4 4 2 2 2" xfId="14388"/>
    <cellStyle name="Normal 10 4 4 2 2 2 2" xfId="29432"/>
    <cellStyle name="Normal 10 4 4 2 2 2 3" xfId="44475"/>
    <cellStyle name="Normal 10 4 4 2 2 3" xfId="21911"/>
    <cellStyle name="Normal 10 4 4 2 2 4" xfId="36954"/>
    <cellStyle name="Normal 10 4 4 2 3" xfId="10639"/>
    <cellStyle name="Normal 10 4 4 2 3 2" xfId="25683"/>
    <cellStyle name="Normal 10 4 4 2 3 3" xfId="40726"/>
    <cellStyle name="Normal 10 4 4 2 4" xfId="18162"/>
    <cellStyle name="Normal 10 4 4 2 5" xfId="33205"/>
    <cellStyle name="Normal 10 4 4 3" xfId="5000"/>
    <cellStyle name="Normal 10 4 4 3 2" xfId="12523"/>
    <cellStyle name="Normal 10 4 4 3 2 2" xfId="27567"/>
    <cellStyle name="Normal 10 4 4 3 2 3" xfId="42610"/>
    <cellStyle name="Normal 10 4 4 3 3" xfId="20046"/>
    <cellStyle name="Normal 10 4 4 3 4" xfId="35089"/>
    <cellStyle name="Normal 10 4 4 4" xfId="8774"/>
    <cellStyle name="Normal 10 4 4 4 2" xfId="23818"/>
    <cellStyle name="Normal 10 4 4 4 3" xfId="38861"/>
    <cellStyle name="Normal 10 4 4 5" xfId="16297"/>
    <cellStyle name="Normal 10 4 4 6" xfId="31340"/>
    <cellStyle name="Normal 10 4 5" xfId="2137"/>
    <cellStyle name="Normal 10 4 5 2" xfId="5933"/>
    <cellStyle name="Normal 10 4 5 2 2" xfId="13456"/>
    <cellStyle name="Normal 10 4 5 2 2 2" xfId="28500"/>
    <cellStyle name="Normal 10 4 5 2 2 3" xfId="43543"/>
    <cellStyle name="Normal 10 4 5 2 3" xfId="20979"/>
    <cellStyle name="Normal 10 4 5 2 4" xfId="36022"/>
    <cellStyle name="Normal 10 4 5 3" xfId="9707"/>
    <cellStyle name="Normal 10 4 5 3 2" xfId="24751"/>
    <cellStyle name="Normal 10 4 5 3 3" xfId="39794"/>
    <cellStyle name="Normal 10 4 5 4" xfId="17230"/>
    <cellStyle name="Normal 10 4 5 5" xfId="32273"/>
    <cellStyle name="Normal 10 4 6" xfId="4065"/>
    <cellStyle name="Normal 10 4 6 2" xfId="11589"/>
    <cellStyle name="Normal 10 4 6 2 2" xfId="26633"/>
    <cellStyle name="Normal 10 4 6 2 3" xfId="41676"/>
    <cellStyle name="Normal 10 4 6 3" xfId="19112"/>
    <cellStyle name="Normal 10 4 6 4" xfId="34155"/>
    <cellStyle name="Normal 10 4 7" xfId="7828"/>
    <cellStyle name="Normal 10 4 7 2" xfId="22872"/>
    <cellStyle name="Normal 10 4 7 3" xfId="37915"/>
    <cellStyle name="Normal 10 4 8" xfId="15351"/>
    <cellStyle name="Normal 10 4 9" xfId="30394"/>
    <cellStyle name="Normal 10 5" xfId="164"/>
    <cellStyle name="Normal 10 5 2" xfId="694"/>
    <cellStyle name="Normal 10 5 2 2" xfId="1653"/>
    <cellStyle name="Normal 10 5 2 2 2" xfId="3524"/>
    <cellStyle name="Normal 10 5 2 2 2 2" xfId="7319"/>
    <cellStyle name="Normal 10 5 2 2 2 2 2" xfId="14842"/>
    <cellStyle name="Normal 10 5 2 2 2 2 2 2" xfId="29886"/>
    <cellStyle name="Normal 10 5 2 2 2 2 2 3" xfId="44929"/>
    <cellStyle name="Normal 10 5 2 2 2 2 3" xfId="22365"/>
    <cellStyle name="Normal 10 5 2 2 2 2 4" xfId="37408"/>
    <cellStyle name="Normal 10 5 2 2 2 3" xfId="11093"/>
    <cellStyle name="Normal 10 5 2 2 2 3 2" xfId="26137"/>
    <cellStyle name="Normal 10 5 2 2 2 3 3" xfId="41180"/>
    <cellStyle name="Normal 10 5 2 2 2 4" xfId="18616"/>
    <cellStyle name="Normal 10 5 2 2 2 5" xfId="33659"/>
    <cellStyle name="Normal 10 5 2 2 3" xfId="5454"/>
    <cellStyle name="Normal 10 5 2 2 3 2" xfId="12977"/>
    <cellStyle name="Normal 10 5 2 2 3 2 2" xfId="28021"/>
    <cellStyle name="Normal 10 5 2 2 3 2 3" xfId="43064"/>
    <cellStyle name="Normal 10 5 2 2 3 3" xfId="20500"/>
    <cellStyle name="Normal 10 5 2 2 3 4" xfId="35543"/>
    <cellStyle name="Normal 10 5 2 2 4" xfId="9228"/>
    <cellStyle name="Normal 10 5 2 2 4 2" xfId="24272"/>
    <cellStyle name="Normal 10 5 2 2 4 3" xfId="39315"/>
    <cellStyle name="Normal 10 5 2 2 5" xfId="16751"/>
    <cellStyle name="Normal 10 5 2 2 6" xfId="31794"/>
    <cellStyle name="Normal 10 5 2 3" xfId="2592"/>
    <cellStyle name="Normal 10 5 2 3 2" xfId="6387"/>
    <cellStyle name="Normal 10 5 2 3 2 2" xfId="13910"/>
    <cellStyle name="Normal 10 5 2 3 2 2 2" xfId="28954"/>
    <cellStyle name="Normal 10 5 2 3 2 2 3" xfId="43997"/>
    <cellStyle name="Normal 10 5 2 3 2 3" xfId="21433"/>
    <cellStyle name="Normal 10 5 2 3 2 4" xfId="36476"/>
    <cellStyle name="Normal 10 5 2 3 3" xfId="10161"/>
    <cellStyle name="Normal 10 5 2 3 3 2" xfId="25205"/>
    <cellStyle name="Normal 10 5 2 3 3 3" xfId="40248"/>
    <cellStyle name="Normal 10 5 2 3 4" xfId="17684"/>
    <cellStyle name="Normal 10 5 2 3 5" xfId="32727"/>
    <cellStyle name="Normal 10 5 2 4" xfId="4522"/>
    <cellStyle name="Normal 10 5 2 4 2" xfId="12045"/>
    <cellStyle name="Normal 10 5 2 4 2 2" xfId="27089"/>
    <cellStyle name="Normal 10 5 2 4 2 3" xfId="42132"/>
    <cellStyle name="Normal 10 5 2 4 3" xfId="19568"/>
    <cellStyle name="Normal 10 5 2 4 4" xfId="34611"/>
    <cellStyle name="Normal 10 5 2 5" xfId="8296"/>
    <cellStyle name="Normal 10 5 2 5 2" xfId="23340"/>
    <cellStyle name="Normal 10 5 2 5 3" xfId="38383"/>
    <cellStyle name="Normal 10 5 2 6" xfId="15819"/>
    <cellStyle name="Normal 10 5 2 7" xfId="30862"/>
    <cellStyle name="Normal 10 5 3" xfId="1201"/>
    <cellStyle name="Normal 10 5 3 2" xfId="3072"/>
    <cellStyle name="Normal 10 5 3 2 2" xfId="6867"/>
    <cellStyle name="Normal 10 5 3 2 2 2" xfId="14390"/>
    <cellStyle name="Normal 10 5 3 2 2 2 2" xfId="29434"/>
    <cellStyle name="Normal 10 5 3 2 2 2 3" xfId="44477"/>
    <cellStyle name="Normal 10 5 3 2 2 3" xfId="21913"/>
    <cellStyle name="Normal 10 5 3 2 2 4" xfId="36956"/>
    <cellStyle name="Normal 10 5 3 2 3" xfId="10641"/>
    <cellStyle name="Normal 10 5 3 2 3 2" xfId="25685"/>
    <cellStyle name="Normal 10 5 3 2 3 3" xfId="40728"/>
    <cellStyle name="Normal 10 5 3 2 4" xfId="18164"/>
    <cellStyle name="Normal 10 5 3 2 5" xfId="33207"/>
    <cellStyle name="Normal 10 5 3 3" xfId="5002"/>
    <cellStyle name="Normal 10 5 3 3 2" xfId="12525"/>
    <cellStyle name="Normal 10 5 3 3 2 2" xfId="27569"/>
    <cellStyle name="Normal 10 5 3 3 2 3" xfId="42612"/>
    <cellStyle name="Normal 10 5 3 3 3" xfId="20048"/>
    <cellStyle name="Normal 10 5 3 3 4" xfId="35091"/>
    <cellStyle name="Normal 10 5 3 4" xfId="8776"/>
    <cellStyle name="Normal 10 5 3 4 2" xfId="23820"/>
    <cellStyle name="Normal 10 5 3 4 3" xfId="38863"/>
    <cellStyle name="Normal 10 5 3 5" xfId="16299"/>
    <cellStyle name="Normal 10 5 3 6" xfId="31342"/>
    <cellStyle name="Normal 10 5 4" xfId="2139"/>
    <cellStyle name="Normal 10 5 4 2" xfId="5935"/>
    <cellStyle name="Normal 10 5 4 2 2" xfId="13458"/>
    <cellStyle name="Normal 10 5 4 2 2 2" xfId="28502"/>
    <cellStyle name="Normal 10 5 4 2 2 3" xfId="43545"/>
    <cellStyle name="Normal 10 5 4 2 3" xfId="20981"/>
    <cellStyle name="Normal 10 5 4 2 4" xfId="36024"/>
    <cellStyle name="Normal 10 5 4 3" xfId="9709"/>
    <cellStyle name="Normal 10 5 4 3 2" xfId="24753"/>
    <cellStyle name="Normal 10 5 4 3 3" xfId="39796"/>
    <cellStyle name="Normal 10 5 4 4" xfId="17232"/>
    <cellStyle name="Normal 10 5 4 5" xfId="32275"/>
    <cellStyle name="Normal 10 5 5" xfId="4067"/>
    <cellStyle name="Normal 10 5 5 2" xfId="11591"/>
    <cellStyle name="Normal 10 5 5 2 2" xfId="26635"/>
    <cellStyle name="Normal 10 5 5 2 3" xfId="41678"/>
    <cellStyle name="Normal 10 5 5 3" xfId="19114"/>
    <cellStyle name="Normal 10 5 5 4" xfId="34157"/>
    <cellStyle name="Normal 10 5 6" xfId="7830"/>
    <cellStyle name="Normal 10 5 6 2" xfId="22874"/>
    <cellStyle name="Normal 10 5 6 3" xfId="37917"/>
    <cellStyle name="Normal 10 5 7" xfId="15353"/>
    <cellStyle name="Normal 10 5 8" xfId="30396"/>
    <cellStyle name="Normal 10 6" xfId="683"/>
    <cellStyle name="Normal 10 6 2" xfId="1642"/>
    <cellStyle name="Normal 10 6 2 2" xfId="3513"/>
    <cellStyle name="Normal 10 6 2 2 2" xfId="7308"/>
    <cellStyle name="Normal 10 6 2 2 2 2" xfId="14831"/>
    <cellStyle name="Normal 10 6 2 2 2 2 2" xfId="29875"/>
    <cellStyle name="Normal 10 6 2 2 2 2 3" xfId="44918"/>
    <cellStyle name="Normal 10 6 2 2 2 3" xfId="22354"/>
    <cellStyle name="Normal 10 6 2 2 2 4" xfId="37397"/>
    <cellStyle name="Normal 10 6 2 2 3" xfId="11082"/>
    <cellStyle name="Normal 10 6 2 2 3 2" xfId="26126"/>
    <cellStyle name="Normal 10 6 2 2 3 3" xfId="41169"/>
    <cellStyle name="Normal 10 6 2 2 4" xfId="18605"/>
    <cellStyle name="Normal 10 6 2 2 5" xfId="33648"/>
    <cellStyle name="Normal 10 6 2 3" xfId="5443"/>
    <cellStyle name="Normal 10 6 2 3 2" xfId="12966"/>
    <cellStyle name="Normal 10 6 2 3 2 2" xfId="28010"/>
    <cellStyle name="Normal 10 6 2 3 2 3" xfId="43053"/>
    <cellStyle name="Normal 10 6 2 3 3" xfId="20489"/>
    <cellStyle name="Normal 10 6 2 3 4" xfId="35532"/>
    <cellStyle name="Normal 10 6 2 4" xfId="9217"/>
    <cellStyle name="Normal 10 6 2 4 2" xfId="24261"/>
    <cellStyle name="Normal 10 6 2 4 3" xfId="39304"/>
    <cellStyle name="Normal 10 6 2 5" xfId="16740"/>
    <cellStyle name="Normal 10 6 2 6" xfId="31783"/>
    <cellStyle name="Normal 10 6 3" xfId="2581"/>
    <cellStyle name="Normal 10 6 3 2" xfId="6376"/>
    <cellStyle name="Normal 10 6 3 2 2" xfId="13899"/>
    <cellStyle name="Normal 10 6 3 2 2 2" xfId="28943"/>
    <cellStyle name="Normal 10 6 3 2 2 3" xfId="43986"/>
    <cellStyle name="Normal 10 6 3 2 3" xfId="21422"/>
    <cellStyle name="Normal 10 6 3 2 4" xfId="36465"/>
    <cellStyle name="Normal 10 6 3 3" xfId="10150"/>
    <cellStyle name="Normal 10 6 3 3 2" xfId="25194"/>
    <cellStyle name="Normal 10 6 3 3 3" xfId="40237"/>
    <cellStyle name="Normal 10 6 3 4" xfId="17673"/>
    <cellStyle name="Normal 10 6 3 5" xfId="32716"/>
    <cellStyle name="Normal 10 6 4" xfId="4511"/>
    <cellStyle name="Normal 10 6 4 2" xfId="12034"/>
    <cellStyle name="Normal 10 6 4 2 2" xfId="27078"/>
    <cellStyle name="Normal 10 6 4 2 3" xfId="42121"/>
    <cellStyle name="Normal 10 6 4 3" xfId="19557"/>
    <cellStyle name="Normal 10 6 4 4" xfId="34600"/>
    <cellStyle name="Normal 10 6 5" xfId="8285"/>
    <cellStyle name="Normal 10 6 5 2" xfId="23329"/>
    <cellStyle name="Normal 10 6 5 3" xfId="38372"/>
    <cellStyle name="Normal 10 6 6" xfId="15808"/>
    <cellStyle name="Normal 10 6 7" xfId="30851"/>
    <cellStyle name="Normal 10 7" xfId="1190"/>
    <cellStyle name="Normal 10 7 2" xfId="3061"/>
    <cellStyle name="Normal 10 7 2 2" xfId="6856"/>
    <cellStyle name="Normal 10 7 2 2 2" xfId="14379"/>
    <cellStyle name="Normal 10 7 2 2 2 2" xfId="29423"/>
    <cellStyle name="Normal 10 7 2 2 2 3" xfId="44466"/>
    <cellStyle name="Normal 10 7 2 2 3" xfId="21902"/>
    <cellStyle name="Normal 10 7 2 2 4" xfId="36945"/>
    <cellStyle name="Normal 10 7 2 3" xfId="10630"/>
    <cellStyle name="Normal 10 7 2 3 2" xfId="25674"/>
    <cellStyle name="Normal 10 7 2 3 3" xfId="40717"/>
    <cellStyle name="Normal 10 7 2 4" xfId="18153"/>
    <cellStyle name="Normal 10 7 2 5" xfId="33196"/>
    <cellStyle name="Normal 10 7 3" xfId="4991"/>
    <cellStyle name="Normal 10 7 3 2" xfId="12514"/>
    <cellStyle name="Normal 10 7 3 2 2" xfId="27558"/>
    <cellStyle name="Normal 10 7 3 2 3" xfId="42601"/>
    <cellStyle name="Normal 10 7 3 3" xfId="20037"/>
    <cellStyle name="Normal 10 7 3 4" xfId="35080"/>
    <cellStyle name="Normal 10 7 4" xfId="8765"/>
    <cellStyle name="Normal 10 7 4 2" xfId="23809"/>
    <cellStyle name="Normal 10 7 4 3" xfId="38852"/>
    <cellStyle name="Normal 10 7 5" xfId="16288"/>
    <cellStyle name="Normal 10 7 6" xfId="31331"/>
    <cellStyle name="Normal 10 8" xfId="2128"/>
    <cellStyle name="Normal 10 8 2" xfId="5924"/>
    <cellStyle name="Normal 10 8 2 2" xfId="13447"/>
    <cellStyle name="Normal 10 8 2 2 2" xfId="28491"/>
    <cellStyle name="Normal 10 8 2 2 3" xfId="43534"/>
    <cellStyle name="Normal 10 8 2 3" xfId="20970"/>
    <cellStyle name="Normal 10 8 2 4" xfId="36013"/>
    <cellStyle name="Normal 10 8 3" xfId="9698"/>
    <cellStyle name="Normal 10 8 3 2" xfId="24742"/>
    <cellStyle name="Normal 10 8 3 3" xfId="39785"/>
    <cellStyle name="Normal 10 8 4" xfId="17221"/>
    <cellStyle name="Normal 10 8 5" xfId="32264"/>
    <cellStyle name="Normal 10 9" xfId="4056"/>
    <cellStyle name="Normal 10 9 2" xfId="11580"/>
    <cellStyle name="Normal 10 9 2 2" xfId="26624"/>
    <cellStyle name="Normal 10 9 2 3" xfId="41667"/>
    <cellStyle name="Normal 10 9 3" xfId="19103"/>
    <cellStyle name="Normal 10 9 4" xfId="34146"/>
    <cellStyle name="Normal 11" xfId="165"/>
    <cellStyle name="Normal 11 10" xfId="30397"/>
    <cellStyle name="Normal 11 2" xfId="166"/>
    <cellStyle name="Normal 11 3" xfId="167"/>
    <cellStyle name="Normal 11 3 2" xfId="696"/>
    <cellStyle name="Normal 11 3 2 2" xfId="1655"/>
    <cellStyle name="Normal 11 3 2 2 2" xfId="3526"/>
    <cellStyle name="Normal 11 3 2 2 2 2" xfId="7321"/>
    <cellStyle name="Normal 11 3 2 2 2 2 2" xfId="14844"/>
    <cellStyle name="Normal 11 3 2 2 2 2 2 2" xfId="29888"/>
    <cellStyle name="Normal 11 3 2 2 2 2 2 3" xfId="44931"/>
    <cellStyle name="Normal 11 3 2 2 2 2 3" xfId="22367"/>
    <cellStyle name="Normal 11 3 2 2 2 2 4" xfId="37410"/>
    <cellStyle name="Normal 11 3 2 2 2 3" xfId="11095"/>
    <cellStyle name="Normal 11 3 2 2 2 3 2" xfId="26139"/>
    <cellStyle name="Normal 11 3 2 2 2 3 3" xfId="41182"/>
    <cellStyle name="Normal 11 3 2 2 2 4" xfId="18618"/>
    <cellStyle name="Normal 11 3 2 2 2 5" xfId="33661"/>
    <cellStyle name="Normal 11 3 2 2 3" xfId="5456"/>
    <cellStyle name="Normal 11 3 2 2 3 2" xfId="12979"/>
    <cellStyle name="Normal 11 3 2 2 3 2 2" xfId="28023"/>
    <cellStyle name="Normal 11 3 2 2 3 2 3" xfId="43066"/>
    <cellStyle name="Normal 11 3 2 2 3 3" xfId="20502"/>
    <cellStyle name="Normal 11 3 2 2 3 4" xfId="35545"/>
    <cellStyle name="Normal 11 3 2 2 4" xfId="9230"/>
    <cellStyle name="Normal 11 3 2 2 4 2" xfId="24274"/>
    <cellStyle name="Normal 11 3 2 2 4 3" xfId="39317"/>
    <cellStyle name="Normal 11 3 2 2 5" xfId="16753"/>
    <cellStyle name="Normal 11 3 2 2 6" xfId="31796"/>
    <cellStyle name="Normal 11 3 2 3" xfId="2594"/>
    <cellStyle name="Normal 11 3 2 3 2" xfId="6389"/>
    <cellStyle name="Normal 11 3 2 3 2 2" xfId="13912"/>
    <cellStyle name="Normal 11 3 2 3 2 2 2" xfId="28956"/>
    <cellStyle name="Normal 11 3 2 3 2 2 3" xfId="43999"/>
    <cellStyle name="Normal 11 3 2 3 2 3" xfId="21435"/>
    <cellStyle name="Normal 11 3 2 3 2 4" xfId="36478"/>
    <cellStyle name="Normal 11 3 2 3 3" xfId="10163"/>
    <cellStyle name="Normal 11 3 2 3 3 2" xfId="25207"/>
    <cellStyle name="Normal 11 3 2 3 3 3" xfId="40250"/>
    <cellStyle name="Normal 11 3 2 3 4" xfId="17686"/>
    <cellStyle name="Normal 11 3 2 3 5" xfId="32729"/>
    <cellStyle name="Normal 11 3 2 4" xfId="4524"/>
    <cellStyle name="Normal 11 3 2 4 2" xfId="12047"/>
    <cellStyle name="Normal 11 3 2 4 2 2" xfId="27091"/>
    <cellStyle name="Normal 11 3 2 4 2 3" xfId="42134"/>
    <cellStyle name="Normal 11 3 2 4 3" xfId="19570"/>
    <cellStyle name="Normal 11 3 2 4 4" xfId="34613"/>
    <cellStyle name="Normal 11 3 2 5" xfId="8298"/>
    <cellStyle name="Normal 11 3 2 5 2" xfId="23342"/>
    <cellStyle name="Normal 11 3 2 5 3" xfId="38385"/>
    <cellStyle name="Normal 11 3 2 6" xfId="15821"/>
    <cellStyle name="Normal 11 3 2 7" xfId="30864"/>
    <cellStyle name="Normal 11 3 3" xfId="1203"/>
    <cellStyle name="Normal 11 3 3 2" xfId="3074"/>
    <cellStyle name="Normal 11 3 3 2 2" xfId="6869"/>
    <cellStyle name="Normal 11 3 3 2 2 2" xfId="14392"/>
    <cellStyle name="Normal 11 3 3 2 2 2 2" xfId="29436"/>
    <cellStyle name="Normal 11 3 3 2 2 2 3" xfId="44479"/>
    <cellStyle name="Normal 11 3 3 2 2 3" xfId="21915"/>
    <cellStyle name="Normal 11 3 3 2 2 4" xfId="36958"/>
    <cellStyle name="Normal 11 3 3 2 3" xfId="10643"/>
    <cellStyle name="Normal 11 3 3 2 3 2" xfId="25687"/>
    <cellStyle name="Normal 11 3 3 2 3 3" xfId="40730"/>
    <cellStyle name="Normal 11 3 3 2 4" xfId="18166"/>
    <cellStyle name="Normal 11 3 3 2 5" xfId="33209"/>
    <cellStyle name="Normal 11 3 3 3" xfId="5004"/>
    <cellStyle name="Normal 11 3 3 3 2" xfId="12527"/>
    <cellStyle name="Normal 11 3 3 3 2 2" xfId="27571"/>
    <cellStyle name="Normal 11 3 3 3 2 3" xfId="42614"/>
    <cellStyle name="Normal 11 3 3 3 3" xfId="20050"/>
    <cellStyle name="Normal 11 3 3 3 4" xfId="35093"/>
    <cellStyle name="Normal 11 3 3 4" xfId="8778"/>
    <cellStyle name="Normal 11 3 3 4 2" xfId="23822"/>
    <cellStyle name="Normal 11 3 3 4 3" xfId="38865"/>
    <cellStyle name="Normal 11 3 3 5" xfId="16301"/>
    <cellStyle name="Normal 11 3 3 6" xfId="31344"/>
    <cellStyle name="Normal 11 3 4" xfId="2141"/>
    <cellStyle name="Normal 11 3 4 2" xfId="5937"/>
    <cellStyle name="Normal 11 3 4 2 2" xfId="13460"/>
    <cellStyle name="Normal 11 3 4 2 2 2" xfId="28504"/>
    <cellStyle name="Normal 11 3 4 2 2 3" xfId="43547"/>
    <cellStyle name="Normal 11 3 4 2 3" xfId="20983"/>
    <cellStyle name="Normal 11 3 4 2 4" xfId="36026"/>
    <cellStyle name="Normal 11 3 4 3" xfId="9711"/>
    <cellStyle name="Normal 11 3 4 3 2" xfId="24755"/>
    <cellStyle name="Normal 11 3 4 3 3" xfId="39798"/>
    <cellStyle name="Normal 11 3 4 4" xfId="17234"/>
    <cellStyle name="Normal 11 3 4 5" xfId="32277"/>
    <cellStyle name="Normal 11 3 5" xfId="4069"/>
    <cellStyle name="Normal 11 3 5 2" xfId="11593"/>
    <cellStyle name="Normal 11 3 5 2 2" xfId="26637"/>
    <cellStyle name="Normal 11 3 5 2 3" xfId="41680"/>
    <cellStyle name="Normal 11 3 5 3" xfId="19116"/>
    <cellStyle name="Normal 11 3 5 4" xfId="34159"/>
    <cellStyle name="Normal 11 3 6" xfId="7832"/>
    <cellStyle name="Normal 11 3 6 2" xfId="22876"/>
    <cellStyle name="Normal 11 3 6 3" xfId="37919"/>
    <cellStyle name="Normal 11 3 7" xfId="15355"/>
    <cellStyle name="Normal 11 3 8" xfId="30398"/>
    <cellStyle name="Normal 11 4" xfId="695"/>
    <cellStyle name="Normal 11 4 2" xfId="1654"/>
    <cellStyle name="Normal 11 4 2 2" xfId="3525"/>
    <cellStyle name="Normal 11 4 2 2 2" xfId="7320"/>
    <cellStyle name="Normal 11 4 2 2 2 2" xfId="14843"/>
    <cellStyle name="Normal 11 4 2 2 2 2 2" xfId="29887"/>
    <cellStyle name="Normal 11 4 2 2 2 2 3" xfId="44930"/>
    <cellStyle name="Normal 11 4 2 2 2 3" xfId="22366"/>
    <cellStyle name="Normal 11 4 2 2 2 4" xfId="37409"/>
    <cellStyle name="Normal 11 4 2 2 3" xfId="11094"/>
    <cellStyle name="Normal 11 4 2 2 3 2" xfId="26138"/>
    <cellStyle name="Normal 11 4 2 2 3 3" xfId="41181"/>
    <cellStyle name="Normal 11 4 2 2 4" xfId="18617"/>
    <cellStyle name="Normal 11 4 2 2 5" xfId="33660"/>
    <cellStyle name="Normal 11 4 2 3" xfId="5455"/>
    <cellStyle name="Normal 11 4 2 3 2" xfId="12978"/>
    <cellStyle name="Normal 11 4 2 3 2 2" xfId="28022"/>
    <cellStyle name="Normal 11 4 2 3 2 3" xfId="43065"/>
    <cellStyle name="Normal 11 4 2 3 3" xfId="20501"/>
    <cellStyle name="Normal 11 4 2 3 4" xfId="35544"/>
    <cellStyle name="Normal 11 4 2 4" xfId="9229"/>
    <cellStyle name="Normal 11 4 2 4 2" xfId="24273"/>
    <cellStyle name="Normal 11 4 2 4 3" xfId="39316"/>
    <cellStyle name="Normal 11 4 2 5" xfId="16752"/>
    <cellStyle name="Normal 11 4 2 6" xfId="31795"/>
    <cellStyle name="Normal 11 4 3" xfId="2593"/>
    <cellStyle name="Normal 11 4 3 2" xfId="6388"/>
    <cellStyle name="Normal 11 4 3 2 2" xfId="13911"/>
    <cellStyle name="Normal 11 4 3 2 2 2" xfId="28955"/>
    <cellStyle name="Normal 11 4 3 2 2 3" xfId="43998"/>
    <cellStyle name="Normal 11 4 3 2 3" xfId="21434"/>
    <cellStyle name="Normal 11 4 3 2 4" xfId="36477"/>
    <cellStyle name="Normal 11 4 3 3" xfId="10162"/>
    <cellStyle name="Normal 11 4 3 3 2" xfId="25206"/>
    <cellStyle name="Normal 11 4 3 3 3" xfId="40249"/>
    <cellStyle name="Normal 11 4 3 4" xfId="17685"/>
    <cellStyle name="Normal 11 4 3 5" xfId="32728"/>
    <cellStyle name="Normal 11 4 4" xfId="4523"/>
    <cellStyle name="Normal 11 4 4 2" xfId="12046"/>
    <cellStyle name="Normal 11 4 4 2 2" xfId="27090"/>
    <cellStyle name="Normal 11 4 4 2 3" xfId="42133"/>
    <cellStyle name="Normal 11 4 4 3" xfId="19569"/>
    <cellStyle name="Normal 11 4 4 4" xfId="34612"/>
    <cellStyle name="Normal 11 4 5" xfId="8297"/>
    <cellStyle name="Normal 11 4 5 2" xfId="23341"/>
    <cellStyle name="Normal 11 4 5 3" xfId="38384"/>
    <cellStyle name="Normal 11 4 6" xfId="15820"/>
    <cellStyle name="Normal 11 4 7" xfId="30863"/>
    <cellStyle name="Normal 11 5" xfId="1202"/>
    <cellStyle name="Normal 11 5 2" xfId="3073"/>
    <cellStyle name="Normal 11 5 2 2" xfId="6868"/>
    <cellStyle name="Normal 11 5 2 2 2" xfId="14391"/>
    <cellStyle name="Normal 11 5 2 2 2 2" xfId="29435"/>
    <cellStyle name="Normal 11 5 2 2 2 3" xfId="44478"/>
    <cellStyle name="Normal 11 5 2 2 3" xfId="21914"/>
    <cellStyle name="Normal 11 5 2 2 4" xfId="36957"/>
    <cellStyle name="Normal 11 5 2 3" xfId="10642"/>
    <cellStyle name="Normal 11 5 2 3 2" xfId="25686"/>
    <cellStyle name="Normal 11 5 2 3 3" xfId="40729"/>
    <cellStyle name="Normal 11 5 2 4" xfId="18165"/>
    <cellStyle name="Normal 11 5 2 5" xfId="33208"/>
    <cellStyle name="Normal 11 5 3" xfId="5003"/>
    <cellStyle name="Normal 11 5 3 2" xfId="12526"/>
    <cellStyle name="Normal 11 5 3 2 2" xfId="27570"/>
    <cellStyle name="Normal 11 5 3 2 3" xfId="42613"/>
    <cellStyle name="Normal 11 5 3 3" xfId="20049"/>
    <cellStyle name="Normal 11 5 3 4" xfId="35092"/>
    <cellStyle name="Normal 11 5 4" xfId="8777"/>
    <cellStyle name="Normal 11 5 4 2" xfId="23821"/>
    <cellStyle name="Normal 11 5 4 3" xfId="38864"/>
    <cellStyle name="Normal 11 5 5" xfId="16300"/>
    <cellStyle name="Normal 11 5 6" xfId="31343"/>
    <cellStyle name="Normal 11 6" xfId="2140"/>
    <cellStyle name="Normal 11 6 2" xfId="5936"/>
    <cellStyle name="Normal 11 6 2 2" xfId="13459"/>
    <cellStyle name="Normal 11 6 2 2 2" xfId="28503"/>
    <cellStyle name="Normal 11 6 2 2 3" xfId="43546"/>
    <cellStyle name="Normal 11 6 2 3" xfId="20982"/>
    <cellStyle name="Normal 11 6 2 4" xfId="36025"/>
    <cellStyle name="Normal 11 6 3" xfId="9710"/>
    <cellStyle name="Normal 11 6 3 2" xfId="24754"/>
    <cellStyle name="Normal 11 6 3 3" xfId="39797"/>
    <cellStyle name="Normal 11 6 4" xfId="17233"/>
    <cellStyle name="Normal 11 6 5" xfId="32276"/>
    <cellStyle name="Normal 11 7" xfId="4068"/>
    <cellStyle name="Normal 11 7 2" xfId="11592"/>
    <cellStyle name="Normal 11 7 2 2" xfId="26636"/>
    <cellStyle name="Normal 11 7 2 3" xfId="41679"/>
    <cellStyle name="Normal 11 7 3" xfId="19115"/>
    <cellStyle name="Normal 11 7 4" xfId="34158"/>
    <cellStyle name="Normal 11 8" xfId="7831"/>
    <cellStyle name="Normal 11 8 2" xfId="22875"/>
    <cellStyle name="Normal 11 8 3" xfId="37918"/>
    <cellStyle name="Normal 11 9" xfId="15354"/>
    <cellStyle name="Normal 12" xfId="168"/>
    <cellStyle name="Normal 13" xfId="169"/>
    <cellStyle name="Normal 13 10" xfId="7833"/>
    <cellStyle name="Normal 13 10 2" xfId="22877"/>
    <cellStyle name="Normal 13 10 3" xfId="37920"/>
    <cellStyle name="Normal 13 11" xfId="15356"/>
    <cellStyle name="Normal 13 12" xfId="30399"/>
    <cellStyle name="Normal 13 2" xfId="170"/>
    <cellStyle name="Normal 13 2 10" xfId="30400"/>
    <cellStyle name="Normal 13 2 2" xfId="171"/>
    <cellStyle name="Normal 13 2 2 2" xfId="172"/>
    <cellStyle name="Normal 13 2 2 2 2" xfId="700"/>
    <cellStyle name="Normal 13 2 2 2 2 2" xfId="1659"/>
    <cellStyle name="Normal 13 2 2 2 2 2 2" xfId="3530"/>
    <cellStyle name="Normal 13 2 2 2 2 2 2 2" xfId="7325"/>
    <cellStyle name="Normal 13 2 2 2 2 2 2 2 2" xfId="14848"/>
    <cellStyle name="Normal 13 2 2 2 2 2 2 2 2 2" xfId="29892"/>
    <cellStyle name="Normal 13 2 2 2 2 2 2 2 2 3" xfId="44935"/>
    <cellStyle name="Normal 13 2 2 2 2 2 2 2 3" xfId="22371"/>
    <cellStyle name="Normal 13 2 2 2 2 2 2 2 4" xfId="37414"/>
    <cellStyle name="Normal 13 2 2 2 2 2 2 3" xfId="11099"/>
    <cellStyle name="Normal 13 2 2 2 2 2 2 3 2" xfId="26143"/>
    <cellStyle name="Normal 13 2 2 2 2 2 2 3 3" xfId="41186"/>
    <cellStyle name="Normal 13 2 2 2 2 2 2 4" xfId="18622"/>
    <cellStyle name="Normal 13 2 2 2 2 2 2 5" xfId="33665"/>
    <cellStyle name="Normal 13 2 2 2 2 2 3" xfId="5460"/>
    <cellStyle name="Normal 13 2 2 2 2 2 3 2" xfId="12983"/>
    <cellStyle name="Normal 13 2 2 2 2 2 3 2 2" xfId="28027"/>
    <cellStyle name="Normal 13 2 2 2 2 2 3 2 3" xfId="43070"/>
    <cellStyle name="Normal 13 2 2 2 2 2 3 3" xfId="20506"/>
    <cellStyle name="Normal 13 2 2 2 2 2 3 4" xfId="35549"/>
    <cellStyle name="Normal 13 2 2 2 2 2 4" xfId="9234"/>
    <cellStyle name="Normal 13 2 2 2 2 2 4 2" xfId="24278"/>
    <cellStyle name="Normal 13 2 2 2 2 2 4 3" xfId="39321"/>
    <cellStyle name="Normal 13 2 2 2 2 2 5" xfId="16757"/>
    <cellStyle name="Normal 13 2 2 2 2 2 6" xfId="31800"/>
    <cellStyle name="Normal 13 2 2 2 2 3" xfId="2598"/>
    <cellStyle name="Normal 13 2 2 2 2 3 2" xfId="6393"/>
    <cellStyle name="Normal 13 2 2 2 2 3 2 2" xfId="13916"/>
    <cellStyle name="Normal 13 2 2 2 2 3 2 2 2" xfId="28960"/>
    <cellStyle name="Normal 13 2 2 2 2 3 2 2 3" xfId="44003"/>
    <cellStyle name="Normal 13 2 2 2 2 3 2 3" xfId="21439"/>
    <cellStyle name="Normal 13 2 2 2 2 3 2 4" xfId="36482"/>
    <cellStyle name="Normal 13 2 2 2 2 3 3" xfId="10167"/>
    <cellStyle name="Normal 13 2 2 2 2 3 3 2" xfId="25211"/>
    <cellStyle name="Normal 13 2 2 2 2 3 3 3" xfId="40254"/>
    <cellStyle name="Normal 13 2 2 2 2 3 4" xfId="17690"/>
    <cellStyle name="Normal 13 2 2 2 2 3 5" xfId="32733"/>
    <cellStyle name="Normal 13 2 2 2 2 4" xfId="4528"/>
    <cellStyle name="Normal 13 2 2 2 2 4 2" xfId="12051"/>
    <cellStyle name="Normal 13 2 2 2 2 4 2 2" xfId="27095"/>
    <cellStyle name="Normal 13 2 2 2 2 4 2 3" xfId="42138"/>
    <cellStyle name="Normal 13 2 2 2 2 4 3" xfId="19574"/>
    <cellStyle name="Normal 13 2 2 2 2 4 4" xfId="34617"/>
    <cellStyle name="Normal 13 2 2 2 2 5" xfId="8302"/>
    <cellStyle name="Normal 13 2 2 2 2 5 2" xfId="23346"/>
    <cellStyle name="Normal 13 2 2 2 2 5 3" xfId="38389"/>
    <cellStyle name="Normal 13 2 2 2 2 6" xfId="15825"/>
    <cellStyle name="Normal 13 2 2 2 2 7" xfId="30868"/>
    <cellStyle name="Normal 13 2 2 2 3" xfId="1207"/>
    <cellStyle name="Normal 13 2 2 2 3 2" xfId="3078"/>
    <cellStyle name="Normal 13 2 2 2 3 2 2" xfId="6873"/>
    <cellStyle name="Normal 13 2 2 2 3 2 2 2" xfId="14396"/>
    <cellStyle name="Normal 13 2 2 2 3 2 2 2 2" xfId="29440"/>
    <cellStyle name="Normal 13 2 2 2 3 2 2 2 3" xfId="44483"/>
    <cellStyle name="Normal 13 2 2 2 3 2 2 3" xfId="21919"/>
    <cellStyle name="Normal 13 2 2 2 3 2 2 4" xfId="36962"/>
    <cellStyle name="Normal 13 2 2 2 3 2 3" xfId="10647"/>
    <cellStyle name="Normal 13 2 2 2 3 2 3 2" xfId="25691"/>
    <cellStyle name="Normal 13 2 2 2 3 2 3 3" xfId="40734"/>
    <cellStyle name="Normal 13 2 2 2 3 2 4" xfId="18170"/>
    <cellStyle name="Normal 13 2 2 2 3 2 5" xfId="33213"/>
    <cellStyle name="Normal 13 2 2 2 3 3" xfId="5008"/>
    <cellStyle name="Normal 13 2 2 2 3 3 2" xfId="12531"/>
    <cellStyle name="Normal 13 2 2 2 3 3 2 2" xfId="27575"/>
    <cellStyle name="Normal 13 2 2 2 3 3 2 3" xfId="42618"/>
    <cellStyle name="Normal 13 2 2 2 3 3 3" xfId="20054"/>
    <cellStyle name="Normal 13 2 2 2 3 3 4" xfId="35097"/>
    <cellStyle name="Normal 13 2 2 2 3 4" xfId="8782"/>
    <cellStyle name="Normal 13 2 2 2 3 4 2" xfId="23826"/>
    <cellStyle name="Normal 13 2 2 2 3 4 3" xfId="38869"/>
    <cellStyle name="Normal 13 2 2 2 3 5" xfId="16305"/>
    <cellStyle name="Normal 13 2 2 2 3 6" xfId="31348"/>
    <cellStyle name="Normal 13 2 2 2 4" xfId="2145"/>
    <cellStyle name="Normal 13 2 2 2 4 2" xfId="5941"/>
    <cellStyle name="Normal 13 2 2 2 4 2 2" xfId="13464"/>
    <cellStyle name="Normal 13 2 2 2 4 2 2 2" xfId="28508"/>
    <cellStyle name="Normal 13 2 2 2 4 2 2 3" xfId="43551"/>
    <cellStyle name="Normal 13 2 2 2 4 2 3" xfId="20987"/>
    <cellStyle name="Normal 13 2 2 2 4 2 4" xfId="36030"/>
    <cellStyle name="Normal 13 2 2 2 4 3" xfId="9715"/>
    <cellStyle name="Normal 13 2 2 2 4 3 2" xfId="24759"/>
    <cellStyle name="Normal 13 2 2 2 4 3 3" xfId="39802"/>
    <cellStyle name="Normal 13 2 2 2 4 4" xfId="17238"/>
    <cellStyle name="Normal 13 2 2 2 4 5" xfId="32281"/>
    <cellStyle name="Normal 13 2 2 2 5" xfId="4073"/>
    <cellStyle name="Normal 13 2 2 2 5 2" xfId="11597"/>
    <cellStyle name="Normal 13 2 2 2 5 2 2" xfId="26641"/>
    <cellStyle name="Normal 13 2 2 2 5 2 3" xfId="41684"/>
    <cellStyle name="Normal 13 2 2 2 5 3" xfId="19120"/>
    <cellStyle name="Normal 13 2 2 2 5 4" xfId="34163"/>
    <cellStyle name="Normal 13 2 2 2 6" xfId="7836"/>
    <cellStyle name="Normal 13 2 2 2 6 2" xfId="22880"/>
    <cellStyle name="Normal 13 2 2 2 6 3" xfId="37923"/>
    <cellStyle name="Normal 13 2 2 2 7" xfId="15359"/>
    <cellStyle name="Normal 13 2 2 2 8" xfId="30402"/>
    <cellStyle name="Normal 13 2 2 3" xfId="699"/>
    <cellStyle name="Normal 13 2 2 3 2" xfId="1658"/>
    <cellStyle name="Normal 13 2 2 3 2 2" xfId="3529"/>
    <cellStyle name="Normal 13 2 2 3 2 2 2" xfId="7324"/>
    <cellStyle name="Normal 13 2 2 3 2 2 2 2" xfId="14847"/>
    <cellStyle name="Normal 13 2 2 3 2 2 2 2 2" xfId="29891"/>
    <cellStyle name="Normal 13 2 2 3 2 2 2 2 3" xfId="44934"/>
    <cellStyle name="Normal 13 2 2 3 2 2 2 3" xfId="22370"/>
    <cellStyle name="Normal 13 2 2 3 2 2 2 4" xfId="37413"/>
    <cellStyle name="Normal 13 2 2 3 2 2 3" xfId="11098"/>
    <cellStyle name="Normal 13 2 2 3 2 2 3 2" xfId="26142"/>
    <cellStyle name="Normal 13 2 2 3 2 2 3 3" xfId="41185"/>
    <cellStyle name="Normal 13 2 2 3 2 2 4" xfId="18621"/>
    <cellStyle name="Normal 13 2 2 3 2 2 5" xfId="33664"/>
    <cellStyle name="Normal 13 2 2 3 2 3" xfId="5459"/>
    <cellStyle name="Normal 13 2 2 3 2 3 2" xfId="12982"/>
    <cellStyle name="Normal 13 2 2 3 2 3 2 2" xfId="28026"/>
    <cellStyle name="Normal 13 2 2 3 2 3 2 3" xfId="43069"/>
    <cellStyle name="Normal 13 2 2 3 2 3 3" xfId="20505"/>
    <cellStyle name="Normal 13 2 2 3 2 3 4" xfId="35548"/>
    <cellStyle name="Normal 13 2 2 3 2 4" xfId="9233"/>
    <cellStyle name="Normal 13 2 2 3 2 4 2" xfId="24277"/>
    <cellStyle name="Normal 13 2 2 3 2 4 3" xfId="39320"/>
    <cellStyle name="Normal 13 2 2 3 2 5" xfId="16756"/>
    <cellStyle name="Normal 13 2 2 3 2 6" xfId="31799"/>
    <cellStyle name="Normal 13 2 2 3 3" xfId="2597"/>
    <cellStyle name="Normal 13 2 2 3 3 2" xfId="6392"/>
    <cellStyle name="Normal 13 2 2 3 3 2 2" xfId="13915"/>
    <cellStyle name="Normal 13 2 2 3 3 2 2 2" xfId="28959"/>
    <cellStyle name="Normal 13 2 2 3 3 2 2 3" xfId="44002"/>
    <cellStyle name="Normal 13 2 2 3 3 2 3" xfId="21438"/>
    <cellStyle name="Normal 13 2 2 3 3 2 4" xfId="36481"/>
    <cellStyle name="Normal 13 2 2 3 3 3" xfId="10166"/>
    <cellStyle name="Normal 13 2 2 3 3 3 2" xfId="25210"/>
    <cellStyle name="Normal 13 2 2 3 3 3 3" xfId="40253"/>
    <cellStyle name="Normal 13 2 2 3 3 4" xfId="17689"/>
    <cellStyle name="Normal 13 2 2 3 3 5" xfId="32732"/>
    <cellStyle name="Normal 13 2 2 3 4" xfId="4527"/>
    <cellStyle name="Normal 13 2 2 3 4 2" xfId="12050"/>
    <cellStyle name="Normal 13 2 2 3 4 2 2" xfId="27094"/>
    <cellStyle name="Normal 13 2 2 3 4 2 3" xfId="42137"/>
    <cellStyle name="Normal 13 2 2 3 4 3" xfId="19573"/>
    <cellStyle name="Normal 13 2 2 3 4 4" xfId="34616"/>
    <cellStyle name="Normal 13 2 2 3 5" xfId="8301"/>
    <cellStyle name="Normal 13 2 2 3 5 2" xfId="23345"/>
    <cellStyle name="Normal 13 2 2 3 5 3" xfId="38388"/>
    <cellStyle name="Normal 13 2 2 3 6" xfId="15824"/>
    <cellStyle name="Normal 13 2 2 3 7" xfId="30867"/>
    <cellStyle name="Normal 13 2 2 4" xfId="1206"/>
    <cellStyle name="Normal 13 2 2 4 2" xfId="3077"/>
    <cellStyle name="Normal 13 2 2 4 2 2" xfId="6872"/>
    <cellStyle name="Normal 13 2 2 4 2 2 2" xfId="14395"/>
    <cellStyle name="Normal 13 2 2 4 2 2 2 2" xfId="29439"/>
    <cellStyle name="Normal 13 2 2 4 2 2 2 3" xfId="44482"/>
    <cellStyle name="Normal 13 2 2 4 2 2 3" xfId="21918"/>
    <cellStyle name="Normal 13 2 2 4 2 2 4" xfId="36961"/>
    <cellStyle name="Normal 13 2 2 4 2 3" xfId="10646"/>
    <cellStyle name="Normal 13 2 2 4 2 3 2" xfId="25690"/>
    <cellStyle name="Normal 13 2 2 4 2 3 3" xfId="40733"/>
    <cellStyle name="Normal 13 2 2 4 2 4" xfId="18169"/>
    <cellStyle name="Normal 13 2 2 4 2 5" xfId="33212"/>
    <cellStyle name="Normal 13 2 2 4 3" xfId="5007"/>
    <cellStyle name="Normal 13 2 2 4 3 2" xfId="12530"/>
    <cellStyle name="Normal 13 2 2 4 3 2 2" xfId="27574"/>
    <cellStyle name="Normal 13 2 2 4 3 2 3" xfId="42617"/>
    <cellStyle name="Normal 13 2 2 4 3 3" xfId="20053"/>
    <cellStyle name="Normal 13 2 2 4 3 4" xfId="35096"/>
    <cellStyle name="Normal 13 2 2 4 4" xfId="8781"/>
    <cellStyle name="Normal 13 2 2 4 4 2" xfId="23825"/>
    <cellStyle name="Normal 13 2 2 4 4 3" xfId="38868"/>
    <cellStyle name="Normal 13 2 2 4 5" xfId="16304"/>
    <cellStyle name="Normal 13 2 2 4 6" xfId="31347"/>
    <cellStyle name="Normal 13 2 2 5" xfId="2144"/>
    <cellStyle name="Normal 13 2 2 5 2" xfId="5940"/>
    <cellStyle name="Normal 13 2 2 5 2 2" xfId="13463"/>
    <cellStyle name="Normal 13 2 2 5 2 2 2" xfId="28507"/>
    <cellStyle name="Normal 13 2 2 5 2 2 3" xfId="43550"/>
    <cellStyle name="Normal 13 2 2 5 2 3" xfId="20986"/>
    <cellStyle name="Normal 13 2 2 5 2 4" xfId="36029"/>
    <cellStyle name="Normal 13 2 2 5 3" xfId="9714"/>
    <cellStyle name="Normal 13 2 2 5 3 2" xfId="24758"/>
    <cellStyle name="Normal 13 2 2 5 3 3" xfId="39801"/>
    <cellStyle name="Normal 13 2 2 5 4" xfId="17237"/>
    <cellStyle name="Normal 13 2 2 5 5" xfId="32280"/>
    <cellStyle name="Normal 13 2 2 6" xfId="4072"/>
    <cellStyle name="Normal 13 2 2 6 2" xfId="11596"/>
    <cellStyle name="Normal 13 2 2 6 2 2" xfId="26640"/>
    <cellStyle name="Normal 13 2 2 6 2 3" xfId="41683"/>
    <cellStyle name="Normal 13 2 2 6 3" xfId="19119"/>
    <cellStyle name="Normal 13 2 2 6 4" xfId="34162"/>
    <cellStyle name="Normal 13 2 2 7" xfId="7835"/>
    <cellStyle name="Normal 13 2 2 7 2" xfId="22879"/>
    <cellStyle name="Normal 13 2 2 7 3" xfId="37922"/>
    <cellStyle name="Normal 13 2 2 8" xfId="15358"/>
    <cellStyle name="Normal 13 2 2 9" xfId="30401"/>
    <cellStyle name="Normal 13 2 3" xfId="173"/>
    <cellStyle name="Normal 13 2 3 2" xfId="701"/>
    <cellStyle name="Normal 13 2 3 2 2" xfId="1660"/>
    <cellStyle name="Normal 13 2 3 2 2 2" xfId="3531"/>
    <cellStyle name="Normal 13 2 3 2 2 2 2" xfId="7326"/>
    <cellStyle name="Normal 13 2 3 2 2 2 2 2" xfId="14849"/>
    <cellStyle name="Normal 13 2 3 2 2 2 2 2 2" xfId="29893"/>
    <cellStyle name="Normal 13 2 3 2 2 2 2 2 3" xfId="44936"/>
    <cellStyle name="Normal 13 2 3 2 2 2 2 3" xfId="22372"/>
    <cellStyle name="Normal 13 2 3 2 2 2 2 4" xfId="37415"/>
    <cellStyle name="Normal 13 2 3 2 2 2 3" xfId="11100"/>
    <cellStyle name="Normal 13 2 3 2 2 2 3 2" xfId="26144"/>
    <cellStyle name="Normal 13 2 3 2 2 2 3 3" xfId="41187"/>
    <cellStyle name="Normal 13 2 3 2 2 2 4" xfId="18623"/>
    <cellStyle name="Normal 13 2 3 2 2 2 5" xfId="33666"/>
    <cellStyle name="Normal 13 2 3 2 2 3" xfId="5461"/>
    <cellStyle name="Normal 13 2 3 2 2 3 2" xfId="12984"/>
    <cellStyle name="Normal 13 2 3 2 2 3 2 2" xfId="28028"/>
    <cellStyle name="Normal 13 2 3 2 2 3 2 3" xfId="43071"/>
    <cellStyle name="Normal 13 2 3 2 2 3 3" xfId="20507"/>
    <cellStyle name="Normal 13 2 3 2 2 3 4" xfId="35550"/>
    <cellStyle name="Normal 13 2 3 2 2 4" xfId="9235"/>
    <cellStyle name="Normal 13 2 3 2 2 4 2" xfId="24279"/>
    <cellStyle name="Normal 13 2 3 2 2 4 3" xfId="39322"/>
    <cellStyle name="Normal 13 2 3 2 2 5" xfId="16758"/>
    <cellStyle name="Normal 13 2 3 2 2 6" xfId="31801"/>
    <cellStyle name="Normal 13 2 3 2 3" xfId="2599"/>
    <cellStyle name="Normal 13 2 3 2 3 2" xfId="6394"/>
    <cellStyle name="Normal 13 2 3 2 3 2 2" xfId="13917"/>
    <cellStyle name="Normal 13 2 3 2 3 2 2 2" xfId="28961"/>
    <cellStyle name="Normal 13 2 3 2 3 2 2 3" xfId="44004"/>
    <cellStyle name="Normal 13 2 3 2 3 2 3" xfId="21440"/>
    <cellStyle name="Normal 13 2 3 2 3 2 4" xfId="36483"/>
    <cellStyle name="Normal 13 2 3 2 3 3" xfId="10168"/>
    <cellStyle name="Normal 13 2 3 2 3 3 2" xfId="25212"/>
    <cellStyle name="Normal 13 2 3 2 3 3 3" xfId="40255"/>
    <cellStyle name="Normal 13 2 3 2 3 4" xfId="17691"/>
    <cellStyle name="Normal 13 2 3 2 3 5" xfId="32734"/>
    <cellStyle name="Normal 13 2 3 2 4" xfId="4529"/>
    <cellStyle name="Normal 13 2 3 2 4 2" xfId="12052"/>
    <cellStyle name="Normal 13 2 3 2 4 2 2" xfId="27096"/>
    <cellStyle name="Normal 13 2 3 2 4 2 3" xfId="42139"/>
    <cellStyle name="Normal 13 2 3 2 4 3" xfId="19575"/>
    <cellStyle name="Normal 13 2 3 2 4 4" xfId="34618"/>
    <cellStyle name="Normal 13 2 3 2 5" xfId="8303"/>
    <cellStyle name="Normal 13 2 3 2 5 2" xfId="23347"/>
    <cellStyle name="Normal 13 2 3 2 5 3" xfId="38390"/>
    <cellStyle name="Normal 13 2 3 2 6" xfId="15826"/>
    <cellStyle name="Normal 13 2 3 2 7" xfId="30869"/>
    <cellStyle name="Normal 13 2 3 3" xfId="1208"/>
    <cellStyle name="Normal 13 2 3 3 2" xfId="3079"/>
    <cellStyle name="Normal 13 2 3 3 2 2" xfId="6874"/>
    <cellStyle name="Normal 13 2 3 3 2 2 2" xfId="14397"/>
    <cellStyle name="Normal 13 2 3 3 2 2 2 2" xfId="29441"/>
    <cellStyle name="Normal 13 2 3 3 2 2 2 3" xfId="44484"/>
    <cellStyle name="Normal 13 2 3 3 2 2 3" xfId="21920"/>
    <cellStyle name="Normal 13 2 3 3 2 2 4" xfId="36963"/>
    <cellStyle name="Normal 13 2 3 3 2 3" xfId="10648"/>
    <cellStyle name="Normal 13 2 3 3 2 3 2" xfId="25692"/>
    <cellStyle name="Normal 13 2 3 3 2 3 3" xfId="40735"/>
    <cellStyle name="Normal 13 2 3 3 2 4" xfId="18171"/>
    <cellStyle name="Normal 13 2 3 3 2 5" xfId="33214"/>
    <cellStyle name="Normal 13 2 3 3 3" xfId="5009"/>
    <cellStyle name="Normal 13 2 3 3 3 2" xfId="12532"/>
    <cellStyle name="Normal 13 2 3 3 3 2 2" xfId="27576"/>
    <cellStyle name="Normal 13 2 3 3 3 2 3" xfId="42619"/>
    <cellStyle name="Normal 13 2 3 3 3 3" xfId="20055"/>
    <cellStyle name="Normal 13 2 3 3 3 4" xfId="35098"/>
    <cellStyle name="Normal 13 2 3 3 4" xfId="8783"/>
    <cellStyle name="Normal 13 2 3 3 4 2" xfId="23827"/>
    <cellStyle name="Normal 13 2 3 3 4 3" xfId="38870"/>
    <cellStyle name="Normal 13 2 3 3 5" xfId="16306"/>
    <cellStyle name="Normal 13 2 3 3 6" xfId="31349"/>
    <cellStyle name="Normal 13 2 3 4" xfId="2146"/>
    <cellStyle name="Normal 13 2 3 4 2" xfId="5942"/>
    <cellStyle name="Normal 13 2 3 4 2 2" xfId="13465"/>
    <cellStyle name="Normal 13 2 3 4 2 2 2" xfId="28509"/>
    <cellStyle name="Normal 13 2 3 4 2 2 3" xfId="43552"/>
    <cellStyle name="Normal 13 2 3 4 2 3" xfId="20988"/>
    <cellStyle name="Normal 13 2 3 4 2 4" xfId="36031"/>
    <cellStyle name="Normal 13 2 3 4 3" xfId="9716"/>
    <cellStyle name="Normal 13 2 3 4 3 2" xfId="24760"/>
    <cellStyle name="Normal 13 2 3 4 3 3" xfId="39803"/>
    <cellStyle name="Normal 13 2 3 4 4" xfId="17239"/>
    <cellStyle name="Normal 13 2 3 4 5" xfId="32282"/>
    <cellStyle name="Normal 13 2 3 5" xfId="4074"/>
    <cellStyle name="Normal 13 2 3 5 2" xfId="11598"/>
    <cellStyle name="Normal 13 2 3 5 2 2" xfId="26642"/>
    <cellStyle name="Normal 13 2 3 5 2 3" xfId="41685"/>
    <cellStyle name="Normal 13 2 3 5 3" xfId="19121"/>
    <cellStyle name="Normal 13 2 3 5 4" xfId="34164"/>
    <cellStyle name="Normal 13 2 3 6" xfId="7837"/>
    <cellStyle name="Normal 13 2 3 6 2" xfId="22881"/>
    <cellStyle name="Normal 13 2 3 6 3" xfId="37924"/>
    <cellStyle name="Normal 13 2 3 7" xfId="15360"/>
    <cellStyle name="Normal 13 2 3 8" xfId="30403"/>
    <cellStyle name="Normal 13 2 4" xfId="698"/>
    <cellStyle name="Normal 13 2 4 2" xfId="1657"/>
    <cellStyle name="Normal 13 2 4 2 2" xfId="3528"/>
    <cellStyle name="Normal 13 2 4 2 2 2" xfId="7323"/>
    <cellStyle name="Normal 13 2 4 2 2 2 2" xfId="14846"/>
    <cellStyle name="Normal 13 2 4 2 2 2 2 2" xfId="29890"/>
    <cellStyle name="Normal 13 2 4 2 2 2 2 3" xfId="44933"/>
    <cellStyle name="Normal 13 2 4 2 2 2 3" xfId="22369"/>
    <cellStyle name="Normal 13 2 4 2 2 2 4" xfId="37412"/>
    <cellStyle name="Normal 13 2 4 2 2 3" xfId="11097"/>
    <cellStyle name="Normal 13 2 4 2 2 3 2" xfId="26141"/>
    <cellStyle name="Normal 13 2 4 2 2 3 3" xfId="41184"/>
    <cellStyle name="Normal 13 2 4 2 2 4" xfId="18620"/>
    <cellStyle name="Normal 13 2 4 2 2 5" xfId="33663"/>
    <cellStyle name="Normal 13 2 4 2 3" xfId="5458"/>
    <cellStyle name="Normal 13 2 4 2 3 2" xfId="12981"/>
    <cellStyle name="Normal 13 2 4 2 3 2 2" xfId="28025"/>
    <cellStyle name="Normal 13 2 4 2 3 2 3" xfId="43068"/>
    <cellStyle name="Normal 13 2 4 2 3 3" xfId="20504"/>
    <cellStyle name="Normal 13 2 4 2 3 4" xfId="35547"/>
    <cellStyle name="Normal 13 2 4 2 4" xfId="9232"/>
    <cellStyle name="Normal 13 2 4 2 4 2" xfId="24276"/>
    <cellStyle name="Normal 13 2 4 2 4 3" xfId="39319"/>
    <cellStyle name="Normal 13 2 4 2 5" xfId="16755"/>
    <cellStyle name="Normal 13 2 4 2 6" xfId="31798"/>
    <cellStyle name="Normal 13 2 4 3" xfId="2596"/>
    <cellStyle name="Normal 13 2 4 3 2" xfId="6391"/>
    <cellStyle name="Normal 13 2 4 3 2 2" xfId="13914"/>
    <cellStyle name="Normal 13 2 4 3 2 2 2" xfId="28958"/>
    <cellStyle name="Normal 13 2 4 3 2 2 3" xfId="44001"/>
    <cellStyle name="Normal 13 2 4 3 2 3" xfId="21437"/>
    <cellStyle name="Normal 13 2 4 3 2 4" xfId="36480"/>
    <cellStyle name="Normal 13 2 4 3 3" xfId="10165"/>
    <cellStyle name="Normal 13 2 4 3 3 2" xfId="25209"/>
    <cellStyle name="Normal 13 2 4 3 3 3" xfId="40252"/>
    <cellStyle name="Normal 13 2 4 3 4" xfId="17688"/>
    <cellStyle name="Normal 13 2 4 3 5" xfId="32731"/>
    <cellStyle name="Normal 13 2 4 4" xfId="4526"/>
    <cellStyle name="Normal 13 2 4 4 2" xfId="12049"/>
    <cellStyle name="Normal 13 2 4 4 2 2" xfId="27093"/>
    <cellStyle name="Normal 13 2 4 4 2 3" xfId="42136"/>
    <cellStyle name="Normal 13 2 4 4 3" xfId="19572"/>
    <cellStyle name="Normal 13 2 4 4 4" xfId="34615"/>
    <cellStyle name="Normal 13 2 4 5" xfId="8300"/>
    <cellStyle name="Normal 13 2 4 5 2" xfId="23344"/>
    <cellStyle name="Normal 13 2 4 5 3" xfId="38387"/>
    <cellStyle name="Normal 13 2 4 6" xfId="15823"/>
    <cellStyle name="Normal 13 2 4 7" xfId="30866"/>
    <cellStyle name="Normal 13 2 5" xfId="1205"/>
    <cellStyle name="Normal 13 2 5 2" xfId="3076"/>
    <cellStyle name="Normal 13 2 5 2 2" xfId="6871"/>
    <cellStyle name="Normal 13 2 5 2 2 2" xfId="14394"/>
    <cellStyle name="Normal 13 2 5 2 2 2 2" xfId="29438"/>
    <cellStyle name="Normal 13 2 5 2 2 2 3" xfId="44481"/>
    <cellStyle name="Normal 13 2 5 2 2 3" xfId="21917"/>
    <cellStyle name="Normal 13 2 5 2 2 4" xfId="36960"/>
    <cellStyle name="Normal 13 2 5 2 3" xfId="10645"/>
    <cellStyle name="Normal 13 2 5 2 3 2" xfId="25689"/>
    <cellStyle name="Normal 13 2 5 2 3 3" xfId="40732"/>
    <cellStyle name="Normal 13 2 5 2 4" xfId="18168"/>
    <cellStyle name="Normal 13 2 5 2 5" xfId="33211"/>
    <cellStyle name="Normal 13 2 5 3" xfId="5006"/>
    <cellStyle name="Normal 13 2 5 3 2" xfId="12529"/>
    <cellStyle name="Normal 13 2 5 3 2 2" xfId="27573"/>
    <cellStyle name="Normal 13 2 5 3 2 3" xfId="42616"/>
    <cellStyle name="Normal 13 2 5 3 3" xfId="20052"/>
    <cellStyle name="Normal 13 2 5 3 4" xfId="35095"/>
    <cellStyle name="Normal 13 2 5 4" xfId="8780"/>
    <cellStyle name="Normal 13 2 5 4 2" xfId="23824"/>
    <cellStyle name="Normal 13 2 5 4 3" xfId="38867"/>
    <cellStyle name="Normal 13 2 5 5" xfId="16303"/>
    <cellStyle name="Normal 13 2 5 6" xfId="31346"/>
    <cellStyle name="Normal 13 2 6" xfId="2143"/>
    <cellStyle name="Normal 13 2 6 2" xfId="5939"/>
    <cellStyle name="Normal 13 2 6 2 2" xfId="13462"/>
    <cellStyle name="Normal 13 2 6 2 2 2" xfId="28506"/>
    <cellStyle name="Normal 13 2 6 2 2 3" xfId="43549"/>
    <cellStyle name="Normal 13 2 6 2 3" xfId="20985"/>
    <cellStyle name="Normal 13 2 6 2 4" xfId="36028"/>
    <cellStyle name="Normal 13 2 6 3" xfId="9713"/>
    <cellStyle name="Normal 13 2 6 3 2" xfId="24757"/>
    <cellStyle name="Normal 13 2 6 3 3" xfId="39800"/>
    <cellStyle name="Normal 13 2 6 4" xfId="17236"/>
    <cellStyle name="Normal 13 2 6 5" xfId="32279"/>
    <cellStyle name="Normal 13 2 7" xfId="4071"/>
    <cellStyle name="Normal 13 2 7 2" xfId="11595"/>
    <cellStyle name="Normal 13 2 7 2 2" xfId="26639"/>
    <cellStyle name="Normal 13 2 7 2 3" xfId="41682"/>
    <cellStyle name="Normal 13 2 7 3" xfId="19118"/>
    <cellStyle name="Normal 13 2 7 4" xfId="34161"/>
    <cellStyle name="Normal 13 2 8" xfId="7834"/>
    <cellStyle name="Normal 13 2 8 2" xfId="22878"/>
    <cellStyle name="Normal 13 2 8 3" xfId="37921"/>
    <cellStyle name="Normal 13 2 9" xfId="15357"/>
    <cellStyle name="Normal 13 3" xfId="174"/>
    <cellStyle name="Normal 13 3 2" xfId="175"/>
    <cellStyle name="Normal 13 3 2 2" xfId="703"/>
    <cellStyle name="Normal 13 3 2 2 2" xfId="1662"/>
    <cellStyle name="Normal 13 3 2 2 2 2" xfId="3533"/>
    <cellStyle name="Normal 13 3 2 2 2 2 2" xfId="7328"/>
    <cellStyle name="Normal 13 3 2 2 2 2 2 2" xfId="14851"/>
    <cellStyle name="Normal 13 3 2 2 2 2 2 2 2" xfId="29895"/>
    <cellStyle name="Normal 13 3 2 2 2 2 2 2 3" xfId="44938"/>
    <cellStyle name="Normal 13 3 2 2 2 2 2 3" xfId="22374"/>
    <cellStyle name="Normal 13 3 2 2 2 2 2 4" xfId="37417"/>
    <cellStyle name="Normal 13 3 2 2 2 2 3" xfId="11102"/>
    <cellStyle name="Normal 13 3 2 2 2 2 3 2" xfId="26146"/>
    <cellStyle name="Normal 13 3 2 2 2 2 3 3" xfId="41189"/>
    <cellStyle name="Normal 13 3 2 2 2 2 4" xfId="18625"/>
    <cellStyle name="Normal 13 3 2 2 2 2 5" xfId="33668"/>
    <cellStyle name="Normal 13 3 2 2 2 3" xfId="5463"/>
    <cellStyle name="Normal 13 3 2 2 2 3 2" xfId="12986"/>
    <cellStyle name="Normal 13 3 2 2 2 3 2 2" xfId="28030"/>
    <cellStyle name="Normal 13 3 2 2 2 3 2 3" xfId="43073"/>
    <cellStyle name="Normal 13 3 2 2 2 3 3" xfId="20509"/>
    <cellStyle name="Normal 13 3 2 2 2 3 4" xfId="35552"/>
    <cellStyle name="Normal 13 3 2 2 2 4" xfId="9237"/>
    <cellStyle name="Normal 13 3 2 2 2 4 2" xfId="24281"/>
    <cellStyle name="Normal 13 3 2 2 2 4 3" xfId="39324"/>
    <cellStyle name="Normal 13 3 2 2 2 5" xfId="16760"/>
    <cellStyle name="Normal 13 3 2 2 2 6" xfId="31803"/>
    <cellStyle name="Normal 13 3 2 2 3" xfId="2601"/>
    <cellStyle name="Normal 13 3 2 2 3 2" xfId="6396"/>
    <cellStyle name="Normal 13 3 2 2 3 2 2" xfId="13919"/>
    <cellStyle name="Normal 13 3 2 2 3 2 2 2" xfId="28963"/>
    <cellStyle name="Normal 13 3 2 2 3 2 2 3" xfId="44006"/>
    <cellStyle name="Normal 13 3 2 2 3 2 3" xfId="21442"/>
    <cellStyle name="Normal 13 3 2 2 3 2 4" xfId="36485"/>
    <cellStyle name="Normal 13 3 2 2 3 3" xfId="10170"/>
    <cellStyle name="Normal 13 3 2 2 3 3 2" xfId="25214"/>
    <cellStyle name="Normal 13 3 2 2 3 3 3" xfId="40257"/>
    <cellStyle name="Normal 13 3 2 2 3 4" xfId="17693"/>
    <cellStyle name="Normal 13 3 2 2 3 5" xfId="32736"/>
    <cellStyle name="Normal 13 3 2 2 4" xfId="4531"/>
    <cellStyle name="Normal 13 3 2 2 4 2" xfId="12054"/>
    <cellStyle name="Normal 13 3 2 2 4 2 2" xfId="27098"/>
    <cellStyle name="Normal 13 3 2 2 4 2 3" xfId="42141"/>
    <cellStyle name="Normal 13 3 2 2 4 3" xfId="19577"/>
    <cellStyle name="Normal 13 3 2 2 4 4" xfId="34620"/>
    <cellStyle name="Normal 13 3 2 2 5" xfId="8305"/>
    <cellStyle name="Normal 13 3 2 2 5 2" xfId="23349"/>
    <cellStyle name="Normal 13 3 2 2 5 3" xfId="38392"/>
    <cellStyle name="Normal 13 3 2 2 6" xfId="15828"/>
    <cellStyle name="Normal 13 3 2 2 7" xfId="30871"/>
    <cellStyle name="Normal 13 3 2 3" xfId="1210"/>
    <cellStyle name="Normal 13 3 2 3 2" xfId="3081"/>
    <cellStyle name="Normal 13 3 2 3 2 2" xfId="6876"/>
    <cellStyle name="Normal 13 3 2 3 2 2 2" xfId="14399"/>
    <cellStyle name="Normal 13 3 2 3 2 2 2 2" xfId="29443"/>
    <cellStyle name="Normal 13 3 2 3 2 2 2 3" xfId="44486"/>
    <cellStyle name="Normal 13 3 2 3 2 2 3" xfId="21922"/>
    <cellStyle name="Normal 13 3 2 3 2 2 4" xfId="36965"/>
    <cellStyle name="Normal 13 3 2 3 2 3" xfId="10650"/>
    <cellStyle name="Normal 13 3 2 3 2 3 2" xfId="25694"/>
    <cellStyle name="Normal 13 3 2 3 2 3 3" xfId="40737"/>
    <cellStyle name="Normal 13 3 2 3 2 4" xfId="18173"/>
    <cellStyle name="Normal 13 3 2 3 2 5" xfId="33216"/>
    <cellStyle name="Normal 13 3 2 3 3" xfId="5011"/>
    <cellStyle name="Normal 13 3 2 3 3 2" xfId="12534"/>
    <cellStyle name="Normal 13 3 2 3 3 2 2" xfId="27578"/>
    <cellStyle name="Normal 13 3 2 3 3 2 3" xfId="42621"/>
    <cellStyle name="Normal 13 3 2 3 3 3" xfId="20057"/>
    <cellStyle name="Normal 13 3 2 3 3 4" xfId="35100"/>
    <cellStyle name="Normal 13 3 2 3 4" xfId="8785"/>
    <cellStyle name="Normal 13 3 2 3 4 2" xfId="23829"/>
    <cellStyle name="Normal 13 3 2 3 4 3" xfId="38872"/>
    <cellStyle name="Normal 13 3 2 3 5" xfId="16308"/>
    <cellStyle name="Normal 13 3 2 3 6" xfId="31351"/>
    <cellStyle name="Normal 13 3 2 4" xfId="2148"/>
    <cellStyle name="Normal 13 3 2 4 2" xfId="5944"/>
    <cellStyle name="Normal 13 3 2 4 2 2" xfId="13467"/>
    <cellStyle name="Normal 13 3 2 4 2 2 2" xfId="28511"/>
    <cellStyle name="Normal 13 3 2 4 2 2 3" xfId="43554"/>
    <cellStyle name="Normal 13 3 2 4 2 3" xfId="20990"/>
    <cellStyle name="Normal 13 3 2 4 2 4" xfId="36033"/>
    <cellStyle name="Normal 13 3 2 4 3" xfId="9718"/>
    <cellStyle name="Normal 13 3 2 4 3 2" xfId="24762"/>
    <cellStyle name="Normal 13 3 2 4 3 3" xfId="39805"/>
    <cellStyle name="Normal 13 3 2 4 4" xfId="17241"/>
    <cellStyle name="Normal 13 3 2 4 5" xfId="32284"/>
    <cellStyle name="Normal 13 3 2 5" xfId="4076"/>
    <cellStyle name="Normal 13 3 2 5 2" xfId="11600"/>
    <cellStyle name="Normal 13 3 2 5 2 2" xfId="26644"/>
    <cellStyle name="Normal 13 3 2 5 2 3" xfId="41687"/>
    <cellStyle name="Normal 13 3 2 5 3" xfId="19123"/>
    <cellStyle name="Normal 13 3 2 5 4" xfId="34166"/>
    <cellStyle name="Normal 13 3 2 6" xfId="7839"/>
    <cellStyle name="Normal 13 3 2 6 2" xfId="22883"/>
    <cellStyle name="Normal 13 3 2 6 3" xfId="37926"/>
    <cellStyle name="Normal 13 3 2 7" xfId="15362"/>
    <cellStyle name="Normal 13 3 2 8" xfId="30405"/>
    <cellStyle name="Normal 13 3 3" xfId="702"/>
    <cellStyle name="Normal 13 3 3 2" xfId="1661"/>
    <cellStyle name="Normal 13 3 3 2 2" xfId="3532"/>
    <cellStyle name="Normal 13 3 3 2 2 2" xfId="7327"/>
    <cellStyle name="Normal 13 3 3 2 2 2 2" xfId="14850"/>
    <cellStyle name="Normal 13 3 3 2 2 2 2 2" xfId="29894"/>
    <cellStyle name="Normal 13 3 3 2 2 2 2 3" xfId="44937"/>
    <cellStyle name="Normal 13 3 3 2 2 2 3" xfId="22373"/>
    <cellStyle name="Normal 13 3 3 2 2 2 4" xfId="37416"/>
    <cellStyle name="Normal 13 3 3 2 2 3" xfId="11101"/>
    <cellStyle name="Normal 13 3 3 2 2 3 2" xfId="26145"/>
    <cellStyle name="Normal 13 3 3 2 2 3 3" xfId="41188"/>
    <cellStyle name="Normal 13 3 3 2 2 4" xfId="18624"/>
    <cellStyle name="Normal 13 3 3 2 2 5" xfId="33667"/>
    <cellStyle name="Normal 13 3 3 2 3" xfId="5462"/>
    <cellStyle name="Normal 13 3 3 2 3 2" xfId="12985"/>
    <cellStyle name="Normal 13 3 3 2 3 2 2" xfId="28029"/>
    <cellStyle name="Normal 13 3 3 2 3 2 3" xfId="43072"/>
    <cellStyle name="Normal 13 3 3 2 3 3" xfId="20508"/>
    <cellStyle name="Normal 13 3 3 2 3 4" xfId="35551"/>
    <cellStyle name="Normal 13 3 3 2 4" xfId="9236"/>
    <cellStyle name="Normal 13 3 3 2 4 2" xfId="24280"/>
    <cellStyle name="Normal 13 3 3 2 4 3" xfId="39323"/>
    <cellStyle name="Normal 13 3 3 2 5" xfId="16759"/>
    <cellStyle name="Normal 13 3 3 2 6" xfId="31802"/>
    <cellStyle name="Normal 13 3 3 3" xfId="2600"/>
    <cellStyle name="Normal 13 3 3 3 2" xfId="6395"/>
    <cellStyle name="Normal 13 3 3 3 2 2" xfId="13918"/>
    <cellStyle name="Normal 13 3 3 3 2 2 2" xfId="28962"/>
    <cellStyle name="Normal 13 3 3 3 2 2 3" xfId="44005"/>
    <cellStyle name="Normal 13 3 3 3 2 3" xfId="21441"/>
    <cellStyle name="Normal 13 3 3 3 2 4" xfId="36484"/>
    <cellStyle name="Normal 13 3 3 3 3" xfId="10169"/>
    <cellStyle name="Normal 13 3 3 3 3 2" xfId="25213"/>
    <cellStyle name="Normal 13 3 3 3 3 3" xfId="40256"/>
    <cellStyle name="Normal 13 3 3 3 4" xfId="17692"/>
    <cellStyle name="Normal 13 3 3 3 5" xfId="32735"/>
    <cellStyle name="Normal 13 3 3 4" xfId="4530"/>
    <cellStyle name="Normal 13 3 3 4 2" xfId="12053"/>
    <cellStyle name="Normal 13 3 3 4 2 2" xfId="27097"/>
    <cellStyle name="Normal 13 3 3 4 2 3" xfId="42140"/>
    <cellStyle name="Normal 13 3 3 4 3" xfId="19576"/>
    <cellStyle name="Normal 13 3 3 4 4" xfId="34619"/>
    <cellStyle name="Normal 13 3 3 5" xfId="8304"/>
    <cellStyle name="Normal 13 3 3 5 2" xfId="23348"/>
    <cellStyle name="Normal 13 3 3 5 3" xfId="38391"/>
    <cellStyle name="Normal 13 3 3 6" xfId="15827"/>
    <cellStyle name="Normal 13 3 3 7" xfId="30870"/>
    <cellStyle name="Normal 13 3 4" xfId="1209"/>
    <cellStyle name="Normal 13 3 4 2" xfId="3080"/>
    <cellStyle name="Normal 13 3 4 2 2" xfId="6875"/>
    <cellStyle name="Normal 13 3 4 2 2 2" xfId="14398"/>
    <cellStyle name="Normal 13 3 4 2 2 2 2" xfId="29442"/>
    <cellStyle name="Normal 13 3 4 2 2 2 3" xfId="44485"/>
    <cellStyle name="Normal 13 3 4 2 2 3" xfId="21921"/>
    <cellStyle name="Normal 13 3 4 2 2 4" xfId="36964"/>
    <cellStyle name="Normal 13 3 4 2 3" xfId="10649"/>
    <cellStyle name="Normal 13 3 4 2 3 2" xfId="25693"/>
    <cellStyle name="Normal 13 3 4 2 3 3" xfId="40736"/>
    <cellStyle name="Normal 13 3 4 2 4" xfId="18172"/>
    <cellStyle name="Normal 13 3 4 2 5" xfId="33215"/>
    <cellStyle name="Normal 13 3 4 3" xfId="5010"/>
    <cellStyle name="Normal 13 3 4 3 2" xfId="12533"/>
    <cellStyle name="Normal 13 3 4 3 2 2" xfId="27577"/>
    <cellStyle name="Normal 13 3 4 3 2 3" xfId="42620"/>
    <cellStyle name="Normal 13 3 4 3 3" xfId="20056"/>
    <cellStyle name="Normal 13 3 4 3 4" xfId="35099"/>
    <cellStyle name="Normal 13 3 4 4" xfId="8784"/>
    <cellStyle name="Normal 13 3 4 4 2" xfId="23828"/>
    <cellStyle name="Normal 13 3 4 4 3" xfId="38871"/>
    <cellStyle name="Normal 13 3 4 5" xfId="16307"/>
    <cellStyle name="Normal 13 3 4 6" xfId="31350"/>
    <cellStyle name="Normal 13 3 5" xfId="2147"/>
    <cellStyle name="Normal 13 3 5 2" xfId="5943"/>
    <cellStyle name="Normal 13 3 5 2 2" xfId="13466"/>
    <cellStyle name="Normal 13 3 5 2 2 2" xfId="28510"/>
    <cellStyle name="Normal 13 3 5 2 2 3" xfId="43553"/>
    <cellStyle name="Normal 13 3 5 2 3" xfId="20989"/>
    <cellStyle name="Normal 13 3 5 2 4" xfId="36032"/>
    <cellStyle name="Normal 13 3 5 3" xfId="9717"/>
    <cellStyle name="Normal 13 3 5 3 2" xfId="24761"/>
    <cellStyle name="Normal 13 3 5 3 3" xfId="39804"/>
    <cellStyle name="Normal 13 3 5 4" xfId="17240"/>
    <cellStyle name="Normal 13 3 5 5" xfId="32283"/>
    <cellStyle name="Normal 13 3 6" xfId="4075"/>
    <cellStyle name="Normal 13 3 6 2" xfId="11599"/>
    <cellStyle name="Normal 13 3 6 2 2" xfId="26643"/>
    <cellStyle name="Normal 13 3 6 2 3" xfId="41686"/>
    <cellStyle name="Normal 13 3 6 3" xfId="19122"/>
    <cellStyle name="Normal 13 3 6 4" xfId="34165"/>
    <cellStyle name="Normal 13 3 7" xfId="7838"/>
    <cellStyle name="Normal 13 3 7 2" xfId="22882"/>
    <cellStyle name="Normal 13 3 7 3" xfId="37925"/>
    <cellStyle name="Normal 13 3 8" xfId="15361"/>
    <cellStyle name="Normal 13 3 9" xfId="30404"/>
    <cellStyle name="Normal 13 4" xfId="176"/>
    <cellStyle name="Normal 13 4 2" xfId="177"/>
    <cellStyle name="Normal 13 4 2 2" xfId="705"/>
    <cellStyle name="Normal 13 4 2 2 2" xfId="1664"/>
    <cellStyle name="Normal 13 4 2 2 2 2" xfId="3535"/>
    <cellStyle name="Normal 13 4 2 2 2 2 2" xfId="7330"/>
    <cellStyle name="Normal 13 4 2 2 2 2 2 2" xfId="14853"/>
    <cellStyle name="Normal 13 4 2 2 2 2 2 2 2" xfId="29897"/>
    <cellStyle name="Normal 13 4 2 2 2 2 2 2 3" xfId="44940"/>
    <cellStyle name="Normal 13 4 2 2 2 2 2 3" xfId="22376"/>
    <cellStyle name="Normal 13 4 2 2 2 2 2 4" xfId="37419"/>
    <cellStyle name="Normal 13 4 2 2 2 2 3" xfId="11104"/>
    <cellStyle name="Normal 13 4 2 2 2 2 3 2" xfId="26148"/>
    <cellStyle name="Normal 13 4 2 2 2 2 3 3" xfId="41191"/>
    <cellStyle name="Normal 13 4 2 2 2 2 4" xfId="18627"/>
    <cellStyle name="Normal 13 4 2 2 2 2 5" xfId="33670"/>
    <cellStyle name="Normal 13 4 2 2 2 3" xfId="5465"/>
    <cellStyle name="Normal 13 4 2 2 2 3 2" xfId="12988"/>
    <cellStyle name="Normal 13 4 2 2 2 3 2 2" xfId="28032"/>
    <cellStyle name="Normal 13 4 2 2 2 3 2 3" xfId="43075"/>
    <cellStyle name="Normal 13 4 2 2 2 3 3" xfId="20511"/>
    <cellStyle name="Normal 13 4 2 2 2 3 4" xfId="35554"/>
    <cellStyle name="Normal 13 4 2 2 2 4" xfId="9239"/>
    <cellStyle name="Normal 13 4 2 2 2 4 2" xfId="24283"/>
    <cellStyle name="Normal 13 4 2 2 2 4 3" xfId="39326"/>
    <cellStyle name="Normal 13 4 2 2 2 5" xfId="16762"/>
    <cellStyle name="Normal 13 4 2 2 2 6" xfId="31805"/>
    <cellStyle name="Normal 13 4 2 2 3" xfId="2603"/>
    <cellStyle name="Normal 13 4 2 2 3 2" xfId="6398"/>
    <cellStyle name="Normal 13 4 2 2 3 2 2" xfId="13921"/>
    <cellStyle name="Normal 13 4 2 2 3 2 2 2" xfId="28965"/>
    <cellStyle name="Normal 13 4 2 2 3 2 2 3" xfId="44008"/>
    <cellStyle name="Normal 13 4 2 2 3 2 3" xfId="21444"/>
    <cellStyle name="Normal 13 4 2 2 3 2 4" xfId="36487"/>
    <cellStyle name="Normal 13 4 2 2 3 3" xfId="10172"/>
    <cellStyle name="Normal 13 4 2 2 3 3 2" xfId="25216"/>
    <cellStyle name="Normal 13 4 2 2 3 3 3" xfId="40259"/>
    <cellStyle name="Normal 13 4 2 2 3 4" xfId="17695"/>
    <cellStyle name="Normal 13 4 2 2 3 5" xfId="32738"/>
    <cellStyle name="Normal 13 4 2 2 4" xfId="4533"/>
    <cellStyle name="Normal 13 4 2 2 4 2" xfId="12056"/>
    <cellStyle name="Normal 13 4 2 2 4 2 2" xfId="27100"/>
    <cellStyle name="Normal 13 4 2 2 4 2 3" xfId="42143"/>
    <cellStyle name="Normal 13 4 2 2 4 3" xfId="19579"/>
    <cellStyle name="Normal 13 4 2 2 4 4" xfId="34622"/>
    <cellStyle name="Normal 13 4 2 2 5" xfId="8307"/>
    <cellStyle name="Normal 13 4 2 2 5 2" xfId="23351"/>
    <cellStyle name="Normal 13 4 2 2 5 3" xfId="38394"/>
    <cellStyle name="Normal 13 4 2 2 6" xfId="15830"/>
    <cellStyle name="Normal 13 4 2 2 7" xfId="30873"/>
    <cellStyle name="Normal 13 4 2 3" xfId="1212"/>
    <cellStyle name="Normal 13 4 2 3 2" xfId="3083"/>
    <cellStyle name="Normal 13 4 2 3 2 2" xfId="6878"/>
    <cellStyle name="Normal 13 4 2 3 2 2 2" xfId="14401"/>
    <cellStyle name="Normal 13 4 2 3 2 2 2 2" xfId="29445"/>
    <cellStyle name="Normal 13 4 2 3 2 2 2 3" xfId="44488"/>
    <cellStyle name="Normal 13 4 2 3 2 2 3" xfId="21924"/>
    <cellStyle name="Normal 13 4 2 3 2 2 4" xfId="36967"/>
    <cellStyle name="Normal 13 4 2 3 2 3" xfId="10652"/>
    <cellStyle name="Normal 13 4 2 3 2 3 2" xfId="25696"/>
    <cellStyle name="Normal 13 4 2 3 2 3 3" xfId="40739"/>
    <cellStyle name="Normal 13 4 2 3 2 4" xfId="18175"/>
    <cellStyle name="Normal 13 4 2 3 2 5" xfId="33218"/>
    <cellStyle name="Normal 13 4 2 3 3" xfId="5013"/>
    <cellStyle name="Normal 13 4 2 3 3 2" xfId="12536"/>
    <cellStyle name="Normal 13 4 2 3 3 2 2" xfId="27580"/>
    <cellStyle name="Normal 13 4 2 3 3 2 3" xfId="42623"/>
    <cellStyle name="Normal 13 4 2 3 3 3" xfId="20059"/>
    <cellStyle name="Normal 13 4 2 3 3 4" xfId="35102"/>
    <cellStyle name="Normal 13 4 2 3 4" xfId="8787"/>
    <cellStyle name="Normal 13 4 2 3 4 2" xfId="23831"/>
    <cellStyle name="Normal 13 4 2 3 4 3" xfId="38874"/>
    <cellStyle name="Normal 13 4 2 3 5" xfId="16310"/>
    <cellStyle name="Normal 13 4 2 3 6" xfId="31353"/>
    <cellStyle name="Normal 13 4 2 4" xfId="2150"/>
    <cellStyle name="Normal 13 4 2 4 2" xfId="5946"/>
    <cellStyle name="Normal 13 4 2 4 2 2" xfId="13469"/>
    <cellStyle name="Normal 13 4 2 4 2 2 2" xfId="28513"/>
    <cellStyle name="Normal 13 4 2 4 2 2 3" xfId="43556"/>
    <cellStyle name="Normal 13 4 2 4 2 3" xfId="20992"/>
    <cellStyle name="Normal 13 4 2 4 2 4" xfId="36035"/>
    <cellStyle name="Normal 13 4 2 4 3" xfId="9720"/>
    <cellStyle name="Normal 13 4 2 4 3 2" xfId="24764"/>
    <cellStyle name="Normal 13 4 2 4 3 3" xfId="39807"/>
    <cellStyle name="Normal 13 4 2 4 4" xfId="17243"/>
    <cellStyle name="Normal 13 4 2 4 5" xfId="32286"/>
    <cellStyle name="Normal 13 4 2 5" xfId="4078"/>
    <cellStyle name="Normal 13 4 2 5 2" xfId="11602"/>
    <cellStyle name="Normal 13 4 2 5 2 2" xfId="26646"/>
    <cellStyle name="Normal 13 4 2 5 2 3" xfId="41689"/>
    <cellStyle name="Normal 13 4 2 5 3" xfId="19125"/>
    <cellStyle name="Normal 13 4 2 5 4" xfId="34168"/>
    <cellStyle name="Normal 13 4 2 6" xfId="7841"/>
    <cellStyle name="Normal 13 4 2 6 2" xfId="22885"/>
    <cellStyle name="Normal 13 4 2 6 3" xfId="37928"/>
    <cellStyle name="Normal 13 4 2 7" xfId="15364"/>
    <cellStyle name="Normal 13 4 2 8" xfId="30407"/>
    <cellStyle name="Normal 13 4 3" xfId="704"/>
    <cellStyle name="Normal 13 4 3 2" xfId="1663"/>
    <cellStyle name="Normal 13 4 3 2 2" xfId="3534"/>
    <cellStyle name="Normal 13 4 3 2 2 2" xfId="7329"/>
    <cellStyle name="Normal 13 4 3 2 2 2 2" xfId="14852"/>
    <cellStyle name="Normal 13 4 3 2 2 2 2 2" xfId="29896"/>
    <cellStyle name="Normal 13 4 3 2 2 2 2 3" xfId="44939"/>
    <cellStyle name="Normal 13 4 3 2 2 2 3" xfId="22375"/>
    <cellStyle name="Normal 13 4 3 2 2 2 4" xfId="37418"/>
    <cellStyle name="Normal 13 4 3 2 2 3" xfId="11103"/>
    <cellStyle name="Normal 13 4 3 2 2 3 2" xfId="26147"/>
    <cellStyle name="Normal 13 4 3 2 2 3 3" xfId="41190"/>
    <cellStyle name="Normal 13 4 3 2 2 4" xfId="18626"/>
    <cellStyle name="Normal 13 4 3 2 2 5" xfId="33669"/>
    <cellStyle name="Normal 13 4 3 2 3" xfId="5464"/>
    <cellStyle name="Normal 13 4 3 2 3 2" xfId="12987"/>
    <cellStyle name="Normal 13 4 3 2 3 2 2" xfId="28031"/>
    <cellStyle name="Normal 13 4 3 2 3 2 3" xfId="43074"/>
    <cellStyle name="Normal 13 4 3 2 3 3" xfId="20510"/>
    <cellStyle name="Normal 13 4 3 2 3 4" xfId="35553"/>
    <cellStyle name="Normal 13 4 3 2 4" xfId="9238"/>
    <cellStyle name="Normal 13 4 3 2 4 2" xfId="24282"/>
    <cellStyle name="Normal 13 4 3 2 4 3" xfId="39325"/>
    <cellStyle name="Normal 13 4 3 2 5" xfId="16761"/>
    <cellStyle name="Normal 13 4 3 2 6" xfId="31804"/>
    <cellStyle name="Normal 13 4 3 3" xfId="2602"/>
    <cellStyle name="Normal 13 4 3 3 2" xfId="6397"/>
    <cellStyle name="Normal 13 4 3 3 2 2" xfId="13920"/>
    <cellStyle name="Normal 13 4 3 3 2 2 2" xfId="28964"/>
    <cellStyle name="Normal 13 4 3 3 2 2 3" xfId="44007"/>
    <cellStyle name="Normal 13 4 3 3 2 3" xfId="21443"/>
    <cellStyle name="Normal 13 4 3 3 2 4" xfId="36486"/>
    <cellStyle name="Normal 13 4 3 3 3" xfId="10171"/>
    <cellStyle name="Normal 13 4 3 3 3 2" xfId="25215"/>
    <cellStyle name="Normal 13 4 3 3 3 3" xfId="40258"/>
    <cellStyle name="Normal 13 4 3 3 4" xfId="17694"/>
    <cellStyle name="Normal 13 4 3 3 5" xfId="32737"/>
    <cellStyle name="Normal 13 4 3 4" xfId="4532"/>
    <cellStyle name="Normal 13 4 3 4 2" xfId="12055"/>
    <cellStyle name="Normal 13 4 3 4 2 2" xfId="27099"/>
    <cellStyle name="Normal 13 4 3 4 2 3" xfId="42142"/>
    <cellStyle name="Normal 13 4 3 4 3" xfId="19578"/>
    <cellStyle name="Normal 13 4 3 4 4" xfId="34621"/>
    <cellStyle name="Normal 13 4 3 5" xfId="8306"/>
    <cellStyle name="Normal 13 4 3 5 2" xfId="23350"/>
    <cellStyle name="Normal 13 4 3 5 3" xfId="38393"/>
    <cellStyle name="Normal 13 4 3 6" xfId="15829"/>
    <cellStyle name="Normal 13 4 3 7" xfId="30872"/>
    <cellStyle name="Normal 13 4 4" xfId="1211"/>
    <cellStyle name="Normal 13 4 4 2" xfId="3082"/>
    <cellStyle name="Normal 13 4 4 2 2" xfId="6877"/>
    <cellStyle name="Normal 13 4 4 2 2 2" xfId="14400"/>
    <cellStyle name="Normal 13 4 4 2 2 2 2" xfId="29444"/>
    <cellStyle name="Normal 13 4 4 2 2 2 3" xfId="44487"/>
    <cellStyle name="Normal 13 4 4 2 2 3" xfId="21923"/>
    <cellStyle name="Normal 13 4 4 2 2 4" xfId="36966"/>
    <cellStyle name="Normal 13 4 4 2 3" xfId="10651"/>
    <cellStyle name="Normal 13 4 4 2 3 2" xfId="25695"/>
    <cellStyle name="Normal 13 4 4 2 3 3" xfId="40738"/>
    <cellStyle name="Normal 13 4 4 2 4" xfId="18174"/>
    <cellStyle name="Normal 13 4 4 2 5" xfId="33217"/>
    <cellStyle name="Normal 13 4 4 3" xfId="5012"/>
    <cellStyle name="Normal 13 4 4 3 2" xfId="12535"/>
    <cellStyle name="Normal 13 4 4 3 2 2" xfId="27579"/>
    <cellStyle name="Normal 13 4 4 3 2 3" xfId="42622"/>
    <cellStyle name="Normal 13 4 4 3 3" xfId="20058"/>
    <cellStyle name="Normal 13 4 4 3 4" xfId="35101"/>
    <cellStyle name="Normal 13 4 4 4" xfId="8786"/>
    <cellStyle name="Normal 13 4 4 4 2" xfId="23830"/>
    <cellStyle name="Normal 13 4 4 4 3" xfId="38873"/>
    <cellStyle name="Normal 13 4 4 5" xfId="16309"/>
    <cellStyle name="Normal 13 4 4 6" xfId="31352"/>
    <cellStyle name="Normal 13 4 5" xfId="2149"/>
    <cellStyle name="Normal 13 4 5 2" xfId="5945"/>
    <cellStyle name="Normal 13 4 5 2 2" xfId="13468"/>
    <cellStyle name="Normal 13 4 5 2 2 2" xfId="28512"/>
    <cellStyle name="Normal 13 4 5 2 2 3" xfId="43555"/>
    <cellStyle name="Normal 13 4 5 2 3" xfId="20991"/>
    <cellStyle name="Normal 13 4 5 2 4" xfId="36034"/>
    <cellStyle name="Normal 13 4 5 3" xfId="9719"/>
    <cellStyle name="Normal 13 4 5 3 2" xfId="24763"/>
    <cellStyle name="Normal 13 4 5 3 3" xfId="39806"/>
    <cellStyle name="Normal 13 4 5 4" xfId="17242"/>
    <cellStyle name="Normal 13 4 5 5" xfId="32285"/>
    <cellStyle name="Normal 13 4 6" xfId="4077"/>
    <cellStyle name="Normal 13 4 6 2" xfId="11601"/>
    <cellStyle name="Normal 13 4 6 2 2" xfId="26645"/>
    <cellStyle name="Normal 13 4 6 2 3" xfId="41688"/>
    <cellStyle name="Normal 13 4 6 3" xfId="19124"/>
    <cellStyle name="Normal 13 4 6 4" xfId="34167"/>
    <cellStyle name="Normal 13 4 7" xfId="7840"/>
    <cellStyle name="Normal 13 4 7 2" xfId="22884"/>
    <cellStyle name="Normal 13 4 7 3" xfId="37927"/>
    <cellStyle name="Normal 13 4 8" xfId="15363"/>
    <cellStyle name="Normal 13 4 9" xfId="30406"/>
    <cellStyle name="Normal 13 5" xfId="178"/>
    <cellStyle name="Normal 13 5 2" xfId="706"/>
    <cellStyle name="Normal 13 5 2 2" xfId="1665"/>
    <cellStyle name="Normal 13 5 2 2 2" xfId="3536"/>
    <cellStyle name="Normal 13 5 2 2 2 2" xfId="7331"/>
    <cellStyle name="Normal 13 5 2 2 2 2 2" xfId="14854"/>
    <cellStyle name="Normal 13 5 2 2 2 2 2 2" xfId="29898"/>
    <cellStyle name="Normal 13 5 2 2 2 2 2 3" xfId="44941"/>
    <cellStyle name="Normal 13 5 2 2 2 2 3" xfId="22377"/>
    <cellStyle name="Normal 13 5 2 2 2 2 4" xfId="37420"/>
    <cellStyle name="Normal 13 5 2 2 2 3" xfId="11105"/>
    <cellStyle name="Normal 13 5 2 2 2 3 2" xfId="26149"/>
    <cellStyle name="Normal 13 5 2 2 2 3 3" xfId="41192"/>
    <cellStyle name="Normal 13 5 2 2 2 4" xfId="18628"/>
    <cellStyle name="Normal 13 5 2 2 2 5" xfId="33671"/>
    <cellStyle name="Normal 13 5 2 2 3" xfId="5466"/>
    <cellStyle name="Normal 13 5 2 2 3 2" xfId="12989"/>
    <cellStyle name="Normal 13 5 2 2 3 2 2" xfId="28033"/>
    <cellStyle name="Normal 13 5 2 2 3 2 3" xfId="43076"/>
    <cellStyle name="Normal 13 5 2 2 3 3" xfId="20512"/>
    <cellStyle name="Normal 13 5 2 2 3 4" xfId="35555"/>
    <cellStyle name="Normal 13 5 2 2 4" xfId="9240"/>
    <cellStyle name="Normal 13 5 2 2 4 2" xfId="24284"/>
    <cellStyle name="Normal 13 5 2 2 4 3" xfId="39327"/>
    <cellStyle name="Normal 13 5 2 2 5" xfId="16763"/>
    <cellStyle name="Normal 13 5 2 2 6" xfId="31806"/>
    <cellStyle name="Normal 13 5 2 3" xfId="2604"/>
    <cellStyle name="Normal 13 5 2 3 2" xfId="6399"/>
    <cellStyle name="Normal 13 5 2 3 2 2" xfId="13922"/>
    <cellStyle name="Normal 13 5 2 3 2 2 2" xfId="28966"/>
    <cellStyle name="Normal 13 5 2 3 2 2 3" xfId="44009"/>
    <cellStyle name="Normal 13 5 2 3 2 3" xfId="21445"/>
    <cellStyle name="Normal 13 5 2 3 2 4" xfId="36488"/>
    <cellStyle name="Normal 13 5 2 3 3" xfId="10173"/>
    <cellStyle name="Normal 13 5 2 3 3 2" xfId="25217"/>
    <cellStyle name="Normal 13 5 2 3 3 3" xfId="40260"/>
    <cellStyle name="Normal 13 5 2 3 4" xfId="17696"/>
    <cellStyle name="Normal 13 5 2 3 5" xfId="32739"/>
    <cellStyle name="Normal 13 5 2 4" xfId="4534"/>
    <cellStyle name="Normal 13 5 2 4 2" xfId="12057"/>
    <cellStyle name="Normal 13 5 2 4 2 2" xfId="27101"/>
    <cellStyle name="Normal 13 5 2 4 2 3" xfId="42144"/>
    <cellStyle name="Normal 13 5 2 4 3" xfId="19580"/>
    <cellStyle name="Normal 13 5 2 4 4" xfId="34623"/>
    <cellStyle name="Normal 13 5 2 5" xfId="8308"/>
    <cellStyle name="Normal 13 5 2 5 2" xfId="23352"/>
    <cellStyle name="Normal 13 5 2 5 3" xfId="38395"/>
    <cellStyle name="Normal 13 5 2 6" xfId="15831"/>
    <cellStyle name="Normal 13 5 2 7" xfId="30874"/>
    <cellStyle name="Normal 13 5 3" xfId="1213"/>
    <cellStyle name="Normal 13 5 3 2" xfId="3084"/>
    <cellStyle name="Normal 13 5 3 2 2" xfId="6879"/>
    <cellStyle name="Normal 13 5 3 2 2 2" xfId="14402"/>
    <cellStyle name="Normal 13 5 3 2 2 2 2" xfId="29446"/>
    <cellStyle name="Normal 13 5 3 2 2 2 3" xfId="44489"/>
    <cellStyle name="Normal 13 5 3 2 2 3" xfId="21925"/>
    <cellStyle name="Normal 13 5 3 2 2 4" xfId="36968"/>
    <cellStyle name="Normal 13 5 3 2 3" xfId="10653"/>
    <cellStyle name="Normal 13 5 3 2 3 2" xfId="25697"/>
    <cellStyle name="Normal 13 5 3 2 3 3" xfId="40740"/>
    <cellStyle name="Normal 13 5 3 2 4" xfId="18176"/>
    <cellStyle name="Normal 13 5 3 2 5" xfId="33219"/>
    <cellStyle name="Normal 13 5 3 3" xfId="5014"/>
    <cellStyle name="Normal 13 5 3 3 2" xfId="12537"/>
    <cellStyle name="Normal 13 5 3 3 2 2" xfId="27581"/>
    <cellStyle name="Normal 13 5 3 3 2 3" xfId="42624"/>
    <cellStyle name="Normal 13 5 3 3 3" xfId="20060"/>
    <cellStyle name="Normal 13 5 3 3 4" xfId="35103"/>
    <cellStyle name="Normal 13 5 3 4" xfId="8788"/>
    <cellStyle name="Normal 13 5 3 4 2" xfId="23832"/>
    <cellStyle name="Normal 13 5 3 4 3" xfId="38875"/>
    <cellStyle name="Normal 13 5 3 5" xfId="16311"/>
    <cellStyle name="Normal 13 5 3 6" xfId="31354"/>
    <cellStyle name="Normal 13 5 4" xfId="2151"/>
    <cellStyle name="Normal 13 5 4 2" xfId="5947"/>
    <cellStyle name="Normal 13 5 4 2 2" xfId="13470"/>
    <cellStyle name="Normal 13 5 4 2 2 2" xfId="28514"/>
    <cellStyle name="Normal 13 5 4 2 2 3" xfId="43557"/>
    <cellStyle name="Normal 13 5 4 2 3" xfId="20993"/>
    <cellStyle name="Normal 13 5 4 2 4" xfId="36036"/>
    <cellStyle name="Normal 13 5 4 3" xfId="9721"/>
    <cellStyle name="Normal 13 5 4 3 2" xfId="24765"/>
    <cellStyle name="Normal 13 5 4 3 3" xfId="39808"/>
    <cellStyle name="Normal 13 5 4 4" xfId="17244"/>
    <cellStyle name="Normal 13 5 4 5" xfId="32287"/>
    <cellStyle name="Normal 13 5 5" xfId="4079"/>
    <cellStyle name="Normal 13 5 5 2" xfId="11603"/>
    <cellStyle name="Normal 13 5 5 2 2" xfId="26647"/>
    <cellStyle name="Normal 13 5 5 2 3" xfId="41690"/>
    <cellStyle name="Normal 13 5 5 3" xfId="19126"/>
    <cellStyle name="Normal 13 5 5 4" xfId="34169"/>
    <cellStyle name="Normal 13 5 6" xfId="7842"/>
    <cellStyle name="Normal 13 5 6 2" xfId="22886"/>
    <cellStyle name="Normal 13 5 6 3" xfId="37929"/>
    <cellStyle name="Normal 13 5 7" xfId="15365"/>
    <cellStyle name="Normal 13 5 8" xfId="30408"/>
    <cellStyle name="Normal 13 6" xfId="697"/>
    <cellStyle name="Normal 13 6 2" xfId="1656"/>
    <cellStyle name="Normal 13 6 2 2" xfId="3527"/>
    <cellStyle name="Normal 13 6 2 2 2" xfId="7322"/>
    <cellStyle name="Normal 13 6 2 2 2 2" xfId="14845"/>
    <cellStyle name="Normal 13 6 2 2 2 2 2" xfId="29889"/>
    <cellStyle name="Normal 13 6 2 2 2 2 3" xfId="44932"/>
    <cellStyle name="Normal 13 6 2 2 2 3" xfId="22368"/>
    <cellStyle name="Normal 13 6 2 2 2 4" xfId="37411"/>
    <cellStyle name="Normal 13 6 2 2 3" xfId="11096"/>
    <cellStyle name="Normal 13 6 2 2 3 2" xfId="26140"/>
    <cellStyle name="Normal 13 6 2 2 3 3" xfId="41183"/>
    <cellStyle name="Normal 13 6 2 2 4" xfId="18619"/>
    <cellStyle name="Normal 13 6 2 2 5" xfId="33662"/>
    <cellStyle name="Normal 13 6 2 3" xfId="5457"/>
    <cellStyle name="Normal 13 6 2 3 2" xfId="12980"/>
    <cellStyle name="Normal 13 6 2 3 2 2" xfId="28024"/>
    <cellStyle name="Normal 13 6 2 3 2 3" xfId="43067"/>
    <cellStyle name="Normal 13 6 2 3 3" xfId="20503"/>
    <cellStyle name="Normal 13 6 2 3 4" xfId="35546"/>
    <cellStyle name="Normal 13 6 2 4" xfId="9231"/>
    <cellStyle name="Normal 13 6 2 4 2" xfId="24275"/>
    <cellStyle name="Normal 13 6 2 4 3" xfId="39318"/>
    <cellStyle name="Normal 13 6 2 5" xfId="16754"/>
    <cellStyle name="Normal 13 6 2 6" xfId="31797"/>
    <cellStyle name="Normal 13 6 3" xfId="2595"/>
    <cellStyle name="Normal 13 6 3 2" xfId="6390"/>
    <cellStyle name="Normal 13 6 3 2 2" xfId="13913"/>
    <cellStyle name="Normal 13 6 3 2 2 2" xfId="28957"/>
    <cellStyle name="Normal 13 6 3 2 2 3" xfId="44000"/>
    <cellStyle name="Normal 13 6 3 2 3" xfId="21436"/>
    <cellStyle name="Normal 13 6 3 2 4" xfId="36479"/>
    <cellStyle name="Normal 13 6 3 3" xfId="10164"/>
    <cellStyle name="Normal 13 6 3 3 2" xfId="25208"/>
    <cellStyle name="Normal 13 6 3 3 3" xfId="40251"/>
    <cellStyle name="Normal 13 6 3 4" xfId="17687"/>
    <cellStyle name="Normal 13 6 3 5" xfId="32730"/>
    <cellStyle name="Normal 13 6 4" xfId="4525"/>
    <cellStyle name="Normal 13 6 4 2" xfId="12048"/>
    <cellStyle name="Normal 13 6 4 2 2" xfId="27092"/>
    <cellStyle name="Normal 13 6 4 2 3" xfId="42135"/>
    <cellStyle name="Normal 13 6 4 3" xfId="19571"/>
    <cellStyle name="Normal 13 6 4 4" xfId="34614"/>
    <cellStyle name="Normal 13 6 5" xfId="8299"/>
    <cellStyle name="Normal 13 6 5 2" xfId="23343"/>
    <cellStyle name="Normal 13 6 5 3" xfId="38386"/>
    <cellStyle name="Normal 13 6 6" xfId="15822"/>
    <cellStyle name="Normal 13 6 7" xfId="30865"/>
    <cellStyle name="Normal 13 7" xfId="1204"/>
    <cellStyle name="Normal 13 7 2" xfId="3075"/>
    <cellStyle name="Normal 13 7 2 2" xfId="6870"/>
    <cellStyle name="Normal 13 7 2 2 2" xfId="14393"/>
    <cellStyle name="Normal 13 7 2 2 2 2" xfId="29437"/>
    <cellStyle name="Normal 13 7 2 2 2 3" xfId="44480"/>
    <cellStyle name="Normal 13 7 2 2 3" xfId="21916"/>
    <cellStyle name="Normal 13 7 2 2 4" xfId="36959"/>
    <cellStyle name="Normal 13 7 2 3" xfId="10644"/>
    <cellStyle name="Normal 13 7 2 3 2" xfId="25688"/>
    <cellStyle name="Normal 13 7 2 3 3" xfId="40731"/>
    <cellStyle name="Normal 13 7 2 4" xfId="18167"/>
    <cellStyle name="Normal 13 7 2 5" xfId="33210"/>
    <cellStyle name="Normal 13 7 3" xfId="5005"/>
    <cellStyle name="Normal 13 7 3 2" xfId="12528"/>
    <cellStyle name="Normal 13 7 3 2 2" xfId="27572"/>
    <cellStyle name="Normal 13 7 3 2 3" xfId="42615"/>
    <cellStyle name="Normal 13 7 3 3" xfId="20051"/>
    <cellStyle name="Normal 13 7 3 4" xfId="35094"/>
    <cellStyle name="Normal 13 7 4" xfId="8779"/>
    <cellStyle name="Normal 13 7 4 2" xfId="23823"/>
    <cellStyle name="Normal 13 7 4 3" xfId="38866"/>
    <cellStyle name="Normal 13 7 5" xfId="16302"/>
    <cellStyle name="Normal 13 7 6" xfId="31345"/>
    <cellStyle name="Normal 13 8" xfId="2142"/>
    <cellStyle name="Normal 13 8 2" xfId="5938"/>
    <cellStyle name="Normal 13 8 2 2" xfId="13461"/>
    <cellStyle name="Normal 13 8 2 2 2" xfId="28505"/>
    <cellStyle name="Normal 13 8 2 2 3" xfId="43548"/>
    <cellStyle name="Normal 13 8 2 3" xfId="20984"/>
    <cellStyle name="Normal 13 8 2 4" xfId="36027"/>
    <cellStyle name="Normal 13 8 3" xfId="9712"/>
    <cellStyle name="Normal 13 8 3 2" xfId="24756"/>
    <cellStyle name="Normal 13 8 3 3" xfId="39799"/>
    <cellStyle name="Normal 13 8 4" xfId="17235"/>
    <cellStyle name="Normal 13 8 5" xfId="32278"/>
    <cellStyle name="Normal 13 9" xfId="4070"/>
    <cellStyle name="Normal 13 9 2" xfId="11594"/>
    <cellStyle name="Normal 13 9 2 2" xfId="26638"/>
    <cellStyle name="Normal 13 9 2 3" xfId="41681"/>
    <cellStyle name="Normal 13 9 3" xfId="19117"/>
    <cellStyle name="Normal 13 9 4" xfId="34160"/>
    <cellStyle name="Normal 14" xfId="179"/>
    <cellStyle name="Normal 14 10" xfId="15366"/>
    <cellStyle name="Normal 14 11" xfId="30409"/>
    <cellStyle name="Normal 14 2" xfId="180"/>
    <cellStyle name="Normal 14 2 2" xfId="181"/>
    <cellStyle name="Normal 14 2 2 2" xfId="709"/>
    <cellStyle name="Normal 14 2 2 2 2" xfId="1668"/>
    <cellStyle name="Normal 14 2 2 2 2 2" xfId="3539"/>
    <cellStyle name="Normal 14 2 2 2 2 2 2" xfId="7334"/>
    <cellStyle name="Normal 14 2 2 2 2 2 2 2" xfId="14857"/>
    <cellStyle name="Normal 14 2 2 2 2 2 2 2 2" xfId="29901"/>
    <cellStyle name="Normal 14 2 2 2 2 2 2 2 3" xfId="44944"/>
    <cellStyle name="Normal 14 2 2 2 2 2 2 3" xfId="22380"/>
    <cellStyle name="Normal 14 2 2 2 2 2 2 4" xfId="37423"/>
    <cellStyle name="Normal 14 2 2 2 2 2 3" xfId="11108"/>
    <cellStyle name="Normal 14 2 2 2 2 2 3 2" xfId="26152"/>
    <cellStyle name="Normal 14 2 2 2 2 2 3 3" xfId="41195"/>
    <cellStyle name="Normal 14 2 2 2 2 2 4" xfId="18631"/>
    <cellStyle name="Normal 14 2 2 2 2 2 5" xfId="33674"/>
    <cellStyle name="Normal 14 2 2 2 2 3" xfId="5469"/>
    <cellStyle name="Normal 14 2 2 2 2 3 2" xfId="12992"/>
    <cellStyle name="Normal 14 2 2 2 2 3 2 2" xfId="28036"/>
    <cellStyle name="Normal 14 2 2 2 2 3 2 3" xfId="43079"/>
    <cellStyle name="Normal 14 2 2 2 2 3 3" xfId="20515"/>
    <cellStyle name="Normal 14 2 2 2 2 3 4" xfId="35558"/>
    <cellStyle name="Normal 14 2 2 2 2 4" xfId="9243"/>
    <cellStyle name="Normal 14 2 2 2 2 4 2" xfId="24287"/>
    <cellStyle name="Normal 14 2 2 2 2 4 3" xfId="39330"/>
    <cellStyle name="Normal 14 2 2 2 2 5" xfId="16766"/>
    <cellStyle name="Normal 14 2 2 2 2 6" xfId="31809"/>
    <cellStyle name="Normal 14 2 2 2 3" xfId="2607"/>
    <cellStyle name="Normal 14 2 2 2 3 2" xfId="6402"/>
    <cellStyle name="Normal 14 2 2 2 3 2 2" xfId="13925"/>
    <cellStyle name="Normal 14 2 2 2 3 2 2 2" xfId="28969"/>
    <cellStyle name="Normal 14 2 2 2 3 2 2 3" xfId="44012"/>
    <cellStyle name="Normal 14 2 2 2 3 2 3" xfId="21448"/>
    <cellStyle name="Normal 14 2 2 2 3 2 4" xfId="36491"/>
    <cellStyle name="Normal 14 2 2 2 3 3" xfId="10176"/>
    <cellStyle name="Normal 14 2 2 2 3 3 2" xfId="25220"/>
    <cellStyle name="Normal 14 2 2 2 3 3 3" xfId="40263"/>
    <cellStyle name="Normal 14 2 2 2 3 4" xfId="17699"/>
    <cellStyle name="Normal 14 2 2 2 3 5" xfId="32742"/>
    <cellStyle name="Normal 14 2 2 2 4" xfId="4537"/>
    <cellStyle name="Normal 14 2 2 2 4 2" xfId="12060"/>
    <cellStyle name="Normal 14 2 2 2 4 2 2" xfId="27104"/>
    <cellStyle name="Normal 14 2 2 2 4 2 3" xfId="42147"/>
    <cellStyle name="Normal 14 2 2 2 4 3" xfId="19583"/>
    <cellStyle name="Normal 14 2 2 2 4 4" xfId="34626"/>
    <cellStyle name="Normal 14 2 2 2 5" xfId="8311"/>
    <cellStyle name="Normal 14 2 2 2 5 2" xfId="23355"/>
    <cellStyle name="Normal 14 2 2 2 5 3" xfId="38398"/>
    <cellStyle name="Normal 14 2 2 2 6" xfId="15834"/>
    <cellStyle name="Normal 14 2 2 2 7" xfId="30877"/>
    <cellStyle name="Normal 14 2 2 3" xfId="1216"/>
    <cellStyle name="Normal 14 2 2 3 2" xfId="3087"/>
    <cellStyle name="Normal 14 2 2 3 2 2" xfId="6882"/>
    <cellStyle name="Normal 14 2 2 3 2 2 2" xfId="14405"/>
    <cellStyle name="Normal 14 2 2 3 2 2 2 2" xfId="29449"/>
    <cellStyle name="Normal 14 2 2 3 2 2 2 3" xfId="44492"/>
    <cellStyle name="Normal 14 2 2 3 2 2 3" xfId="21928"/>
    <cellStyle name="Normal 14 2 2 3 2 2 4" xfId="36971"/>
    <cellStyle name="Normal 14 2 2 3 2 3" xfId="10656"/>
    <cellStyle name="Normal 14 2 2 3 2 3 2" xfId="25700"/>
    <cellStyle name="Normal 14 2 2 3 2 3 3" xfId="40743"/>
    <cellStyle name="Normal 14 2 2 3 2 4" xfId="18179"/>
    <cellStyle name="Normal 14 2 2 3 2 5" xfId="33222"/>
    <cellStyle name="Normal 14 2 2 3 3" xfId="5017"/>
    <cellStyle name="Normal 14 2 2 3 3 2" xfId="12540"/>
    <cellStyle name="Normal 14 2 2 3 3 2 2" xfId="27584"/>
    <cellStyle name="Normal 14 2 2 3 3 2 3" xfId="42627"/>
    <cellStyle name="Normal 14 2 2 3 3 3" xfId="20063"/>
    <cellStyle name="Normal 14 2 2 3 3 4" xfId="35106"/>
    <cellStyle name="Normal 14 2 2 3 4" xfId="8791"/>
    <cellStyle name="Normal 14 2 2 3 4 2" xfId="23835"/>
    <cellStyle name="Normal 14 2 2 3 4 3" xfId="38878"/>
    <cellStyle name="Normal 14 2 2 3 5" xfId="16314"/>
    <cellStyle name="Normal 14 2 2 3 6" xfId="31357"/>
    <cellStyle name="Normal 14 2 2 4" xfId="2154"/>
    <cellStyle name="Normal 14 2 2 4 2" xfId="5950"/>
    <cellStyle name="Normal 14 2 2 4 2 2" xfId="13473"/>
    <cellStyle name="Normal 14 2 2 4 2 2 2" xfId="28517"/>
    <cellStyle name="Normal 14 2 2 4 2 2 3" xfId="43560"/>
    <cellStyle name="Normal 14 2 2 4 2 3" xfId="20996"/>
    <cellStyle name="Normal 14 2 2 4 2 4" xfId="36039"/>
    <cellStyle name="Normal 14 2 2 4 3" xfId="9724"/>
    <cellStyle name="Normal 14 2 2 4 3 2" xfId="24768"/>
    <cellStyle name="Normal 14 2 2 4 3 3" xfId="39811"/>
    <cellStyle name="Normal 14 2 2 4 4" xfId="17247"/>
    <cellStyle name="Normal 14 2 2 4 5" xfId="32290"/>
    <cellStyle name="Normal 14 2 2 5" xfId="4082"/>
    <cellStyle name="Normal 14 2 2 5 2" xfId="11606"/>
    <cellStyle name="Normal 14 2 2 5 2 2" xfId="26650"/>
    <cellStyle name="Normal 14 2 2 5 2 3" xfId="41693"/>
    <cellStyle name="Normal 14 2 2 5 3" xfId="19129"/>
    <cellStyle name="Normal 14 2 2 5 4" xfId="34172"/>
    <cellStyle name="Normal 14 2 2 6" xfId="7845"/>
    <cellStyle name="Normal 14 2 2 6 2" xfId="22889"/>
    <cellStyle name="Normal 14 2 2 6 3" xfId="37932"/>
    <cellStyle name="Normal 14 2 2 7" xfId="15368"/>
    <cellStyle name="Normal 14 2 2 8" xfId="30411"/>
    <cellStyle name="Normal 14 2 3" xfId="708"/>
    <cellStyle name="Normal 14 2 3 2" xfId="1667"/>
    <cellStyle name="Normal 14 2 3 2 2" xfId="3538"/>
    <cellStyle name="Normal 14 2 3 2 2 2" xfId="7333"/>
    <cellStyle name="Normal 14 2 3 2 2 2 2" xfId="14856"/>
    <cellStyle name="Normal 14 2 3 2 2 2 2 2" xfId="29900"/>
    <cellStyle name="Normal 14 2 3 2 2 2 2 3" xfId="44943"/>
    <cellStyle name="Normal 14 2 3 2 2 2 3" xfId="22379"/>
    <cellStyle name="Normal 14 2 3 2 2 2 4" xfId="37422"/>
    <cellStyle name="Normal 14 2 3 2 2 3" xfId="11107"/>
    <cellStyle name="Normal 14 2 3 2 2 3 2" xfId="26151"/>
    <cellStyle name="Normal 14 2 3 2 2 3 3" xfId="41194"/>
    <cellStyle name="Normal 14 2 3 2 2 4" xfId="18630"/>
    <cellStyle name="Normal 14 2 3 2 2 5" xfId="33673"/>
    <cellStyle name="Normal 14 2 3 2 3" xfId="5468"/>
    <cellStyle name="Normal 14 2 3 2 3 2" xfId="12991"/>
    <cellStyle name="Normal 14 2 3 2 3 2 2" xfId="28035"/>
    <cellStyle name="Normal 14 2 3 2 3 2 3" xfId="43078"/>
    <cellStyle name="Normal 14 2 3 2 3 3" xfId="20514"/>
    <cellStyle name="Normal 14 2 3 2 3 4" xfId="35557"/>
    <cellStyle name="Normal 14 2 3 2 4" xfId="9242"/>
    <cellStyle name="Normal 14 2 3 2 4 2" xfId="24286"/>
    <cellStyle name="Normal 14 2 3 2 4 3" xfId="39329"/>
    <cellStyle name="Normal 14 2 3 2 5" xfId="16765"/>
    <cellStyle name="Normal 14 2 3 2 6" xfId="31808"/>
    <cellStyle name="Normal 14 2 3 3" xfId="2606"/>
    <cellStyle name="Normal 14 2 3 3 2" xfId="6401"/>
    <cellStyle name="Normal 14 2 3 3 2 2" xfId="13924"/>
    <cellStyle name="Normal 14 2 3 3 2 2 2" xfId="28968"/>
    <cellStyle name="Normal 14 2 3 3 2 2 3" xfId="44011"/>
    <cellStyle name="Normal 14 2 3 3 2 3" xfId="21447"/>
    <cellStyle name="Normal 14 2 3 3 2 4" xfId="36490"/>
    <cellStyle name="Normal 14 2 3 3 3" xfId="10175"/>
    <cellStyle name="Normal 14 2 3 3 3 2" xfId="25219"/>
    <cellStyle name="Normal 14 2 3 3 3 3" xfId="40262"/>
    <cellStyle name="Normal 14 2 3 3 4" xfId="17698"/>
    <cellStyle name="Normal 14 2 3 3 5" xfId="32741"/>
    <cellStyle name="Normal 14 2 3 4" xfId="4536"/>
    <cellStyle name="Normal 14 2 3 4 2" xfId="12059"/>
    <cellStyle name="Normal 14 2 3 4 2 2" xfId="27103"/>
    <cellStyle name="Normal 14 2 3 4 2 3" xfId="42146"/>
    <cellStyle name="Normal 14 2 3 4 3" xfId="19582"/>
    <cellStyle name="Normal 14 2 3 4 4" xfId="34625"/>
    <cellStyle name="Normal 14 2 3 5" xfId="8310"/>
    <cellStyle name="Normal 14 2 3 5 2" xfId="23354"/>
    <cellStyle name="Normal 14 2 3 5 3" xfId="38397"/>
    <cellStyle name="Normal 14 2 3 6" xfId="15833"/>
    <cellStyle name="Normal 14 2 3 7" xfId="30876"/>
    <cellStyle name="Normal 14 2 4" xfId="1215"/>
    <cellStyle name="Normal 14 2 4 2" xfId="3086"/>
    <cellStyle name="Normal 14 2 4 2 2" xfId="6881"/>
    <cellStyle name="Normal 14 2 4 2 2 2" xfId="14404"/>
    <cellStyle name="Normal 14 2 4 2 2 2 2" xfId="29448"/>
    <cellStyle name="Normal 14 2 4 2 2 2 3" xfId="44491"/>
    <cellStyle name="Normal 14 2 4 2 2 3" xfId="21927"/>
    <cellStyle name="Normal 14 2 4 2 2 4" xfId="36970"/>
    <cellStyle name="Normal 14 2 4 2 3" xfId="10655"/>
    <cellStyle name="Normal 14 2 4 2 3 2" xfId="25699"/>
    <cellStyle name="Normal 14 2 4 2 3 3" xfId="40742"/>
    <cellStyle name="Normal 14 2 4 2 4" xfId="18178"/>
    <cellStyle name="Normal 14 2 4 2 5" xfId="33221"/>
    <cellStyle name="Normal 14 2 4 3" xfId="5016"/>
    <cellStyle name="Normal 14 2 4 3 2" xfId="12539"/>
    <cellStyle name="Normal 14 2 4 3 2 2" xfId="27583"/>
    <cellStyle name="Normal 14 2 4 3 2 3" xfId="42626"/>
    <cellStyle name="Normal 14 2 4 3 3" xfId="20062"/>
    <cellStyle name="Normal 14 2 4 3 4" xfId="35105"/>
    <cellStyle name="Normal 14 2 4 4" xfId="8790"/>
    <cellStyle name="Normal 14 2 4 4 2" xfId="23834"/>
    <cellStyle name="Normal 14 2 4 4 3" xfId="38877"/>
    <cellStyle name="Normal 14 2 4 5" xfId="16313"/>
    <cellStyle name="Normal 14 2 4 6" xfId="31356"/>
    <cellStyle name="Normal 14 2 5" xfId="2153"/>
    <cellStyle name="Normal 14 2 5 2" xfId="5949"/>
    <cellStyle name="Normal 14 2 5 2 2" xfId="13472"/>
    <cellStyle name="Normal 14 2 5 2 2 2" xfId="28516"/>
    <cellStyle name="Normal 14 2 5 2 2 3" xfId="43559"/>
    <cellStyle name="Normal 14 2 5 2 3" xfId="20995"/>
    <cellStyle name="Normal 14 2 5 2 4" xfId="36038"/>
    <cellStyle name="Normal 14 2 5 3" xfId="9723"/>
    <cellStyle name="Normal 14 2 5 3 2" xfId="24767"/>
    <cellStyle name="Normal 14 2 5 3 3" xfId="39810"/>
    <cellStyle name="Normal 14 2 5 4" xfId="17246"/>
    <cellStyle name="Normal 14 2 5 5" xfId="32289"/>
    <cellStyle name="Normal 14 2 6" xfId="4081"/>
    <cellStyle name="Normal 14 2 6 2" xfId="11605"/>
    <cellStyle name="Normal 14 2 6 2 2" xfId="26649"/>
    <cellStyle name="Normal 14 2 6 2 3" xfId="41692"/>
    <cellStyle name="Normal 14 2 6 3" xfId="19128"/>
    <cellStyle name="Normal 14 2 6 4" xfId="34171"/>
    <cellStyle name="Normal 14 2 7" xfId="7844"/>
    <cellStyle name="Normal 14 2 7 2" xfId="22888"/>
    <cellStyle name="Normal 14 2 7 3" xfId="37931"/>
    <cellStyle name="Normal 14 2 8" xfId="15367"/>
    <cellStyle name="Normal 14 2 9" xfId="30410"/>
    <cellStyle name="Normal 14 3" xfId="182"/>
    <cellStyle name="Normal 14 3 2" xfId="183"/>
    <cellStyle name="Normal 14 3 2 2" xfId="711"/>
    <cellStyle name="Normal 14 3 2 2 2" xfId="1670"/>
    <cellStyle name="Normal 14 3 2 2 2 2" xfId="3541"/>
    <cellStyle name="Normal 14 3 2 2 2 2 2" xfId="7336"/>
    <cellStyle name="Normal 14 3 2 2 2 2 2 2" xfId="14859"/>
    <cellStyle name="Normal 14 3 2 2 2 2 2 2 2" xfId="29903"/>
    <cellStyle name="Normal 14 3 2 2 2 2 2 2 3" xfId="44946"/>
    <cellStyle name="Normal 14 3 2 2 2 2 2 3" xfId="22382"/>
    <cellStyle name="Normal 14 3 2 2 2 2 2 4" xfId="37425"/>
    <cellStyle name="Normal 14 3 2 2 2 2 3" xfId="11110"/>
    <cellStyle name="Normal 14 3 2 2 2 2 3 2" xfId="26154"/>
    <cellStyle name="Normal 14 3 2 2 2 2 3 3" xfId="41197"/>
    <cellStyle name="Normal 14 3 2 2 2 2 4" xfId="18633"/>
    <cellStyle name="Normal 14 3 2 2 2 2 5" xfId="33676"/>
    <cellStyle name="Normal 14 3 2 2 2 3" xfId="5471"/>
    <cellStyle name="Normal 14 3 2 2 2 3 2" xfId="12994"/>
    <cellStyle name="Normal 14 3 2 2 2 3 2 2" xfId="28038"/>
    <cellStyle name="Normal 14 3 2 2 2 3 2 3" xfId="43081"/>
    <cellStyle name="Normal 14 3 2 2 2 3 3" xfId="20517"/>
    <cellStyle name="Normal 14 3 2 2 2 3 4" xfId="35560"/>
    <cellStyle name="Normal 14 3 2 2 2 4" xfId="9245"/>
    <cellStyle name="Normal 14 3 2 2 2 4 2" xfId="24289"/>
    <cellStyle name="Normal 14 3 2 2 2 4 3" xfId="39332"/>
    <cellStyle name="Normal 14 3 2 2 2 5" xfId="16768"/>
    <cellStyle name="Normal 14 3 2 2 2 6" xfId="31811"/>
    <cellStyle name="Normal 14 3 2 2 3" xfId="2609"/>
    <cellStyle name="Normal 14 3 2 2 3 2" xfId="6404"/>
    <cellStyle name="Normal 14 3 2 2 3 2 2" xfId="13927"/>
    <cellStyle name="Normal 14 3 2 2 3 2 2 2" xfId="28971"/>
    <cellStyle name="Normal 14 3 2 2 3 2 2 3" xfId="44014"/>
    <cellStyle name="Normal 14 3 2 2 3 2 3" xfId="21450"/>
    <cellStyle name="Normal 14 3 2 2 3 2 4" xfId="36493"/>
    <cellStyle name="Normal 14 3 2 2 3 3" xfId="10178"/>
    <cellStyle name="Normal 14 3 2 2 3 3 2" xfId="25222"/>
    <cellStyle name="Normal 14 3 2 2 3 3 3" xfId="40265"/>
    <cellStyle name="Normal 14 3 2 2 3 4" xfId="17701"/>
    <cellStyle name="Normal 14 3 2 2 3 5" xfId="32744"/>
    <cellStyle name="Normal 14 3 2 2 4" xfId="4539"/>
    <cellStyle name="Normal 14 3 2 2 4 2" xfId="12062"/>
    <cellStyle name="Normal 14 3 2 2 4 2 2" xfId="27106"/>
    <cellStyle name="Normal 14 3 2 2 4 2 3" xfId="42149"/>
    <cellStyle name="Normal 14 3 2 2 4 3" xfId="19585"/>
    <cellStyle name="Normal 14 3 2 2 4 4" xfId="34628"/>
    <cellStyle name="Normal 14 3 2 2 5" xfId="8313"/>
    <cellStyle name="Normal 14 3 2 2 5 2" xfId="23357"/>
    <cellStyle name="Normal 14 3 2 2 5 3" xfId="38400"/>
    <cellStyle name="Normal 14 3 2 2 6" xfId="15836"/>
    <cellStyle name="Normal 14 3 2 2 7" xfId="30879"/>
    <cellStyle name="Normal 14 3 2 3" xfId="1218"/>
    <cellStyle name="Normal 14 3 2 3 2" xfId="3089"/>
    <cellStyle name="Normal 14 3 2 3 2 2" xfId="6884"/>
    <cellStyle name="Normal 14 3 2 3 2 2 2" xfId="14407"/>
    <cellStyle name="Normal 14 3 2 3 2 2 2 2" xfId="29451"/>
    <cellStyle name="Normal 14 3 2 3 2 2 2 3" xfId="44494"/>
    <cellStyle name="Normal 14 3 2 3 2 2 3" xfId="21930"/>
    <cellStyle name="Normal 14 3 2 3 2 2 4" xfId="36973"/>
    <cellStyle name="Normal 14 3 2 3 2 3" xfId="10658"/>
    <cellStyle name="Normal 14 3 2 3 2 3 2" xfId="25702"/>
    <cellStyle name="Normal 14 3 2 3 2 3 3" xfId="40745"/>
    <cellStyle name="Normal 14 3 2 3 2 4" xfId="18181"/>
    <cellStyle name="Normal 14 3 2 3 2 5" xfId="33224"/>
    <cellStyle name="Normal 14 3 2 3 3" xfId="5019"/>
    <cellStyle name="Normal 14 3 2 3 3 2" xfId="12542"/>
    <cellStyle name="Normal 14 3 2 3 3 2 2" xfId="27586"/>
    <cellStyle name="Normal 14 3 2 3 3 2 3" xfId="42629"/>
    <cellStyle name="Normal 14 3 2 3 3 3" xfId="20065"/>
    <cellStyle name="Normal 14 3 2 3 3 4" xfId="35108"/>
    <cellStyle name="Normal 14 3 2 3 4" xfId="8793"/>
    <cellStyle name="Normal 14 3 2 3 4 2" xfId="23837"/>
    <cellStyle name="Normal 14 3 2 3 4 3" xfId="38880"/>
    <cellStyle name="Normal 14 3 2 3 5" xfId="16316"/>
    <cellStyle name="Normal 14 3 2 3 6" xfId="31359"/>
    <cellStyle name="Normal 14 3 2 4" xfId="2156"/>
    <cellStyle name="Normal 14 3 2 4 2" xfId="5952"/>
    <cellStyle name="Normal 14 3 2 4 2 2" xfId="13475"/>
    <cellStyle name="Normal 14 3 2 4 2 2 2" xfId="28519"/>
    <cellStyle name="Normal 14 3 2 4 2 2 3" xfId="43562"/>
    <cellStyle name="Normal 14 3 2 4 2 3" xfId="20998"/>
    <cellStyle name="Normal 14 3 2 4 2 4" xfId="36041"/>
    <cellStyle name="Normal 14 3 2 4 3" xfId="9726"/>
    <cellStyle name="Normal 14 3 2 4 3 2" xfId="24770"/>
    <cellStyle name="Normal 14 3 2 4 3 3" xfId="39813"/>
    <cellStyle name="Normal 14 3 2 4 4" xfId="17249"/>
    <cellStyle name="Normal 14 3 2 4 5" xfId="32292"/>
    <cellStyle name="Normal 14 3 2 5" xfId="4084"/>
    <cellStyle name="Normal 14 3 2 5 2" xfId="11608"/>
    <cellStyle name="Normal 14 3 2 5 2 2" xfId="26652"/>
    <cellStyle name="Normal 14 3 2 5 2 3" xfId="41695"/>
    <cellStyle name="Normal 14 3 2 5 3" xfId="19131"/>
    <cellStyle name="Normal 14 3 2 5 4" xfId="34174"/>
    <cellStyle name="Normal 14 3 2 6" xfId="7847"/>
    <cellStyle name="Normal 14 3 2 6 2" xfId="22891"/>
    <cellStyle name="Normal 14 3 2 6 3" xfId="37934"/>
    <cellStyle name="Normal 14 3 2 7" xfId="15370"/>
    <cellStyle name="Normal 14 3 2 8" xfId="30413"/>
    <cellStyle name="Normal 14 3 3" xfId="710"/>
    <cellStyle name="Normal 14 3 3 2" xfId="1669"/>
    <cellStyle name="Normal 14 3 3 2 2" xfId="3540"/>
    <cellStyle name="Normal 14 3 3 2 2 2" xfId="7335"/>
    <cellStyle name="Normal 14 3 3 2 2 2 2" xfId="14858"/>
    <cellStyle name="Normal 14 3 3 2 2 2 2 2" xfId="29902"/>
    <cellStyle name="Normal 14 3 3 2 2 2 2 3" xfId="44945"/>
    <cellStyle name="Normal 14 3 3 2 2 2 3" xfId="22381"/>
    <cellStyle name="Normal 14 3 3 2 2 2 4" xfId="37424"/>
    <cellStyle name="Normal 14 3 3 2 2 3" xfId="11109"/>
    <cellStyle name="Normal 14 3 3 2 2 3 2" xfId="26153"/>
    <cellStyle name="Normal 14 3 3 2 2 3 3" xfId="41196"/>
    <cellStyle name="Normal 14 3 3 2 2 4" xfId="18632"/>
    <cellStyle name="Normal 14 3 3 2 2 5" xfId="33675"/>
    <cellStyle name="Normal 14 3 3 2 3" xfId="5470"/>
    <cellStyle name="Normal 14 3 3 2 3 2" xfId="12993"/>
    <cellStyle name="Normal 14 3 3 2 3 2 2" xfId="28037"/>
    <cellStyle name="Normal 14 3 3 2 3 2 3" xfId="43080"/>
    <cellStyle name="Normal 14 3 3 2 3 3" xfId="20516"/>
    <cellStyle name="Normal 14 3 3 2 3 4" xfId="35559"/>
    <cellStyle name="Normal 14 3 3 2 4" xfId="9244"/>
    <cellStyle name="Normal 14 3 3 2 4 2" xfId="24288"/>
    <cellStyle name="Normal 14 3 3 2 4 3" xfId="39331"/>
    <cellStyle name="Normal 14 3 3 2 5" xfId="16767"/>
    <cellStyle name="Normal 14 3 3 2 6" xfId="31810"/>
    <cellStyle name="Normal 14 3 3 3" xfId="2608"/>
    <cellStyle name="Normal 14 3 3 3 2" xfId="6403"/>
    <cellStyle name="Normal 14 3 3 3 2 2" xfId="13926"/>
    <cellStyle name="Normal 14 3 3 3 2 2 2" xfId="28970"/>
    <cellStyle name="Normal 14 3 3 3 2 2 3" xfId="44013"/>
    <cellStyle name="Normal 14 3 3 3 2 3" xfId="21449"/>
    <cellStyle name="Normal 14 3 3 3 2 4" xfId="36492"/>
    <cellStyle name="Normal 14 3 3 3 3" xfId="10177"/>
    <cellStyle name="Normal 14 3 3 3 3 2" xfId="25221"/>
    <cellStyle name="Normal 14 3 3 3 3 3" xfId="40264"/>
    <cellStyle name="Normal 14 3 3 3 4" xfId="17700"/>
    <cellStyle name="Normal 14 3 3 3 5" xfId="32743"/>
    <cellStyle name="Normal 14 3 3 4" xfId="4538"/>
    <cellStyle name="Normal 14 3 3 4 2" xfId="12061"/>
    <cellStyle name="Normal 14 3 3 4 2 2" xfId="27105"/>
    <cellStyle name="Normal 14 3 3 4 2 3" xfId="42148"/>
    <cellStyle name="Normal 14 3 3 4 3" xfId="19584"/>
    <cellStyle name="Normal 14 3 3 4 4" xfId="34627"/>
    <cellStyle name="Normal 14 3 3 5" xfId="8312"/>
    <cellStyle name="Normal 14 3 3 5 2" xfId="23356"/>
    <cellStyle name="Normal 14 3 3 5 3" xfId="38399"/>
    <cellStyle name="Normal 14 3 3 6" xfId="15835"/>
    <cellStyle name="Normal 14 3 3 7" xfId="30878"/>
    <cellStyle name="Normal 14 3 4" xfId="1217"/>
    <cellStyle name="Normal 14 3 4 2" xfId="3088"/>
    <cellStyle name="Normal 14 3 4 2 2" xfId="6883"/>
    <cellStyle name="Normal 14 3 4 2 2 2" xfId="14406"/>
    <cellStyle name="Normal 14 3 4 2 2 2 2" xfId="29450"/>
    <cellStyle name="Normal 14 3 4 2 2 2 3" xfId="44493"/>
    <cellStyle name="Normal 14 3 4 2 2 3" xfId="21929"/>
    <cellStyle name="Normal 14 3 4 2 2 4" xfId="36972"/>
    <cellStyle name="Normal 14 3 4 2 3" xfId="10657"/>
    <cellStyle name="Normal 14 3 4 2 3 2" xfId="25701"/>
    <cellStyle name="Normal 14 3 4 2 3 3" xfId="40744"/>
    <cellStyle name="Normal 14 3 4 2 4" xfId="18180"/>
    <cellStyle name="Normal 14 3 4 2 5" xfId="33223"/>
    <cellStyle name="Normal 14 3 4 3" xfId="5018"/>
    <cellStyle name="Normal 14 3 4 3 2" xfId="12541"/>
    <cellStyle name="Normal 14 3 4 3 2 2" xfId="27585"/>
    <cellStyle name="Normal 14 3 4 3 2 3" xfId="42628"/>
    <cellStyle name="Normal 14 3 4 3 3" xfId="20064"/>
    <cellStyle name="Normal 14 3 4 3 4" xfId="35107"/>
    <cellStyle name="Normal 14 3 4 4" xfId="8792"/>
    <cellStyle name="Normal 14 3 4 4 2" xfId="23836"/>
    <cellStyle name="Normal 14 3 4 4 3" xfId="38879"/>
    <cellStyle name="Normal 14 3 4 5" xfId="16315"/>
    <cellStyle name="Normal 14 3 4 6" xfId="31358"/>
    <cellStyle name="Normal 14 3 5" xfId="2155"/>
    <cellStyle name="Normal 14 3 5 2" xfId="5951"/>
    <cellStyle name="Normal 14 3 5 2 2" xfId="13474"/>
    <cellStyle name="Normal 14 3 5 2 2 2" xfId="28518"/>
    <cellStyle name="Normal 14 3 5 2 2 3" xfId="43561"/>
    <cellStyle name="Normal 14 3 5 2 3" xfId="20997"/>
    <cellStyle name="Normal 14 3 5 2 4" xfId="36040"/>
    <cellStyle name="Normal 14 3 5 3" xfId="9725"/>
    <cellStyle name="Normal 14 3 5 3 2" xfId="24769"/>
    <cellStyle name="Normal 14 3 5 3 3" xfId="39812"/>
    <cellStyle name="Normal 14 3 5 4" xfId="17248"/>
    <cellStyle name="Normal 14 3 5 5" xfId="32291"/>
    <cellStyle name="Normal 14 3 6" xfId="4083"/>
    <cellStyle name="Normal 14 3 6 2" xfId="11607"/>
    <cellStyle name="Normal 14 3 6 2 2" xfId="26651"/>
    <cellStyle name="Normal 14 3 6 2 3" xfId="41694"/>
    <cellStyle name="Normal 14 3 6 3" xfId="19130"/>
    <cellStyle name="Normal 14 3 6 4" xfId="34173"/>
    <cellStyle name="Normal 14 3 7" xfId="7846"/>
    <cellStyle name="Normal 14 3 7 2" xfId="22890"/>
    <cellStyle name="Normal 14 3 7 3" xfId="37933"/>
    <cellStyle name="Normal 14 3 8" xfId="15369"/>
    <cellStyle name="Normal 14 3 9" xfId="30412"/>
    <cellStyle name="Normal 14 4" xfId="184"/>
    <cellStyle name="Normal 14 4 2" xfId="712"/>
    <cellStyle name="Normal 14 4 2 2" xfId="1671"/>
    <cellStyle name="Normal 14 4 2 2 2" xfId="3542"/>
    <cellStyle name="Normal 14 4 2 2 2 2" xfId="7337"/>
    <cellStyle name="Normal 14 4 2 2 2 2 2" xfId="14860"/>
    <cellStyle name="Normal 14 4 2 2 2 2 2 2" xfId="29904"/>
    <cellStyle name="Normal 14 4 2 2 2 2 2 3" xfId="44947"/>
    <cellStyle name="Normal 14 4 2 2 2 2 3" xfId="22383"/>
    <cellStyle name="Normal 14 4 2 2 2 2 4" xfId="37426"/>
    <cellStyle name="Normal 14 4 2 2 2 3" xfId="11111"/>
    <cellStyle name="Normal 14 4 2 2 2 3 2" xfId="26155"/>
    <cellStyle name="Normal 14 4 2 2 2 3 3" xfId="41198"/>
    <cellStyle name="Normal 14 4 2 2 2 4" xfId="18634"/>
    <cellStyle name="Normal 14 4 2 2 2 5" xfId="33677"/>
    <cellStyle name="Normal 14 4 2 2 3" xfId="5472"/>
    <cellStyle name="Normal 14 4 2 2 3 2" xfId="12995"/>
    <cellStyle name="Normal 14 4 2 2 3 2 2" xfId="28039"/>
    <cellStyle name="Normal 14 4 2 2 3 2 3" xfId="43082"/>
    <cellStyle name="Normal 14 4 2 2 3 3" xfId="20518"/>
    <cellStyle name="Normal 14 4 2 2 3 4" xfId="35561"/>
    <cellStyle name="Normal 14 4 2 2 4" xfId="9246"/>
    <cellStyle name="Normal 14 4 2 2 4 2" xfId="24290"/>
    <cellStyle name="Normal 14 4 2 2 4 3" xfId="39333"/>
    <cellStyle name="Normal 14 4 2 2 5" xfId="16769"/>
    <cellStyle name="Normal 14 4 2 2 6" xfId="31812"/>
    <cellStyle name="Normal 14 4 2 3" xfId="2610"/>
    <cellStyle name="Normal 14 4 2 3 2" xfId="6405"/>
    <cellStyle name="Normal 14 4 2 3 2 2" xfId="13928"/>
    <cellStyle name="Normal 14 4 2 3 2 2 2" xfId="28972"/>
    <cellStyle name="Normal 14 4 2 3 2 2 3" xfId="44015"/>
    <cellStyle name="Normal 14 4 2 3 2 3" xfId="21451"/>
    <cellStyle name="Normal 14 4 2 3 2 4" xfId="36494"/>
    <cellStyle name="Normal 14 4 2 3 3" xfId="10179"/>
    <cellStyle name="Normal 14 4 2 3 3 2" xfId="25223"/>
    <cellStyle name="Normal 14 4 2 3 3 3" xfId="40266"/>
    <cellStyle name="Normal 14 4 2 3 4" xfId="17702"/>
    <cellStyle name="Normal 14 4 2 3 5" xfId="32745"/>
    <cellStyle name="Normal 14 4 2 4" xfId="4540"/>
    <cellStyle name="Normal 14 4 2 4 2" xfId="12063"/>
    <cellStyle name="Normal 14 4 2 4 2 2" xfId="27107"/>
    <cellStyle name="Normal 14 4 2 4 2 3" xfId="42150"/>
    <cellStyle name="Normal 14 4 2 4 3" xfId="19586"/>
    <cellStyle name="Normal 14 4 2 4 4" xfId="34629"/>
    <cellStyle name="Normal 14 4 2 5" xfId="8314"/>
    <cellStyle name="Normal 14 4 2 5 2" xfId="23358"/>
    <cellStyle name="Normal 14 4 2 5 3" xfId="38401"/>
    <cellStyle name="Normal 14 4 2 6" xfId="15837"/>
    <cellStyle name="Normal 14 4 2 7" xfId="30880"/>
    <cellStyle name="Normal 14 4 3" xfId="1219"/>
    <cellStyle name="Normal 14 4 3 2" xfId="3090"/>
    <cellStyle name="Normal 14 4 3 2 2" xfId="6885"/>
    <cellStyle name="Normal 14 4 3 2 2 2" xfId="14408"/>
    <cellStyle name="Normal 14 4 3 2 2 2 2" xfId="29452"/>
    <cellStyle name="Normal 14 4 3 2 2 2 3" xfId="44495"/>
    <cellStyle name="Normal 14 4 3 2 2 3" xfId="21931"/>
    <cellStyle name="Normal 14 4 3 2 2 4" xfId="36974"/>
    <cellStyle name="Normal 14 4 3 2 3" xfId="10659"/>
    <cellStyle name="Normal 14 4 3 2 3 2" xfId="25703"/>
    <cellStyle name="Normal 14 4 3 2 3 3" xfId="40746"/>
    <cellStyle name="Normal 14 4 3 2 4" xfId="18182"/>
    <cellStyle name="Normal 14 4 3 2 5" xfId="33225"/>
    <cellStyle name="Normal 14 4 3 3" xfId="5020"/>
    <cellStyle name="Normal 14 4 3 3 2" xfId="12543"/>
    <cellStyle name="Normal 14 4 3 3 2 2" xfId="27587"/>
    <cellStyle name="Normal 14 4 3 3 2 3" xfId="42630"/>
    <cellStyle name="Normal 14 4 3 3 3" xfId="20066"/>
    <cellStyle name="Normal 14 4 3 3 4" xfId="35109"/>
    <cellStyle name="Normal 14 4 3 4" xfId="8794"/>
    <cellStyle name="Normal 14 4 3 4 2" xfId="23838"/>
    <cellStyle name="Normal 14 4 3 4 3" xfId="38881"/>
    <cellStyle name="Normal 14 4 3 5" xfId="16317"/>
    <cellStyle name="Normal 14 4 3 6" xfId="31360"/>
    <cellStyle name="Normal 14 4 4" xfId="2157"/>
    <cellStyle name="Normal 14 4 4 2" xfId="5953"/>
    <cellStyle name="Normal 14 4 4 2 2" xfId="13476"/>
    <cellStyle name="Normal 14 4 4 2 2 2" xfId="28520"/>
    <cellStyle name="Normal 14 4 4 2 2 3" xfId="43563"/>
    <cellStyle name="Normal 14 4 4 2 3" xfId="20999"/>
    <cellStyle name="Normal 14 4 4 2 4" xfId="36042"/>
    <cellStyle name="Normal 14 4 4 3" xfId="9727"/>
    <cellStyle name="Normal 14 4 4 3 2" xfId="24771"/>
    <cellStyle name="Normal 14 4 4 3 3" xfId="39814"/>
    <cellStyle name="Normal 14 4 4 4" xfId="17250"/>
    <cellStyle name="Normal 14 4 4 5" xfId="32293"/>
    <cellStyle name="Normal 14 4 5" xfId="4085"/>
    <cellStyle name="Normal 14 4 5 2" xfId="11609"/>
    <cellStyle name="Normal 14 4 5 2 2" xfId="26653"/>
    <cellStyle name="Normal 14 4 5 2 3" xfId="41696"/>
    <cellStyle name="Normal 14 4 5 3" xfId="19132"/>
    <cellStyle name="Normal 14 4 5 4" xfId="34175"/>
    <cellStyle name="Normal 14 4 6" xfId="7848"/>
    <cellStyle name="Normal 14 4 6 2" xfId="22892"/>
    <cellStyle name="Normal 14 4 6 3" xfId="37935"/>
    <cellStyle name="Normal 14 4 7" xfId="15371"/>
    <cellStyle name="Normal 14 4 8" xfId="30414"/>
    <cellStyle name="Normal 14 5" xfId="707"/>
    <cellStyle name="Normal 14 5 2" xfId="1666"/>
    <cellStyle name="Normal 14 5 2 2" xfId="3537"/>
    <cellStyle name="Normal 14 5 2 2 2" xfId="7332"/>
    <cellStyle name="Normal 14 5 2 2 2 2" xfId="14855"/>
    <cellStyle name="Normal 14 5 2 2 2 2 2" xfId="29899"/>
    <cellStyle name="Normal 14 5 2 2 2 2 3" xfId="44942"/>
    <cellStyle name="Normal 14 5 2 2 2 3" xfId="22378"/>
    <cellStyle name="Normal 14 5 2 2 2 4" xfId="37421"/>
    <cellStyle name="Normal 14 5 2 2 3" xfId="11106"/>
    <cellStyle name="Normal 14 5 2 2 3 2" xfId="26150"/>
    <cellStyle name="Normal 14 5 2 2 3 3" xfId="41193"/>
    <cellStyle name="Normal 14 5 2 2 4" xfId="18629"/>
    <cellStyle name="Normal 14 5 2 2 5" xfId="33672"/>
    <cellStyle name="Normal 14 5 2 3" xfId="5467"/>
    <cellStyle name="Normal 14 5 2 3 2" xfId="12990"/>
    <cellStyle name="Normal 14 5 2 3 2 2" xfId="28034"/>
    <cellStyle name="Normal 14 5 2 3 2 3" xfId="43077"/>
    <cellStyle name="Normal 14 5 2 3 3" xfId="20513"/>
    <cellStyle name="Normal 14 5 2 3 4" xfId="35556"/>
    <cellStyle name="Normal 14 5 2 4" xfId="9241"/>
    <cellStyle name="Normal 14 5 2 4 2" xfId="24285"/>
    <cellStyle name="Normal 14 5 2 4 3" xfId="39328"/>
    <cellStyle name="Normal 14 5 2 5" xfId="16764"/>
    <cellStyle name="Normal 14 5 2 6" xfId="31807"/>
    <cellStyle name="Normal 14 5 3" xfId="2605"/>
    <cellStyle name="Normal 14 5 3 2" xfId="6400"/>
    <cellStyle name="Normal 14 5 3 2 2" xfId="13923"/>
    <cellStyle name="Normal 14 5 3 2 2 2" xfId="28967"/>
    <cellStyle name="Normal 14 5 3 2 2 3" xfId="44010"/>
    <cellStyle name="Normal 14 5 3 2 3" xfId="21446"/>
    <cellStyle name="Normal 14 5 3 2 4" xfId="36489"/>
    <cellStyle name="Normal 14 5 3 3" xfId="10174"/>
    <cellStyle name="Normal 14 5 3 3 2" xfId="25218"/>
    <cellStyle name="Normal 14 5 3 3 3" xfId="40261"/>
    <cellStyle name="Normal 14 5 3 4" xfId="17697"/>
    <cellStyle name="Normal 14 5 3 5" xfId="32740"/>
    <cellStyle name="Normal 14 5 4" xfId="4535"/>
    <cellStyle name="Normal 14 5 4 2" xfId="12058"/>
    <cellStyle name="Normal 14 5 4 2 2" xfId="27102"/>
    <cellStyle name="Normal 14 5 4 2 3" xfId="42145"/>
    <cellStyle name="Normal 14 5 4 3" xfId="19581"/>
    <cellStyle name="Normal 14 5 4 4" xfId="34624"/>
    <cellStyle name="Normal 14 5 5" xfId="8309"/>
    <cellStyle name="Normal 14 5 5 2" xfId="23353"/>
    <cellStyle name="Normal 14 5 5 3" xfId="38396"/>
    <cellStyle name="Normal 14 5 6" xfId="15832"/>
    <cellStyle name="Normal 14 5 7" xfId="30875"/>
    <cellStyle name="Normal 14 6" xfId="1214"/>
    <cellStyle name="Normal 14 6 2" xfId="3085"/>
    <cellStyle name="Normal 14 6 2 2" xfId="6880"/>
    <cellStyle name="Normal 14 6 2 2 2" xfId="14403"/>
    <cellStyle name="Normal 14 6 2 2 2 2" xfId="29447"/>
    <cellStyle name="Normal 14 6 2 2 2 3" xfId="44490"/>
    <cellStyle name="Normal 14 6 2 2 3" xfId="21926"/>
    <cellStyle name="Normal 14 6 2 2 4" xfId="36969"/>
    <cellStyle name="Normal 14 6 2 3" xfId="10654"/>
    <cellStyle name="Normal 14 6 2 3 2" xfId="25698"/>
    <cellStyle name="Normal 14 6 2 3 3" xfId="40741"/>
    <cellStyle name="Normal 14 6 2 4" xfId="18177"/>
    <cellStyle name="Normal 14 6 2 5" xfId="33220"/>
    <cellStyle name="Normal 14 6 3" xfId="5015"/>
    <cellStyle name="Normal 14 6 3 2" xfId="12538"/>
    <cellStyle name="Normal 14 6 3 2 2" xfId="27582"/>
    <cellStyle name="Normal 14 6 3 2 3" xfId="42625"/>
    <cellStyle name="Normal 14 6 3 3" xfId="20061"/>
    <cellStyle name="Normal 14 6 3 4" xfId="35104"/>
    <cellStyle name="Normal 14 6 4" xfId="8789"/>
    <cellStyle name="Normal 14 6 4 2" xfId="23833"/>
    <cellStyle name="Normal 14 6 4 3" xfId="38876"/>
    <cellStyle name="Normal 14 6 5" xfId="16312"/>
    <cellStyle name="Normal 14 6 6" xfId="31355"/>
    <cellStyle name="Normal 14 7" xfId="2152"/>
    <cellStyle name="Normal 14 7 2" xfId="5948"/>
    <cellStyle name="Normal 14 7 2 2" xfId="13471"/>
    <cellStyle name="Normal 14 7 2 2 2" xfId="28515"/>
    <cellStyle name="Normal 14 7 2 2 3" xfId="43558"/>
    <cellStyle name="Normal 14 7 2 3" xfId="20994"/>
    <cellStyle name="Normal 14 7 2 4" xfId="36037"/>
    <cellStyle name="Normal 14 7 3" xfId="9722"/>
    <cellStyle name="Normal 14 7 3 2" xfId="24766"/>
    <cellStyle name="Normal 14 7 3 3" xfId="39809"/>
    <cellStyle name="Normal 14 7 4" xfId="17245"/>
    <cellStyle name="Normal 14 7 5" xfId="32288"/>
    <cellStyle name="Normal 14 8" xfId="4080"/>
    <cellStyle name="Normal 14 8 2" xfId="11604"/>
    <cellStyle name="Normal 14 8 2 2" xfId="26648"/>
    <cellStyle name="Normal 14 8 2 3" xfId="41691"/>
    <cellStyle name="Normal 14 8 3" xfId="19127"/>
    <cellStyle name="Normal 14 8 4" xfId="34170"/>
    <cellStyle name="Normal 14 9" xfId="7843"/>
    <cellStyle name="Normal 14 9 2" xfId="22887"/>
    <cellStyle name="Normal 14 9 3" xfId="37930"/>
    <cellStyle name="Normal 15" xfId="185"/>
    <cellStyle name="Normal 15 10" xfId="30415"/>
    <cellStyle name="Normal 15 2" xfId="186"/>
    <cellStyle name="Normal 15 2 2" xfId="187"/>
    <cellStyle name="Normal 15 2 2 2" xfId="715"/>
    <cellStyle name="Normal 15 2 2 2 2" xfId="1674"/>
    <cellStyle name="Normal 15 2 2 2 2 2" xfId="3545"/>
    <cellStyle name="Normal 15 2 2 2 2 2 2" xfId="7340"/>
    <cellStyle name="Normal 15 2 2 2 2 2 2 2" xfId="14863"/>
    <cellStyle name="Normal 15 2 2 2 2 2 2 2 2" xfId="29907"/>
    <cellStyle name="Normal 15 2 2 2 2 2 2 2 3" xfId="44950"/>
    <cellStyle name="Normal 15 2 2 2 2 2 2 3" xfId="22386"/>
    <cellStyle name="Normal 15 2 2 2 2 2 2 4" xfId="37429"/>
    <cellStyle name="Normal 15 2 2 2 2 2 3" xfId="11114"/>
    <cellStyle name="Normal 15 2 2 2 2 2 3 2" xfId="26158"/>
    <cellStyle name="Normal 15 2 2 2 2 2 3 3" xfId="41201"/>
    <cellStyle name="Normal 15 2 2 2 2 2 4" xfId="18637"/>
    <cellStyle name="Normal 15 2 2 2 2 2 5" xfId="33680"/>
    <cellStyle name="Normal 15 2 2 2 2 3" xfId="5475"/>
    <cellStyle name="Normal 15 2 2 2 2 3 2" xfId="12998"/>
    <cellStyle name="Normal 15 2 2 2 2 3 2 2" xfId="28042"/>
    <cellStyle name="Normal 15 2 2 2 2 3 2 3" xfId="43085"/>
    <cellStyle name="Normal 15 2 2 2 2 3 3" xfId="20521"/>
    <cellStyle name="Normal 15 2 2 2 2 3 4" xfId="35564"/>
    <cellStyle name="Normal 15 2 2 2 2 4" xfId="9249"/>
    <cellStyle name="Normal 15 2 2 2 2 4 2" xfId="24293"/>
    <cellStyle name="Normal 15 2 2 2 2 4 3" xfId="39336"/>
    <cellStyle name="Normal 15 2 2 2 2 5" xfId="16772"/>
    <cellStyle name="Normal 15 2 2 2 2 6" xfId="31815"/>
    <cellStyle name="Normal 15 2 2 2 3" xfId="2613"/>
    <cellStyle name="Normal 15 2 2 2 3 2" xfId="6408"/>
    <cellStyle name="Normal 15 2 2 2 3 2 2" xfId="13931"/>
    <cellStyle name="Normal 15 2 2 2 3 2 2 2" xfId="28975"/>
    <cellStyle name="Normal 15 2 2 2 3 2 2 3" xfId="44018"/>
    <cellStyle name="Normal 15 2 2 2 3 2 3" xfId="21454"/>
    <cellStyle name="Normal 15 2 2 2 3 2 4" xfId="36497"/>
    <cellStyle name="Normal 15 2 2 2 3 3" xfId="10182"/>
    <cellStyle name="Normal 15 2 2 2 3 3 2" xfId="25226"/>
    <cellStyle name="Normal 15 2 2 2 3 3 3" xfId="40269"/>
    <cellStyle name="Normal 15 2 2 2 3 4" xfId="17705"/>
    <cellStyle name="Normal 15 2 2 2 3 5" xfId="32748"/>
    <cellStyle name="Normal 15 2 2 2 4" xfId="4543"/>
    <cellStyle name="Normal 15 2 2 2 4 2" xfId="12066"/>
    <cellStyle name="Normal 15 2 2 2 4 2 2" xfId="27110"/>
    <cellStyle name="Normal 15 2 2 2 4 2 3" xfId="42153"/>
    <cellStyle name="Normal 15 2 2 2 4 3" xfId="19589"/>
    <cellStyle name="Normal 15 2 2 2 4 4" xfId="34632"/>
    <cellStyle name="Normal 15 2 2 2 5" xfId="8317"/>
    <cellStyle name="Normal 15 2 2 2 5 2" xfId="23361"/>
    <cellStyle name="Normal 15 2 2 2 5 3" xfId="38404"/>
    <cellStyle name="Normal 15 2 2 2 6" xfId="15840"/>
    <cellStyle name="Normal 15 2 2 2 7" xfId="30883"/>
    <cellStyle name="Normal 15 2 2 3" xfId="1222"/>
    <cellStyle name="Normal 15 2 2 3 2" xfId="3093"/>
    <cellStyle name="Normal 15 2 2 3 2 2" xfId="6888"/>
    <cellStyle name="Normal 15 2 2 3 2 2 2" xfId="14411"/>
    <cellStyle name="Normal 15 2 2 3 2 2 2 2" xfId="29455"/>
    <cellStyle name="Normal 15 2 2 3 2 2 2 3" xfId="44498"/>
    <cellStyle name="Normal 15 2 2 3 2 2 3" xfId="21934"/>
    <cellStyle name="Normal 15 2 2 3 2 2 4" xfId="36977"/>
    <cellStyle name="Normal 15 2 2 3 2 3" xfId="10662"/>
    <cellStyle name="Normal 15 2 2 3 2 3 2" xfId="25706"/>
    <cellStyle name="Normal 15 2 2 3 2 3 3" xfId="40749"/>
    <cellStyle name="Normal 15 2 2 3 2 4" xfId="18185"/>
    <cellStyle name="Normal 15 2 2 3 2 5" xfId="33228"/>
    <cellStyle name="Normal 15 2 2 3 3" xfId="5023"/>
    <cellStyle name="Normal 15 2 2 3 3 2" xfId="12546"/>
    <cellStyle name="Normal 15 2 2 3 3 2 2" xfId="27590"/>
    <cellStyle name="Normal 15 2 2 3 3 2 3" xfId="42633"/>
    <cellStyle name="Normal 15 2 2 3 3 3" xfId="20069"/>
    <cellStyle name="Normal 15 2 2 3 3 4" xfId="35112"/>
    <cellStyle name="Normal 15 2 2 3 4" xfId="8797"/>
    <cellStyle name="Normal 15 2 2 3 4 2" xfId="23841"/>
    <cellStyle name="Normal 15 2 2 3 4 3" xfId="38884"/>
    <cellStyle name="Normal 15 2 2 3 5" xfId="16320"/>
    <cellStyle name="Normal 15 2 2 3 6" xfId="31363"/>
    <cellStyle name="Normal 15 2 2 4" xfId="2160"/>
    <cellStyle name="Normal 15 2 2 4 2" xfId="5956"/>
    <cellStyle name="Normal 15 2 2 4 2 2" xfId="13479"/>
    <cellStyle name="Normal 15 2 2 4 2 2 2" xfId="28523"/>
    <cellStyle name="Normal 15 2 2 4 2 2 3" xfId="43566"/>
    <cellStyle name="Normal 15 2 2 4 2 3" xfId="21002"/>
    <cellStyle name="Normal 15 2 2 4 2 4" xfId="36045"/>
    <cellStyle name="Normal 15 2 2 4 3" xfId="9730"/>
    <cellStyle name="Normal 15 2 2 4 3 2" xfId="24774"/>
    <cellStyle name="Normal 15 2 2 4 3 3" xfId="39817"/>
    <cellStyle name="Normal 15 2 2 4 4" xfId="17253"/>
    <cellStyle name="Normal 15 2 2 4 5" xfId="32296"/>
    <cellStyle name="Normal 15 2 2 5" xfId="4088"/>
    <cellStyle name="Normal 15 2 2 5 2" xfId="11612"/>
    <cellStyle name="Normal 15 2 2 5 2 2" xfId="26656"/>
    <cellStyle name="Normal 15 2 2 5 2 3" xfId="41699"/>
    <cellStyle name="Normal 15 2 2 5 3" xfId="19135"/>
    <cellStyle name="Normal 15 2 2 5 4" xfId="34178"/>
    <cellStyle name="Normal 15 2 2 6" xfId="7851"/>
    <cellStyle name="Normal 15 2 2 6 2" xfId="22895"/>
    <cellStyle name="Normal 15 2 2 6 3" xfId="37938"/>
    <cellStyle name="Normal 15 2 2 7" xfId="15374"/>
    <cellStyle name="Normal 15 2 2 8" xfId="30417"/>
    <cellStyle name="Normal 15 2 3" xfId="714"/>
    <cellStyle name="Normal 15 2 3 2" xfId="1673"/>
    <cellStyle name="Normal 15 2 3 2 2" xfId="3544"/>
    <cellStyle name="Normal 15 2 3 2 2 2" xfId="7339"/>
    <cellStyle name="Normal 15 2 3 2 2 2 2" xfId="14862"/>
    <cellStyle name="Normal 15 2 3 2 2 2 2 2" xfId="29906"/>
    <cellStyle name="Normal 15 2 3 2 2 2 2 3" xfId="44949"/>
    <cellStyle name="Normal 15 2 3 2 2 2 3" xfId="22385"/>
    <cellStyle name="Normal 15 2 3 2 2 2 4" xfId="37428"/>
    <cellStyle name="Normal 15 2 3 2 2 3" xfId="11113"/>
    <cellStyle name="Normal 15 2 3 2 2 3 2" xfId="26157"/>
    <cellStyle name="Normal 15 2 3 2 2 3 3" xfId="41200"/>
    <cellStyle name="Normal 15 2 3 2 2 4" xfId="18636"/>
    <cellStyle name="Normal 15 2 3 2 2 5" xfId="33679"/>
    <cellStyle name="Normal 15 2 3 2 3" xfId="5474"/>
    <cellStyle name="Normal 15 2 3 2 3 2" xfId="12997"/>
    <cellStyle name="Normal 15 2 3 2 3 2 2" xfId="28041"/>
    <cellStyle name="Normal 15 2 3 2 3 2 3" xfId="43084"/>
    <cellStyle name="Normal 15 2 3 2 3 3" xfId="20520"/>
    <cellStyle name="Normal 15 2 3 2 3 4" xfId="35563"/>
    <cellStyle name="Normal 15 2 3 2 4" xfId="9248"/>
    <cellStyle name="Normal 15 2 3 2 4 2" xfId="24292"/>
    <cellStyle name="Normal 15 2 3 2 4 3" xfId="39335"/>
    <cellStyle name="Normal 15 2 3 2 5" xfId="16771"/>
    <cellStyle name="Normal 15 2 3 2 6" xfId="31814"/>
    <cellStyle name="Normal 15 2 3 3" xfId="2612"/>
    <cellStyle name="Normal 15 2 3 3 2" xfId="6407"/>
    <cellStyle name="Normal 15 2 3 3 2 2" xfId="13930"/>
    <cellStyle name="Normal 15 2 3 3 2 2 2" xfId="28974"/>
    <cellStyle name="Normal 15 2 3 3 2 2 3" xfId="44017"/>
    <cellStyle name="Normal 15 2 3 3 2 3" xfId="21453"/>
    <cellStyle name="Normal 15 2 3 3 2 4" xfId="36496"/>
    <cellStyle name="Normal 15 2 3 3 3" xfId="10181"/>
    <cellStyle name="Normal 15 2 3 3 3 2" xfId="25225"/>
    <cellStyle name="Normal 15 2 3 3 3 3" xfId="40268"/>
    <cellStyle name="Normal 15 2 3 3 4" xfId="17704"/>
    <cellStyle name="Normal 15 2 3 3 5" xfId="32747"/>
    <cellStyle name="Normal 15 2 3 4" xfId="4542"/>
    <cellStyle name="Normal 15 2 3 4 2" xfId="12065"/>
    <cellStyle name="Normal 15 2 3 4 2 2" xfId="27109"/>
    <cellStyle name="Normal 15 2 3 4 2 3" xfId="42152"/>
    <cellStyle name="Normal 15 2 3 4 3" xfId="19588"/>
    <cellStyle name="Normal 15 2 3 4 4" xfId="34631"/>
    <cellStyle name="Normal 15 2 3 5" xfId="8316"/>
    <cellStyle name="Normal 15 2 3 5 2" xfId="23360"/>
    <cellStyle name="Normal 15 2 3 5 3" xfId="38403"/>
    <cellStyle name="Normal 15 2 3 6" xfId="15839"/>
    <cellStyle name="Normal 15 2 3 7" xfId="30882"/>
    <cellStyle name="Normal 15 2 4" xfId="1221"/>
    <cellStyle name="Normal 15 2 4 2" xfId="3092"/>
    <cellStyle name="Normal 15 2 4 2 2" xfId="6887"/>
    <cellStyle name="Normal 15 2 4 2 2 2" xfId="14410"/>
    <cellStyle name="Normal 15 2 4 2 2 2 2" xfId="29454"/>
    <cellStyle name="Normal 15 2 4 2 2 2 3" xfId="44497"/>
    <cellStyle name="Normal 15 2 4 2 2 3" xfId="21933"/>
    <cellStyle name="Normal 15 2 4 2 2 4" xfId="36976"/>
    <cellStyle name="Normal 15 2 4 2 3" xfId="10661"/>
    <cellStyle name="Normal 15 2 4 2 3 2" xfId="25705"/>
    <cellStyle name="Normal 15 2 4 2 3 3" xfId="40748"/>
    <cellStyle name="Normal 15 2 4 2 4" xfId="18184"/>
    <cellStyle name="Normal 15 2 4 2 5" xfId="33227"/>
    <cellStyle name="Normal 15 2 4 3" xfId="5022"/>
    <cellStyle name="Normal 15 2 4 3 2" xfId="12545"/>
    <cellStyle name="Normal 15 2 4 3 2 2" xfId="27589"/>
    <cellStyle name="Normal 15 2 4 3 2 3" xfId="42632"/>
    <cellStyle name="Normal 15 2 4 3 3" xfId="20068"/>
    <cellStyle name="Normal 15 2 4 3 4" xfId="35111"/>
    <cellStyle name="Normal 15 2 4 4" xfId="8796"/>
    <cellStyle name="Normal 15 2 4 4 2" xfId="23840"/>
    <cellStyle name="Normal 15 2 4 4 3" xfId="38883"/>
    <cellStyle name="Normal 15 2 4 5" xfId="16319"/>
    <cellStyle name="Normal 15 2 4 6" xfId="31362"/>
    <cellStyle name="Normal 15 2 5" xfId="2159"/>
    <cellStyle name="Normal 15 2 5 2" xfId="5955"/>
    <cellStyle name="Normal 15 2 5 2 2" xfId="13478"/>
    <cellStyle name="Normal 15 2 5 2 2 2" xfId="28522"/>
    <cellStyle name="Normal 15 2 5 2 2 3" xfId="43565"/>
    <cellStyle name="Normal 15 2 5 2 3" xfId="21001"/>
    <cellStyle name="Normal 15 2 5 2 4" xfId="36044"/>
    <cellStyle name="Normal 15 2 5 3" xfId="9729"/>
    <cellStyle name="Normal 15 2 5 3 2" xfId="24773"/>
    <cellStyle name="Normal 15 2 5 3 3" xfId="39816"/>
    <cellStyle name="Normal 15 2 5 4" xfId="17252"/>
    <cellStyle name="Normal 15 2 5 5" xfId="32295"/>
    <cellStyle name="Normal 15 2 6" xfId="4087"/>
    <cellStyle name="Normal 15 2 6 2" xfId="11611"/>
    <cellStyle name="Normal 15 2 6 2 2" xfId="26655"/>
    <cellStyle name="Normal 15 2 6 2 3" xfId="41698"/>
    <cellStyle name="Normal 15 2 6 3" xfId="19134"/>
    <cellStyle name="Normal 15 2 6 4" xfId="34177"/>
    <cellStyle name="Normal 15 2 7" xfId="7850"/>
    <cellStyle name="Normal 15 2 7 2" xfId="22894"/>
    <cellStyle name="Normal 15 2 7 3" xfId="37937"/>
    <cellStyle name="Normal 15 2 8" xfId="15373"/>
    <cellStyle name="Normal 15 2 9" xfId="30416"/>
    <cellStyle name="Normal 15 3" xfId="188"/>
    <cellStyle name="Normal 15 3 2" xfId="716"/>
    <cellStyle name="Normal 15 3 2 2" xfId="1675"/>
    <cellStyle name="Normal 15 3 2 2 2" xfId="3546"/>
    <cellStyle name="Normal 15 3 2 2 2 2" xfId="7341"/>
    <cellStyle name="Normal 15 3 2 2 2 2 2" xfId="14864"/>
    <cellStyle name="Normal 15 3 2 2 2 2 2 2" xfId="29908"/>
    <cellStyle name="Normal 15 3 2 2 2 2 2 3" xfId="44951"/>
    <cellStyle name="Normal 15 3 2 2 2 2 3" xfId="22387"/>
    <cellStyle name="Normal 15 3 2 2 2 2 4" xfId="37430"/>
    <cellStyle name="Normal 15 3 2 2 2 3" xfId="11115"/>
    <cellStyle name="Normal 15 3 2 2 2 3 2" xfId="26159"/>
    <cellStyle name="Normal 15 3 2 2 2 3 3" xfId="41202"/>
    <cellStyle name="Normal 15 3 2 2 2 4" xfId="18638"/>
    <cellStyle name="Normal 15 3 2 2 2 5" xfId="33681"/>
    <cellStyle name="Normal 15 3 2 2 3" xfId="5476"/>
    <cellStyle name="Normal 15 3 2 2 3 2" xfId="12999"/>
    <cellStyle name="Normal 15 3 2 2 3 2 2" xfId="28043"/>
    <cellStyle name="Normal 15 3 2 2 3 2 3" xfId="43086"/>
    <cellStyle name="Normal 15 3 2 2 3 3" xfId="20522"/>
    <cellStyle name="Normal 15 3 2 2 3 4" xfId="35565"/>
    <cellStyle name="Normal 15 3 2 2 4" xfId="9250"/>
    <cellStyle name="Normal 15 3 2 2 4 2" xfId="24294"/>
    <cellStyle name="Normal 15 3 2 2 4 3" xfId="39337"/>
    <cellStyle name="Normal 15 3 2 2 5" xfId="16773"/>
    <cellStyle name="Normal 15 3 2 2 6" xfId="31816"/>
    <cellStyle name="Normal 15 3 2 3" xfId="2614"/>
    <cellStyle name="Normal 15 3 2 3 2" xfId="6409"/>
    <cellStyle name="Normal 15 3 2 3 2 2" xfId="13932"/>
    <cellStyle name="Normal 15 3 2 3 2 2 2" xfId="28976"/>
    <cellStyle name="Normal 15 3 2 3 2 2 3" xfId="44019"/>
    <cellStyle name="Normal 15 3 2 3 2 3" xfId="21455"/>
    <cellStyle name="Normal 15 3 2 3 2 4" xfId="36498"/>
    <cellStyle name="Normal 15 3 2 3 3" xfId="10183"/>
    <cellStyle name="Normal 15 3 2 3 3 2" xfId="25227"/>
    <cellStyle name="Normal 15 3 2 3 3 3" xfId="40270"/>
    <cellStyle name="Normal 15 3 2 3 4" xfId="17706"/>
    <cellStyle name="Normal 15 3 2 3 5" xfId="32749"/>
    <cellStyle name="Normal 15 3 2 4" xfId="4544"/>
    <cellStyle name="Normal 15 3 2 4 2" xfId="12067"/>
    <cellStyle name="Normal 15 3 2 4 2 2" xfId="27111"/>
    <cellStyle name="Normal 15 3 2 4 2 3" xfId="42154"/>
    <cellStyle name="Normal 15 3 2 4 3" xfId="19590"/>
    <cellStyle name="Normal 15 3 2 4 4" xfId="34633"/>
    <cellStyle name="Normal 15 3 2 5" xfId="8318"/>
    <cellStyle name="Normal 15 3 2 5 2" xfId="23362"/>
    <cellStyle name="Normal 15 3 2 5 3" xfId="38405"/>
    <cellStyle name="Normal 15 3 2 6" xfId="15841"/>
    <cellStyle name="Normal 15 3 2 7" xfId="30884"/>
    <cellStyle name="Normal 15 3 3" xfId="1223"/>
    <cellStyle name="Normal 15 3 3 2" xfId="3094"/>
    <cellStyle name="Normal 15 3 3 2 2" xfId="6889"/>
    <cellStyle name="Normal 15 3 3 2 2 2" xfId="14412"/>
    <cellStyle name="Normal 15 3 3 2 2 2 2" xfId="29456"/>
    <cellStyle name="Normal 15 3 3 2 2 2 3" xfId="44499"/>
    <cellStyle name="Normal 15 3 3 2 2 3" xfId="21935"/>
    <cellStyle name="Normal 15 3 3 2 2 4" xfId="36978"/>
    <cellStyle name="Normal 15 3 3 2 3" xfId="10663"/>
    <cellStyle name="Normal 15 3 3 2 3 2" xfId="25707"/>
    <cellStyle name="Normal 15 3 3 2 3 3" xfId="40750"/>
    <cellStyle name="Normal 15 3 3 2 4" xfId="18186"/>
    <cellStyle name="Normal 15 3 3 2 5" xfId="33229"/>
    <cellStyle name="Normal 15 3 3 3" xfId="5024"/>
    <cellStyle name="Normal 15 3 3 3 2" xfId="12547"/>
    <cellStyle name="Normal 15 3 3 3 2 2" xfId="27591"/>
    <cellStyle name="Normal 15 3 3 3 2 3" xfId="42634"/>
    <cellStyle name="Normal 15 3 3 3 3" xfId="20070"/>
    <cellStyle name="Normal 15 3 3 3 4" xfId="35113"/>
    <cellStyle name="Normal 15 3 3 4" xfId="8798"/>
    <cellStyle name="Normal 15 3 3 4 2" xfId="23842"/>
    <cellStyle name="Normal 15 3 3 4 3" xfId="38885"/>
    <cellStyle name="Normal 15 3 3 5" xfId="16321"/>
    <cellStyle name="Normal 15 3 3 6" xfId="31364"/>
    <cellStyle name="Normal 15 3 4" xfId="2161"/>
    <cellStyle name="Normal 15 3 4 2" xfId="5957"/>
    <cellStyle name="Normal 15 3 4 2 2" xfId="13480"/>
    <cellStyle name="Normal 15 3 4 2 2 2" xfId="28524"/>
    <cellStyle name="Normal 15 3 4 2 2 3" xfId="43567"/>
    <cellStyle name="Normal 15 3 4 2 3" xfId="21003"/>
    <cellStyle name="Normal 15 3 4 2 4" xfId="36046"/>
    <cellStyle name="Normal 15 3 4 3" xfId="9731"/>
    <cellStyle name="Normal 15 3 4 3 2" xfId="24775"/>
    <cellStyle name="Normal 15 3 4 3 3" xfId="39818"/>
    <cellStyle name="Normal 15 3 4 4" xfId="17254"/>
    <cellStyle name="Normal 15 3 4 5" xfId="32297"/>
    <cellStyle name="Normal 15 3 5" xfId="4089"/>
    <cellStyle name="Normal 15 3 5 2" xfId="11613"/>
    <cellStyle name="Normal 15 3 5 2 2" xfId="26657"/>
    <cellStyle name="Normal 15 3 5 2 3" xfId="41700"/>
    <cellStyle name="Normal 15 3 5 3" xfId="19136"/>
    <cellStyle name="Normal 15 3 5 4" xfId="34179"/>
    <cellStyle name="Normal 15 3 6" xfId="7852"/>
    <cellStyle name="Normal 15 3 6 2" xfId="22896"/>
    <cellStyle name="Normal 15 3 6 3" xfId="37939"/>
    <cellStyle name="Normal 15 3 7" xfId="15375"/>
    <cellStyle name="Normal 15 3 8" xfId="30418"/>
    <cellStyle name="Normal 15 4" xfId="713"/>
    <cellStyle name="Normal 15 4 2" xfId="1672"/>
    <cellStyle name="Normal 15 4 2 2" xfId="3543"/>
    <cellStyle name="Normal 15 4 2 2 2" xfId="7338"/>
    <cellStyle name="Normal 15 4 2 2 2 2" xfId="14861"/>
    <cellStyle name="Normal 15 4 2 2 2 2 2" xfId="29905"/>
    <cellStyle name="Normal 15 4 2 2 2 2 3" xfId="44948"/>
    <cellStyle name="Normal 15 4 2 2 2 3" xfId="22384"/>
    <cellStyle name="Normal 15 4 2 2 2 4" xfId="37427"/>
    <cellStyle name="Normal 15 4 2 2 3" xfId="11112"/>
    <cellStyle name="Normal 15 4 2 2 3 2" xfId="26156"/>
    <cellStyle name="Normal 15 4 2 2 3 3" xfId="41199"/>
    <cellStyle name="Normal 15 4 2 2 4" xfId="18635"/>
    <cellStyle name="Normal 15 4 2 2 5" xfId="33678"/>
    <cellStyle name="Normal 15 4 2 3" xfId="5473"/>
    <cellStyle name="Normal 15 4 2 3 2" xfId="12996"/>
    <cellStyle name="Normal 15 4 2 3 2 2" xfId="28040"/>
    <cellStyle name="Normal 15 4 2 3 2 3" xfId="43083"/>
    <cellStyle name="Normal 15 4 2 3 3" xfId="20519"/>
    <cellStyle name="Normal 15 4 2 3 4" xfId="35562"/>
    <cellStyle name="Normal 15 4 2 4" xfId="9247"/>
    <cellStyle name="Normal 15 4 2 4 2" xfId="24291"/>
    <cellStyle name="Normal 15 4 2 4 3" xfId="39334"/>
    <cellStyle name="Normal 15 4 2 5" xfId="16770"/>
    <cellStyle name="Normal 15 4 2 6" xfId="31813"/>
    <cellStyle name="Normal 15 4 3" xfId="2611"/>
    <cellStyle name="Normal 15 4 3 2" xfId="6406"/>
    <cellStyle name="Normal 15 4 3 2 2" xfId="13929"/>
    <cellStyle name="Normal 15 4 3 2 2 2" xfId="28973"/>
    <cellStyle name="Normal 15 4 3 2 2 3" xfId="44016"/>
    <cellStyle name="Normal 15 4 3 2 3" xfId="21452"/>
    <cellStyle name="Normal 15 4 3 2 4" xfId="36495"/>
    <cellStyle name="Normal 15 4 3 3" xfId="10180"/>
    <cellStyle name="Normal 15 4 3 3 2" xfId="25224"/>
    <cellStyle name="Normal 15 4 3 3 3" xfId="40267"/>
    <cellStyle name="Normal 15 4 3 4" xfId="17703"/>
    <cellStyle name="Normal 15 4 3 5" xfId="32746"/>
    <cellStyle name="Normal 15 4 4" xfId="4541"/>
    <cellStyle name="Normal 15 4 4 2" xfId="12064"/>
    <cellStyle name="Normal 15 4 4 2 2" xfId="27108"/>
    <cellStyle name="Normal 15 4 4 2 3" xfId="42151"/>
    <cellStyle name="Normal 15 4 4 3" xfId="19587"/>
    <cellStyle name="Normal 15 4 4 4" xfId="34630"/>
    <cellStyle name="Normal 15 4 5" xfId="8315"/>
    <cellStyle name="Normal 15 4 5 2" xfId="23359"/>
    <cellStyle name="Normal 15 4 5 3" xfId="38402"/>
    <cellStyle name="Normal 15 4 6" xfId="15838"/>
    <cellStyle name="Normal 15 4 7" xfId="30881"/>
    <cellStyle name="Normal 15 5" xfId="1220"/>
    <cellStyle name="Normal 15 5 2" xfId="3091"/>
    <cellStyle name="Normal 15 5 2 2" xfId="6886"/>
    <cellStyle name="Normal 15 5 2 2 2" xfId="14409"/>
    <cellStyle name="Normal 15 5 2 2 2 2" xfId="29453"/>
    <cellStyle name="Normal 15 5 2 2 2 3" xfId="44496"/>
    <cellStyle name="Normal 15 5 2 2 3" xfId="21932"/>
    <cellStyle name="Normal 15 5 2 2 4" xfId="36975"/>
    <cellStyle name="Normal 15 5 2 3" xfId="10660"/>
    <cellStyle name="Normal 15 5 2 3 2" xfId="25704"/>
    <cellStyle name="Normal 15 5 2 3 3" xfId="40747"/>
    <cellStyle name="Normal 15 5 2 4" xfId="18183"/>
    <cellStyle name="Normal 15 5 2 5" xfId="33226"/>
    <cellStyle name="Normal 15 5 3" xfId="5021"/>
    <cellStyle name="Normal 15 5 3 2" xfId="12544"/>
    <cellStyle name="Normal 15 5 3 2 2" xfId="27588"/>
    <cellStyle name="Normal 15 5 3 2 3" xfId="42631"/>
    <cellStyle name="Normal 15 5 3 3" xfId="20067"/>
    <cellStyle name="Normal 15 5 3 4" xfId="35110"/>
    <cellStyle name="Normal 15 5 4" xfId="8795"/>
    <cellStyle name="Normal 15 5 4 2" xfId="23839"/>
    <cellStyle name="Normal 15 5 4 3" xfId="38882"/>
    <cellStyle name="Normal 15 5 5" xfId="16318"/>
    <cellStyle name="Normal 15 5 6" xfId="31361"/>
    <cellStyle name="Normal 15 6" xfId="2158"/>
    <cellStyle name="Normal 15 6 2" xfId="5954"/>
    <cellStyle name="Normal 15 6 2 2" xfId="13477"/>
    <cellStyle name="Normal 15 6 2 2 2" xfId="28521"/>
    <cellStyle name="Normal 15 6 2 2 3" xfId="43564"/>
    <cellStyle name="Normal 15 6 2 3" xfId="21000"/>
    <cellStyle name="Normal 15 6 2 4" xfId="36043"/>
    <cellStyle name="Normal 15 6 3" xfId="9728"/>
    <cellStyle name="Normal 15 6 3 2" xfId="24772"/>
    <cellStyle name="Normal 15 6 3 3" xfId="39815"/>
    <cellStyle name="Normal 15 6 4" xfId="17251"/>
    <cellStyle name="Normal 15 6 5" xfId="32294"/>
    <cellStyle name="Normal 15 7" xfId="4086"/>
    <cellStyle name="Normal 15 7 2" xfId="11610"/>
    <cellStyle name="Normal 15 7 2 2" xfId="26654"/>
    <cellStyle name="Normal 15 7 2 3" xfId="41697"/>
    <cellStyle name="Normal 15 7 3" xfId="19133"/>
    <cellStyle name="Normal 15 7 4" xfId="34176"/>
    <cellStyle name="Normal 15 8" xfId="7849"/>
    <cellStyle name="Normal 15 8 2" xfId="22893"/>
    <cellStyle name="Normal 15 8 3" xfId="37936"/>
    <cellStyle name="Normal 15 9" xfId="15372"/>
    <cellStyle name="Normal 16" xfId="189"/>
    <cellStyle name="Normal 16 10" xfId="15376"/>
    <cellStyle name="Normal 16 11" xfId="30419"/>
    <cellStyle name="Normal 16 2" xfId="190"/>
    <cellStyle name="Normal 16 2 2" xfId="191"/>
    <cellStyle name="Normal 16 2 2 2" xfId="719"/>
    <cellStyle name="Normal 16 2 2 2 2" xfId="1678"/>
    <cellStyle name="Normal 16 2 2 2 2 2" xfId="3549"/>
    <cellStyle name="Normal 16 2 2 2 2 2 2" xfId="7344"/>
    <cellStyle name="Normal 16 2 2 2 2 2 2 2" xfId="14867"/>
    <cellStyle name="Normal 16 2 2 2 2 2 2 2 2" xfId="29911"/>
    <cellStyle name="Normal 16 2 2 2 2 2 2 2 3" xfId="44954"/>
    <cellStyle name="Normal 16 2 2 2 2 2 2 3" xfId="22390"/>
    <cellStyle name="Normal 16 2 2 2 2 2 2 4" xfId="37433"/>
    <cellStyle name="Normal 16 2 2 2 2 2 3" xfId="11118"/>
    <cellStyle name="Normal 16 2 2 2 2 2 3 2" xfId="26162"/>
    <cellStyle name="Normal 16 2 2 2 2 2 3 3" xfId="41205"/>
    <cellStyle name="Normal 16 2 2 2 2 2 4" xfId="18641"/>
    <cellStyle name="Normal 16 2 2 2 2 2 5" xfId="33684"/>
    <cellStyle name="Normal 16 2 2 2 2 3" xfId="5479"/>
    <cellStyle name="Normal 16 2 2 2 2 3 2" xfId="13002"/>
    <cellStyle name="Normal 16 2 2 2 2 3 2 2" xfId="28046"/>
    <cellStyle name="Normal 16 2 2 2 2 3 2 3" xfId="43089"/>
    <cellStyle name="Normal 16 2 2 2 2 3 3" xfId="20525"/>
    <cellStyle name="Normal 16 2 2 2 2 3 4" xfId="35568"/>
    <cellStyle name="Normal 16 2 2 2 2 4" xfId="9253"/>
    <cellStyle name="Normal 16 2 2 2 2 4 2" xfId="24297"/>
    <cellStyle name="Normal 16 2 2 2 2 4 3" xfId="39340"/>
    <cellStyle name="Normal 16 2 2 2 2 5" xfId="16776"/>
    <cellStyle name="Normal 16 2 2 2 2 6" xfId="31819"/>
    <cellStyle name="Normal 16 2 2 2 3" xfId="2617"/>
    <cellStyle name="Normal 16 2 2 2 3 2" xfId="6412"/>
    <cellStyle name="Normal 16 2 2 2 3 2 2" xfId="13935"/>
    <cellStyle name="Normal 16 2 2 2 3 2 2 2" xfId="28979"/>
    <cellStyle name="Normal 16 2 2 2 3 2 2 3" xfId="44022"/>
    <cellStyle name="Normal 16 2 2 2 3 2 3" xfId="21458"/>
    <cellStyle name="Normal 16 2 2 2 3 2 4" xfId="36501"/>
    <cellStyle name="Normal 16 2 2 2 3 3" xfId="10186"/>
    <cellStyle name="Normal 16 2 2 2 3 3 2" xfId="25230"/>
    <cellStyle name="Normal 16 2 2 2 3 3 3" xfId="40273"/>
    <cellStyle name="Normal 16 2 2 2 3 4" xfId="17709"/>
    <cellStyle name="Normal 16 2 2 2 3 5" xfId="32752"/>
    <cellStyle name="Normal 16 2 2 2 4" xfId="4547"/>
    <cellStyle name="Normal 16 2 2 2 4 2" xfId="12070"/>
    <cellStyle name="Normal 16 2 2 2 4 2 2" xfId="27114"/>
    <cellStyle name="Normal 16 2 2 2 4 2 3" xfId="42157"/>
    <cellStyle name="Normal 16 2 2 2 4 3" xfId="19593"/>
    <cellStyle name="Normal 16 2 2 2 4 4" xfId="34636"/>
    <cellStyle name="Normal 16 2 2 2 5" xfId="8321"/>
    <cellStyle name="Normal 16 2 2 2 5 2" xfId="23365"/>
    <cellStyle name="Normal 16 2 2 2 5 3" xfId="38408"/>
    <cellStyle name="Normal 16 2 2 2 6" xfId="15844"/>
    <cellStyle name="Normal 16 2 2 2 7" xfId="30887"/>
    <cellStyle name="Normal 16 2 2 3" xfId="1226"/>
    <cellStyle name="Normal 16 2 2 3 2" xfId="3097"/>
    <cellStyle name="Normal 16 2 2 3 2 2" xfId="6892"/>
    <cellStyle name="Normal 16 2 2 3 2 2 2" xfId="14415"/>
    <cellStyle name="Normal 16 2 2 3 2 2 2 2" xfId="29459"/>
    <cellStyle name="Normal 16 2 2 3 2 2 2 3" xfId="44502"/>
    <cellStyle name="Normal 16 2 2 3 2 2 3" xfId="21938"/>
    <cellStyle name="Normal 16 2 2 3 2 2 4" xfId="36981"/>
    <cellStyle name="Normal 16 2 2 3 2 3" xfId="10666"/>
    <cellStyle name="Normal 16 2 2 3 2 3 2" xfId="25710"/>
    <cellStyle name="Normal 16 2 2 3 2 3 3" xfId="40753"/>
    <cellStyle name="Normal 16 2 2 3 2 4" xfId="18189"/>
    <cellStyle name="Normal 16 2 2 3 2 5" xfId="33232"/>
    <cellStyle name="Normal 16 2 2 3 3" xfId="5027"/>
    <cellStyle name="Normal 16 2 2 3 3 2" xfId="12550"/>
    <cellStyle name="Normal 16 2 2 3 3 2 2" xfId="27594"/>
    <cellStyle name="Normal 16 2 2 3 3 2 3" xfId="42637"/>
    <cellStyle name="Normal 16 2 2 3 3 3" xfId="20073"/>
    <cellStyle name="Normal 16 2 2 3 3 4" xfId="35116"/>
    <cellStyle name="Normal 16 2 2 3 4" xfId="8801"/>
    <cellStyle name="Normal 16 2 2 3 4 2" xfId="23845"/>
    <cellStyle name="Normal 16 2 2 3 4 3" xfId="38888"/>
    <cellStyle name="Normal 16 2 2 3 5" xfId="16324"/>
    <cellStyle name="Normal 16 2 2 3 6" xfId="31367"/>
    <cellStyle name="Normal 16 2 2 4" xfId="2164"/>
    <cellStyle name="Normal 16 2 2 4 2" xfId="5960"/>
    <cellStyle name="Normal 16 2 2 4 2 2" xfId="13483"/>
    <cellStyle name="Normal 16 2 2 4 2 2 2" xfId="28527"/>
    <cellStyle name="Normal 16 2 2 4 2 2 3" xfId="43570"/>
    <cellStyle name="Normal 16 2 2 4 2 3" xfId="21006"/>
    <cellStyle name="Normal 16 2 2 4 2 4" xfId="36049"/>
    <cellStyle name="Normal 16 2 2 4 3" xfId="9734"/>
    <cellStyle name="Normal 16 2 2 4 3 2" xfId="24778"/>
    <cellStyle name="Normal 16 2 2 4 3 3" xfId="39821"/>
    <cellStyle name="Normal 16 2 2 4 4" xfId="17257"/>
    <cellStyle name="Normal 16 2 2 4 5" xfId="32300"/>
    <cellStyle name="Normal 16 2 2 5" xfId="4092"/>
    <cellStyle name="Normal 16 2 2 5 2" xfId="11616"/>
    <cellStyle name="Normal 16 2 2 5 2 2" xfId="26660"/>
    <cellStyle name="Normal 16 2 2 5 2 3" xfId="41703"/>
    <cellStyle name="Normal 16 2 2 5 3" xfId="19139"/>
    <cellStyle name="Normal 16 2 2 5 4" xfId="34182"/>
    <cellStyle name="Normal 16 2 2 6" xfId="7855"/>
    <cellStyle name="Normal 16 2 2 6 2" xfId="22899"/>
    <cellStyle name="Normal 16 2 2 6 3" xfId="37942"/>
    <cellStyle name="Normal 16 2 2 7" xfId="15378"/>
    <cellStyle name="Normal 16 2 2 8" xfId="30421"/>
    <cellStyle name="Normal 16 2 3" xfId="718"/>
    <cellStyle name="Normal 16 2 3 2" xfId="1677"/>
    <cellStyle name="Normal 16 2 3 2 2" xfId="3548"/>
    <cellStyle name="Normal 16 2 3 2 2 2" xfId="7343"/>
    <cellStyle name="Normal 16 2 3 2 2 2 2" xfId="14866"/>
    <cellStyle name="Normal 16 2 3 2 2 2 2 2" xfId="29910"/>
    <cellStyle name="Normal 16 2 3 2 2 2 2 3" xfId="44953"/>
    <cellStyle name="Normal 16 2 3 2 2 2 3" xfId="22389"/>
    <cellStyle name="Normal 16 2 3 2 2 2 4" xfId="37432"/>
    <cellStyle name="Normal 16 2 3 2 2 3" xfId="11117"/>
    <cellStyle name="Normal 16 2 3 2 2 3 2" xfId="26161"/>
    <cellStyle name="Normal 16 2 3 2 2 3 3" xfId="41204"/>
    <cellStyle name="Normal 16 2 3 2 2 4" xfId="18640"/>
    <cellStyle name="Normal 16 2 3 2 2 5" xfId="33683"/>
    <cellStyle name="Normal 16 2 3 2 3" xfId="5478"/>
    <cellStyle name="Normal 16 2 3 2 3 2" xfId="13001"/>
    <cellStyle name="Normal 16 2 3 2 3 2 2" xfId="28045"/>
    <cellStyle name="Normal 16 2 3 2 3 2 3" xfId="43088"/>
    <cellStyle name="Normal 16 2 3 2 3 3" xfId="20524"/>
    <cellStyle name="Normal 16 2 3 2 3 4" xfId="35567"/>
    <cellStyle name="Normal 16 2 3 2 4" xfId="9252"/>
    <cellStyle name="Normal 16 2 3 2 4 2" xfId="24296"/>
    <cellStyle name="Normal 16 2 3 2 4 3" xfId="39339"/>
    <cellStyle name="Normal 16 2 3 2 5" xfId="16775"/>
    <cellStyle name="Normal 16 2 3 2 6" xfId="31818"/>
    <cellStyle name="Normal 16 2 3 3" xfId="2616"/>
    <cellStyle name="Normal 16 2 3 3 2" xfId="6411"/>
    <cellStyle name="Normal 16 2 3 3 2 2" xfId="13934"/>
    <cellStyle name="Normal 16 2 3 3 2 2 2" xfId="28978"/>
    <cellStyle name="Normal 16 2 3 3 2 2 3" xfId="44021"/>
    <cellStyle name="Normal 16 2 3 3 2 3" xfId="21457"/>
    <cellStyle name="Normal 16 2 3 3 2 4" xfId="36500"/>
    <cellStyle name="Normal 16 2 3 3 3" xfId="10185"/>
    <cellStyle name="Normal 16 2 3 3 3 2" xfId="25229"/>
    <cellStyle name="Normal 16 2 3 3 3 3" xfId="40272"/>
    <cellStyle name="Normal 16 2 3 3 4" xfId="17708"/>
    <cellStyle name="Normal 16 2 3 3 5" xfId="32751"/>
    <cellStyle name="Normal 16 2 3 4" xfId="4546"/>
    <cellStyle name="Normal 16 2 3 4 2" xfId="12069"/>
    <cellStyle name="Normal 16 2 3 4 2 2" xfId="27113"/>
    <cellStyle name="Normal 16 2 3 4 2 3" xfId="42156"/>
    <cellStyle name="Normal 16 2 3 4 3" xfId="19592"/>
    <cellStyle name="Normal 16 2 3 4 4" xfId="34635"/>
    <cellStyle name="Normal 16 2 3 5" xfId="8320"/>
    <cellStyle name="Normal 16 2 3 5 2" xfId="23364"/>
    <cellStyle name="Normal 16 2 3 5 3" xfId="38407"/>
    <cellStyle name="Normal 16 2 3 6" xfId="15843"/>
    <cellStyle name="Normal 16 2 3 7" xfId="30886"/>
    <cellStyle name="Normal 16 2 4" xfId="1225"/>
    <cellStyle name="Normal 16 2 4 2" xfId="3096"/>
    <cellStyle name="Normal 16 2 4 2 2" xfId="6891"/>
    <cellStyle name="Normal 16 2 4 2 2 2" xfId="14414"/>
    <cellStyle name="Normal 16 2 4 2 2 2 2" xfId="29458"/>
    <cellStyle name="Normal 16 2 4 2 2 2 3" xfId="44501"/>
    <cellStyle name="Normal 16 2 4 2 2 3" xfId="21937"/>
    <cellStyle name="Normal 16 2 4 2 2 4" xfId="36980"/>
    <cellStyle name="Normal 16 2 4 2 3" xfId="10665"/>
    <cellStyle name="Normal 16 2 4 2 3 2" xfId="25709"/>
    <cellStyle name="Normal 16 2 4 2 3 3" xfId="40752"/>
    <cellStyle name="Normal 16 2 4 2 4" xfId="18188"/>
    <cellStyle name="Normal 16 2 4 2 5" xfId="33231"/>
    <cellStyle name="Normal 16 2 4 3" xfId="5026"/>
    <cellStyle name="Normal 16 2 4 3 2" xfId="12549"/>
    <cellStyle name="Normal 16 2 4 3 2 2" xfId="27593"/>
    <cellStyle name="Normal 16 2 4 3 2 3" xfId="42636"/>
    <cellStyle name="Normal 16 2 4 3 3" xfId="20072"/>
    <cellStyle name="Normal 16 2 4 3 4" xfId="35115"/>
    <cellStyle name="Normal 16 2 4 4" xfId="8800"/>
    <cellStyle name="Normal 16 2 4 4 2" xfId="23844"/>
    <cellStyle name="Normal 16 2 4 4 3" xfId="38887"/>
    <cellStyle name="Normal 16 2 4 5" xfId="16323"/>
    <cellStyle name="Normal 16 2 4 6" xfId="31366"/>
    <cellStyle name="Normal 16 2 5" xfId="2163"/>
    <cellStyle name="Normal 16 2 5 2" xfId="5959"/>
    <cellStyle name="Normal 16 2 5 2 2" xfId="13482"/>
    <cellStyle name="Normal 16 2 5 2 2 2" xfId="28526"/>
    <cellStyle name="Normal 16 2 5 2 2 3" xfId="43569"/>
    <cellStyle name="Normal 16 2 5 2 3" xfId="21005"/>
    <cellStyle name="Normal 16 2 5 2 4" xfId="36048"/>
    <cellStyle name="Normal 16 2 5 3" xfId="9733"/>
    <cellStyle name="Normal 16 2 5 3 2" xfId="24777"/>
    <cellStyle name="Normal 16 2 5 3 3" xfId="39820"/>
    <cellStyle name="Normal 16 2 5 4" xfId="17256"/>
    <cellStyle name="Normal 16 2 5 5" xfId="32299"/>
    <cellStyle name="Normal 16 2 6" xfId="4091"/>
    <cellStyle name="Normal 16 2 6 2" xfId="11615"/>
    <cellStyle name="Normal 16 2 6 2 2" xfId="26659"/>
    <cellStyle name="Normal 16 2 6 2 3" xfId="41702"/>
    <cellStyle name="Normal 16 2 6 3" xfId="19138"/>
    <cellStyle name="Normal 16 2 6 4" xfId="34181"/>
    <cellStyle name="Normal 16 2 7" xfId="7854"/>
    <cellStyle name="Normal 16 2 7 2" xfId="22898"/>
    <cellStyle name="Normal 16 2 7 3" xfId="37941"/>
    <cellStyle name="Normal 16 2 8" xfId="15377"/>
    <cellStyle name="Normal 16 2 9" xfId="30420"/>
    <cellStyle name="Normal 16 3" xfId="192"/>
    <cellStyle name="Normal 16 3 2" xfId="193"/>
    <cellStyle name="Normal 16 3 2 2" xfId="721"/>
    <cellStyle name="Normal 16 3 2 2 2" xfId="1680"/>
    <cellStyle name="Normal 16 3 2 2 2 2" xfId="3551"/>
    <cellStyle name="Normal 16 3 2 2 2 2 2" xfId="7346"/>
    <cellStyle name="Normal 16 3 2 2 2 2 2 2" xfId="14869"/>
    <cellStyle name="Normal 16 3 2 2 2 2 2 2 2" xfId="29913"/>
    <cellStyle name="Normal 16 3 2 2 2 2 2 2 3" xfId="44956"/>
    <cellStyle name="Normal 16 3 2 2 2 2 2 3" xfId="22392"/>
    <cellStyle name="Normal 16 3 2 2 2 2 2 4" xfId="37435"/>
    <cellStyle name="Normal 16 3 2 2 2 2 3" xfId="11120"/>
    <cellStyle name="Normal 16 3 2 2 2 2 3 2" xfId="26164"/>
    <cellStyle name="Normal 16 3 2 2 2 2 3 3" xfId="41207"/>
    <cellStyle name="Normal 16 3 2 2 2 2 4" xfId="18643"/>
    <cellStyle name="Normal 16 3 2 2 2 2 5" xfId="33686"/>
    <cellStyle name="Normal 16 3 2 2 2 3" xfId="5481"/>
    <cellStyle name="Normal 16 3 2 2 2 3 2" xfId="13004"/>
    <cellStyle name="Normal 16 3 2 2 2 3 2 2" xfId="28048"/>
    <cellStyle name="Normal 16 3 2 2 2 3 2 3" xfId="43091"/>
    <cellStyle name="Normal 16 3 2 2 2 3 3" xfId="20527"/>
    <cellStyle name="Normal 16 3 2 2 2 3 4" xfId="35570"/>
    <cellStyle name="Normal 16 3 2 2 2 4" xfId="9255"/>
    <cellStyle name="Normal 16 3 2 2 2 4 2" xfId="24299"/>
    <cellStyle name="Normal 16 3 2 2 2 4 3" xfId="39342"/>
    <cellStyle name="Normal 16 3 2 2 2 5" xfId="16778"/>
    <cellStyle name="Normal 16 3 2 2 2 6" xfId="31821"/>
    <cellStyle name="Normal 16 3 2 2 3" xfId="2619"/>
    <cellStyle name="Normal 16 3 2 2 3 2" xfId="6414"/>
    <cellStyle name="Normal 16 3 2 2 3 2 2" xfId="13937"/>
    <cellStyle name="Normal 16 3 2 2 3 2 2 2" xfId="28981"/>
    <cellStyle name="Normal 16 3 2 2 3 2 2 3" xfId="44024"/>
    <cellStyle name="Normal 16 3 2 2 3 2 3" xfId="21460"/>
    <cellStyle name="Normal 16 3 2 2 3 2 4" xfId="36503"/>
    <cellStyle name="Normal 16 3 2 2 3 3" xfId="10188"/>
    <cellStyle name="Normal 16 3 2 2 3 3 2" xfId="25232"/>
    <cellStyle name="Normal 16 3 2 2 3 3 3" xfId="40275"/>
    <cellStyle name="Normal 16 3 2 2 3 4" xfId="17711"/>
    <cellStyle name="Normal 16 3 2 2 3 5" xfId="32754"/>
    <cellStyle name="Normal 16 3 2 2 4" xfId="4549"/>
    <cellStyle name="Normal 16 3 2 2 4 2" xfId="12072"/>
    <cellStyle name="Normal 16 3 2 2 4 2 2" xfId="27116"/>
    <cellStyle name="Normal 16 3 2 2 4 2 3" xfId="42159"/>
    <cellStyle name="Normal 16 3 2 2 4 3" xfId="19595"/>
    <cellStyle name="Normal 16 3 2 2 4 4" xfId="34638"/>
    <cellStyle name="Normal 16 3 2 2 5" xfId="8323"/>
    <cellStyle name="Normal 16 3 2 2 5 2" xfId="23367"/>
    <cellStyle name="Normal 16 3 2 2 5 3" xfId="38410"/>
    <cellStyle name="Normal 16 3 2 2 6" xfId="15846"/>
    <cellStyle name="Normal 16 3 2 2 7" xfId="30889"/>
    <cellStyle name="Normal 16 3 2 3" xfId="1228"/>
    <cellStyle name="Normal 16 3 2 3 2" xfId="3099"/>
    <cellStyle name="Normal 16 3 2 3 2 2" xfId="6894"/>
    <cellStyle name="Normal 16 3 2 3 2 2 2" xfId="14417"/>
    <cellStyle name="Normal 16 3 2 3 2 2 2 2" xfId="29461"/>
    <cellStyle name="Normal 16 3 2 3 2 2 2 3" xfId="44504"/>
    <cellStyle name="Normal 16 3 2 3 2 2 3" xfId="21940"/>
    <cellStyle name="Normal 16 3 2 3 2 2 4" xfId="36983"/>
    <cellStyle name="Normal 16 3 2 3 2 3" xfId="10668"/>
    <cellStyle name="Normal 16 3 2 3 2 3 2" xfId="25712"/>
    <cellStyle name="Normal 16 3 2 3 2 3 3" xfId="40755"/>
    <cellStyle name="Normal 16 3 2 3 2 4" xfId="18191"/>
    <cellStyle name="Normal 16 3 2 3 2 5" xfId="33234"/>
    <cellStyle name="Normal 16 3 2 3 3" xfId="5029"/>
    <cellStyle name="Normal 16 3 2 3 3 2" xfId="12552"/>
    <cellStyle name="Normal 16 3 2 3 3 2 2" xfId="27596"/>
    <cellStyle name="Normal 16 3 2 3 3 2 3" xfId="42639"/>
    <cellStyle name="Normal 16 3 2 3 3 3" xfId="20075"/>
    <cellStyle name="Normal 16 3 2 3 3 4" xfId="35118"/>
    <cellStyle name="Normal 16 3 2 3 4" xfId="8803"/>
    <cellStyle name="Normal 16 3 2 3 4 2" xfId="23847"/>
    <cellStyle name="Normal 16 3 2 3 4 3" xfId="38890"/>
    <cellStyle name="Normal 16 3 2 3 5" xfId="16326"/>
    <cellStyle name="Normal 16 3 2 3 6" xfId="31369"/>
    <cellStyle name="Normal 16 3 2 4" xfId="2166"/>
    <cellStyle name="Normal 16 3 2 4 2" xfId="5962"/>
    <cellStyle name="Normal 16 3 2 4 2 2" xfId="13485"/>
    <cellStyle name="Normal 16 3 2 4 2 2 2" xfId="28529"/>
    <cellStyle name="Normal 16 3 2 4 2 2 3" xfId="43572"/>
    <cellStyle name="Normal 16 3 2 4 2 3" xfId="21008"/>
    <cellStyle name="Normal 16 3 2 4 2 4" xfId="36051"/>
    <cellStyle name="Normal 16 3 2 4 3" xfId="9736"/>
    <cellStyle name="Normal 16 3 2 4 3 2" xfId="24780"/>
    <cellStyle name="Normal 16 3 2 4 3 3" xfId="39823"/>
    <cellStyle name="Normal 16 3 2 4 4" xfId="17259"/>
    <cellStyle name="Normal 16 3 2 4 5" xfId="32302"/>
    <cellStyle name="Normal 16 3 2 5" xfId="4094"/>
    <cellStyle name="Normal 16 3 2 5 2" xfId="11618"/>
    <cellStyle name="Normal 16 3 2 5 2 2" xfId="26662"/>
    <cellStyle name="Normal 16 3 2 5 2 3" xfId="41705"/>
    <cellStyle name="Normal 16 3 2 5 3" xfId="19141"/>
    <cellStyle name="Normal 16 3 2 5 4" xfId="34184"/>
    <cellStyle name="Normal 16 3 2 6" xfId="7857"/>
    <cellStyle name="Normal 16 3 2 6 2" xfId="22901"/>
    <cellStyle name="Normal 16 3 2 6 3" xfId="37944"/>
    <cellStyle name="Normal 16 3 2 7" xfId="15380"/>
    <cellStyle name="Normal 16 3 2 8" xfId="30423"/>
    <cellStyle name="Normal 16 3 3" xfId="720"/>
    <cellStyle name="Normal 16 3 3 2" xfId="1679"/>
    <cellStyle name="Normal 16 3 3 2 2" xfId="3550"/>
    <cellStyle name="Normal 16 3 3 2 2 2" xfId="7345"/>
    <cellStyle name="Normal 16 3 3 2 2 2 2" xfId="14868"/>
    <cellStyle name="Normal 16 3 3 2 2 2 2 2" xfId="29912"/>
    <cellStyle name="Normal 16 3 3 2 2 2 2 3" xfId="44955"/>
    <cellStyle name="Normal 16 3 3 2 2 2 3" xfId="22391"/>
    <cellStyle name="Normal 16 3 3 2 2 2 4" xfId="37434"/>
    <cellStyle name="Normal 16 3 3 2 2 3" xfId="11119"/>
    <cellStyle name="Normal 16 3 3 2 2 3 2" xfId="26163"/>
    <cellStyle name="Normal 16 3 3 2 2 3 3" xfId="41206"/>
    <cellStyle name="Normal 16 3 3 2 2 4" xfId="18642"/>
    <cellStyle name="Normal 16 3 3 2 2 5" xfId="33685"/>
    <cellStyle name="Normal 16 3 3 2 3" xfId="5480"/>
    <cellStyle name="Normal 16 3 3 2 3 2" xfId="13003"/>
    <cellStyle name="Normal 16 3 3 2 3 2 2" xfId="28047"/>
    <cellStyle name="Normal 16 3 3 2 3 2 3" xfId="43090"/>
    <cellStyle name="Normal 16 3 3 2 3 3" xfId="20526"/>
    <cellStyle name="Normal 16 3 3 2 3 4" xfId="35569"/>
    <cellStyle name="Normal 16 3 3 2 4" xfId="9254"/>
    <cellStyle name="Normal 16 3 3 2 4 2" xfId="24298"/>
    <cellStyle name="Normal 16 3 3 2 4 3" xfId="39341"/>
    <cellStyle name="Normal 16 3 3 2 5" xfId="16777"/>
    <cellStyle name="Normal 16 3 3 2 6" xfId="31820"/>
    <cellStyle name="Normal 16 3 3 3" xfId="2618"/>
    <cellStyle name="Normal 16 3 3 3 2" xfId="6413"/>
    <cellStyle name="Normal 16 3 3 3 2 2" xfId="13936"/>
    <cellStyle name="Normal 16 3 3 3 2 2 2" xfId="28980"/>
    <cellStyle name="Normal 16 3 3 3 2 2 3" xfId="44023"/>
    <cellStyle name="Normal 16 3 3 3 2 3" xfId="21459"/>
    <cellStyle name="Normal 16 3 3 3 2 4" xfId="36502"/>
    <cellStyle name="Normal 16 3 3 3 3" xfId="10187"/>
    <cellStyle name="Normal 16 3 3 3 3 2" xfId="25231"/>
    <cellStyle name="Normal 16 3 3 3 3 3" xfId="40274"/>
    <cellStyle name="Normal 16 3 3 3 4" xfId="17710"/>
    <cellStyle name="Normal 16 3 3 3 5" xfId="32753"/>
    <cellStyle name="Normal 16 3 3 4" xfId="4548"/>
    <cellStyle name="Normal 16 3 3 4 2" xfId="12071"/>
    <cellStyle name="Normal 16 3 3 4 2 2" xfId="27115"/>
    <cellStyle name="Normal 16 3 3 4 2 3" xfId="42158"/>
    <cellStyle name="Normal 16 3 3 4 3" xfId="19594"/>
    <cellStyle name="Normal 16 3 3 4 4" xfId="34637"/>
    <cellStyle name="Normal 16 3 3 5" xfId="8322"/>
    <cellStyle name="Normal 16 3 3 5 2" xfId="23366"/>
    <cellStyle name="Normal 16 3 3 5 3" xfId="38409"/>
    <cellStyle name="Normal 16 3 3 6" xfId="15845"/>
    <cellStyle name="Normal 16 3 3 7" xfId="30888"/>
    <cellStyle name="Normal 16 3 4" xfId="1227"/>
    <cellStyle name="Normal 16 3 4 2" xfId="3098"/>
    <cellStyle name="Normal 16 3 4 2 2" xfId="6893"/>
    <cellStyle name="Normal 16 3 4 2 2 2" xfId="14416"/>
    <cellStyle name="Normal 16 3 4 2 2 2 2" xfId="29460"/>
    <cellStyle name="Normal 16 3 4 2 2 2 3" xfId="44503"/>
    <cellStyle name="Normal 16 3 4 2 2 3" xfId="21939"/>
    <cellStyle name="Normal 16 3 4 2 2 4" xfId="36982"/>
    <cellStyle name="Normal 16 3 4 2 3" xfId="10667"/>
    <cellStyle name="Normal 16 3 4 2 3 2" xfId="25711"/>
    <cellStyle name="Normal 16 3 4 2 3 3" xfId="40754"/>
    <cellStyle name="Normal 16 3 4 2 4" xfId="18190"/>
    <cellStyle name="Normal 16 3 4 2 5" xfId="33233"/>
    <cellStyle name="Normal 16 3 4 3" xfId="5028"/>
    <cellStyle name="Normal 16 3 4 3 2" xfId="12551"/>
    <cellStyle name="Normal 16 3 4 3 2 2" xfId="27595"/>
    <cellStyle name="Normal 16 3 4 3 2 3" xfId="42638"/>
    <cellStyle name="Normal 16 3 4 3 3" xfId="20074"/>
    <cellStyle name="Normal 16 3 4 3 4" xfId="35117"/>
    <cellStyle name="Normal 16 3 4 4" xfId="8802"/>
    <cellStyle name="Normal 16 3 4 4 2" xfId="23846"/>
    <cellStyle name="Normal 16 3 4 4 3" xfId="38889"/>
    <cellStyle name="Normal 16 3 4 5" xfId="16325"/>
    <cellStyle name="Normal 16 3 4 6" xfId="31368"/>
    <cellStyle name="Normal 16 3 5" xfId="2165"/>
    <cellStyle name="Normal 16 3 5 2" xfId="5961"/>
    <cellStyle name="Normal 16 3 5 2 2" xfId="13484"/>
    <cellStyle name="Normal 16 3 5 2 2 2" xfId="28528"/>
    <cellStyle name="Normal 16 3 5 2 2 3" xfId="43571"/>
    <cellStyle name="Normal 16 3 5 2 3" xfId="21007"/>
    <cellStyle name="Normal 16 3 5 2 4" xfId="36050"/>
    <cellStyle name="Normal 16 3 5 3" xfId="9735"/>
    <cellStyle name="Normal 16 3 5 3 2" xfId="24779"/>
    <cellStyle name="Normal 16 3 5 3 3" xfId="39822"/>
    <cellStyle name="Normal 16 3 5 4" xfId="17258"/>
    <cellStyle name="Normal 16 3 5 5" xfId="32301"/>
    <cellStyle name="Normal 16 3 6" xfId="4093"/>
    <cellStyle name="Normal 16 3 6 2" xfId="11617"/>
    <cellStyle name="Normal 16 3 6 2 2" xfId="26661"/>
    <cellStyle name="Normal 16 3 6 2 3" xfId="41704"/>
    <cellStyle name="Normal 16 3 6 3" xfId="19140"/>
    <cellStyle name="Normal 16 3 6 4" xfId="34183"/>
    <cellStyle name="Normal 16 3 7" xfId="7856"/>
    <cellStyle name="Normal 16 3 7 2" xfId="22900"/>
    <cellStyle name="Normal 16 3 7 3" xfId="37943"/>
    <cellStyle name="Normal 16 3 8" xfId="15379"/>
    <cellStyle name="Normal 16 3 9" xfId="30422"/>
    <cellStyle name="Normal 16 4" xfId="194"/>
    <cellStyle name="Normal 16 4 2" xfId="722"/>
    <cellStyle name="Normal 16 4 2 2" xfId="1681"/>
    <cellStyle name="Normal 16 4 2 2 2" xfId="3552"/>
    <cellStyle name="Normal 16 4 2 2 2 2" xfId="7347"/>
    <cellStyle name="Normal 16 4 2 2 2 2 2" xfId="14870"/>
    <cellStyle name="Normal 16 4 2 2 2 2 2 2" xfId="29914"/>
    <cellStyle name="Normal 16 4 2 2 2 2 2 3" xfId="44957"/>
    <cellStyle name="Normal 16 4 2 2 2 2 3" xfId="22393"/>
    <cellStyle name="Normal 16 4 2 2 2 2 4" xfId="37436"/>
    <cellStyle name="Normal 16 4 2 2 2 3" xfId="11121"/>
    <cellStyle name="Normal 16 4 2 2 2 3 2" xfId="26165"/>
    <cellStyle name="Normal 16 4 2 2 2 3 3" xfId="41208"/>
    <cellStyle name="Normal 16 4 2 2 2 4" xfId="18644"/>
    <cellStyle name="Normal 16 4 2 2 2 5" xfId="33687"/>
    <cellStyle name="Normal 16 4 2 2 3" xfId="5482"/>
    <cellStyle name="Normal 16 4 2 2 3 2" xfId="13005"/>
    <cellStyle name="Normal 16 4 2 2 3 2 2" xfId="28049"/>
    <cellStyle name="Normal 16 4 2 2 3 2 3" xfId="43092"/>
    <cellStyle name="Normal 16 4 2 2 3 3" xfId="20528"/>
    <cellStyle name="Normal 16 4 2 2 3 4" xfId="35571"/>
    <cellStyle name="Normal 16 4 2 2 4" xfId="9256"/>
    <cellStyle name="Normal 16 4 2 2 4 2" xfId="24300"/>
    <cellStyle name="Normal 16 4 2 2 4 3" xfId="39343"/>
    <cellStyle name="Normal 16 4 2 2 5" xfId="16779"/>
    <cellStyle name="Normal 16 4 2 2 6" xfId="31822"/>
    <cellStyle name="Normal 16 4 2 3" xfId="2620"/>
    <cellStyle name="Normal 16 4 2 3 2" xfId="6415"/>
    <cellStyle name="Normal 16 4 2 3 2 2" xfId="13938"/>
    <cellStyle name="Normal 16 4 2 3 2 2 2" xfId="28982"/>
    <cellStyle name="Normal 16 4 2 3 2 2 3" xfId="44025"/>
    <cellStyle name="Normal 16 4 2 3 2 3" xfId="21461"/>
    <cellStyle name="Normal 16 4 2 3 2 4" xfId="36504"/>
    <cellStyle name="Normal 16 4 2 3 3" xfId="10189"/>
    <cellStyle name="Normal 16 4 2 3 3 2" xfId="25233"/>
    <cellStyle name="Normal 16 4 2 3 3 3" xfId="40276"/>
    <cellStyle name="Normal 16 4 2 3 4" xfId="17712"/>
    <cellStyle name="Normal 16 4 2 3 5" xfId="32755"/>
    <cellStyle name="Normal 16 4 2 4" xfId="4550"/>
    <cellStyle name="Normal 16 4 2 4 2" xfId="12073"/>
    <cellStyle name="Normal 16 4 2 4 2 2" xfId="27117"/>
    <cellStyle name="Normal 16 4 2 4 2 3" xfId="42160"/>
    <cellStyle name="Normal 16 4 2 4 3" xfId="19596"/>
    <cellStyle name="Normal 16 4 2 4 4" xfId="34639"/>
    <cellStyle name="Normal 16 4 2 5" xfId="8324"/>
    <cellStyle name="Normal 16 4 2 5 2" xfId="23368"/>
    <cellStyle name="Normal 16 4 2 5 3" xfId="38411"/>
    <cellStyle name="Normal 16 4 2 6" xfId="15847"/>
    <cellStyle name="Normal 16 4 2 7" xfId="30890"/>
    <cellStyle name="Normal 16 4 3" xfId="1229"/>
    <cellStyle name="Normal 16 4 3 2" xfId="3100"/>
    <cellStyle name="Normal 16 4 3 2 2" xfId="6895"/>
    <cellStyle name="Normal 16 4 3 2 2 2" xfId="14418"/>
    <cellStyle name="Normal 16 4 3 2 2 2 2" xfId="29462"/>
    <cellStyle name="Normal 16 4 3 2 2 2 3" xfId="44505"/>
    <cellStyle name="Normal 16 4 3 2 2 3" xfId="21941"/>
    <cellStyle name="Normal 16 4 3 2 2 4" xfId="36984"/>
    <cellStyle name="Normal 16 4 3 2 3" xfId="10669"/>
    <cellStyle name="Normal 16 4 3 2 3 2" xfId="25713"/>
    <cellStyle name="Normal 16 4 3 2 3 3" xfId="40756"/>
    <cellStyle name="Normal 16 4 3 2 4" xfId="18192"/>
    <cellStyle name="Normal 16 4 3 2 5" xfId="33235"/>
    <cellStyle name="Normal 16 4 3 3" xfId="5030"/>
    <cellStyle name="Normal 16 4 3 3 2" xfId="12553"/>
    <cellStyle name="Normal 16 4 3 3 2 2" xfId="27597"/>
    <cellStyle name="Normal 16 4 3 3 2 3" xfId="42640"/>
    <cellStyle name="Normal 16 4 3 3 3" xfId="20076"/>
    <cellStyle name="Normal 16 4 3 3 4" xfId="35119"/>
    <cellStyle name="Normal 16 4 3 4" xfId="8804"/>
    <cellStyle name="Normal 16 4 3 4 2" xfId="23848"/>
    <cellStyle name="Normal 16 4 3 4 3" xfId="38891"/>
    <cellStyle name="Normal 16 4 3 5" xfId="16327"/>
    <cellStyle name="Normal 16 4 3 6" xfId="31370"/>
    <cellStyle name="Normal 16 4 4" xfId="2167"/>
    <cellStyle name="Normal 16 4 4 2" xfId="5963"/>
    <cellStyle name="Normal 16 4 4 2 2" xfId="13486"/>
    <cellStyle name="Normal 16 4 4 2 2 2" xfId="28530"/>
    <cellStyle name="Normal 16 4 4 2 2 3" xfId="43573"/>
    <cellStyle name="Normal 16 4 4 2 3" xfId="21009"/>
    <cellStyle name="Normal 16 4 4 2 4" xfId="36052"/>
    <cellStyle name="Normal 16 4 4 3" xfId="9737"/>
    <cellStyle name="Normal 16 4 4 3 2" xfId="24781"/>
    <cellStyle name="Normal 16 4 4 3 3" xfId="39824"/>
    <cellStyle name="Normal 16 4 4 4" xfId="17260"/>
    <cellStyle name="Normal 16 4 4 5" xfId="32303"/>
    <cellStyle name="Normal 16 4 5" xfId="4095"/>
    <cellStyle name="Normal 16 4 5 2" xfId="11619"/>
    <cellStyle name="Normal 16 4 5 2 2" xfId="26663"/>
    <cellStyle name="Normal 16 4 5 2 3" xfId="41706"/>
    <cellStyle name="Normal 16 4 5 3" xfId="19142"/>
    <cellStyle name="Normal 16 4 5 4" xfId="34185"/>
    <cellStyle name="Normal 16 4 6" xfId="7858"/>
    <cellStyle name="Normal 16 4 6 2" xfId="22902"/>
    <cellStyle name="Normal 16 4 6 3" xfId="37945"/>
    <cellStyle name="Normal 16 4 7" xfId="15381"/>
    <cellStyle name="Normal 16 4 8" xfId="30424"/>
    <cellStyle name="Normal 16 5" xfId="717"/>
    <cellStyle name="Normal 16 5 2" xfId="1676"/>
    <cellStyle name="Normal 16 5 2 2" xfId="3547"/>
    <cellStyle name="Normal 16 5 2 2 2" xfId="7342"/>
    <cellStyle name="Normal 16 5 2 2 2 2" xfId="14865"/>
    <cellStyle name="Normal 16 5 2 2 2 2 2" xfId="29909"/>
    <cellStyle name="Normal 16 5 2 2 2 2 3" xfId="44952"/>
    <cellStyle name="Normal 16 5 2 2 2 3" xfId="22388"/>
    <cellStyle name="Normal 16 5 2 2 2 4" xfId="37431"/>
    <cellStyle name="Normal 16 5 2 2 3" xfId="11116"/>
    <cellStyle name="Normal 16 5 2 2 3 2" xfId="26160"/>
    <cellStyle name="Normal 16 5 2 2 3 3" xfId="41203"/>
    <cellStyle name="Normal 16 5 2 2 4" xfId="18639"/>
    <cellStyle name="Normal 16 5 2 2 5" xfId="33682"/>
    <cellStyle name="Normal 16 5 2 3" xfId="5477"/>
    <cellStyle name="Normal 16 5 2 3 2" xfId="13000"/>
    <cellStyle name="Normal 16 5 2 3 2 2" xfId="28044"/>
    <cellStyle name="Normal 16 5 2 3 2 3" xfId="43087"/>
    <cellStyle name="Normal 16 5 2 3 3" xfId="20523"/>
    <cellStyle name="Normal 16 5 2 3 4" xfId="35566"/>
    <cellStyle name="Normal 16 5 2 4" xfId="9251"/>
    <cellStyle name="Normal 16 5 2 4 2" xfId="24295"/>
    <cellStyle name="Normal 16 5 2 4 3" xfId="39338"/>
    <cellStyle name="Normal 16 5 2 5" xfId="16774"/>
    <cellStyle name="Normal 16 5 2 6" xfId="31817"/>
    <cellStyle name="Normal 16 5 3" xfId="2615"/>
    <cellStyle name="Normal 16 5 3 2" xfId="6410"/>
    <cellStyle name="Normal 16 5 3 2 2" xfId="13933"/>
    <cellStyle name="Normal 16 5 3 2 2 2" xfId="28977"/>
    <cellStyle name="Normal 16 5 3 2 2 3" xfId="44020"/>
    <cellStyle name="Normal 16 5 3 2 3" xfId="21456"/>
    <cellStyle name="Normal 16 5 3 2 4" xfId="36499"/>
    <cellStyle name="Normal 16 5 3 3" xfId="10184"/>
    <cellStyle name="Normal 16 5 3 3 2" xfId="25228"/>
    <cellStyle name="Normal 16 5 3 3 3" xfId="40271"/>
    <cellStyle name="Normal 16 5 3 4" xfId="17707"/>
    <cellStyle name="Normal 16 5 3 5" xfId="32750"/>
    <cellStyle name="Normal 16 5 4" xfId="4545"/>
    <cellStyle name="Normal 16 5 4 2" xfId="12068"/>
    <cellStyle name="Normal 16 5 4 2 2" xfId="27112"/>
    <cellStyle name="Normal 16 5 4 2 3" xfId="42155"/>
    <cellStyle name="Normal 16 5 4 3" xfId="19591"/>
    <cellStyle name="Normal 16 5 4 4" xfId="34634"/>
    <cellStyle name="Normal 16 5 5" xfId="8319"/>
    <cellStyle name="Normal 16 5 5 2" xfId="23363"/>
    <cellStyle name="Normal 16 5 5 3" xfId="38406"/>
    <cellStyle name="Normal 16 5 6" xfId="15842"/>
    <cellStyle name="Normal 16 5 7" xfId="30885"/>
    <cellStyle name="Normal 16 6" xfId="1224"/>
    <cellStyle name="Normal 16 6 2" xfId="3095"/>
    <cellStyle name="Normal 16 6 2 2" xfId="6890"/>
    <cellStyle name="Normal 16 6 2 2 2" xfId="14413"/>
    <cellStyle name="Normal 16 6 2 2 2 2" xfId="29457"/>
    <cellStyle name="Normal 16 6 2 2 2 3" xfId="44500"/>
    <cellStyle name="Normal 16 6 2 2 3" xfId="21936"/>
    <cellStyle name="Normal 16 6 2 2 4" xfId="36979"/>
    <cellStyle name="Normal 16 6 2 3" xfId="10664"/>
    <cellStyle name="Normal 16 6 2 3 2" xfId="25708"/>
    <cellStyle name="Normal 16 6 2 3 3" xfId="40751"/>
    <cellStyle name="Normal 16 6 2 4" xfId="18187"/>
    <cellStyle name="Normal 16 6 2 5" xfId="33230"/>
    <cellStyle name="Normal 16 6 3" xfId="5025"/>
    <cellStyle name="Normal 16 6 3 2" xfId="12548"/>
    <cellStyle name="Normal 16 6 3 2 2" xfId="27592"/>
    <cellStyle name="Normal 16 6 3 2 3" xfId="42635"/>
    <cellStyle name="Normal 16 6 3 3" xfId="20071"/>
    <cellStyle name="Normal 16 6 3 4" xfId="35114"/>
    <cellStyle name="Normal 16 6 4" xfId="8799"/>
    <cellStyle name="Normal 16 6 4 2" xfId="23843"/>
    <cellStyle name="Normal 16 6 4 3" xfId="38886"/>
    <cellStyle name="Normal 16 6 5" xfId="16322"/>
    <cellStyle name="Normal 16 6 6" xfId="31365"/>
    <cellStyle name="Normal 16 7" xfId="2162"/>
    <cellStyle name="Normal 16 7 2" xfId="5958"/>
    <cellStyle name="Normal 16 7 2 2" xfId="13481"/>
    <cellStyle name="Normal 16 7 2 2 2" xfId="28525"/>
    <cellStyle name="Normal 16 7 2 2 3" xfId="43568"/>
    <cellStyle name="Normal 16 7 2 3" xfId="21004"/>
    <cellStyle name="Normal 16 7 2 4" xfId="36047"/>
    <cellStyle name="Normal 16 7 3" xfId="9732"/>
    <cellStyle name="Normal 16 7 3 2" xfId="24776"/>
    <cellStyle name="Normal 16 7 3 3" xfId="39819"/>
    <cellStyle name="Normal 16 7 4" xfId="17255"/>
    <cellStyle name="Normal 16 7 5" xfId="32298"/>
    <cellStyle name="Normal 16 8" xfId="4090"/>
    <cellStyle name="Normal 16 8 2" xfId="11614"/>
    <cellStyle name="Normal 16 8 2 2" xfId="26658"/>
    <cellStyle name="Normal 16 8 2 3" xfId="41701"/>
    <cellStyle name="Normal 16 8 3" xfId="19137"/>
    <cellStyle name="Normal 16 8 4" xfId="34180"/>
    <cellStyle name="Normal 16 9" xfId="7853"/>
    <cellStyle name="Normal 16 9 2" xfId="22897"/>
    <cellStyle name="Normal 16 9 3" xfId="37940"/>
    <cellStyle name="Normal 17" xfId="195"/>
    <cellStyle name="Normal 17 10" xfId="30425"/>
    <cellStyle name="Normal 17 2" xfId="196"/>
    <cellStyle name="Normal 17 2 2" xfId="197"/>
    <cellStyle name="Normal 17 2 2 2" xfId="725"/>
    <cellStyle name="Normal 17 2 2 2 2" xfId="1684"/>
    <cellStyle name="Normal 17 2 2 2 2 2" xfId="3555"/>
    <cellStyle name="Normal 17 2 2 2 2 2 2" xfId="7350"/>
    <cellStyle name="Normal 17 2 2 2 2 2 2 2" xfId="14873"/>
    <cellStyle name="Normal 17 2 2 2 2 2 2 2 2" xfId="29917"/>
    <cellStyle name="Normal 17 2 2 2 2 2 2 2 3" xfId="44960"/>
    <cellStyle name="Normal 17 2 2 2 2 2 2 3" xfId="22396"/>
    <cellStyle name="Normal 17 2 2 2 2 2 2 4" xfId="37439"/>
    <cellStyle name="Normal 17 2 2 2 2 2 3" xfId="11124"/>
    <cellStyle name="Normal 17 2 2 2 2 2 3 2" xfId="26168"/>
    <cellStyle name="Normal 17 2 2 2 2 2 3 3" xfId="41211"/>
    <cellStyle name="Normal 17 2 2 2 2 2 4" xfId="18647"/>
    <cellStyle name="Normal 17 2 2 2 2 2 5" xfId="33690"/>
    <cellStyle name="Normal 17 2 2 2 2 3" xfId="5485"/>
    <cellStyle name="Normal 17 2 2 2 2 3 2" xfId="13008"/>
    <cellStyle name="Normal 17 2 2 2 2 3 2 2" xfId="28052"/>
    <cellStyle name="Normal 17 2 2 2 2 3 2 3" xfId="43095"/>
    <cellStyle name="Normal 17 2 2 2 2 3 3" xfId="20531"/>
    <cellStyle name="Normal 17 2 2 2 2 3 4" xfId="35574"/>
    <cellStyle name="Normal 17 2 2 2 2 4" xfId="9259"/>
    <cellStyle name="Normal 17 2 2 2 2 4 2" xfId="24303"/>
    <cellStyle name="Normal 17 2 2 2 2 4 3" xfId="39346"/>
    <cellStyle name="Normal 17 2 2 2 2 5" xfId="16782"/>
    <cellStyle name="Normal 17 2 2 2 2 6" xfId="31825"/>
    <cellStyle name="Normal 17 2 2 2 3" xfId="2623"/>
    <cellStyle name="Normal 17 2 2 2 3 2" xfId="6418"/>
    <cellStyle name="Normal 17 2 2 2 3 2 2" xfId="13941"/>
    <cellStyle name="Normal 17 2 2 2 3 2 2 2" xfId="28985"/>
    <cellStyle name="Normal 17 2 2 2 3 2 2 3" xfId="44028"/>
    <cellStyle name="Normal 17 2 2 2 3 2 3" xfId="21464"/>
    <cellStyle name="Normal 17 2 2 2 3 2 4" xfId="36507"/>
    <cellStyle name="Normal 17 2 2 2 3 3" xfId="10192"/>
    <cellStyle name="Normal 17 2 2 2 3 3 2" xfId="25236"/>
    <cellStyle name="Normal 17 2 2 2 3 3 3" xfId="40279"/>
    <cellStyle name="Normal 17 2 2 2 3 4" xfId="17715"/>
    <cellStyle name="Normal 17 2 2 2 3 5" xfId="32758"/>
    <cellStyle name="Normal 17 2 2 2 4" xfId="4553"/>
    <cellStyle name="Normal 17 2 2 2 4 2" xfId="12076"/>
    <cellStyle name="Normal 17 2 2 2 4 2 2" xfId="27120"/>
    <cellStyle name="Normal 17 2 2 2 4 2 3" xfId="42163"/>
    <cellStyle name="Normal 17 2 2 2 4 3" xfId="19599"/>
    <cellStyle name="Normal 17 2 2 2 4 4" xfId="34642"/>
    <cellStyle name="Normal 17 2 2 2 5" xfId="8327"/>
    <cellStyle name="Normal 17 2 2 2 5 2" xfId="23371"/>
    <cellStyle name="Normal 17 2 2 2 5 3" xfId="38414"/>
    <cellStyle name="Normal 17 2 2 2 6" xfId="15850"/>
    <cellStyle name="Normal 17 2 2 2 7" xfId="30893"/>
    <cellStyle name="Normal 17 2 2 3" xfId="1232"/>
    <cellStyle name="Normal 17 2 2 3 2" xfId="3103"/>
    <cellStyle name="Normal 17 2 2 3 2 2" xfId="6898"/>
    <cellStyle name="Normal 17 2 2 3 2 2 2" xfId="14421"/>
    <cellStyle name="Normal 17 2 2 3 2 2 2 2" xfId="29465"/>
    <cellStyle name="Normal 17 2 2 3 2 2 2 3" xfId="44508"/>
    <cellStyle name="Normal 17 2 2 3 2 2 3" xfId="21944"/>
    <cellStyle name="Normal 17 2 2 3 2 2 4" xfId="36987"/>
    <cellStyle name="Normal 17 2 2 3 2 3" xfId="10672"/>
    <cellStyle name="Normal 17 2 2 3 2 3 2" xfId="25716"/>
    <cellStyle name="Normal 17 2 2 3 2 3 3" xfId="40759"/>
    <cellStyle name="Normal 17 2 2 3 2 4" xfId="18195"/>
    <cellStyle name="Normal 17 2 2 3 2 5" xfId="33238"/>
    <cellStyle name="Normal 17 2 2 3 3" xfId="5033"/>
    <cellStyle name="Normal 17 2 2 3 3 2" xfId="12556"/>
    <cellStyle name="Normal 17 2 2 3 3 2 2" xfId="27600"/>
    <cellStyle name="Normal 17 2 2 3 3 2 3" xfId="42643"/>
    <cellStyle name="Normal 17 2 2 3 3 3" xfId="20079"/>
    <cellStyle name="Normal 17 2 2 3 3 4" xfId="35122"/>
    <cellStyle name="Normal 17 2 2 3 4" xfId="8807"/>
    <cellStyle name="Normal 17 2 2 3 4 2" xfId="23851"/>
    <cellStyle name="Normal 17 2 2 3 4 3" xfId="38894"/>
    <cellStyle name="Normal 17 2 2 3 5" xfId="16330"/>
    <cellStyle name="Normal 17 2 2 3 6" xfId="31373"/>
    <cellStyle name="Normal 17 2 2 4" xfId="2170"/>
    <cellStyle name="Normal 17 2 2 4 2" xfId="5966"/>
    <cellStyle name="Normal 17 2 2 4 2 2" xfId="13489"/>
    <cellStyle name="Normal 17 2 2 4 2 2 2" xfId="28533"/>
    <cellStyle name="Normal 17 2 2 4 2 2 3" xfId="43576"/>
    <cellStyle name="Normal 17 2 2 4 2 3" xfId="21012"/>
    <cellStyle name="Normal 17 2 2 4 2 4" xfId="36055"/>
    <cellStyle name="Normal 17 2 2 4 3" xfId="9740"/>
    <cellStyle name="Normal 17 2 2 4 3 2" xfId="24784"/>
    <cellStyle name="Normal 17 2 2 4 3 3" xfId="39827"/>
    <cellStyle name="Normal 17 2 2 4 4" xfId="17263"/>
    <cellStyle name="Normal 17 2 2 4 5" xfId="32306"/>
    <cellStyle name="Normal 17 2 2 5" xfId="4098"/>
    <cellStyle name="Normal 17 2 2 5 2" xfId="11622"/>
    <cellStyle name="Normal 17 2 2 5 2 2" xfId="26666"/>
    <cellStyle name="Normal 17 2 2 5 2 3" xfId="41709"/>
    <cellStyle name="Normal 17 2 2 5 3" xfId="19145"/>
    <cellStyle name="Normal 17 2 2 5 4" xfId="34188"/>
    <cellStyle name="Normal 17 2 2 6" xfId="7861"/>
    <cellStyle name="Normal 17 2 2 6 2" xfId="22905"/>
    <cellStyle name="Normal 17 2 2 6 3" xfId="37948"/>
    <cellStyle name="Normal 17 2 2 7" xfId="15384"/>
    <cellStyle name="Normal 17 2 2 8" xfId="30427"/>
    <cellStyle name="Normal 17 2 3" xfId="724"/>
    <cellStyle name="Normal 17 2 3 2" xfId="1683"/>
    <cellStyle name="Normal 17 2 3 2 2" xfId="3554"/>
    <cellStyle name="Normal 17 2 3 2 2 2" xfId="7349"/>
    <cellStyle name="Normal 17 2 3 2 2 2 2" xfId="14872"/>
    <cellStyle name="Normal 17 2 3 2 2 2 2 2" xfId="29916"/>
    <cellStyle name="Normal 17 2 3 2 2 2 2 3" xfId="44959"/>
    <cellStyle name="Normal 17 2 3 2 2 2 3" xfId="22395"/>
    <cellStyle name="Normal 17 2 3 2 2 2 4" xfId="37438"/>
    <cellStyle name="Normal 17 2 3 2 2 3" xfId="11123"/>
    <cellStyle name="Normal 17 2 3 2 2 3 2" xfId="26167"/>
    <cellStyle name="Normal 17 2 3 2 2 3 3" xfId="41210"/>
    <cellStyle name="Normal 17 2 3 2 2 4" xfId="18646"/>
    <cellStyle name="Normal 17 2 3 2 2 5" xfId="33689"/>
    <cellStyle name="Normal 17 2 3 2 3" xfId="5484"/>
    <cellStyle name="Normal 17 2 3 2 3 2" xfId="13007"/>
    <cellStyle name="Normal 17 2 3 2 3 2 2" xfId="28051"/>
    <cellStyle name="Normal 17 2 3 2 3 2 3" xfId="43094"/>
    <cellStyle name="Normal 17 2 3 2 3 3" xfId="20530"/>
    <cellStyle name="Normal 17 2 3 2 3 4" xfId="35573"/>
    <cellStyle name="Normal 17 2 3 2 4" xfId="9258"/>
    <cellStyle name="Normal 17 2 3 2 4 2" xfId="24302"/>
    <cellStyle name="Normal 17 2 3 2 4 3" xfId="39345"/>
    <cellStyle name="Normal 17 2 3 2 5" xfId="16781"/>
    <cellStyle name="Normal 17 2 3 2 6" xfId="31824"/>
    <cellStyle name="Normal 17 2 3 3" xfId="2622"/>
    <cellStyle name="Normal 17 2 3 3 2" xfId="6417"/>
    <cellStyle name="Normal 17 2 3 3 2 2" xfId="13940"/>
    <cellStyle name="Normal 17 2 3 3 2 2 2" xfId="28984"/>
    <cellStyle name="Normal 17 2 3 3 2 2 3" xfId="44027"/>
    <cellStyle name="Normal 17 2 3 3 2 3" xfId="21463"/>
    <cellStyle name="Normal 17 2 3 3 2 4" xfId="36506"/>
    <cellStyle name="Normal 17 2 3 3 3" xfId="10191"/>
    <cellStyle name="Normal 17 2 3 3 3 2" xfId="25235"/>
    <cellStyle name="Normal 17 2 3 3 3 3" xfId="40278"/>
    <cellStyle name="Normal 17 2 3 3 4" xfId="17714"/>
    <cellStyle name="Normal 17 2 3 3 5" xfId="32757"/>
    <cellStyle name="Normal 17 2 3 4" xfId="4552"/>
    <cellStyle name="Normal 17 2 3 4 2" xfId="12075"/>
    <cellStyle name="Normal 17 2 3 4 2 2" xfId="27119"/>
    <cellStyle name="Normal 17 2 3 4 2 3" xfId="42162"/>
    <cellStyle name="Normal 17 2 3 4 3" xfId="19598"/>
    <cellStyle name="Normal 17 2 3 4 4" xfId="34641"/>
    <cellStyle name="Normal 17 2 3 5" xfId="8326"/>
    <cellStyle name="Normal 17 2 3 5 2" xfId="23370"/>
    <cellStyle name="Normal 17 2 3 5 3" xfId="38413"/>
    <cellStyle name="Normal 17 2 3 6" xfId="15849"/>
    <cellStyle name="Normal 17 2 3 7" xfId="30892"/>
    <cellStyle name="Normal 17 2 4" xfId="1231"/>
    <cellStyle name="Normal 17 2 4 2" xfId="3102"/>
    <cellStyle name="Normal 17 2 4 2 2" xfId="6897"/>
    <cellStyle name="Normal 17 2 4 2 2 2" xfId="14420"/>
    <cellStyle name="Normal 17 2 4 2 2 2 2" xfId="29464"/>
    <cellStyle name="Normal 17 2 4 2 2 2 3" xfId="44507"/>
    <cellStyle name="Normal 17 2 4 2 2 3" xfId="21943"/>
    <cellStyle name="Normal 17 2 4 2 2 4" xfId="36986"/>
    <cellStyle name="Normal 17 2 4 2 3" xfId="10671"/>
    <cellStyle name="Normal 17 2 4 2 3 2" xfId="25715"/>
    <cellStyle name="Normal 17 2 4 2 3 3" xfId="40758"/>
    <cellStyle name="Normal 17 2 4 2 4" xfId="18194"/>
    <cellStyle name="Normal 17 2 4 2 5" xfId="33237"/>
    <cellStyle name="Normal 17 2 4 3" xfId="5032"/>
    <cellStyle name="Normal 17 2 4 3 2" xfId="12555"/>
    <cellStyle name="Normal 17 2 4 3 2 2" xfId="27599"/>
    <cellStyle name="Normal 17 2 4 3 2 3" xfId="42642"/>
    <cellStyle name="Normal 17 2 4 3 3" xfId="20078"/>
    <cellStyle name="Normal 17 2 4 3 4" xfId="35121"/>
    <cellStyle name="Normal 17 2 4 4" xfId="8806"/>
    <cellStyle name="Normal 17 2 4 4 2" xfId="23850"/>
    <cellStyle name="Normal 17 2 4 4 3" xfId="38893"/>
    <cellStyle name="Normal 17 2 4 5" xfId="16329"/>
    <cellStyle name="Normal 17 2 4 6" xfId="31372"/>
    <cellStyle name="Normal 17 2 5" xfId="2169"/>
    <cellStyle name="Normal 17 2 5 2" xfId="5965"/>
    <cellStyle name="Normal 17 2 5 2 2" xfId="13488"/>
    <cellStyle name="Normal 17 2 5 2 2 2" xfId="28532"/>
    <cellStyle name="Normal 17 2 5 2 2 3" xfId="43575"/>
    <cellStyle name="Normal 17 2 5 2 3" xfId="21011"/>
    <cellStyle name="Normal 17 2 5 2 4" xfId="36054"/>
    <cellStyle name="Normal 17 2 5 3" xfId="9739"/>
    <cellStyle name="Normal 17 2 5 3 2" xfId="24783"/>
    <cellStyle name="Normal 17 2 5 3 3" xfId="39826"/>
    <cellStyle name="Normal 17 2 5 4" xfId="17262"/>
    <cellStyle name="Normal 17 2 5 5" xfId="32305"/>
    <cellStyle name="Normal 17 2 6" xfId="4097"/>
    <cellStyle name="Normal 17 2 6 2" xfId="11621"/>
    <cellStyle name="Normal 17 2 6 2 2" xfId="26665"/>
    <cellStyle name="Normal 17 2 6 2 3" xfId="41708"/>
    <cellStyle name="Normal 17 2 6 3" xfId="19144"/>
    <cellStyle name="Normal 17 2 6 4" xfId="34187"/>
    <cellStyle name="Normal 17 2 7" xfId="7860"/>
    <cellStyle name="Normal 17 2 7 2" xfId="22904"/>
    <cellStyle name="Normal 17 2 7 3" xfId="37947"/>
    <cellStyle name="Normal 17 2 8" xfId="15383"/>
    <cellStyle name="Normal 17 2 9" xfId="30426"/>
    <cellStyle name="Normal 17 3" xfId="198"/>
    <cellStyle name="Normal 17 3 2" xfId="726"/>
    <cellStyle name="Normal 17 3 2 2" xfId="1685"/>
    <cellStyle name="Normal 17 3 2 2 2" xfId="3556"/>
    <cellStyle name="Normal 17 3 2 2 2 2" xfId="7351"/>
    <cellStyle name="Normal 17 3 2 2 2 2 2" xfId="14874"/>
    <cellStyle name="Normal 17 3 2 2 2 2 2 2" xfId="29918"/>
    <cellStyle name="Normal 17 3 2 2 2 2 2 3" xfId="44961"/>
    <cellStyle name="Normal 17 3 2 2 2 2 3" xfId="22397"/>
    <cellStyle name="Normal 17 3 2 2 2 2 4" xfId="37440"/>
    <cellStyle name="Normal 17 3 2 2 2 3" xfId="11125"/>
    <cellStyle name="Normal 17 3 2 2 2 3 2" xfId="26169"/>
    <cellStyle name="Normal 17 3 2 2 2 3 3" xfId="41212"/>
    <cellStyle name="Normal 17 3 2 2 2 4" xfId="18648"/>
    <cellStyle name="Normal 17 3 2 2 2 5" xfId="33691"/>
    <cellStyle name="Normal 17 3 2 2 3" xfId="5486"/>
    <cellStyle name="Normal 17 3 2 2 3 2" xfId="13009"/>
    <cellStyle name="Normal 17 3 2 2 3 2 2" xfId="28053"/>
    <cellStyle name="Normal 17 3 2 2 3 2 3" xfId="43096"/>
    <cellStyle name="Normal 17 3 2 2 3 3" xfId="20532"/>
    <cellStyle name="Normal 17 3 2 2 3 4" xfId="35575"/>
    <cellStyle name="Normal 17 3 2 2 4" xfId="9260"/>
    <cellStyle name="Normal 17 3 2 2 4 2" xfId="24304"/>
    <cellStyle name="Normal 17 3 2 2 4 3" xfId="39347"/>
    <cellStyle name="Normal 17 3 2 2 5" xfId="16783"/>
    <cellStyle name="Normal 17 3 2 2 6" xfId="31826"/>
    <cellStyle name="Normal 17 3 2 3" xfId="2624"/>
    <cellStyle name="Normal 17 3 2 3 2" xfId="6419"/>
    <cellStyle name="Normal 17 3 2 3 2 2" xfId="13942"/>
    <cellStyle name="Normal 17 3 2 3 2 2 2" xfId="28986"/>
    <cellStyle name="Normal 17 3 2 3 2 2 3" xfId="44029"/>
    <cellStyle name="Normal 17 3 2 3 2 3" xfId="21465"/>
    <cellStyle name="Normal 17 3 2 3 2 4" xfId="36508"/>
    <cellStyle name="Normal 17 3 2 3 3" xfId="10193"/>
    <cellStyle name="Normal 17 3 2 3 3 2" xfId="25237"/>
    <cellStyle name="Normal 17 3 2 3 3 3" xfId="40280"/>
    <cellStyle name="Normal 17 3 2 3 4" xfId="17716"/>
    <cellStyle name="Normal 17 3 2 3 5" xfId="32759"/>
    <cellStyle name="Normal 17 3 2 4" xfId="4554"/>
    <cellStyle name="Normal 17 3 2 4 2" xfId="12077"/>
    <cellStyle name="Normal 17 3 2 4 2 2" xfId="27121"/>
    <cellStyle name="Normal 17 3 2 4 2 3" xfId="42164"/>
    <cellStyle name="Normal 17 3 2 4 3" xfId="19600"/>
    <cellStyle name="Normal 17 3 2 4 4" xfId="34643"/>
    <cellStyle name="Normal 17 3 2 5" xfId="8328"/>
    <cellStyle name="Normal 17 3 2 5 2" xfId="23372"/>
    <cellStyle name="Normal 17 3 2 5 3" xfId="38415"/>
    <cellStyle name="Normal 17 3 2 6" xfId="15851"/>
    <cellStyle name="Normal 17 3 2 7" xfId="30894"/>
    <cellStyle name="Normal 17 3 3" xfId="1233"/>
    <cellStyle name="Normal 17 3 3 2" xfId="3104"/>
    <cellStyle name="Normal 17 3 3 2 2" xfId="6899"/>
    <cellStyle name="Normal 17 3 3 2 2 2" xfId="14422"/>
    <cellStyle name="Normal 17 3 3 2 2 2 2" xfId="29466"/>
    <cellStyle name="Normal 17 3 3 2 2 2 3" xfId="44509"/>
    <cellStyle name="Normal 17 3 3 2 2 3" xfId="21945"/>
    <cellStyle name="Normal 17 3 3 2 2 4" xfId="36988"/>
    <cellStyle name="Normal 17 3 3 2 3" xfId="10673"/>
    <cellStyle name="Normal 17 3 3 2 3 2" xfId="25717"/>
    <cellStyle name="Normal 17 3 3 2 3 3" xfId="40760"/>
    <cellStyle name="Normal 17 3 3 2 4" xfId="18196"/>
    <cellStyle name="Normal 17 3 3 2 5" xfId="33239"/>
    <cellStyle name="Normal 17 3 3 3" xfId="5034"/>
    <cellStyle name="Normal 17 3 3 3 2" xfId="12557"/>
    <cellStyle name="Normal 17 3 3 3 2 2" xfId="27601"/>
    <cellStyle name="Normal 17 3 3 3 2 3" xfId="42644"/>
    <cellStyle name="Normal 17 3 3 3 3" xfId="20080"/>
    <cellStyle name="Normal 17 3 3 3 4" xfId="35123"/>
    <cellStyle name="Normal 17 3 3 4" xfId="8808"/>
    <cellStyle name="Normal 17 3 3 4 2" xfId="23852"/>
    <cellStyle name="Normal 17 3 3 4 3" xfId="38895"/>
    <cellStyle name="Normal 17 3 3 5" xfId="16331"/>
    <cellStyle name="Normal 17 3 3 6" xfId="31374"/>
    <cellStyle name="Normal 17 3 4" xfId="2171"/>
    <cellStyle name="Normal 17 3 4 2" xfId="5967"/>
    <cellStyle name="Normal 17 3 4 2 2" xfId="13490"/>
    <cellStyle name="Normal 17 3 4 2 2 2" xfId="28534"/>
    <cellStyle name="Normal 17 3 4 2 2 3" xfId="43577"/>
    <cellStyle name="Normal 17 3 4 2 3" xfId="21013"/>
    <cellStyle name="Normal 17 3 4 2 4" xfId="36056"/>
    <cellStyle name="Normal 17 3 4 3" xfId="9741"/>
    <cellStyle name="Normal 17 3 4 3 2" xfId="24785"/>
    <cellStyle name="Normal 17 3 4 3 3" xfId="39828"/>
    <cellStyle name="Normal 17 3 4 4" xfId="17264"/>
    <cellStyle name="Normal 17 3 4 5" xfId="32307"/>
    <cellStyle name="Normal 17 3 5" xfId="4099"/>
    <cellStyle name="Normal 17 3 5 2" xfId="11623"/>
    <cellStyle name="Normal 17 3 5 2 2" xfId="26667"/>
    <cellStyle name="Normal 17 3 5 2 3" xfId="41710"/>
    <cellStyle name="Normal 17 3 5 3" xfId="19146"/>
    <cellStyle name="Normal 17 3 5 4" xfId="34189"/>
    <cellStyle name="Normal 17 3 6" xfId="7862"/>
    <cellStyle name="Normal 17 3 6 2" xfId="22906"/>
    <cellStyle name="Normal 17 3 6 3" xfId="37949"/>
    <cellStyle name="Normal 17 3 7" xfId="15385"/>
    <cellStyle name="Normal 17 3 8" xfId="30428"/>
    <cellStyle name="Normal 17 4" xfId="723"/>
    <cellStyle name="Normal 17 4 2" xfId="1682"/>
    <cellStyle name="Normal 17 4 2 2" xfId="3553"/>
    <cellStyle name="Normal 17 4 2 2 2" xfId="7348"/>
    <cellStyle name="Normal 17 4 2 2 2 2" xfId="14871"/>
    <cellStyle name="Normal 17 4 2 2 2 2 2" xfId="29915"/>
    <cellStyle name="Normal 17 4 2 2 2 2 3" xfId="44958"/>
    <cellStyle name="Normal 17 4 2 2 2 3" xfId="22394"/>
    <cellStyle name="Normal 17 4 2 2 2 4" xfId="37437"/>
    <cellStyle name="Normal 17 4 2 2 3" xfId="11122"/>
    <cellStyle name="Normal 17 4 2 2 3 2" xfId="26166"/>
    <cellStyle name="Normal 17 4 2 2 3 3" xfId="41209"/>
    <cellStyle name="Normal 17 4 2 2 4" xfId="18645"/>
    <cellStyle name="Normal 17 4 2 2 5" xfId="33688"/>
    <cellStyle name="Normal 17 4 2 3" xfId="5483"/>
    <cellStyle name="Normal 17 4 2 3 2" xfId="13006"/>
    <cellStyle name="Normal 17 4 2 3 2 2" xfId="28050"/>
    <cellStyle name="Normal 17 4 2 3 2 3" xfId="43093"/>
    <cellStyle name="Normal 17 4 2 3 3" xfId="20529"/>
    <cellStyle name="Normal 17 4 2 3 4" xfId="35572"/>
    <cellStyle name="Normal 17 4 2 4" xfId="9257"/>
    <cellStyle name="Normal 17 4 2 4 2" xfId="24301"/>
    <cellStyle name="Normal 17 4 2 4 3" xfId="39344"/>
    <cellStyle name="Normal 17 4 2 5" xfId="16780"/>
    <cellStyle name="Normal 17 4 2 6" xfId="31823"/>
    <cellStyle name="Normal 17 4 3" xfId="2621"/>
    <cellStyle name="Normal 17 4 3 2" xfId="6416"/>
    <cellStyle name="Normal 17 4 3 2 2" xfId="13939"/>
    <cellStyle name="Normal 17 4 3 2 2 2" xfId="28983"/>
    <cellStyle name="Normal 17 4 3 2 2 3" xfId="44026"/>
    <cellStyle name="Normal 17 4 3 2 3" xfId="21462"/>
    <cellStyle name="Normal 17 4 3 2 4" xfId="36505"/>
    <cellStyle name="Normal 17 4 3 3" xfId="10190"/>
    <cellStyle name="Normal 17 4 3 3 2" xfId="25234"/>
    <cellStyle name="Normal 17 4 3 3 3" xfId="40277"/>
    <cellStyle name="Normal 17 4 3 4" xfId="17713"/>
    <cellStyle name="Normal 17 4 3 5" xfId="32756"/>
    <cellStyle name="Normal 17 4 4" xfId="4551"/>
    <cellStyle name="Normal 17 4 4 2" xfId="12074"/>
    <cellStyle name="Normal 17 4 4 2 2" xfId="27118"/>
    <cellStyle name="Normal 17 4 4 2 3" xfId="42161"/>
    <cellStyle name="Normal 17 4 4 3" xfId="19597"/>
    <cellStyle name="Normal 17 4 4 4" xfId="34640"/>
    <cellStyle name="Normal 17 4 5" xfId="8325"/>
    <cellStyle name="Normal 17 4 5 2" xfId="23369"/>
    <cellStyle name="Normal 17 4 5 3" xfId="38412"/>
    <cellStyle name="Normal 17 4 6" xfId="15848"/>
    <cellStyle name="Normal 17 4 7" xfId="30891"/>
    <cellStyle name="Normal 17 5" xfId="1230"/>
    <cellStyle name="Normal 17 5 2" xfId="3101"/>
    <cellStyle name="Normal 17 5 2 2" xfId="6896"/>
    <cellStyle name="Normal 17 5 2 2 2" xfId="14419"/>
    <cellStyle name="Normal 17 5 2 2 2 2" xfId="29463"/>
    <cellStyle name="Normal 17 5 2 2 2 3" xfId="44506"/>
    <cellStyle name="Normal 17 5 2 2 3" xfId="21942"/>
    <cellStyle name="Normal 17 5 2 2 4" xfId="36985"/>
    <cellStyle name="Normal 17 5 2 3" xfId="10670"/>
    <cellStyle name="Normal 17 5 2 3 2" xfId="25714"/>
    <cellStyle name="Normal 17 5 2 3 3" xfId="40757"/>
    <cellStyle name="Normal 17 5 2 4" xfId="18193"/>
    <cellStyle name="Normal 17 5 2 5" xfId="33236"/>
    <cellStyle name="Normal 17 5 3" xfId="5031"/>
    <cellStyle name="Normal 17 5 3 2" xfId="12554"/>
    <cellStyle name="Normal 17 5 3 2 2" xfId="27598"/>
    <cellStyle name="Normal 17 5 3 2 3" xfId="42641"/>
    <cellStyle name="Normal 17 5 3 3" xfId="20077"/>
    <cellStyle name="Normal 17 5 3 4" xfId="35120"/>
    <cellStyle name="Normal 17 5 4" xfId="8805"/>
    <cellStyle name="Normal 17 5 4 2" xfId="23849"/>
    <cellStyle name="Normal 17 5 4 3" xfId="38892"/>
    <cellStyle name="Normal 17 5 5" xfId="16328"/>
    <cellStyle name="Normal 17 5 6" xfId="31371"/>
    <cellStyle name="Normal 17 6" xfId="2168"/>
    <cellStyle name="Normal 17 6 2" xfId="5964"/>
    <cellStyle name="Normal 17 6 2 2" xfId="13487"/>
    <cellStyle name="Normal 17 6 2 2 2" xfId="28531"/>
    <cellStyle name="Normal 17 6 2 2 3" xfId="43574"/>
    <cellStyle name="Normal 17 6 2 3" xfId="21010"/>
    <cellStyle name="Normal 17 6 2 4" xfId="36053"/>
    <cellStyle name="Normal 17 6 3" xfId="9738"/>
    <cellStyle name="Normal 17 6 3 2" xfId="24782"/>
    <cellStyle name="Normal 17 6 3 3" xfId="39825"/>
    <cellStyle name="Normal 17 6 4" xfId="17261"/>
    <cellStyle name="Normal 17 6 5" xfId="32304"/>
    <cellStyle name="Normal 17 7" xfId="4096"/>
    <cellStyle name="Normal 17 7 2" xfId="11620"/>
    <cellStyle name="Normal 17 7 2 2" xfId="26664"/>
    <cellStyle name="Normal 17 7 2 3" xfId="41707"/>
    <cellStyle name="Normal 17 7 3" xfId="19143"/>
    <cellStyle name="Normal 17 7 4" xfId="34186"/>
    <cellStyle name="Normal 17 8" xfId="7859"/>
    <cellStyle name="Normal 17 8 2" xfId="22903"/>
    <cellStyle name="Normal 17 8 3" xfId="37946"/>
    <cellStyle name="Normal 17 9" xfId="15382"/>
    <cellStyle name="Normal 18" xfId="199"/>
    <cellStyle name="Normal 18 2" xfId="200"/>
    <cellStyle name="Normal 18 2 2" xfId="728"/>
    <cellStyle name="Normal 18 2 2 2" xfId="1687"/>
    <cellStyle name="Normal 18 2 2 2 2" xfId="3558"/>
    <cellStyle name="Normal 18 2 2 2 2 2" xfId="7353"/>
    <cellStyle name="Normal 18 2 2 2 2 2 2" xfId="14876"/>
    <cellStyle name="Normal 18 2 2 2 2 2 2 2" xfId="29920"/>
    <cellStyle name="Normal 18 2 2 2 2 2 2 3" xfId="44963"/>
    <cellStyle name="Normal 18 2 2 2 2 2 3" xfId="22399"/>
    <cellStyle name="Normal 18 2 2 2 2 2 4" xfId="37442"/>
    <cellStyle name="Normal 18 2 2 2 2 3" xfId="11127"/>
    <cellStyle name="Normal 18 2 2 2 2 3 2" xfId="26171"/>
    <cellStyle name="Normal 18 2 2 2 2 3 3" xfId="41214"/>
    <cellStyle name="Normal 18 2 2 2 2 4" xfId="18650"/>
    <cellStyle name="Normal 18 2 2 2 2 5" xfId="33693"/>
    <cellStyle name="Normal 18 2 2 2 3" xfId="5488"/>
    <cellStyle name="Normal 18 2 2 2 3 2" xfId="13011"/>
    <cellStyle name="Normal 18 2 2 2 3 2 2" xfId="28055"/>
    <cellStyle name="Normal 18 2 2 2 3 2 3" xfId="43098"/>
    <cellStyle name="Normal 18 2 2 2 3 3" xfId="20534"/>
    <cellStyle name="Normal 18 2 2 2 3 4" xfId="35577"/>
    <cellStyle name="Normal 18 2 2 2 4" xfId="9262"/>
    <cellStyle name="Normal 18 2 2 2 4 2" xfId="24306"/>
    <cellStyle name="Normal 18 2 2 2 4 3" xfId="39349"/>
    <cellStyle name="Normal 18 2 2 2 5" xfId="16785"/>
    <cellStyle name="Normal 18 2 2 2 6" xfId="31828"/>
    <cellStyle name="Normal 18 2 2 3" xfId="2626"/>
    <cellStyle name="Normal 18 2 2 3 2" xfId="6421"/>
    <cellStyle name="Normal 18 2 2 3 2 2" xfId="13944"/>
    <cellStyle name="Normal 18 2 2 3 2 2 2" xfId="28988"/>
    <cellStyle name="Normal 18 2 2 3 2 2 3" xfId="44031"/>
    <cellStyle name="Normal 18 2 2 3 2 3" xfId="21467"/>
    <cellStyle name="Normal 18 2 2 3 2 4" xfId="36510"/>
    <cellStyle name="Normal 18 2 2 3 3" xfId="10195"/>
    <cellStyle name="Normal 18 2 2 3 3 2" xfId="25239"/>
    <cellStyle name="Normal 18 2 2 3 3 3" xfId="40282"/>
    <cellStyle name="Normal 18 2 2 3 4" xfId="17718"/>
    <cellStyle name="Normal 18 2 2 3 5" xfId="32761"/>
    <cellStyle name="Normal 18 2 2 4" xfId="4556"/>
    <cellStyle name="Normal 18 2 2 4 2" xfId="12079"/>
    <cellStyle name="Normal 18 2 2 4 2 2" xfId="27123"/>
    <cellStyle name="Normal 18 2 2 4 2 3" xfId="42166"/>
    <cellStyle name="Normal 18 2 2 4 3" xfId="19602"/>
    <cellStyle name="Normal 18 2 2 4 4" xfId="34645"/>
    <cellStyle name="Normal 18 2 2 5" xfId="8330"/>
    <cellStyle name="Normal 18 2 2 5 2" xfId="23374"/>
    <cellStyle name="Normal 18 2 2 5 3" xfId="38417"/>
    <cellStyle name="Normal 18 2 2 6" xfId="15853"/>
    <cellStyle name="Normal 18 2 2 7" xfId="30896"/>
    <cellStyle name="Normal 18 2 3" xfId="1235"/>
    <cellStyle name="Normal 18 2 3 2" xfId="3106"/>
    <cellStyle name="Normal 18 2 3 2 2" xfId="6901"/>
    <cellStyle name="Normal 18 2 3 2 2 2" xfId="14424"/>
    <cellStyle name="Normal 18 2 3 2 2 2 2" xfId="29468"/>
    <cellStyle name="Normal 18 2 3 2 2 2 3" xfId="44511"/>
    <cellStyle name="Normal 18 2 3 2 2 3" xfId="21947"/>
    <cellStyle name="Normal 18 2 3 2 2 4" xfId="36990"/>
    <cellStyle name="Normal 18 2 3 2 3" xfId="10675"/>
    <cellStyle name="Normal 18 2 3 2 3 2" xfId="25719"/>
    <cellStyle name="Normal 18 2 3 2 3 3" xfId="40762"/>
    <cellStyle name="Normal 18 2 3 2 4" xfId="18198"/>
    <cellStyle name="Normal 18 2 3 2 5" xfId="33241"/>
    <cellStyle name="Normal 18 2 3 3" xfId="5036"/>
    <cellStyle name="Normal 18 2 3 3 2" xfId="12559"/>
    <cellStyle name="Normal 18 2 3 3 2 2" xfId="27603"/>
    <cellStyle name="Normal 18 2 3 3 2 3" xfId="42646"/>
    <cellStyle name="Normal 18 2 3 3 3" xfId="20082"/>
    <cellStyle name="Normal 18 2 3 3 4" xfId="35125"/>
    <cellStyle name="Normal 18 2 3 4" xfId="8810"/>
    <cellStyle name="Normal 18 2 3 4 2" xfId="23854"/>
    <cellStyle name="Normal 18 2 3 4 3" xfId="38897"/>
    <cellStyle name="Normal 18 2 3 5" xfId="16333"/>
    <cellStyle name="Normal 18 2 3 6" xfId="31376"/>
    <cellStyle name="Normal 18 2 4" xfId="2173"/>
    <cellStyle name="Normal 18 2 4 2" xfId="5969"/>
    <cellStyle name="Normal 18 2 4 2 2" xfId="13492"/>
    <cellStyle name="Normal 18 2 4 2 2 2" xfId="28536"/>
    <cellStyle name="Normal 18 2 4 2 2 3" xfId="43579"/>
    <cellStyle name="Normal 18 2 4 2 3" xfId="21015"/>
    <cellStyle name="Normal 18 2 4 2 4" xfId="36058"/>
    <cellStyle name="Normal 18 2 4 3" xfId="9743"/>
    <cellStyle name="Normal 18 2 4 3 2" xfId="24787"/>
    <cellStyle name="Normal 18 2 4 3 3" xfId="39830"/>
    <cellStyle name="Normal 18 2 4 4" xfId="17266"/>
    <cellStyle name="Normal 18 2 4 5" xfId="32309"/>
    <cellStyle name="Normal 18 2 5" xfId="4101"/>
    <cellStyle name="Normal 18 2 5 2" xfId="11625"/>
    <cellStyle name="Normal 18 2 5 2 2" xfId="26669"/>
    <cellStyle name="Normal 18 2 5 2 3" xfId="41712"/>
    <cellStyle name="Normal 18 2 5 3" xfId="19148"/>
    <cellStyle name="Normal 18 2 5 4" xfId="34191"/>
    <cellStyle name="Normal 18 2 6" xfId="7864"/>
    <cellStyle name="Normal 18 2 6 2" xfId="22908"/>
    <cellStyle name="Normal 18 2 6 3" xfId="37951"/>
    <cellStyle name="Normal 18 2 7" xfId="15387"/>
    <cellStyle name="Normal 18 2 8" xfId="30430"/>
    <cellStyle name="Normal 18 3" xfId="727"/>
    <cellStyle name="Normal 18 3 2" xfId="1686"/>
    <cellStyle name="Normal 18 3 2 2" xfId="3557"/>
    <cellStyle name="Normal 18 3 2 2 2" xfId="7352"/>
    <cellStyle name="Normal 18 3 2 2 2 2" xfId="14875"/>
    <cellStyle name="Normal 18 3 2 2 2 2 2" xfId="29919"/>
    <cellStyle name="Normal 18 3 2 2 2 2 3" xfId="44962"/>
    <cellStyle name="Normal 18 3 2 2 2 3" xfId="22398"/>
    <cellStyle name="Normal 18 3 2 2 2 4" xfId="37441"/>
    <cellStyle name="Normal 18 3 2 2 3" xfId="11126"/>
    <cellStyle name="Normal 18 3 2 2 3 2" xfId="26170"/>
    <cellStyle name="Normal 18 3 2 2 3 3" xfId="41213"/>
    <cellStyle name="Normal 18 3 2 2 4" xfId="18649"/>
    <cellStyle name="Normal 18 3 2 2 5" xfId="33692"/>
    <cellStyle name="Normal 18 3 2 3" xfId="5487"/>
    <cellStyle name="Normal 18 3 2 3 2" xfId="13010"/>
    <cellStyle name="Normal 18 3 2 3 2 2" xfId="28054"/>
    <cellStyle name="Normal 18 3 2 3 2 3" xfId="43097"/>
    <cellStyle name="Normal 18 3 2 3 3" xfId="20533"/>
    <cellStyle name="Normal 18 3 2 3 4" xfId="35576"/>
    <cellStyle name="Normal 18 3 2 4" xfId="9261"/>
    <cellStyle name="Normal 18 3 2 4 2" xfId="24305"/>
    <cellStyle name="Normal 18 3 2 4 3" xfId="39348"/>
    <cellStyle name="Normal 18 3 2 5" xfId="16784"/>
    <cellStyle name="Normal 18 3 2 6" xfId="31827"/>
    <cellStyle name="Normal 18 3 3" xfId="2625"/>
    <cellStyle name="Normal 18 3 3 2" xfId="6420"/>
    <cellStyle name="Normal 18 3 3 2 2" xfId="13943"/>
    <cellStyle name="Normal 18 3 3 2 2 2" xfId="28987"/>
    <cellStyle name="Normal 18 3 3 2 2 3" xfId="44030"/>
    <cellStyle name="Normal 18 3 3 2 3" xfId="21466"/>
    <cellStyle name="Normal 18 3 3 2 4" xfId="36509"/>
    <cellStyle name="Normal 18 3 3 3" xfId="10194"/>
    <cellStyle name="Normal 18 3 3 3 2" xfId="25238"/>
    <cellStyle name="Normal 18 3 3 3 3" xfId="40281"/>
    <cellStyle name="Normal 18 3 3 4" xfId="17717"/>
    <cellStyle name="Normal 18 3 3 5" xfId="32760"/>
    <cellStyle name="Normal 18 3 4" xfId="4555"/>
    <cellStyle name="Normal 18 3 4 2" xfId="12078"/>
    <cellStyle name="Normal 18 3 4 2 2" xfId="27122"/>
    <cellStyle name="Normal 18 3 4 2 3" xfId="42165"/>
    <cellStyle name="Normal 18 3 4 3" xfId="19601"/>
    <cellStyle name="Normal 18 3 4 4" xfId="34644"/>
    <cellStyle name="Normal 18 3 5" xfId="8329"/>
    <cellStyle name="Normal 18 3 5 2" xfId="23373"/>
    <cellStyle name="Normal 18 3 5 3" xfId="38416"/>
    <cellStyle name="Normal 18 3 6" xfId="15852"/>
    <cellStyle name="Normal 18 3 7" xfId="30895"/>
    <cellStyle name="Normal 18 4" xfId="1234"/>
    <cellStyle name="Normal 18 4 2" xfId="3105"/>
    <cellStyle name="Normal 18 4 2 2" xfId="6900"/>
    <cellStyle name="Normal 18 4 2 2 2" xfId="14423"/>
    <cellStyle name="Normal 18 4 2 2 2 2" xfId="29467"/>
    <cellStyle name="Normal 18 4 2 2 2 3" xfId="44510"/>
    <cellStyle name="Normal 18 4 2 2 3" xfId="21946"/>
    <cellStyle name="Normal 18 4 2 2 4" xfId="36989"/>
    <cellStyle name="Normal 18 4 2 3" xfId="10674"/>
    <cellStyle name="Normal 18 4 2 3 2" xfId="25718"/>
    <cellStyle name="Normal 18 4 2 3 3" xfId="40761"/>
    <cellStyle name="Normal 18 4 2 4" xfId="18197"/>
    <cellStyle name="Normal 18 4 2 5" xfId="33240"/>
    <cellStyle name="Normal 18 4 3" xfId="5035"/>
    <cellStyle name="Normal 18 4 3 2" xfId="12558"/>
    <cellStyle name="Normal 18 4 3 2 2" xfId="27602"/>
    <cellStyle name="Normal 18 4 3 2 3" xfId="42645"/>
    <cellStyle name="Normal 18 4 3 3" xfId="20081"/>
    <cellStyle name="Normal 18 4 3 4" xfId="35124"/>
    <cellStyle name="Normal 18 4 4" xfId="8809"/>
    <cellStyle name="Normal 18 4 4 2" xfId="23853"/>
    <cellStyle name="Normal 18 4 4 3" xfId="38896"/>
    <cellStyle name="Normal 18 4 5" xfId="16332"/>
    <cellStyle name="Normal 18 4 6" xfId="31375"/>
    <cellStyle name="Normal 18 5" xfId="2172"/>
    <cellStyle name="Normal 18 5 2" xfId="5968"/>
    <cellStyle name="Normal 18 5 2 2" xfId="13491"/>
    <cellStyle name="Normal 18 5 2 2 2" xfId="28535"/>
    <cellStyle name="Normal 18 5 2 2 3" xfId="43578"/>
    <cellStyle name="Normal 18 5 2 3" xfId="21014"/>
    <cellStyle name="Normal 18 5 2 4" xfId="36057"/>
    <cellStyle name="Normal 18 5 3" xfId="9742"/>
    <cellStyle name="Normal 18 5 3 2" xfId="24786"/>
    <cellStyle name="Normal 18 5 3 3" xfId="39829"/>
    <cellStyle name="Normal 18 5 4" xfId="17265"/>
    <cellStyle name="Normal 18 5 5" xfId="32308"/>
    <cellStyle name="Normal 18 6" xfId="4100"/>
    <cellStyle name="Normal 18 6 2" xfId="11624"/>
    <cellStyle name="Normal 18 6 2 2" xfId="26668"/>
    <cellStyle name="Normal 18 6 2 3" xfId="41711"/>
    <cellStyle name="Normal 18 6 3" xfId="19147"/>
    <cellStyle name="Normal 18 6 4" xfId="34190"/>
    <cellStyle name="Normal 18 7" xfId="7863"/>
    <cellStyle name="Normal 18 7 2" xfId="22907"/>
    <cellStyle name="Normal 18 7 3" xfId="37950"/>
    <cellStyle name="Normal 18 8" xfId="15386"/>
    <cellStyle name="Normal 18 9" xfId="30429"/>
    <cellStyle name="Normal 19" xfId="201"/>
    <cellStyle name="Normal 19 2" xfId="202"/>
    <cellStyle name="Normal 19 2 2" xfId="730"/>
    <cellStyle name="Normal 19 2 2 2" xfId="1689"/>
    <cellStyle name="Normal 19 2 2 2 2" xfId="3560"/>
    <cellStyle name="Normal 19 2 2 2 2 2" xfId="7355"/>
    <cellStyle name="Normal 19 2 2 2 2 2 2" xfId="14878"/>
    <cellStyle name="Normal 19 2 2 2 2 2 2 2" xfId="29922"/>
    <cellStyle name="Normal 19 2 2 2 2 2 2 3" xfId="44965"/>
    <cellStyle name="Normal 19 2 2 2 2 2 3" xfId="22401"/>
    <cellStyle name="Normal 19 2 2 2 2 2 4" xfId="37444"/>
    <cellStyle name="Normal 19 2 2 2 2 3" xfId="11129"/>
    <cellStyle name="Normal 19 2 2 2 2 3 2" xfId="26173"/>
    <cellStyle name="Normal 19 2 2 2 2 3 3" xfId="41216"/>
    <cellStyle name="Normal 19 2 2 2 2 4" xfId="18652"/>
    <cellStyle name="Normal 19 2 2 2 2 5" xfId="33695"/>
    <cellStyle name="Normal 19 2 2 2 3" xfId="5490"/>
    <cellStyle name="Normal 19 2 2 2 3 2" xfId="13013"/>
    <cellStyle name="Normal 19 2 2 2 3 2 2" xfId="28057"/>
    <cellStyle name="Normal 19 2 2 2 3 2 3" xfId="43100"/>
    <cellStyle name="Normal 19 2 2 2 3 3" xfId="20536"/>
    <cellStyle name="Normal 19 2 2 2 3 4" xfId="35579"/>
    <cellStyle name="Normal 19 2 2 2 4" xfId="9264"/>
    <cellStyle name="Normal 19 2 2 2 4 2" xfId="24308"/>
    <cellStyle name="Normal 19 2 2 2 4 3" xfId="39351"/>
    <cellStyle name="Normal 19 2 2 2 5" xfId="16787"/>
    <cellStyle name="Normal 19 2 2 2 6" xfId="31830"/>
    <cellStyle name="Normal 19 2 2 3" xfId="2628"/>
    <cellStyle name="Normal 19 2 2 3 2" xfId="6423"/>
    <cellStyle name="Normal 19 2 2 3 2 2" xfId="13946"/>
    <cellStyle name="Normal 19 2 2 3 2 2 2" xfId="28990"/>
    <cellStyle name="Normal 19 2 2 3 2 2 3" xfId="44033"/>
    <cellStyle name="Normal 19 2 2 3 2 3" xfId="21469"/>
    <cellStyle name="Normal 19 2 2 3 2 4" xfId="36512"/>
    <cellStyle name="Normal 19 2 2 3 3" xfId="10197"/>
    <cellStyle name="Normal 19 2 2 3 3 2" xfId="25241"/>
    <cellStyle name="Normal 19 2 2 3 3 3" xfId="40284"/>
    <cellStyle name="Normal 19 2 2 3 4" xfId="17720"/>
    <cellStyle name="Normal 19 2 2 3 5" xfId="32763"/>
    <cellStyle name="Normal 19 2 2 4" xfId="4558"/>
    <cellStyle name="Normal 19 2 2 4 2" xfId="12081"/>
    <cellStyle name="Normal 19 2 2 4 2 2" xfId="27125"/>
    <cellStyle name="Normal 19 2 2 4 2 3" xfId="42168"/>
    <cellStyle name="Normal 19 2 2 4 3" xfId="19604"/>
    <cellStyle name="Normal 19 2 2 4 4" xfId="34647"/>
    <cellStyle name="Normal 19 2 2 5" xfId="8332"/>
    <cellStyle name="Normal 19 2 2 5 2" xfId="23376"/>
    <cellStyle name="Normal 19 2 2 5 3" xfId="38419"/>
    <cellStyle name="Normal 19 2 2 6" xfId="15855"/>
    <cellStyle name="Normal 19 2 2 7" xfId="30898"/>
    <cellStyle name="Normal 19 2 3" xfId="1237"/>
    <cellStyle name="Normal 19 2 3 2" xfId="3108"/>
    <cellStyle name="Normal 19 2 3 2 2" xfId="6903"/>
    <cellStyle name="Normal 19 2 3 2 2 2" xfId="14426"/>
    <cellStyle name="Normal 19 2 3 2 2 2 2" xfId="29470"/>
    <cellStyle name="Normal 19 2 3 2 2 2 3" xfId="44513"/>
    <cellStyle name="Normal 19 2 3 2 2 3" xfId="21949"/>
    <cellStyle name="Normal 19 2 3 2 2 4" xfId="36992"/>
    <cellStyle name="Normal 19 2 3 2 3" xfId="10677"/>
    <cellStyle name="Normal 19 2 3 2 3 2" xfId="25721"/>
    <cellStyle name="Normal 19 2 3 2 3 3" xfId="40764"/>
    <cellStyle name="Normal 19 2 3 2 4" xfId="18200"/>
    <cellStyle name="Normal 19 2 3 2 5" xfId="33243"/>
    <cellStyle name="Normal 19 2 3 3" xfId="5038"/>
    <cellStyle name="Normal 19 2 3 3 2" xfId="12561"/>
    <cellStyle name="Normal 19 2 3 3 2 2" xfId="27605"/>
    <cellStyle name="Normal 19 2 3 3 2 3" xfId="42648"/>
    <cellStyle name="Normal 19 2 3 3 3" xfId="20084"/>
    <cellStyle name="Normal 19 2 3 3 4" xfId="35127"/>
    <cellStyle name="Normal 19 2 3 4" xfId="8812"/>
    <cellStyle name="Normal 19 2 3 4 2" xfId="23856"/>
    <cellStyle name="Normal 19 2 3 4 3" xfId="38899"/>
    <cellStyle name="Normal 19 2 3 5" xfId="16335"/>
    <cellStyle name="Normal 19 2 3 6" xfId="31378"/>
    <cellStyle name="Normal 19 2 4" xfId="2175"/>
    <cellStyle name="Normal 19 2 4 2" xfId="5971"/>
    <cellStyle name="Normal 19 2 4 2 2" xfId="13494"/>
    <cellStyle name="Normal 19 2 4 2 2 2" xfId="28538"/>
    <cellStyle name="Normal 19 2 4 2 2 3" xfId="43581"/>
    <cellStyle name="Normal 19 2 4 2 3" xfId="21017"/>
    <cellStyle name="Normal 19 2 4 2 4" xfId="36060"/>
    <cellStyle name="Normal 19 2 4 3" xfId="9745"/>
    <cellStyle name="Normal 19 2 4 3 2" xfId="24789"/>
    <cellStyle name="Normal 19 2 4 3 3" xfId="39832"/>
    <cellStyle name="Normal 19 2 4 4" xfId="17268"/>
    <cellStyle name="Normal 19 2 4 5" xfId="32311"/>
    <cellStyle name="Normal 19 2 5" xfId="4103"/>
    <cellStyle name="Normal 19 2 5 2" xfId="11627"/>
    <cellStyle name="Normal 19 2 5 2 2" xfId="26671"/>
    <cellStyle name="Normal 19 2 5 2 3" xfId="41714"/>
    <cellStyle name="Normal 19 2 5 3" xfId="19150"/>
    <cellStyle name="Normal 19 2 5 4" xfId="34193"/>
    <cellStyle name="Normal 19 2 6" xfId="7866"/>
    <cellStyle name="Normal 19 2 6 2" xfId="22910"/>
    <cellStyle name="Normal 19 2 6 3" xfId="37953"/>
    <cellStyle name="Normal 19 2 7" xfId="15389"/>
    <cellStyle name="Normal 19 2 8" xfId="30432"/>
    <cellStyle name="Normal 19 3" xfId="729"/>
    <cellStyle name="Normal 19 3 2" xfId="1688"/>
    <cellStyle name="Normal 19 3 2 2" xfId="3559"/>
    <cellStyle name="Normal 19 3 2 2 2" xfId="7354"/>
    <cellStyle name="Normal 19 3 2 2 2 2" xfId="14877"/>
    <cellStyle name="Normal 19 3 2 2 2 2 2" xfId="29921"/>
    <cellStyle name="Normal 19 3 2 2 2 2 3" xfId="44964"/>
    <cellStyle name="Normal 19 3 2 2 2 3" xfId="22400"/>
    <cellStyle name="Normal 19 3 2 2 2 4" xfId="37443"/>
    <cellStyle name="Normal 19 3 2 2 3" xfId="11128"/>
    <cellStyle name="Normal 19 3 2 2 3 2" xfId="26172"/>
    <cellStyle name="Normal 19 3 2 2 3 3" xfId="41215"/>
    <cellStyle name="Normal 19 3 2 2 4" xfId="18651"/>
    <cellStyle name="Normal 19 3 2 2 5" xfId="33694"/>
    <cellStyle name="Normal 19 3 2 3" xfId="5489"/>
    <cellStyle name="Normal 19 3 2 3 2" xfId="13012"/>
    <cellStyle name="Normal 19 3 2 3 2 2" xfId="28056"/>
    <cellStyle name="Normal 19 3 2 3 2 3" xfId="43099"/>
    <cellStyle name="Normal 19 3 2 3 3" xfId="20535"/>
    <cellStyle name="Normal 19 3 2 3 4" xfId="35578"/>
    <cellStyle name="Normal 19 3 2 4" xfId="9263"/>
    <cellStyle name="Normal 19 3 2 4 2" xfId="24307"/>
    <cellStyle name="Normal 19 3 2 4 3" xfId="39350"/>
    <cellStyle name="Normal 19 3 2 5" xfId="16786"/>
    <cellStyle name="Normal 19 3 2 6" xfId="31829"/>
    <cellStyle name="Normal 19 3 3" xfId="2627"/>
    <cellStyle name="Normal 19 3 3 2" xfId="6422"/>
    <cellStyle name="Normal 19 3 3 2 2" xfId="13945"/>
    <cellStyle name="Normal 19 3 3 2 2 2" xfId="28989"/>
    <cellStyle name="Normal 19 3 3 2 2 3" xfId="44032"/>
    <cellStyle name="Normal 19 3 3 2 3" xfId="21468"/>
    <cellStyle name="Normal 19 3 3 2 4" xfId="36511"/>
    <cellStyle name="Normal 19 3 3 3" xfId="10196"/>
    <cellStyle name="Normal 19 3 3 3 2" xfId="25240"/>
    <cellStyle name="Normal 19 3 3 3 3" xfId="40283"/>
    <cellStyle name="Normal 19 3 3 4" xfId="17719"/>
    <cellStyle name="Normal 19 3 3 5" xfId="32762"/>
    <cellStyle name="Normal 19 3 4" xfId="4557"/>
    <cellStyle name="Normal 19 3 4 2" xfId="12080"/>
    <cellStyle name="Normal 19 3 4 2 2" xfId="27124"/>
    <cellStyle name="Normal 19 3 4 2 3" xfId="42167"/>
    <cellStyle name="Normal 19 3 4 3" xfId="19603"/>
    <cellStyle name="Normal 19 3 4 4" xfId="34646"/>
    <cellStyle name="Normal 19 3 5" xfId="8331"/>
    <cellStyle name="Normal 19 3 5 2" xfId="23375"/>
    <cellStyle name="Normal 19 3 5 3" xfId="38418"/>
    <cellStyle name="Normal 19 3 6" xfId="15854"/>
    <cellStyle name="Normal 19 3 7" xfId="30897"/>
    <cellStyle name="Normal 19 4" xfId="1236"/>
    <cellStyle name="Normal 19 4 2" xfId="3107"/>
    <cellStyle name="Normal 19 4 2 2" xfId="6902"/>
    <cellStyle name="Normal 19 4 2 2 2" xfId="14425"/>
    <cellStyle name="Normal 19 4 2 2 2 2" xfId="29469"/>
    <cellStyle name="Normal 19 4 2 2 2 3" xfId="44512"/>
    <cellStyle name="Normal 19 4 2 2 3" xfId="21948"/>
    <cellStyle name="Normal 19 4 2 2 4" xfId="36991"/>
    <cellStyle name="Normal 19 4 2 3" xfId="10676"/>
    <cellStyle name="Normal 19 4 2 3 2" xfId="25720"/>
    <cellStyle name="Normal 19 4 2 3 3" xfId="40763"/>
    <cellStyle name="Normal 19 4 2 4" xfId="18199"/>
    <cellStyle name="Normal 19 4 2 5" xfId="33242"/>
    <cellStyle name="Normal 19 4 3" xfId="5037"/>
    <cellStyle name="Normal 19 4 3 2" xfId="12560"/>
    <cellStyle name="Normal 19 4 3 2 2" xfId="27604"/>
    <cellStyle name="Normal 19 4 3 2 3" xfId="42647"/>
    <cellStyle name="Normal 19 4 3 3" xfId="20083"/>
    <cellStyle name="Normal 19 4 3 4" xfId="35126"/>
    <cellStyle name="Normal 19 4 4" xfId="8811"/>
    <cellStyle name="Normal 19 4 4 2" xfId="23855"/>
    <cellStyle name="Normal 19 4 4 3" xfId="38898"/>
    <cellStyle name="Normal 19 4 5" xfId="16334"/>
    <cellStyle name="Normal 19 4 6" xfId="31377"/>
    <cellStyle name="Normal 19 5" xfId="2174"/>
    <cellStyle name="Normal 19 5 2" xfId="5970"/>
    <cellStyle name="Normal 19 5 2 2" xfId="13493"/>
    <cellStyle name="Normal 19 5 2 2 2" xfId="28537"/>
    <cellStyle name="Normal 19 5 2 2 3" xfId="43580"/>
    <cellStyle name="Normal 19 5 2 3" xfId="21016"/>
    <cellStyle name="Normal 19 5 2 4" xfId="36059"/>
    <cellStyle name="Normal 19 5 3" xfId="9744"/>
    <cellStyle name="Normal 19 5 3 2" xfId="24788"/>
    <cellStyle name="Normal 19 5 3 3" xfId="39831"/>
    <cellStyle name="Normal 19 5 4" xfId="17267"/>
    <cellStyle name="Normal 19 5 5" xfId="32310"/>
    <cellStyle name="Normal 19 6" xfId="4102"/>
    <cellStyle name="Normal 19 6 2" xfId="11626"/>
    <cellStyle name="Normal 19 6 2 2" xfId="26670"/>
    <cellStyle name="Normal 19 6 2 3" xfId="41713"/>
    <cellStyle name="Normal 19 6 3" xfId="19149"/>
    <cellStyle name="Normal 19 6 4" xfId="34192"/>
    <cellStyle name="Normal 19 7" xfId="7865"/>
    <cellStyle name="Normal 19 7 2" xfId="22909"/>
    <cellStyle name="Normal 19 7 3" xfId="37952"/>
    <cellStyle name="Normal 19 8" xfId="15388"/>
    <cellStyle name="Normal 19 9" xfId="30431"/>
    <cellStyle name="Normal 2" xfId="3"/>
    <cellStyle name="Normal 2 10" xfId="2094"/>
    <cellStyle name="Normal 2 10 10" xfId="45441"/>
    <cellStyle name="Normal 2 10 11" xfId="45451"/>
    <cellStyle name="Normal 2 10 12" xfId="45463"/>
    <cellStyle name="Normal 2 10 13" xfId="45477"/>
    <cellStyle name="Normal 2 10 2" xfId="5890"/>
    <cellStyle name="Normal 2 10 2 2" xfId="13413"/>
    <cellStyle name="Normal 2 10 2 2 2" xfId="28457"/>
    <cellStyle name="Normal 2 10 2 2 3" xfId="43500"/>
    <cellStyle name="Normal 2 10 2 3" xfId="20936"/>
    <cellStyle name="Normal 2 10 2 4" xfId="35979"/>
    <cellStyle name="Normal 2 10 3" xfId="9664"/>
    <cellStyle name="Normal 2 10 3 2" xfId="24708"/>
    <cellStyle name="Normal 2 10 3 3" xfId="39751"/>
    <cellStyle name="Normal 2 10 4" xfId="17187"/>
    <cellStyle name="Normal 2 10 5" xfId="32230"/>
    <cellStyle name="Normal 2 10 6" xfId="45399"/>
    <cellStyle name="Normal 2 10 7" xfId="45410"/>
    <cellStyle name="Normal 2 10 8" xfId="45421"/>
    <cellStyle name="Normal 2 10 9" xfId="45431"/>
    <cellStyle name="Normal 2 11" xfId="4020"/>
    <cellStyle name="Normal 2 11 10" xfId="45450"/>
    <cellStyle name="Normal 2 11 11" xfId="45462"/>
    <cellStyle name="Normal 2 11 12" xfId="45476"/>
    <cellStyle name="Normal 2 11 13" xfId="45494"/>
    <cellStyle name="Normal 2 11 14" xfId="45496"/>
    <cellStyle name="Normal 2 11 15" xfId="45498"/>
    <cellStyle name="Normal 2 11 16" xfId="45500"/>
    <cellStyle name="Normal 2 11 2" xfId="11544"/>
    <cellStyle name="Normal 2 11 2 2" xfId="26588"/>
    <cellStyle name="Normal 2 11 2 3" xfId="41631"/>
    <cellStyle name="Normal 2 11 3" xfId="19067"/>
    <cellStyle name="Normal 2 11 4" xfId="34110"/>
    <cellStyle name="Normal 2 11 5" xfId="45396"/>
    <cellStyle name="Normal 2 11 6" xfId="45409"/>
    <cellStyle name="Normal 2 11 7" xfId="45420"/>
    <cellStyle name="Normal 2 11 8" xfId="45430"/>
    <cellStyle name="Normal 2 11 9" xfId="45440"/>
    <cellStyle name="Normal 2 12" xfId="7774"/>
    <cellStyle name="Normal 2 13" xfId="7783"/>
    <cellStyle name="Normal 2 13 2" xfId="22827"/>
    <cellStyle name="Normal 2 13 3" xfId="37870"/>
    <cellStyle name="Normal 2 14" xfId="15306"/>
    <cellStyle name="Normal 2 15" xfId="30349"/>
    <cellStyle name="Normal 2 2" xfId="4"/>
    <cellStyle name="Normal 2 2 10" xfId="7784"/>
    <cellStyle name="Normal 2 2 10 2" xfId="22828"/>
    <cellStyle name="Normal 2 2 10 3" xfId="37871"/>
    <cellStyle name="Normal 2 2 11" xfId="15307"/>
    <cellStyle name="Normal 2 2 12" xfId="30350"/>
    <cellStyle name="Normal 2 2 13" xfId="45394"/>
    <cellStyle name="Normal 2 2 14" xfId="45407"/>
    <cellStyle name="Normal 2 2 15" xfId="45418"/>
    <cellStyle name="Normal 2 2 16" xfId="45428"/>
    <cellStyle name="Normal 2 2 17" xfId="45438"/>
    <cellStyle name="Normal 2 2 18" xfId="45448"/>
    <cellStyle name="Normal 2 2 19" xfId="45460"/>
    <cellStyle name="Normal 2 2 2" xfId="8"/>
    <cellStyle name="Normal 2 2 2 10" xfId="15311"/>
    <cellStyle name="Normal 2 2 2 11" xfId="30354"/>
    <cellStyle name="Normal 2 2 2 12" xfId="45416"/>
    <cellStyle name="Normal 2 2 2 2" xfId="24"/>
    <cellStyle name="Normal 2 2 2 2 10" xfId="30363"/>
    <cellStyle name="Normal 2 2 2 2 2" xfId="43"/>
    <cellStyle name="Normal 2 2 2 2 2 2" xfId="680"/>
    <cellStyle name="Normal 2 2 2 2 2 2 2" xfId="1639"/>
    <cellStyle name="Normal 2 2 2 2 2 2 2 2" xfId="3510"/>
    <cellStyle name="Normal 2 2 2 2 2 2 2 2 2" xfId="7305"/>
    <cellStyle name="Normal 2 2 2 2 2 2 2 2 2 2" xfId="14828"/>
    <cellStyle name="Normal 2 2 2 2 2 2 2 2 2 2 2" xfId="29872"/>
    <cellStyle name="Normal 2 2 2 2 2 2 2 2 2 2 3" xfId="44915"/>
    <cellStyle name="Normal 2 2 2 2 2 2 2 2 2 3" xfId="22351"/>
    <cellStyle name="Normal 2 2 2 2 2 2 2 2 2 4" xfId="37394"/>
    <cellStyle name="Normal 2 2 2 2 2 2 2 2 3" xfId="11079"/>
    <cellStyle name="Normal 2 2 2 2 2 2 2 2 3 2" xfId="26123"/>
    <cellStyle name="Normal 2 2 2 2 2 2 2 2 3 3" xfId="41166"/>
    <cellStyle name="Normal 2 2 2 2 2 2 2 2 4" xfId="18602"/>
    <cellStyle name="Normal 2 2 2 2 2 2 2 2 5" xfId="33645"/>
    <cellStyle name="Normal 2 2 2 2 2 2 2 3" xfId="5440"/>
    <cellStyle name="Normal 2 2 2 2 2 2 2 3 2" xfId="12963"/>
    <cellStyle name="Normal 2 2 2 2 2 2 2 3 2 2" xfId="28007"/>
    <cellStyle name="Normal 2 2 2 2 2 2 2 3 2 3" xfId="43050"/>
    <cellStyle name="Normal 2 2 2 2 2 2 2 3 3" xfId="20486"/>
    <cellStyle name="Normal 2 2 2 2 2 2 2 3 4" xfId="35529"/>
    <cellStyle name="Normal 2 2 2 2 2 2 2 4" xfId="9214"/>
    <cellStyle name="Normal 2 2 2 2 2 2 2 4 2" xfId="24258"/>
    <cellStyle name="Normal 2 2 2 2 2 2 2 4 3" xfId="39301"/>
    <cellStyle name="Normal 2 2 2 2 2 2 2 5" xfId="16737"/>
    <cellStyle name="Normal 2 2 2 2 2 2 2 6" xfId="31780"/>
    <cellStyle name="Normal 2 2 2 2 2 2 3" xfId="2578"/>
    <cellStyle name="Normal 2 2 2 2 2 2 3 2" xfId="6373"/>
    <cellStyle name="Normal 2 2 2 2 2 2 3 2 2" xfId="13896"/>
    <cellStyle name="Normal 2 2 2 2 2 2 3 2 2 2" xfId="28940"/>
    <cellStyle name="Normal 2 2 2 2 2 2 3 2 2 3" xfId="43983"/>
    <cellStyle name="Normal 2 2 2 2 2 2 3 2 3" xfId="21419"/>
    <cellStyle name="Normal 2 2 2 2 2 2 3 2 4" xfId="36462"/>
    <cellStyle name="Normal 2 2 2 2 2 2 3 3" xfId="10147"/>
    <cellStyle name="Normal 2 2 2 2 2 2 3 3 2" xfId="25191"/>
    <cellStyle name="Normal 2 2 2 2 2 2 3 3 3" xfId="40234"/>
    <cellStyle name="Normal 2 2 2 2 2 2 3 4" xfId="17670"/>
    <cellStyle name="Normal 2 2 2 2 2 2 3 5" xfId="32713"/>
    <cellStyle name="Normal 2 2 2 2 2 2 4" xfId="4508"/>
    <cellStyle name="Normal 2 2 2 2 2 2 4 2" xfId="12031"/>
    <cellStyle name="Normal 2 2 2 2 2 2 4 2 2" xfId="27075"/>
    <cellStyle name="Normal 2 2 2 2 2 2 4 2 3" xfId="42118"/>
    <cellStyle name="Normal 2 2 2 2 2 2 4 3" xfId="19554"/>
    <cellStyle name="Normal 2 2 2 2 2 2 4 4" xfId="34597"/>
    <cellStyle name="Normal 2 2 2 2 2 2 5" xfId="8282"/>
    <cellStyle name="Normal 2 2 2 2 2 2 5 2" xfId="23326"/>
    <cellStyle name="Normal 2 2 2 2 2 2 5 3" xfId="38369"/>
    <cellStyle name="Normal 2 2 2 2 2 2 6" xfId="15805"/>
    <cellStyle name="Normal 2 2 2 2 2 2 7" xfId="30848"/>
    <cellStyle name="Normal 2 2 2 2 2 3" xfId="1187"/>
    <cellStyle name="Normal 2 2 2 2 2 3 2" xfId="3058"/>
    <cellStyle name="Normal 2 2 2 2 2 3 2 2" xfId="6853"/>
    <cellStyle name="Normal 2 2 2 2 2 3 2 2 2" xfId="14376"/>
    <cellStyle name="Normal 2 2 2 2 2 3 2 2 2 2" xfId="29420"/>
    <cellStyle name="Normal 2 2 2 2 2 3 2 2 2 3" xfId="44463"/>
    <cellStyle name="Normal 2 2 2 2 2 3 2 2 3" xfId="21899"/>
    <cellStyle name="Normal 2 2 2 2 2 3 2 2 4" xfId="36942"/>
    <cellStyle name="Normal 2 2 2 2 2 3 2 3" xfId="10627"/>
    <cellStyle name="Normal 2 2 2 2 2 3 2 3 2" xfId="25671"/>
    <cellStyle name="Normal 2 2 2 2 2 3 2 3 3" xfId="40714"/>
    <cellStyle name="Normal 2 2 2 2 2 3 2 4" xfId="18150"/>
    <cellStyle name="Normal 2 2 2 2 2 3 2 5" xfId="33193"/>
    <cellStyle name="Normal 2 2 2 2 2 3 3" xfId="4988"/>
    <cellStyle name="Normal 2 2 2 2 2 3 3 2" xfId="12511"/>
    <cellStyle name="Normal 2 2 2 2 2 3 3 2 2" xfId="27555"/>
    <cellStyle name="Normal 2 2 2 2 2 3 3 2 3" xfId="42598"/>
    <cellStyle name="Normal 2 2 2 2 2 3 3 3" xfId="20034"/>
    <cellStyle name="Normal 2 2 2 2 2 3 3 4" xfId="35077"/>
    <cellStyle name="Normal 2 2 2 2 2 3 4" xfId="8762"/>
    <cellStyle name="Normal 2 2 2 2 2 3 4 2" xfId="23806"/>
    <cellStyle name="Normal 2 2 2 2 2 3 4 3" xfId="38849"/>
    <cellStyle name="Normal 2 2 2 2 2 3 5" xfId="16285"/>
    <cellStyle name="Normal 2 2 2 2 2 3 6" xfId="31328"/>
    <cellStyle name="Normal 2 2 2 2 2 4" xfId="2125"/>
    <cellStyle name="Normal 2 2 2 2 2 4 2" xfId="5921"/>
    <cellStyle name="Normal 2 2 2 2 2 4 2 2" xfId="13444"/>
    <cellStyle name="Normal 2 2 2 2 2 4 2 2 2" xfId="28488"/>
    <cellStyle name="Normal 2 2 2 2 2 4 2 2 3" xfId="43531"/>
    <cellStyle name="Normal 2 2 2 2 2 4 2 3" xfId="20967"/>
    <cellStyle name="Normal 2 2 2 2 2 4 2 4" xfId="36010"/>
    <cellStyle name="Normal 2 2 2 2 2 4 3" xfId="9695"/>
    <cellStyle name="Normal 2 2 2 2 2 4 3 2" xfId="24739"/>
    <cellStyle name="Normal 2 2 2 2 2 4 3 3" xfId="39782"/>
    <cellStyle name="Normal 2 2 2 2 2 4 4" xfId="17218"/>
    <cellStyle name="Normal 2 2 2 2 2 4 5" xfId="32261"/>
    <cellStyle name="Normal 2 2 2 2 2 5" xfId="4051"/>
    <cellStyle name="Normal 2 2 2 2 2 5 2" xfId="11575"/>
    <cellStyle name="Normal 2 2 2 2 2 5 2 2" xfId="26619"/>
    <cellStyle name="Normal 2 2 2 2 2 5 2 3" xfId="41662"/>
    <cellStyle name="Normal 2 2 2 2 2 5 3" xfId="19098"/>
    <cellStyle name="Normal 2 2 2 2 2 5 4" xfId="34141"/>
    <cellStyle name="Normal 2 2 2 2 2 6" xfId="7814"/>
    <cellStyle name="Normal 2 2 2 2 2 6 2" xfId="22858"/>
    <cellStyle name="Normal 2 2 2 2 2 6 3" xfId="37901"/>
    <cellStyle name="Normal 2 2 2 2 2 7" xfId="15337"/>
    <cellStyle name="Normal 2 2 2 2 2 8" xfId="30380"/>
    <cellStyle name="Normal 2 2 2 2 3" xfId="599"/>
    <cellStyle name="Normal 2 2 2 2 3 2" xfId="1097"/>
    <cellStyle name="Normal 2 2 2 2 3 2 2" xfId="2056"/>
    <cellStyle name="Normal 2 2 2 2 3 2 2 2" xfId="3927"/>
    <cellStyle name="Normal 2 2 2 2 3 2 2 2 2" xfId="7722"/>
    <cellStyle name="Normal 2 2 2 2 3 2 2 2 2 2" xfId="15245"/>
    <cellStyle name="Normal 2 2 2 2 3 2 2 2 2 2 2" xfId="30289"/>
    <cellStyle name="Normal 2 2 2 2 3 2 2 2 2 2 3" xfId="45332"/>
    <cellStyle name="Normal 2 2 2 2 3 2 2 2 2 3" xfId="22768"/>
    <cellStyle name="Normal 2 2 2 2 3 2 2 2 2 4" xfId="37811"/>
    <cellStyle name="Normal 2 2 2 2 3 2 2 2 3" xfId="11496"/>
    <cellStyle name="Normal 2 2 2 2 3 2 2 2 3 2" xfId="26540"/>
    <cellStyle name="Normal 2 2 2 2 3 2 2 2 3 3" xfId="41583"/>
    <cellStyle name="Normal 2 2 2 2 3 2 2 2 4" xfId="19019"/>
    <cellStyle name="Normal 2 2 2 2 3 2 2 2 5" xfId="34062"/>
    <cellStyle name="Normal 2 2 2 2 3 2 2 3" xfId="5857"/>
    <cellStyle name="Normal 2 2 2 2 3 2 2 3 2" xfId="13380"/>
    <cellStyle name="Normal 2 2 2 2 3 2 2 3 2 2" xfId="28424"/>
    <cellStyle name="Normal 2 2 2 2 3 2 2 3 2 3" xfId="43467"/>
    <cellStyle name="Normal 2 2 2 2 3 2 2 3 3" xfId="20903"/>
    <cellStyle name="Normal 2 2 2 2 3 2 2 3 4" xfId="35946"/>
    <cellStyle name="Normal 2 2 2 2 3 2 2 4" xfId="9631"/>
    <cellStyle name="Normal 2 2 2 2 3 2 2 4 2" xfId="24675"/>
    <cellStyle name="Normal 2 2 2 2 3 2 2 4 3" xfId="39718"/>
    <cellStyle name="Normal 2 2 2 2 3 2 2 5" xfId="17154"/>
    <cellStyle name="Normal 2 2 2 2 3 2 2 6" xfId="32197"/>
    <cellStyle name="Normal 2 2 2 2 3 2 3" xfId="2995"/>
    <cellStyle name="Normal 2 2 2 2 3 2 3 2" xfId="6790"/>
    <cellStyle name="Normal 2 2 2 2 3 2 3 2 2" xfId="14313"/>
    <cellStyle name="Normal 2 2 2 2 3 2 3 2 2 2" xfId="29357"/>
    <cellStyle name="Normal 2 2 2 2 3 2 3 2 2 3" xfId="44400"/>
    <cellStyle name="Normal 2 2 2 2 3 2 3 2 3" xfId="21836"/>
    <cellStyle name="Normal 2 2 2 2 3 2 3 2 4" xfId="36879"/>
    <cellStyle name="Normal 2 2 2 2 3 2 3 3" xfId="10564"/>
    <cellStyle name="Normal 2 2 2 2 3 2 3 3 2" xfId="25608"/>
    <cellStyle name="Normal 2 2 2 2 3 2 3 3 3" xfId="40651"/>
    <cellStyle name="Normal 2 2 2 2 3 2 3 4" xfId="18087"/>
    <cellStyle name="Normal 2 2 2 2 3 2 3 5" xfId="33130"/>
    <cellStyle name="Normal 2 2 2 2 3 2 4" xfId="4925"/>
    <cellStyle name="Normal 2 2 2 2 3 2 4 2" xfId="12448"/>
    <cellStyle name="Normal 2 2 2 2 3 2 4 2 2" xfId="27492"/>
    <cellStyle name="Normal 2 2 2 2 3 2 4 2 3" xfId="42535"/>
    <cellStyle name="Normal 2 2 2 2 3 2 4 3" xfId="19971"/>
    <cellStyle name="Normal 2 2 2 2 3 2 4 4" xfId="35014"/>
    <cellStyle name="Normal 2 2 2 2 3 2 5" xfId="8699"/>
    <cellStyle name="Normal 2 2 2 2 3 2 5 2" xfId="23743"/>
    <cellStyle name="Normal 2 2 2 2 3 2 5 3" xfId="38786"/>
    <cellStyle name="Normal 2 2 2 2 3 2 6" xfId="16222"/>
    <cellStyle name="Normal 2 2 2 2 3 2 7" xfId="31265"/>
    <cellStyle name="Normal 2 2 2 2 3 3" xfId="1604"/>
    <cellStyle name="Normal 2 2 2 2 3 3 2" xfId="3475"/>
    <cellStyle name="Normal 2 2 2 2 3 3 2 2" xfId="7270"/>
    <cellStyle name="Normal 2 2 2 2 3 3 2 2 2" xfId="14793"/>
    <cellStyle name="Normal 2 2 2 2 3 3 2 2 2 2" xfId="29837"/>
    <cellStyle name="Normal 2 2 2 2 3 3 2 2 2 3" xfId="44880"/>
    <cellStyle name="Normal 2 2 2 2 3 3 2 2 3" xfId="22316"/>
    <cellStyle name="Normal 2 2 2 2 3 3 2 2 4" xfId="37359"/>
    <cellStyle name="Normal 2 2 2 2 3 3 2 3" xfId="11044"/>
    <cellStyle name="Normal 2 2 2 2 3 3 2 3 2" xfId="26088"/>
    <cellStyle name="Normal 2 2 2 2 3 3 2 3 3" xfId="41131"/>
    <cellStyle name="Normal 2 2 2 2 3 3 2 4" xfId="18567"/>
    <cellStyle name="Normal 2 2 2 2 3 3 2 5" xfId="33610"/>
    <cellStyle name="Normal 2 2 2 2 3 3 3" xfId="5405"/>
    <cellStyle name="Normal 2 2 2 2 3 3 3 2" xfId="12928"/>
    <cellStyle name="Normal 2 2 2 2 3 3 3 2 2" xfId="27972"/>
    <cellStyle name="Normal 2 2 2 2 3 3 3 2 3" xfId="43015"/>
    <cellStyle name="Normal 2 2 2 2 3 3 3 3" xfId="20451"/>
    <cellStyle name="Normal 2 2 2 2 3 3 3 4" xfId="35494"/>
    <cellStyle name="Normal 2 2 2 2 3 3 4" xfId="9179"/>
    <cellStyle name="Normal 2 2 2 2 3 3 4 2" xfId="24223"/>
    <cellStyle name="Normal 2 2 2 2 3 3 4 3" xfId="39266"/>
    <cellStyle name="Normal 2 2 2 2 3 3 5" xfId="16702"/>
    <cellStyle name="Normal 2 2 2 2 3 3 6" xfId="31745"/>
    <cellStyle name="Normal 2 2 2 2 3 4" xfId="2542"/>
    <cellStyle name="Normal 2 2 2 2 3 4 2" xfId="6338"/>
    <cellStyle name="Normal 2 2 2 2 3 4 2 2" xfId="13861"/>
    <cellStyle name="Normal 2 2 2 2 3 4 2 2 2" xfId="28905"/>
    <cellStyle name="Normal 2 2 2 2 3 4 2 2 3" xfId="43948"/>
    <cellStyle name="Normal 2 2 2 2 3 4 2 3" xfId="21384"/>
    <cellStyle name="Normal 2 2 2 2 3 4 2 4" xfId="36427"/>
    <cellStyle name="Normal 2 2 2 2 3 4 3" xfId="10112"/>
    <cellStyle name="Normal 2 2 2 2 3 4 3 2" xfId="25156"/>
    <cellStyle name="Normal 2 2 2 2 3 4 3 3" xfId="40199"/>
    <cellStyle name="Normal 2 2 2 2 3 4 4" xfId="17635"/>
    <cellStyle name="Normal 2 2 2 2 3 4 5" xfId="32678"/>
    <cellStyle name="Normal 2 2 2 2 3 5" xfId="4470"/>
    <cellStyle name="Normal 2 2 2 2 3 5 2" xfId="11994"/>
    <cellStyle name="Normal 2 2 2 2 3 5 2 2" xfId="27038"/>
    <cellStyle name="Normal 2 2 2 2 3 5 2 3" xfId="42081"/>
    <cellStyle name="Normal 2 2 2 2 3 5 3" xfId="19517"/>
    <cellStyle name="Normal 2 2 2 2 3 5 4" xfId="34560"/>
    <cellStyle name="Normal 2 2 2 2 3 6" xfId="8233"/>
    <cellStyle name="Normal 2 2 2 2 3 6 2" xfId="23277"/>
    <cellStyle name="Normal 2 2 2 2 3 6 3" xfId="38320"/>
    <cellStyle name="Normal 2 2 2 2 3 7" xfId="15756"/>
    <cellStyle name="Normal 2 2 2 2 3 8" xfId="30799"/>
    <cellStyle name="Normal 2 2 2 2 4" xfId="663"/>
    <cellStyle name="Normal 2 2 2 2 4 2" xfId="1622"/>
    <cellStyle name="Normal 2 2 2 2 4 2 2" xfId="3493"/>
    <cellStyle name="Normal 2 2 2 2 4 2 2 2" xfId="7288"/>
    <cellStyle name="Normal 2 2 2 2 4 2 2 2 2" xfId="14811"/>
    <cellStyle name="Normal 2 2 2 2 4 2 2 2 2 2" xfId="29855"/>
    <cellStyle name="Normal 2 2 2 2 4 2 2 2 2 3" xfId="44898"/>
    <cellStyle name="Normal 2 2 2 2 4 2 2 2 3" xfId="22334"/>
    <cellStyle name="Normal 2 2 2 2 4 2 2 2 4" xfId="37377"/>
    <cellStyle name="Normal 2 2 2 2 4 2 2 3" xfId="11062"/>
    <cellStyle name="Normal 2 2 2 2 4 2 2 3 2" xfId="26106"/>
    <cellStyle name="Normal 2 2 2 2 4 2 2 3 3" xfId="41149"/>
    <cellStyle name="Normal 2 2 2 2 4 2 2 4" xfId="18585"/>
    <cellStyle name="Normal 2 2 2 2 4 2 2 5" xfId="33628"/>
    <cellStyle name="Normal 2 2 2 2 4 2 3" xfId="5423"/>
    <cellStyle name="Normal 2 2 2 2 4 2 3 2" xfId="12946"/>
    <cellStyle name="Normal 2 2 2 2 4 2 3 2 2" xfId="27990"/>
    <cellStyle name="Normal 2 2 2 2 4 2 3 2 3" xfId="43033"/>
    <cellStyle name="Normal 2 2 2 2 4 2 3 3" xfId="20469"/>
    <cellStyle name="Normal 2 2 2 2 4 2 3 4" xfId="35512"/>
    <cellStyle name="Normal 2 2 2 2 4 2 4" xfId="9197"/>
    <cellStyle name="Normal 2 2 2 2 4 2 4 2" xfId="24241"/>
    <cellStyle name="Normal 2 2 2 2 4 2 4 3" xfId="39284"/>
    <cellStyle name="Normal 2 2 2 2 4 2 5" xfId="16720"/>
    <cellStyle name="Normal 2 2 2 2 4 2 6" xfId="31763"/>
    <cellStyle name="Normal 2 2 2 2 4 3" xfId="2561"/>
    <cellStyle name="Normal 2 2 2 2 4 3 2" xfId="6356"/>
    <cellStyle name="Normal 2 2 2 2 4 3 2 2" xfId="13879"/>
    <cellStyle name="Normal 2 2 2 2 4 3 2 2 2" xfId="28923"/>
    <cellStyle name="Normal 2 2 2 2 4 3 2 2 3" xfId="43966"/>
    <cellStyle name="Normal 2 2 2 2 4 3 2 3" xfId="21402"/>
    <cellStyle name="Normal 2 2 2 2 4 3 2 4" xfId="36445"/>
    <cellStyle name="Normal 2 2 2 2 4 3 3" xfId="10130"/>
    <cellStyle name="Normal 2 2 2 2 4 3 3 2" xfId="25174"/>
    <cellStyle name="Normal 2 2 2 2 4 3 3 3" xfId="40217"/>
    <cellStyle name="Normal 2 2 2 2 4 3 4" xfId="17653"/>
    <cellStyle name="Normal 2 2 2 2 4 3 5" xfId="32696"/>
    <cellStyle name="Normal 2 2 2 2 4 4" xfId="4491"/>
    <cellStyle name="Normal 2 2 2 2 4 4 2" xfId="12014"/>
    <cellStyle name="Normal 2 2 2 2 4 4 2 2" xfId="27058"/>
    <cellStyle name="Normal 2 2 2 2 4 4 2 3" xfId="42101"/>
    <cellStyle name="Normal 2 2 2 2 4 4 3" xfId="19537"/>
    <cellStyle name="Normal 2 2 2 2 4 4 4" xfId="34580"/>
    <cellStyle name="Normal 2 2 2 2 4 5" xfId="8265"/>
    <cellStyle name="Normal 2 2 2 2 4 5 2" xfId="23309"/>
    <cellStyle name="Normal 2 2 2 2 4 5 3" xfId="38352"/>
    <cellStyle name="Normal 2 2 2 2 4 6" xfId="15788"/>
    <cellStyle name="Normal 2 2 2 2 4 7" xfId="30831"/>
    <cellStyle name="Normal 2 2 2 2 5" xfId="1170"/>
    <cellStyle name="Normal 2 2 2 2 5 2" xfId="3041"/>
    <cellStyle name="Normal 2 2 2 2 5 2 2" xfId="6836"/>
    <cellStyle name="Normal 2 2 2 2 5 2 2 2" xfId="14359"/>
    <cellStyle name="Normal 2 2 2 2 5 2 2 2 2" xfId="29403"/>
    <cellStyle name="Normal 2 2 2 2 5 2 2 2 3" xfId="44446"/>
    <cellStyle name="Normal 2 2 2 2 5 2 2 3" xfId="21882"/>
    <cellStyle name="Normal 2 2 2 2 5 2 2 4" xfId="36925"/>
    <cellStyle name="Normal 2 2 2 2 5 2 3" xfId="10610"/>
    <cellStyle name="Normal 2 2 2 2 5 2 3 2" xfId="25654"/>
    <cellStyle name="Normal 2 2 2 2 5 2 3 3" xfId="40697"/>
    <cellStyle name="Normal 2 2 2 2 5 2 4" xfId="18133"/>
    <cellStyle name="Normal 2 2 2 2 5 2 5" xfId="33176"/>
    <cellStyle name="Normal 2 2 2 2 5 3" xfId="4971"/>
    <cellStyle name="Normal 2 2 2 2 5 3 2" xfId="12494"/>
    <cellStyle name="Normal 2 2 2 2 5 3 2 2" xfId="27538"/>
    <cellStyle name="Normal 2 2 2 2 5 3 2 3" xfId="42581"/>
    <cellStyle name="Normal 2 2 2 2 5 3 3" xfId="20017"/>
    <cellStyle name="Normal 2 2 2 2 5 3 4" xfId="35060"/>
    <cellStyle name="Normal 2 2 2 2 5 4" xfId="8745"/>
    <cellStyle name="Normal 2 2 2 2 5 4 2" xfId="23789"/>
    <cellStyle name="Normal 2 2 2 2 5 4 3" xfId="38832"/>
    <cellStyle name="Normal 2 2 2 2 5 5" xfId="16268"/>
    <cellStyle name="Normal 2 2 2 2 5 6" xfId="31311"/>
    <cellStyle name="Normal 2 2 2 2 6" xfId="2108"/>
    <cellStyle name="Normal 2 2 2 2 6 2" xfId="5904"/>
    <cellStyle name="Normal 2 2 2 2 6 2 2" xfId="13427"/>
    <cellStyle name="Normal 2 2 2 2 6 2 2 2" xfId="28471"/>
    <cellStyle name="Normal 2 2 2 2 6 2 2 3" xfId="43514"/>
    <cellStyle name="Normal 2 2 2 2 6 2 3" xfId="20950"/>
    <cellStyle name="Normal 2 2 2 2 6 2 4" xfId="35993"/>
    <cellStyle name="Normal 2 2 2 2 6 3" xfId="9678"/>
    <cellStyle name="Normal 2 2 2 2 6 3 2" xfId="24722"/>
    <cellStyle name="Normal 2 2 2 2 6 3 3" xfId="39765"/>
    <cellStyle name="Normal 2 2 2 2 6 4" xfId="17201"/>
    <cellStyle name="Normal 2 2 2 2 6 5" xfId="32244"/>
    <cellStyle name="Normal 2 2 2 2 7" xfId="4034"/>
    <cellStyle name="Normal 2 2 2 2 7 2" xfId="11558"/>
    <cellStyle name="Normal 2 2 2 2 7 2 2" xfId="26602"/>
    <cellStyle name="Normal 2 2 2 2 7 2 3" xfId="41645"/>
    <cellStyle name="Normal 2 2 2 2 7 3" xfId="19081"/>
    <cellStyle name="Normal 2 2 2 2 7 4" xfId="34124"/>
    <cellStyle name="Normal 2 2 2 2 8" xfId="7797"/>
    <cellStyle name="Normal 2 2 2 2 8 2" xfId="22841"/>
    <cellStyle name="Normal 2 2 2 2 8 3" xfId="37884"/>
    <cellStyle name="Normal 2 2 2 2 9" xfId="15320"/>
    <cellStyle name="Normal 2 2 2 3" xfId="34"/>
    <cellStyle name="Normal 2 2 2 3 2" xfId="671"/>
    <cellStyle name="Normal 2 2 2 3 2 2" xfId="1630"/>
    <cellStyle name="Normal 2 2 2 3 2 2 2" xfId="3501"/>
    <cellStyle name="Normal 2 2 2 3 2 2 2 2" xfId="7296"/>
    <cellStyle name="Normal 2 2 2 3 2 2 2 2 2" xfId="14819"/>
    <cellStyle name="Normal 2 2 2 3 2 2 2 2 2 2" xfId="29863"/>
    <cellStyle name="Normal 2 2 2 3 2 2 2 2 2 3" xfId="44906"/>
    <cellStyle name="Normal 2 2 2 3 2 2 2 2 3" xfId="22342"/>
    <cellStyle name="Normal 2 2 2 3 2 2 2 2 4" xfId="37385"/>
    <cellStyle name="Normal 2 2 2 3 2 2 2 3" xfId="11070"/>
    <cellStyle name="Normal 2 2 2 3 2 2 2 3 2" xfId="26114"/>
    <cellStyle name="Normal 2 2 2 3 2 2 2 3 3" xfId="41157"/>
    <cellStyle name="Normal 2 2 2 3 2 2 2 4" xfId="18593"/>
    <cellStyle name="Normal 2 2 2 3 2 2 2 5" xfId="33636"/>
    <cellStyle name="Normal 2 2 2 3 2 2 3" xfId="5431"/>
    <cellStyle name="Normal 2 2 2 3 2 2 3 2" xfId="12954"/>
    <cellStyle name="Normal 2 2 2 3 2 2 3 2 2" xfId="27998"/>
    <cellStyle name="Normal 2 2 2 3 2 2 3 2 3" xfId="43041"/>
    <cellStyle name="Normal 2 2 2 3 2 2 3 3" xfId="20477"/>
    <cellStyle name="Normal 2 2 2 3 2 2 3 4" xfId="35520"/>
    <cellStyle name="Normal 2 2 2 3 2 2 4" xfId="9205"/>
    <cellStyle name="Normal 2 2 2 3 2 2 4 2" xfId="24249"/>
    <cellStyle name="Normal 2 2 2 3 2 2 4 3" xfId="39292"/>
    <cellStyle name="Normal 2 2 2 3 2 2 5" xfId="16728"/>
    <cellStyle name="Normal 2 2 2 3 2 2 6" xfId="31771"/>
    <cellStyle name="Normal 2 2 2 3 2 3" xfId="2569"/>
    <cellStyle name="Normal 2 2 2 3 2 3 2" xfId="6364"/>
    <cellStyle name="Normal 2 2 2 3 2 3 2 2" xfId="13887"/>
    <cellStyle name="Normal 2 2 2 3 2 3 2 2 2" xfId="28931"/>
    <cellStyle name="Normal 2 2 2 3 2 3 2 2 3" xfId="43974"/>
    <cellStyle name="Normal 2 2 2 3 2 3 2 3" xfId="21410"/>
    <cellStyle name="Normal 2 2 2 3 2 3 2 4" xfId="36453"/>
    <cellStyle name="Normal 2 2 2 3 2 3 3" xfId="10138"/>
    <cellStyle name="Normal 2 2 2 3 2 3 3 2" xfId="25182"/>
    <cellStyle name="Normal 2 2 2 3 2 3 3 3" xfId="40225"/>
    <cellStyle name="Normal 2 2 2 3 2 3 4" xfId="17661"/>
    <cellStyle name="Normal 2 2 2 3 2 3 5" xfId="32704"/>
    <cellStyle name="Normal 2 2 2 3 2 4" xfId="4499"/>
    <cellStyle name="Normal 2 2 2 3 2 4 2" xfId="12022"/>
    <cellStyle name="Normal 2 2 2 3 2 4 2 2" xfId="27066"/>
    <cellStyle name="Normal 2 2 2 3 2 4 2 3" xfId="42109"/>
    <cellStyle name="Normal 2 2 2 3 2 4 3" xfId="19545"/>
    <cellStyle name="Normal 2 2 2 3 2 4 4" xfId="34588"/>
    <cellStyle name="Normal 2 2 2 3 2 5" xfId="8273"/>
    <cellStyle name="Normal 2 2 2 3 2 5 2" xfId="23317"/>
    <cellStyle name="Normal 2 2 2 3 2 5 3" xfId="38360"/>
    <cellStyle name="Normal 2 2 2 3 2 6" xfId="15796"/>
    <cellStyle name="Normal 2 2 2 3 2 7" xfId="30839"/>
    <cellStyle name="Normal 2 2 2 3 3" xfId="1178"/>
    <cellStyle name="Normal 2 2 2 3 3 2" xfId="3049"/>
    <cellStyle name="Normal 2 2 2 3 3 2 2" xfId="6844"/>
    <cellStyle name="Normal 2 2 2 3 3 2 2 2" xfId="14367"/>
    <cellStyle name="Normal 2 2 2 3 3 2 2 2 2" xfId="29411"/>
    <cellStyle name="Normal 2 2 2 3 3 2 2 2 3" xfId="44454"/>
    <cellStyle name="Normal 2 2 2 3 3 2 2 3" xfId="21890"/>
    <cellStyle name="Normal 2 2 2 3 3 2 2 4" xfId="36933"/>
    <cellStyle name="Normal 2 2 2 3 3 2 3" xfId="10618"/>
    <cellStyle name="Normal 2 2 2 3 3 2 3 2" xfId="25662"/>
    <cellStyle name="Normal 2 2 2 3 3 2 3 3" xfId="40705"/>
    <cellStyle name="Normal 2 2 2 3 3 2 4" xfId="18141"/>
    <cellStyle name="Normal 2 2 2 3 3 2 5" xfId="33184"/>
    <cellStyle name="Normal 2 2 2 3 3 3" xfId="4979"/>
    <cellStyle name="Normal 2 2 2 3 3 3 2" xfId="12502"/>
    <cellStyle name="Normal 2 2 2 3 3 3 2 2" xfId="27546"/>
    <cellStyle name="Normal 2 2 2 3 3 3 2 3" xfId="42589"/>
    <cellStyle name="Normal 2 2 2 3 3 3 3" xfId="20025"/>
    <cellStyle name="Normal 2 2 2 3 3 3 4" xfId="35068"/>
    <cellStyle name="Normal 2 2 2 3 3 4" xfId="8753"/>
    <cellStyle name="Normal 2 2 2 3 3 4 2" xfId="23797"/>
    <cellStyle name="Normal 2 2 2 3 3 4 3" xfId="38840"/>
    <cellStyle name="Normal 2 2 2 3 3 5" xfId="16276"/>
    <cellStyle name="Normal 2 2 2 3 3 6" xfId="31319"/>
    <cellStyle name="Normal 2 2 2 3 4" xfId="2116"/>
    <cellStyle name="Normal 2 2 2 3 4 2" xfId="5912"/>
    <cellStyle name="Normal 2 2 2 3 4 2 2" xfId="13435"/>
    <cellStyle name="Normal 2 2 2 3 4 2 2 2" xfId="28479"/>
    <cellStyle name="Normal 2 2 2 3 4 2 2 3" xfId="43522"/>
    <cellStyle name="Normal 2 2 2 3 4 2 3" xfId="20958"/>
    <cellStyle name="Normal 2 2 2 3 4 2 4" xfId="36001"/>
    <cellStyle name="Normal 2 2 2 3 4 3" xfId="9686"/>
    <cellStyle name="Normal 2 2 2 3 4 3 2" xfId="24730"/>
    <cellStyle name="Normal 2 2 2 3 4 3 3" xfId="39773"/>
    <cellStyle name="Normal 2 2 2 3 4 4" xfId="17209"/>
    <cellStyle name="Normal 2 2 2 3 4 5" xfId="32252"/>
    <cellStyle name="Normal 2 2 2 3 5" xfId="4042"/>
    <cellStyle name="Normal 2 2 2 3 5 2" xfId="11566"/>
    <cellStyle name="Normal 2 2 2 3 5 2 2" xfId="26610"/>
    <cellStyle name="Normal 2 2 2 3 5 2 3" xfId="41653"/>
    <cellStyle name="Normal 2 2 2 3 5 3" xfId="19089"/>
    <cellStyle name="Normal 2 2 2 3 5 4" xfId="34132"/>
    <cellStyle name="Normal 2 2 2 3 6" xfId="7805"/>
    <cellStyle name="Normal 2 2 2 3 6 2" xfId="22849"/>
    <cellStyle name="Normal 2 2 2 3 6 3" xfId="37892"/>
    <cellStyle name="Normal 2 2 2 3 7" xfId="15328"/>
    <cellStyle name="Normal 2 2 2 3 8" xfId="30371"/>
    <cellStyle name="Normal 2 2 2 4" xfId="593"/>
    <cellStyle name="Normal 2 2 2 4 2" xfId="1091"/>
    <cellStyle name="Normal 2 2 2 4 2 2" xfId="2050"/>
    <cellStyle name="Normal 2 2 2 4 2 2 2" xfId="3921"/>
    <cellStyle name="Normal 2 2 2 4 2 2 2 2" xfId="7716"/>
    <cellStyle name="Normal 2 2 2 4 2 2 2 2 2" xfId="15239"/>
    <cellStyle name="Normal 2 2 2 4 2 2 2 2 2 2" xfId="30283"/>
    <cellStyle name="Normal 2 2 2 4 2 2 2 2 2 3" xfId="45326"/>
    <cellStyle name="Normal 2 2 2 4 2 2 2 2 3" xfId="22762"/>
    <cellStyle name="Normal 2 2 2 4 2 2 2 2 4" xfId="37805"/>
    <cellStyle name="Normal 2 2 2 4 2 2 2 3" xfId="11490"/>
    <cellStyle name="Normal 2 2 2 4 2 2 2 3 2" xfId="26534"/>
    <cellStyle name="Normal 2 2 2 4 2 2 2 3 3" xfId="41577"/>
    <cellStyle name="Normal 2 2 2 4 2 2 2 4" xfId="19013"/>
    <cellStyle name="Normal 2 2 2 4 2 2 2 5" xfId="34056"/>
    <cellStyle name="Normal 2 2 2 4 2 2 3" xfId="5851"/>
    <cellStyle name="Normal 2 2 2 4 2 2 3 2" xfId="13374"/>
    <cellStyle name="Normal 2 2 2 4 2 2 3 2 2" xfId="28418"/>
    <cellStyle name="Normal 2 2 2 4 2 2 3 2 3" xfId="43461"/>
    <cellStyle name="Normal 2 2 2 4 2 2 3 3" xfId="20897"/>
    <cellStyle name="Normal 2 2 2 4 2 2 3 4" xfId="35940"/>
    <cellStyle name="Normal 2 2 2 4 2 2 4" xfId="9625"/>
    <cellStyle name="Normal 2 2 2 4 2 2 4 2" xfId="24669"/>
    <cellStyle name="Normal 2 2 2 4 2 2 4 3" xfId="39712"/>
    <cellStyle name="Normal 2 2 2 4 2 2 5" xfId="17148"/>
    <cellStyle name="Normal 2 2 2 4 2 2 6" xfId="32191"/>
    <cellStyle name="Normal 2 2 2 4 2 3" xfId="2989"/>
    <cellStyle name="Normal 2 2 2 4 2 3 2" xfId="6784"/>
    <cellStyle name="Normal 2 2 2 4 2 3 2 2" xfId="14307"/>
    <cellStyle name="Normal 2 2 2 4 2 3 2 2 2" xfId="29351"/>
    <cellStyle name="Normal 2 2 2 4 2 3 2 2 3" xfId="44394"/>
    <cellStyle name="Normal 2 2 2 4 2 3 2 3" xfId="21830"/>
    <cellStyle name="Normal 2 2 2 4 2 3 2 4" xfId="36873"/>
    <cellStyle name="Normal 2 2 2 4 2 3 3" xfId="10558"/>
    <cellStyle name="Normal 2 2 2 4 2 3 3 2" xfId="25602"/>
    <cellStyle name="Normal 2 2 2 4 2 3 3 3" xfId="40645"/>
    <cellStyle name="Normal 2 2 2 4 2 3 4" xfId="18081"/>
    <cellStyle name="Normal 2 2 2 4 2 3 5" xfId="33124"/>
    <cellStyle name="Normal 2 2 2 4 2 4" xfId="4919"/>
    <cellStyle name="Normal 2 2 2 4 2 4 2" xfId="12442"/>
    <cellStyle name="Normal 2 2 2 4 2 4 2 2" xfId="27486"/>
    <cellStyle name="Normal 2 2 2 4 2 4 2 3" xfId="42529"/>
    <cellStyle name="Normal 2 2 2 4 2 4 3" xfId="19965"/>
    <cellStyle name="Normal 2 2 2 4 2 4 4" xfId="35008"/>
    <cellStyle name="Normal 2 2 2 4 2 5" xfId="8693"/>
    <cellStyle name="Normal 2 2 2 4 2 5 2" xfId="23737"/>
    <cellStyle name="Normal 2 2 2 4 2 5 3" xfId="38780"/>
    <cellStyle name="Normal 2 2 2 4 2 6" xfId="16216"/>
    <cellStyle name="Normal 2 2 2 4 2 7" xfId="31259"/>
    <cellStyle name="Normal 2 2 2 4 3" xfId="1598"/>
    <cellStyle name="Normal 2 2 2 4 3 2" xfId="3469"/>
    <cellStyle name="Normal 2 2 2 4 3 2 2" xfId="7264"/>
    <cellStyle name="Normal 2 2 2 4 3 2 2 2" xfId="14787"/>
    <cellStyle name="Normal 2 2 2 4 3 2 2 2 2" xfId="29831"/>
    <cellStyle name="Normal 2 2 2 4 3 2 2 2 3" xfId="44874"/>
    <cellStyle name="Normal 2 2 2 4 3 2 2 3" xfId="22310"/>
    <cellStyle name="Normal 2 2 2 4 3 2 2 4" xfId="37353"/>
    <cellStyle name="Normal 2 2 2 4 3 2 3" xfId="11038"/>
    <cellStyle name="Normal 2 2 2 4 3 2 3 2" xfId="26082"/>
    <cellStyle name="Normal 2 2 2 4 3 2 3 3" xfId="41125"/>
    <cellStyle name="Normal 2 2 2 4 3 2 4" xfId="18561"/>
    <cellStyle name="Normal 2 2 2 4 3 2 5" xfId="33604"/>
    <cellStyle name="Normal 2 2 2 4 3 3" xfId="5399"/>
    <cellStyle name="Normal 2 2 2 4 3 3 2" xfId="12922"/>
    <cellStyle name="Normal 2 2 2 4 3 3 2 2" xfId="27966"/>
    <cellStyle name="Normal 2 2 2 4 3 3 2 3" xfId="43009"/>
    <cellStyle name="Normal 2 2 2 4 3 3 3" xfId="20445"/>
    <cellStyle name="Normal 2 2 2 4 3 3 4" xfId="35488"/>
    <cellStyle name="Normal 2 2 2 4 3 4" xfId="9173"/>
    <cellStyle name="Normal 2 2 2 4 3 4 2" xfId="24217"/>
    <cellStyle name="Normal 2 2 2 4 3 4 3" xfId="39260"/>
    <cellStyle name="Normal 2 2 2 4 3 5" xfId="16696"/>
    <cellStyle name="Normal 2 2 2 4 3 6" xfId="31739"/>
    <cellStyle name="Normal 2 2 2 4 4" xfId="2536"/>
    <cellStyle name="Normal 2 2 2 4 4 2" xfId="6332"/>
    <cellStyle name="Normal 2 2 2 4 4 2 2" xfId="13855"/>
    <cellStyle name="Normal 2 2 2 4 4 2 2 2" xfId="28899"/>
    <cellStyle name="Normal 2 2 2 4 4 2 2 3" xfId="43942"/>
    <cellStyle name="Normal 2 2 2 4 4 2 3" xfId="21378"/>
    <cellStyle name="Normal 2 2 2 4 4 2 4" xfId="36421"/>
    <cellStyle name="Normal 2 2 2 4 4 3" xfId="10106"/>
    <cellStyle name="Normal 2 2 2 4 4 3 2" xfId="25150"/>
    <cellStyle name="Normal 2 2 2 4 4 3 3" xfId="40193"/>
    <cellStyle name="Normal 2 2 2 4 4 4" xfId="17629"/>
    <cellStyle name="Normal 2 2 2 4 4 5" xfId="32672"/>
    <cellStyle name="Normal 2 2 2 4 5" xfId="4464"/>
    <cellStyle name="Normal 2 2 2 4 5 2" xfId="11988"/>
    <cellStyle name="Normal 2 2 2 4 5 2 2" xfId="27032"/>
    <cellStyle name="Normal 2 2 2 4 5 2 3" xfId="42075"/>
    <cellStyle name="Normal 2 2 2 4 5 3" xfId="19511"/>
    <cellStyle name="Normal 2 2 2 4 5 4" xfId="34554"/>
    <cellStyle name="Normal 2 2 2 4 6" xfId="8227"/>
    <cellStyle name="Normal 2 2 2 4 6 2" xfId="23271"/>
    <cellStyle name="Normal 2 2 2 4 6 3" xfId="38314"/>
    <cellStyle name="Normal 2 2 2 4 7" xfId="15750"/>
    <cellStyle name="Normal 2 2 2 4 8" xfId="30793"/>
    <cellStyle name="Normal 2 2 2 5" xfId="653"/>
    <cellStyle name="Normal 2 2 2 5 2" xfId="1613"/>
    <cellStyle name="Normal 2 2 2 5 2 2" xfId="3484"/>
    <cellStyle name="Normal 2 2 2 5 2 2 2" xfId="7279"/>
    <cellStyle name="Normal 2 2 2 5 2 2 2 2" xfId="14802"/>
    <cellStyle name="Normal 2 2 2 5 2 2 2 2 2" xfId="29846"/>
    <cellStyle name="Normal 2 2 2 5 2 2 2 2 3" xfId="44889"/>
    <cellStyle name="Normal 2 2 2 5 2 2 2 3" xfId="22325"/>
    <cellStyle name="Normal 2 2 2 5 2 2 2 4" xfId="37368"/>
    <cellStyle name="Normal 2 2 2 5 2 2 3" xfId="11053"/>
    <cellStyle name="Normal 2 2 2 5 2 2 3 2" xfId="26097"/>
    <cellStyle name="Normal 2 2 2 5 2 2 3 3" xfId="41140"/>
    <cellStyle name="Normal 2 2 2 5 2 2 4" xfId="18576"/>
    <cellStyle name="Normal 2 2 2 5 2 2 5" xfId="33619"/>
    <cellStyle name="Normal 2 2 2 5 2 3" xfId="5414"/>
    <cellStyle name="Normal 2 2 2 5 2 3 2" xfId="12937"/>
    <cellStyle name="Normal 2 2 2 5 2 3 2 2" xfId="27981"/>
    <cellStyle name="Normal 2 2 2 5 2 3 2 3" xfId="43024"/>
    <cellStyle name="Normal 2 2 2 5 2 3 3" xfId="20460"/>
    <cellStyle name="Normal 2 2 2 5 2 3 4" xfId="35503"/>
    <cellStyle name="Normal 2 2 2 5 2 4" xfId="9188"/>
    <cellStyle name="Normal 2 2 2 5 2 4 2" xfId="24232"/>
    <cellStyle name="Normal 2 2 2 5 2 4 3" xfId="39275"/>
    <cellStyle name="Normal 2 2 2 5 2 5" xfId="16711"/>
    <cellStyle name="Normal 2 2 2 5 2 6" xfId="31754"/>
    <cellStyle name="Normal 2 2 2 5 3" xfId="2552"/>
    <cellStyle name="Normal 2 2 2 5 3 2" xfId="6347"/>
    <cellStyle name="Normal 2 2 2 5 3 2 2" xfId="13870"/>
    <cellStyle name="Normal 2 2 2 5 3 2 2 2" xfId="28914"/>
    <cellStyle name="Normal 2 2 2 5 3 2 2 3" xfId="43957"/>
    <cellStyle name="Normal 2 2 2 5 3 2 3" xfId="21393"/>
    <cellStyle name="Normal 2 2 2 5 3 2 4" xfId="36436"/>
    <cellStyle name="Normal 2 2 2 5 3 3" xfId="10121"/>
    <cellStyle name="Normal 2 2 2 5 3 3 2" xfId="25165"/>
    <cellStyle name="Normal 2 2 2 5 3 3 3" xfId="40208"/>
    <cellStyle name="Normal 2 2 2 5 3 4" xfId="17644"/>
    <cellStyle name="Normal 2 2 2 5 3 5" xfId="32687"/>
    <cellStyle name="Normal 2 2 2 5 4" xfId="4482"/>
    <cellStyle name="Normal 2 2 2 5 4 2" xfId="12005"/>
    <cellStyle name="Normal 2 2 2 5 4 2 2" xfId="27049"/>
    <cellStyle name="Normal 2 2 2 5 4 2 3" xfId="42092"/>
    <cellStyle name="Normal 2 2 2 5 4 3" xfId="19528"/>
    <cellStyle name="Normal 2 2 2 5 4 4" xfId="34571"/>
    <cellStyle name="Normal 2 2 2 5 5" xfId="8256"/>
    <cellStyle name="Normal 2 2 2 5 5 2" xfId="23300"/>
    <cellStyle name="Normal 2 2 2 5 5 3" xfId="38343"/>
    <cellStyle name="Normal 2 2 2 5 6" xfId="15779"/>
    <cellStyle name="Normal 2 2 2 5 7" xfId="30822"/>
    <cellStyle name="Normal 2 2 2 6" xfId="1161"/>
    <cellStyle name="Normal 2 2 2 6 2" xfId="3032"/>
    <cellStyle name="Normal 2 2 2 6 2 2" xfId="6827"/>
    <cellStyle name="Normal 2 2 2 6 2 2 2" xfId="14350"/>
    <cellStyle name="Normal 2 2 2 6 2 2 2 2" xfId="29394"/>
    <cellStyle name="Normal 2 2 2 6 2 2 2 3" xfId="44437"/>
    <cellStyle name="Normal 2 2 2 6 2 2 3" xfId="21873"/>
    <cellStyle name="Normal 2 2 2 6 2 2 4" xfId="36916"/>
    <cellStyle name="Normal 2 2 2 6 2 3" xfId="10601"/>
    <cellStyle name="Normal 2 2 2 6 2 3 2" xfId="25645"/>
    <cellStyle name="Normal 2 2 2 6 2 3 3" xfId="40688"/>
    <cellStyle name="Normal 2 2 2 6 2 4" xfId="18124"/>
    <cellStyle name="Normal 2 2 2 6 2 5" xfId="33167"/>
    <cellStyle name="Normal 2 2 2 6 3" xfId="4962"/>
    <cellStyle name="Normal 2 2 2 6 3 2" xfId="12485"/>
    <cellStyle name="Normal 2 2 2 6 3 2 2" xfId="27529"/>
    <cellStyle name="Normal 2 2 2 6 3 2 3" xfId="42572"/>
    <cellStyle name="Normal 2 2 2 6 3 3" xfId="20008"/>
    <cellStyle name="Normal 2 2 2 6 3 4" xfId="35051"/>
    <cellStyle name="Normal 2 2 2 6 4" xfId="8736"/>
    <cellStyle name="Normal 2 2 2 6 4 2" xfId="23780"/>
    <cellStyle name="Normal 2 2 2 6 4 3" xfId="38823"/>
    <cellStyle name="Normal 2 2 2 6 5" xfId="16259"/>
    <cellStyle name="Normal 2 2 2 6 6" xfId="31302"/>
    <cellStyle name="Normal 2 2 2 7" xfId="2099"/>
    <cellStyle name="Normal 2 2 2 7 2" xfId="5895"/>
    <cellStyle name="Normal 2 2 2 7 2 2" xfId="13418"/>
    <cellStyle name="Normal 2 2 2 7 2 2 2" xfId="28462"/>
    <cellStyle name="Normal 2 2 2 7 2 2 3" xfId="43505"/>
    <cellStyle name="Normal 2 2 2 7 2 3" xfId="20941"/>
    <cellStyle name="Normal 2 2 2 7 2 4" xfId="35984"/>
    <cellStyle name="Normal 2 2 2 7 3" xfId="9669"/>
    <cellStyle name="Normal 2 2 2 7 3 2" xfId="24713"/>
    <cellStyle name="Normal 2 2 2 7 3 3" xfId="39756"/>
    <cellStyle name="Normal 2 2 2 7 4" xfId="17192"/>
    <cellStyle name="Normal 2 2 2 7 5" xfId="32235"/>
    <cellStyle name="Normal 2 2 2 8" xfId="4025"/>
    <cellStyle name="Normal 2 2 2 8 2" xfId="11549"/>
    <cellStyle name="Normal 2 2 2 8 2 2" xfId="26593"/>
    <cellStyle name="Normal 2 2 2 8 2 3" xfId="41636"/>
    <cellStyle name="Normal 2 2 2 8 3" xfId="19072"/>
    <cellStyle name="Normal 2 2 2 8 4" xfId="34115"/>
    <cellStyle name="Normal 2 2 2 9" xfId="7788"/>
    <cellStyle name="Normal 2 2 2 9 2" xfId="22832"/>
    <cellStyle name="Normal 2 2 2 9 3" xfId="37875"/>
    <cellStyle name="Normal 2 2 20" xfId="45474"/>
    <cellStyle name="Normal 2 2 3" xfId="20"/>
    <cellStyle name="Normal 2 2 3 10" xfId="30359"/>
    <cellStyle name="Normal 2 2 3 2" xfId="39"/>
    <cellStyle name="Normal 2 2 3 2 2" xfId="676"/>
    <cellStyle name="Normal 2 2 3 2 2 2" xfId="1635"/>
    <cellStyle name="Normal 2 2 3 2 2 2 2" xfId="3506"/>
    <cellStyle name="Normal 2 2 3 2 2 2 2 2" xfId="7301"/>
    <cellStyle name="Normal 2 2 3 2 2 2 2 2 2" xfId="14824"/>
    <cellStyle name="Normal 2 2 3 2 2 2 2 2 2 2" xfId="29868"/>
    <cellStyle name="Normal 2 2 3 2 2 2 2 2 2 3" xfId="44911"/>
    <cellStyle name="Normal 2 2 3 2 2 2 2 2 3" xfId="22347"/>
    <cellStyle name="Normal 2 2 3 2 2 2 2 2 4" xfId="37390"/>
    <cellStyle name="Normal 2 2 3 2 2 2 2 3" xfId="11075"/>
    <cellStyle name="Normal 2 2 3 2 2 2 2 3 2" xfId="26119"/>
    <cellStyle name="Normal 2 2 3 2 2 2 2 3 3" xfId="41162"/>
    <cellStyle name="Normal 2 2 3 2 2 2 2 4" xfId="18598"/>
    <cellStyle name="Normal 2 2 3 2 2 2 2 5" xfId="33641"/>
    <cellStyle name="Normal 2 2 3 2 2 2 3" xfId="5436"/>
    <cellStyle name="Normal 2 2 3 2 2 2 3 2" xfId="12959"/>
    <cellStyle name="Normal 2 2 3 2 2 2 3 2 2" xfId="28003"/>
    <cellStyle name="Normal 2 2 3 2 2 2 3 2 3" xfId="43046"/>
    <cellStyle name="Normal 2 2 3 2 2 2 3 3" xfId="20482"/>
    <cellStyle name="Normal 2 2 3 2 2 2 3 4" xfId="35525"/>
    <cellStyle name="Normal 2 2 3 2 2 2 4" xfId="9210"/>
    <cellStyle name="Normal 2 2 3 2 2 2 4 2" xfId="24254"/>
    <cellStyle name="Normal 2 2 3 2 2 2 4 3" xfId="39297"/>
    <cellStyle name="Normal 2 2 3 2 2 2 5" xfId="16733"/>
    <cellStyle name="Normal 2 2 3 2 2 2 6" xfId="31776"/>
    <cellStyle name="Normal 2 2 3 2 2 3" xfId="2574"/>
    <cellStyle name="Normal 2 2 3 2 2 3 2" xfId="6369"/>
    <cellStyle name="Normal 2 2 3 2 2 3 2 2" xfId="13892"/>
    <cellStyle name="Normal 2 2 3 2 2 3 2 2 2" xfId="28936"/>
    <cellStyle name="Normal 2 2 3 2 2 3 2 2 3" xfId="43979"/>
    <cellStyle name="Normal 2 2 3 2 2 3 2 3" xfId="21415"/>
    <cellStyle name="Normal 2 2 3 2 2 3 2 4" xfId="36458"/>
    <cellStyle name="Normal 2 2 3 2 2 3 3" xfId="10143"/>
    <cellStyle name="Normal 2 2 3 2 2 3 3 2" xfId="25187"/>
    <cellStyle name="Normal 2 2 3 2 2 3 3 3" xfId="40230"/>
    <cellStyle name="Normal 2 2 3 2 2 3 4" xfId="17666"/>
    <cellStyle name="Normal 2 2 3 2 2 3 5" xfId="32709"/>
    <cellStyle name="Normal 2 2 3 2 2 4" xfId="4504"/>
    <cellStyle name="Normal 2 2 3 2 2 4 2" xfId="12027"/>
    <cellStyle name="Normal 2 2 3 2 2 4 2 2" xfId="27071"/>
    <cellStyle name="Normal 2 2 3 2 2 4 2 3" xfId="42114"/>
    <cellStyle name="Normal 2 2 3 2 2 4 3" xfId="19550"/>
    <cellStyle name="Normal 2 2 3 2 2 4 4" xfId="34593"/>
    <cellStyle name="Normal 2 2 3 2 2 5" xfId="8278"/>
    <cellStyle name="Normal 2 2 3 2 2 5 2" xfId="23322"/>
    <cellStyle name="Normal 2 2 3 2 2 5 3" xfId="38365"/>
    <cellStyle name="Normal 2 2 3 2 2 6" xfId="15801"/>
    <cellStyle name="Normal 2 2 3 2 2 7" xfId="30844"/>
    <cellStyle name="Normal 2 2 3 2 3" xfId="1183"/>
    <cellStyle name="Normal 2 2 3 2 3 2" xfId="3054"/>
    <cellStyle name="Normal 2 2 3 2 3 2 2" xfId="6849"/>
    <cellStyle name="Normal 2 2 3 2 3 2 2 2" xfId="14372"/>
    <cellStyle name="Normal 2 2 3 2 3 2 2 2 2" xfId="29416"/>
    <cellStyle name="Normal 2 2 3 2 3 2 2 2 3" xfId="44459"/>
    <cellStyle name="Normal 2 2 3 2 3 2 2 3" xfId="21895"/>
    <cellStyle name="Normal 2 2 3 2 3 2 2 4" xfId="36938"/>
    <cellStyle name="Normal 2 2 3 2 3 2 3" xfId="10623"/>
    <cellStyle name="Normal 2 2 3 2 3 2 3 2" xfId="25667"/>
    <cellStyle name="Normal 2 2 3 2 3 2 3 3" xfId="40710"/>
    <cellStyle name="Normal 2 2 3 2 3 2 4" xfId="18146"/>
    <cellStyle name="Normal 2 2 3 2 3 2 5" xfId="33189"/>
    <cellStyle name="Normal 2 2 3 2 3 3" xfId="4984"/>
    <cellStyle name="Normal 2 2 3 2 3 3 2" xfId="12507"/>
    <cellStyle name="Normal 2 2 3 2 3 3 2 2" xfId="27551"/>
    <cellStyle name="Normal 2 2 3 2 3 3 2 3" xfId="42594"/>
    <cellStyle name="Normal 2 2 3 2 3 3 3" xfId="20030"/>
    <cellStyle name="Normal 2 2 3 2 3 3 4" xfId="35073"/>
    <cellStyle name="Normal 2 2 3 2 3 4" xfId="8758"/>
    <cellStyle name="Normal 2 2 3 2 3 4 2" xfId="23802"/>
    <cellStyle name="Normal 2 2 3 2 3 4 3" xfId="38845"/>
    <cellStyle name="Normal 2 2 3 2 3 5" xfId="16281"/>
    <cellStyle name="Normal 2 2 3 2 3 6" xfId="31324"/>
    <cellStyle name="Normal 2 2 3 2 4" xfId="2121"/>
    <cellStyle name="Normal 2 2 3 2 4 2" xfId="5917"/>
    <cellStyle name="Normal 2 2 3 2 4 2 2" xfId="13440"/>
    <cellStyle name="Normal 2 2 3 2 4 2 2 2" xfId="28484"/>
    <cellStyle name="Normal 2 2 3 2 4 2 2 3" xfId="43527"/>
    <cellStyle name="Normal 2 2 3 2 4 2 3" xfId="20963"/>
    <cellStyle name="Normal 2 2 3 2 4 2 4" xfId="36006"/>
    <cellStyle name="Normal 2 2 3 2 4 3" xfId="9691"/>
    <cellStyle name="Normal 2 2 3 2 4 3 2" xfId="24735"/>
    <cellStyle name="Normal 2 2 3 2 4 3 3" xfId="39778"/>
    <cellStyle name="Normal 2 2 3 2 4 4" xfId="17214"/>
    <cellStyle name="Normal 2 2 3 2 4 5" xfId="32257"/>
    <cellStyle name="Normal 2 2 3 2 5" xfId="4047"/>
    <cellStyle name="Normal 2 2 3 2 5 2" xfId="11571"/>
    <cellStyle name="Normal 2 2 3 2 5 2 2" xfId="26615"/>
    <cellStyle name="Normal 2 2 3 2 5 2 3" xfId="41658"/>
    <cellStyle name="Normal 2 2 3 2 5 3" xfId="19094"/>
    <cellStyle name="Normal 2 2 3 2 5 4" xfId="34137"/>
    <cellStyle name="Normal 2 2 3 2 6" xfId="7810"/>
    <cellStyle name="Normal 2 2 3 2 6 2" xfId="22854"/>
    <cellStyle name="Normal 2 2 3 2 6 3" xfId="37897"/>
    <cellStyle name="Normal 2 2 3 2 7" xfId="15333"/>
    <cellStyle name="Normal 2 2 3 2 8" xfId="30376"/>
    <cellStyle name="Normal 2 2 3 3" xfId="596"/>
    <cellStyle name="Normal 2 2 3 3 2" xfId="1094"/>
    <cellStyle name="Normal 2 2 3 3 2 2" xfId="2053"/>
    <cellStyle name="Normal 2 2 3 3 2 2 2" xfId="3924"/>
    <cellStyle name="Normal 2 2 3 3 2 2 2 2" xfId="7719"/>
    <cellStyle name="Normal 2 2 3 3 2 2 2 2 2" xfId="15242"/>
    <cellStyle name="Normal 2 2 3 3 2 2 2 2 2 2" xfId="30286"/>
    <cellStyle name="Normal 2 2 3 3 2 2 2 2 2 3" xfId="45329"/>
    <cellStyle name="Normal 2 2 3 3 2 2 2 2 3" xfId="22765"/>
    <cellStyle name="Normal 2 2 3 3 2 2 2 2 4" xfId="37808"/>
    <cellStyle name="Normal 2 2 3 3 2 2 2 3" xfId="11493"/>
    <cellStyle name="Normal 2 2 3 3 2 2 2 3 2" xfId="26537"/>
    <cellStyle name="Normal 2 2 3 3 2 2 2 3 3" xfId="41580"/>
    <cellStyle name="Normal 2 2 3 3 2 2 2 4" xfId="19016"/>
    <cellStyle name="Normal 2 2 3 3 2 2 2 5" xfId="34059"/>
    <cellStyle name="Normal 2 2 3 3 2 2 3" xfId="5854"/>
    <cellStyle name="Normal 2 2 3 3 2 2 3 2" xfId="13377"/>
    <cellStyle name="Normal 2 2 3 3 2 2 3 2 2" xfId="28421"/>
    <cellStyle name="Normal 2 2 3 3 2 2 3 2 3" xfId="43464"/>
    <cellStyle name="Normal 2 2 3 3 2 2 3 3" xfId="20900"/>
    <cellStyle name="Normal 2 2 3 3 2 2 3 4" xfId="35943"/>
    <cellStyle name="Normal 2 2 3 3 2 2 4" xfId="9628"/>
    <cellStyle name="Normal 2 2 3 3 2 2 4 2" xfId="24672"/>
    <cellStyle name="Normal 2 2 3 3 2 2 4 3" xfId="39715"/>
    <cellStyle name="Normal 2 2 3 3 2 2 5" xfId="17151"/>
    <cellStyle name="Normal 2 2 3 3 2 2 6" xfId="32194"/>
    <cellStyle name="Normal 2 2 3 3 2 3" xfId="2992"/>
    <cellStyle name="Normal 2 2 3 3 2 3 2" xfId="6787"/>
    <cellStyle name="Normal 2 2 3 3 2 3 2 2" xfId="14310"/>
    <cellStyle name="Normal 2 2 3 3 2 3 2 2 2" xfId="29354"/>
    <cellStyle name="Normal 2 2 3 3 2 3 2 2 3" xfId="44397"/>
    <cellStyle name="Normal 2 2 3 3 2 3 2 3" xfId="21833"/>
    <cellStyle name="Normal 2 2 3 3 2 3 2 4" xfId="36876"/>
    <cellStyle name="Normal 2 2 3 3 2 3 3" xfId="10561"/>
    <cellStyle name="Normal 2 2 3 3 2 3 3 2" xfId="25605"/>
    <cellStyle name="Normal 2 2 3 3 2 3 3 3" xfId="40648"/>
    <cellStyle name="Normal 2 2 3 3 2 3 4" xfId="18084"/>
    <cellStyle name="Normal 2 2 3 3 2 3 5" xfId="33127"/>
    <cellStyle name="Normal 2 2 3 3 2 4" xfId="4922"/>
    <cellStyle name="Normal 2 2 3 3 2 4 2" xfId="12445"/>
    <cellStyle name="Normal 2 2 3 3 2 4 2 2" xfId="27489"/>
    <cellStyle name="Normal 2 2 3 3 2 4 2 3" xfId="42532"/>
    <cellStyle name="Normal 2 2 3 3 2 4 3" xfId="19968"/>
    <cellStyle name="Normal 2 2 3 3 2 4 4" xfId="35011"/>
    <cellStyle name="Normal 2 2 3 3 2 5" xfId="8696"/>
    <cellStyle name="Normal 2 2 3 3 2 5 2" xfId="23740"/>
    <cellStyle name="Normal 2 2 3 3 2 5 3" xfId="38783"/>
    <cellStyle name="Normal 2 2 3 3 2 6" xfId="16219"/>
    <cellStyle name="Normal 2 2 3 3 2 7" xfId="31262"/>
    <cellStyle name="Normal 2 2 3 3 3" xfId="1601"/>
    <cellStyle name="Normal 2 2 3 3 3 2" xfId="3472"/>
    <cellStyle name="Normal 2 2 3 3 3 2 2" xfId="7267"/>
    <cellStyle name="Normal 2 2 3 3 3 2 2 2" xfId="14790"/>
    <cellStyle name="Normal 2 2 3 3 3 2 2 2 2" xfId="29834"/>
    <cellStyle name="Normal 2 2 3 3 3 2 2 2 3" xfId="44877"/>
    <cellStyle name="Normal 2 2 3 3 3 2 2 3" xfId="22313"/>
    <cellStyle name="Normal 2 2 3 3 3 2 2 4" xfId="37356"/>
    <cellStyle name="Normal 2 2 3 3 3 2 3" xfId="11041"/>
    <cellStyle name="Normal 2 2 3 3 3 2 3 2" xfId="26085"/>
    <cellStyle name="Normal 2 2 3 3 3 2 3 3" xfId="41128"/>
    <cellStyle name="Normal 2 2 3 3 3 2 4" xfId="18564"/>
    <cellStyle name="Normal 2 2 3 3 3 2 5" xfId="33607"/>
    <cellStyle name="Normal 2 2 3 3 3 3" xfId="5402"/>
    <cellStyle name="Normal 2 2 3 3 3 3 2" xfId="12925"/>
    <cellStyle name="Normal 2 2 3 3 3 3 2 2" xfId="27969"/>
    <cellStyle name="Normal 2 2 3 3 3 3 2 3" xfId="43012"/>
    <cellStyle name="Normal 2 2 3 3 3 3 3" xfId="20448"/>
    <cellStyle name="Normal 2 2 3 3 3 3 4" xfId="35491"/>
    <cellStyle name="Normal 2 2 3 3 3 4" xfId="9176"/>
    <cellStyle name="Normal 2 2 3 3 3 4 2" xfId="24220"/>
    <cellStyle name="Normal 2 2 3 3 3 4 3" xfId="39263"/>
    <cellStyle name="Normal 2 2 3 3 3 5" xfId="16699"/>
    <cellStyle name="Normal 2 2 3 3 3 6" xfId="31742"/>
    <cellStyle name="Normal 2 2 3 3 4" xfId="2539"/>
    <cellStyle name="Normal 2 2 3 3 4 2" xfId="6335"/>
    <cellStyle name="Normal 2 2 3 3 4 2 2" xfId="13858"/>
    <cellStyle name="Normal 2 2 3 3 4 2 2 2" xfId="28902"/>
    <cellStyle name="Normal 2 2 3 3 4 2 2 3" xfId="43945"/>
    <cellStyle name="Normal 2 2 3 3 4 2 3" xfId="21381"/>
    <cellStyle name="Normal 2 2 3 3 4 2 4" xfId="36424"/>
    <cellStyle name="Normal 2 2 3 3 4 3" xfId="10109"/>
    <cellStyle name="Normal 2 2 3 3 4 3 2" xfId="25153"/>
    <cellStyle name="Normal 2 2 3 3 4 3 3" xfId="40196"/>
    <cellStyle name="Normal 2 2 3 3 4 4" xfId="17632"/>
    <cellStyle name="Normal 2 2 3 3 4 5" xfId="32675"/>
    <cellStyle name="Normal 2 2 3 3 5" xfId="4467"/>
    <cellStyle name="Normal 2 2 3 3 5 2" xfId="11991"/>
    <cellStyle name="Normal 2 2 3 3 5 2 2" xfId="27035"/>
    <cellStyle name="Normal 2 2 3 3 5 2 3" xfId="42078"/>
    <cellStyle name="Normal 2 2 3 3 5 3" xfId="19514"/>
    <cellStyle name="Normal 2 2 3 3 5 4" xfId="34557"/>
    <cellStyle name="Normal 2 2 3 3 6" xfId="8230"/>
    <cellStyle name="Normal 2 2 3 3 6 2" xfId="23274"/>
    <cellStyle name="Normal 2 2 3 3 6 3" xfId="38317"/>
    <cellStyle name="Normal 2 2 3 3 7" xfId="15753"/>
    <cellStyle name="Normal 2 2 3 3 8" xfId="30796"/>
    <cellStyle name="Normal 2 2 3 4" xfId="659"/>
    <cellStyle name="Normal 2 2 3 4 2" xfId="1618"/>
    <cellStyle name="Normal 2 2 3 4 2 2" xfId="3489"/>
    <cellStyle name="Normal 2 2 3 4 2 2 2" xfId="7284"/>
    <cellStyle name="Normal 2 2 3 4 2 2 2 2" xfId="14807"/>
    <cellStyle name="Normal 2 2 3 4 2 2 2 2 2" xfId="29851"/>
    <cellStyle name="Normal 2 2 3 4 2 2 2 2 3" xfId="44894"/>
    <cellStyle name="Normal 2 2 3 4 2 2 2 3" xfId="22330"/>
    <cellStyle name="Normal 2 2 3 4 2 2 2 4" xfId="37373"/>
    <cellStyle name="Normal 2 2 3 4 2 2 3" xfId="11058"/>
    <cellStyle name="Normal 2 2 3 4 2 2 3 2" xfId="26102"/>
    <cellStyle name="Normal 2 2 3 4 2 2 3 3" xfId="41145"/>
    <cellStyle name="Normal 2 2 3 4 2 2 4" xfId="18581"/>
    <cellStyle name="Normal 2 2 3 4 2 2 5" xfId="33624"/>
    <cellStyle name="Normal 2 2 3 4 2 3" xfId="5419"/>
    <cellStyle name="Normal 2 2 3 4 2 3 2" xfId="12942"/>
    <cellStyle name="Normal 2 2 3 4 2 3 2 2" xfId="27986"/>
    <cellStyle name="Normal 2 2 3 4 2 3 2 3" xfId="43029"/>
    <cellStyle name="Normal 2 2 3 4 2 3 3" xfId="20465"/>
    <cellStyle name="Normal 2 2 3 4 2 3 4" xfId="35508"/>
    <cellStyle name="Normal 2 2 3 4 2 4" xfId="9193"/>
    <cellStyle name="Normal 2 2 3 4 2 4 2" xfId="24237"/>
    <cellStyle name="Normal 2 2 3 4 2 4 3" xfId="39280"/>
    <cellStyle name="Normal 2 2 3 4 2 5" xfId="16716"/>
    <cellStyle name="Normal 2 2 3 4 2 6" xfId="31759"/>
    <cellStyle name="Normal 2 2 3 4 3" xfId="2557"/>
    <cellStyle name="Normal 2 2 3 4 3 2" xfId="6352"/>
    <cellStyle name="Normal 2 2 3 4 3 2 2" xfId="13875"/>
    <cellStyle name="Normal 2 2 3 4 3 2 2 2" xfId="28919"/>
    <cellStyle name="Normal 2 2 3 4 3 2 2 3" xfId="43962"/>
    <cellStyle name="Normal 2 2 3 4 3 2 3" xfId="21398"/>
    <cellStyle name="Normal 2 2 3 4 3 2 4" xfId="36441"/>
    <cellStyle name="Normal 2 2 3 4 3 3" xfId="10126"/>
    <cellStyle name="Normal 2 2 3 4 3 3 2" xfId="25170"/>
    <cellStyle name="Normal 2 2 3 4 3 3 3" xfId="40213"/>
    <cellStyle name="Normal 2 2 3 4 3 4" xfId="17649"/>
    <cellStyle name="Normal 2 2 3 4 3 5" xfId="32692"/>
    <cellStyle name="Normal 2 2 3 4 4" xfId="4487"/>
    <cellStyle name="Normal 2 2 3 4 4 2" xfId="12010"/>
    <cellStyle name="Normal 2 2 3 4 4 2 2" xfId="27054"/>
    <cellStyle name="Normal 2 2 3 4 4 2 3" xfId="42097"/>
    <cellStyle name="Normal 2 2 3 4 4 3" xfId="19533"/>
    <cellStyle name="Normal 2 2 3 4 4 4" xfId="34576"/>
    <cellStyle name="Normal 2 2 3 4 5" xfId="8261"/>
    <cellStyle name="Normal 2 2 3 4 5 2" xfId="23305"/>
    <cellStyle name="Normal 2 2 3 4 5 3" xfId="38348"/>
    <cellStyle name="Normal 2 2 3 4 6" xfId="15784"/>
    <cellStyle name="Normal 2 2 3 4 7" xfId="30827"/>
    <cellStyle name="Normal 2 2 3 5" xfId="1166"/>
    <cellStyle name="Normal 2 2 3 5 2" xfId="3037"/>
    <cellStyle name="Normal 2 2 3 5 2 2" xfId="6832"/>
    <cellStyle name="Normal 2 2 3 5 2 2 2" xfId="14355"/>
    <cellStyle name="Normal 2 2 3 5 2 2 2 2" xfId="29399"/>
    <cellStyle name="Normal 2 2 3 5 2 2 2 3" xfId="44442"/>
    <cellStyle name="Normal 2 2 3 5 2 2 3" xfId="21878"/>
    <cellStyle name="Normal 2 2 3 5 2 2 4" xfId="36921"/>
    <cellStyle name="Normal 2 2 3 5 2 3" xfId="10606"/>
    <cellStyle name="Normal 2 2 3 5 2 3 2" xfId="25650"/>
    <cellStyle name="Normal 2 2 3 5 2 3 3" xfId="40693"/>
    <cellStyle name="Normal 2 2 3 5 2 4" xfId="18129"/>
    <cellStyle name="Normal 2 2 3 5 2 5" xfId="33172"/>
    <cellStyle name="Normal 2 2 3 5 3" xfId="4967"/>
    <cellStyle name="Normal 2 2 3 5 3 2" xfId="12490"/>
    <cellStyle name="Normal 2 2 3 5 3 2 2" xfId="27534"/>
    <cellStyle name="Normal 2 2 3 5 3 2 3" xfId="42577"/>
    <cellStyle name="Normal 2 2 3 5 3 3" xfId="20013"/>
    <cellStyle name="Normal 2 2 3 5 3 4" xfId="35056"/>
    <cellStyle name="Normal 2 2 3 5 4" xfId="8741"/>
    <cellStyle name="Normal 2 2 3 5 4 2" xfId="23785"/>
    <cellStyle name="Normal 2 2 3 5 4 3" xfId="38828"/>
    <cellStyle name="Normal 2 2 3 5 5" xfId="16264"/>
    <cellStyle name="Normal 2 2 3 5 6" xfId="31307"/>
    <cellStyle name="Normal 2 2 3 6" xfId="2104"/>
    <cellStyle name="Normal 2 2 3 6 2" xfId="5900"/>
    <cellStyle name="Normal 2 2 3 6 2 2" xfId="13423"/>
    <cellStyle name="Normal 2 2 3 6 2 2 2" xfId="28467"/>
    <cellStyle name="Normal 2 2 3 6 2 2 3" xfId="43510"/>
    <cellStyle name="Normal 2 2 3 6 2 3" xfId="20946"/>
    <cellStyle name="Normal 2 2 3 6 2 4" xfId="35989"/>
    <cellStyle name="Normal 2 2 3 6 3" xfId="9674"/>
    <cellStyle name="Normal 2 2 3 6 3 2" xfId="24718"/>
    <cellStyle name="Normal 2 2 3 6 3 3" xfId="39761"/>
    <cellStyle name="Normal 2 2 3 6 4" xfId="17197"/>
    <cellStyle name="Normal 2 2 3 6 5" xfId="32240"/>
    <cellStyle name="Normal 2 2 3 7" xfId="4030"/>
    <cellStyle name="Normal 2 2 3 7 2" xfId="11554"/>
    <cellStyle name="Normal 2 2 3 7 2 2" xfId="26598"/>
    <cellStyle name="Normal 2 2 3 7 2 3" xfId="41641"/>
    <cellStyle name="Normal 2 2 3 7 3" xfId="19077"/>
    <cellStyle name="Normal 2 2 3 7 4" xfId="34120"/>
    <cellStyle name="Normal 2 2 3 8" xfId="7793"/>
    <cellStyle name="Normal 2 2 3 8 2" xfId="22837"/>
    <cellStyle name="Normal 2 2 3 8 3" xfId="37880"/>
    <cellStyle name="Normal 2 2 3 9" xfId="15316"/>
    <cellStyle name="Normal 2 2 4" xfId="30"/>
    <cellStyle name="Normal 2 2 4 2" xfId="667"/>
    <cellStyle name="Normal 2 2 4 2 2" xfId="1626"/>
    <cellStyle name="Normal 2 2 4 2 2 2" xfId="3497"/>
    <cellStyle name="Normal 2 2 4 2 2 2 2" xfId="7292"/>
    <cellStyle name="Normal 2 2 4 2 2 2 2 2" xfId="14815"/>
    <cellStyle name="Normal 2 2 4 2 2 2 2 2 2" xfId="29859"/>
    <cellStyle name="Normal 2 2 4 2 2 2 2 2 3" xfId="44902"/>
    <cellStyle name="Normal 2 2 4 2 2 2 2 3" xfId="22338"/>
    <cellStyle name="Normal 2 2 4 2 2 2 2 4" xfId="37381"/>
    <cellStyle name="Normal 2 2 4 2 2 2 3" xfId="11066"/>
    <cellStyle name="Normal 2 2 4 2 2 2 3 2" xfId="26110"/>
    <cellStyle name="Normal 2 2 4 2 2 2 3 3" xfId="41153"/>
    <cellStyle name="Normal 2 2 4 2 2 2 4" xfId="18589"/>
    <cellStyle name="Normal 2 2 4 2 2 2 5" xfId="33632"/>
    <cellStyle name="Normal 2 2 4 2 2 3" xfId="5427"/>
    <cellStyle name="Normal 2 2 4 2 2 3 2" xfId="12950"/>
    <cellStyle name="Normal 2 2 4 2 2 3 2 2" xfId="27994"/>
    <cellStyle name="Normal 2 2 4 2 2 3 2 3" xfId="43037"/>
    <cellStyle name="Normal 2 2 4 2 2 3 3" xfId="20473"/>
    <cellStyle name="Normal 2 2 4 2 2 3 4" xfId="35516"/>
    <cellStyle name="Normal 2 2 4 2 2 4" xfId="9201"/>
    <cellStyle name="Normal 2 2 4 2 2 4 2" xfId="24245"/>
    <cellStyle name="Normal 2 2 4 2 2 4 3" xfId="39288"/>
    <cellStyle name="Normal 2 2 4 2 2 5" xfId="16724"/>
    <cellStyle name="Normal 2 2 4 2 2 6" xfId="31767"/>
    <cellStyle name="Normal 2 2 4 2 3" xfId="2565"/>
    <cellStyle name="Normal 2 2 4 2 3 2" xfId="6360"/>
    <cellStyle name="Normal 2 2 4 2 3 2 2" xfId="13883"/>
    <cellStyle name="Normal 2 2 4 2 3 2 2 2" xfId="28927"/>
    <cellStyle name="Normal 2 2 4 2 3 2 2 3" xfId="43970"/>
    <cellStyle name="Normal 2 2 4 2 3 2 3" xfId="21406"/>
    <cellStyle name="Normal 2 2 4 2 3 2 4" xfId="36449"/>
    <cellStyle name="Normal 2 2 4 2 3 3" xfId="10134"/>
    <cellStyle name="Normal 2 2 4 2 3 3 2" xfId="25178"/>
    <cellStyle name="Normal 2 2 4 2 3 3 3" xfId="40221"/>
    <cellStyle name="Normal 2 2 4 2 3 4" xfId="17657"/>
    <cellStyle name="Normal 2 2 4 2 3 5" xfId="32700"/>
    <cellStyle name="Normal 2 2 4 2 4" xfId="4495"/>
    <cellStyle name="Normal 2 2 4 2 4 2" xfId="12018"/>
    <cellStyle name="Normal 2 2 4 2 4 2 2" xfId="27062"/>
    <cellStyle name="Normal 2 2 4 2 4 2 3" xfId="42105"/>
    <cellStyle name="Normal 2 2 4 2 4 3" xfId="19541"/>
    <cellStyle name="Normal 2 2 4 2 4 4" xfId="34584"/>
    <cellStyle name="Normal 2 2 4 2 5" xfId="8269"/>
    <cellStyle name="Normal 2 2 4 2 5 2" xfId="23313"/>
    <cellStyle name="Normal 2 2 4 2 5 3" xfId="38356"/>
    <cellStyle name="Normal 2 2 4 2 6" xfId="15792"/>
    <cellStyle name="Normal 2 2 4 2 7" xfId="30835"/>
    <cellStyle name="Normal 2 2 4 3" xfId="1174"/>
    <cellStyle name="Normal 2 2 4 3 2" xfId="3045"/>
    <cellStyle name="Normal 2 2 4 3 2 2" xfId="6840"/>
    <cellStyle name="Normal 2 2 4 3 2 2 2" xfId="14363"/>
    <cellStyle name="Normal 2 2 4 3 2 2 2 2" xfId="29407"/>
    <cellStyle name="Normal 2 2 4 3 2 2 2 3" xfId="44450"/>
    <cellStyle name="Normal 2 2 4 3 2 2 3" xfId="21886"/>
    <cellStyle name="Normal 2 2 4 3 2 2 4" xfId="36929"/>
    <cellStyle name="Normal 2 2 4 3 2 3" xfId="10614"/>
    <cellStyle name="Normal 2 2 4 3 2 3 2" xfId="25658"/>
    <cellStyle name="Normal 2 2 4 3 2 3 3" xfId="40701"/>
    <cellStyle name="Normal 2 2 4 3 2 4" xfId="18137"/>
    <cellStyle name="Normal 2 2 4 3 2 5" xfId="33180"/>
    <cellStyle name="Normal 2 2 4 3 3" xfId="4975"/>
    <cellStyle name="Normal 2 2 4 3 3 2" xfId="12498"/>
    <cellStyle name="Normal 2 2 4 3 3 2 2" xfId="27542"/>
    <cellStyle name="Normal 2 2 4 3 3 2 3" xfId="42585"/>
    <cellStyle name="Normal 2 2 4 3 3 3" xfId="20021"/>
    <cellStyle name="Normal 2 2 4 3 3 4" xfId="35064"/>
    <cellStyle name="Normal 2 2 4 3 4" xfId="8749"/>
    <cellStyle name="Normal 2 2 4 3 4 2" xfId="23793"/>
    <cellStyle name="Normal 2 2 4 3 4 3" xfId="38836"/>
    <cellStyle name="Normal 2 2 4 3 5" xfId="16272"/>
    <cellStyle name="Normal 2 2 4 3 6" xfId="31315"/>
    <cellStyle name="Normal 2 2 4 4" xfId="2112"/>
    <cellStyle name="Normal 2 2 4 4 2" xfId="5908"/>
    <cellStyle name="Normal 2 2 4 4 2 2" xfId="13431"/>
    <cellStyle name="Normal 2 2 4 4 2 2 2" xfId="28475"/>
    <cellStyle name="Normal 2 2 4 4 2 2 3" xfId="43518"/>
    <cellStyle name="Normal 2 2 4 4 2 3" xfId="20954"/>
    <cellStyle name="Normal 2 2 4 4 2 4" xfId="35997"/>
    <cellStyle name="Normal 2 2 4 4 3" xfId="9682"/>
    <cellStyle name="Normal 2 2 4 4 3 2" xfId="24726"/>
    <cellStyle name="Normal 2 2 4 4 3 3" xfId="39769"/>
    <cellStyle name="Normal 2 2 4 4 4" xfId="17205"/>
    <cellStyle name="Normal 2 2 4 4 5" xfId="32248"/>
    <cellStyle name="Normal 2 2 4 5" xfId="4038"/>
    <cellStyle name="Normal 2 2 4 5 2" xfId="11562"/>
    <cellStyle name="Normal 2 2 4 5 2 2" xfId="26606"/>
    <cellStyle name="Normal 2 2 4 5 2 3" xfId="41649"/>
    <cellStyle name="Normal 2 2 4 5 3" xfId="19085"/>
    <cellStyle name="Normal 2 2 4 5 4" xfId="34128"/>
    <cellStyle name="Normal 2 2 4 6" xfId="7801"/>
    <cellStyle name="Normal 2 2 4 6 2" xfId="22845"/>
    <cellStyle name="Normal 2 2 4 6 3" xfId="37888"/>
    <cellStyle name="Normal 2 2 4 7" xfId="15324"/>
    <cellStyle name="Normal 2 2 4 8" xfId="30367"/>
    <cellStyle name="Normal 2 2 5" xfId="591"/>
    <cellStyle name="Normal 2 2 5 2" xfId="1089"/>
    <cellStyle name="Normal 2 2 5 2 2" xfId="2048"/>
    <cellStyle name="Normal 2 2 5 2 2 2" xfId="3919"/>
    <cellStyle name="Normal 2 2 5 2 2 2 2" xfId="7714"/>
    <cellStyle name="Normal 2 2 5 2 2 2 2 2" xfId="15237"/>
    <cellStyle name="Normal 2 2 5 2 2 2 2 2 2" xfId="30281"/>
    <cellStyle name="Normal 2 2 5 2 2 2 2 2 3" xfId="45324"/>
    <cellStyle name="Normal 2 2 5 2 2 2 2 3" xfId="22760"/>
    <cellStyle name="Normal 2 2 5 2 2 2 2 4" xfId="37803"/>
    <cellStyle name="Normal 2 2 5 2 2 2 3" xfId="11488"/>
    <cellStyle name="Normal 2 2 5 2 2 2 3 2" xfId="26532"/>
    <cellStyle name="Normal 2 2 5 2 2 2 3 3" xfId="41575"/>
    <cellStyle name="Normal 2 2 5 2 2 2 4" xfId="19011"/>
    <cellStyle name="Normal 2 2 5 2 2 2 5" xfId="34054"/>
    <cellStyle name="Normal 2 2 5 2 2 3" xfId="5849"/>
    <cellStyle name="Normal 2 2 5 2 2 3 2" xfId="13372"/>
    <cellStyle name="Normal 2 2 5 2 2 3 2 2" xfId="28416"/>
    <cellStyle name="Normal 2 2 5 2 2 3 2 3" xfId="43459"/>
    <cellStyle name="Normal 2 2 5 2 2 3 3" xfId="20895"/>
    <cellStyle name="Normal 2 2 5 2 2 3 4" xfId="35938"/>
    <cellStyle name="Normal 2 2 5 2 2 4" xfId="9623"/>
    <cellStyle name="Normal 2 2 5 2 2 4 2" xfId="24667"/>
    <cellStyle name="Normal 2 2 5 2 2 4 3" xfId="39710"/>
    <cellStyle name="Normal 2 2 5 2 2 5" xfId="17146"/>
    <cellStyle name="Normal 2 2 5 2 2 6" xfId="32189"/>
    <cellStyle name="Normal 2 2 5 2 3" xfId="2987"/>
    <cellStyle name="Normal 2 2 5 2 3 2" xfId="6782"/>
    <cellStyle name="Normal 2 2 5 2 3 2 2" xfId="14305"/>
    <cellStyle name="Normal 2 2 5 2 3 2 2 2" xfId="29349"/>
    <cellStyle name="Normal 2 2 5 2 3 2 2 3" xfId="44392"/>
    <cellStyle name="Normal 2 2 5 2 3 2 3" xfId="21828"/>
    <cellStyle name="Normal 2 2 5 2 3 2 4" xfId="36871"/>
    <cellStyle name="Normal 2 2 5 2 3 3" xfId="10556"/>
    <cellStyle name="Normal 2 2 5 2 3 3 2" xfId="25600"/>
    <cellStyle name="Normal 2 2 5 2 3 3 3" xfId="40643"/>
    <cellStyle name="Normal 2 2 5 2 3 4" xfId="18079"/>
    <cellStyle name="Normal 2 2 5 2 3 5" xfId="33122"/>
    <cellStyle name="Normal 2 2 5 2 4" xfId="4917"/>
    <cellStyle name="Normal 2 2 5 2 4 2" xfId="12440"/>
    <cellStyle name="Normal 2 2 5 2 4 2 2" xfId="27484"/>
    <cellStyle name="Normal 2 2 5 2 4 2 3" xfId="42527"/>
    <cellStyle name="Normal 2 2 5 2 4 3" xfId="19963"/>
    <cellStyle name="Normal 2 2 5 2 4 4" xfId="35006"/>
    <cellStyle name="Normal 2 2 5 2 5" xfId="8691"/>
    <cellStyle name="Normal 2 2 5 2 5 2" xfId="23735"/>
    <cellStyle name="Normal 2 2 5 2 5 3" xfId="38778"/>
    <cellStyle name="Normal 2 2 5 2 6" xfId="16214"/>
    <cellStyle name="Normal 2 2 5 2 7" xfId="31257"/>
    <cellStyle name="Normal 2 2 5 3" xfId="1596"/>
    <cellStyle name="Normal 2 2 5 3 2" xfId="3467"/>
    <cellStyle name="Normal 2 2 5 3 2 2" xfId="7262"/>
    <cellStyle name="Normal 2 2 5 3 2 2 2" xfId="14785"/>
    <cellStyle name="Normal 2 2 5 3 2 2 2 2" xfId="29829"/>
    <cellStyle name="Normal 2 2 5 3 2 2 2 3" xfId="44872"/>
    <cellStyle name="Normal 2 2 5 3 2 2 3" xfId="22308"/>
    <cellStyle name="Normal 2 2 5 3 2 2 4" xfId="37351"/>
    <cellStyle name="Normal 2 2 5 3 2 3" xfId="11036"/>
    <cellStyle name="Normal 2 2 5 3 2 3 2" xfId="26080"/>
    <cellStyle name="Normal 2 2 5 3 2 3 3" xfId="41123"/>
    <cellStyle name="Normal 2 2 5 3 2 4" xfId="18559"/>
    <cellStyle name="Normal 2 2 5 3 2 5" xfId="33602"/>
    <cellStyle name="Normal 2 2 5 3 3" xfId="5397"/>
    <cellStyle name="Normal 2 2 5 3 3 2" xfId="12920"/>
    <cellStyle name="Normal 2 2 5 3 3 2 2" xfId="27964"/>
    <cellStyle name="Normal 2 2 5 3 3 2 3" xfId="43007"/>
    <cellStyle name="Normal 2 2 5 3 3 3" xfId="20443"/>
    <cellStyle name="Normal 2 2 5 3 3 4" xfId="35486"/>
    <cellStyle name="Normal 2 2 5 3 4" xfId="9171"/>
    <cellStyle name="Normal 2 2 5 3 4 2" xfId="24215"/>
    <cellStyle name="Normal 2 2 5 3 4 3" xfId="39258"/>
    <cellStyle name="Normal 2 2 5 3 5" xfId="16694"/>
    <cellStyle name="Normal 2 2 5 3 6" xfId="31737"/>
    <cellStyle name="Normal 2 2 5 4" xfId="2534"/>
    <cellStyle name="Normal 2 2 5 4 2" xfId="6330"/>
    <cellStyle name="Normal 2 2 5 4 2 2" xfId="13853"/>
    <cellStyle name="Normal 2 2 5 4 2 2 2" xfId="28897"/>
    <cellStyle name="Normal 2 2 5 4 2 2 3" xfId="43940"/>
    <cellStyle name="Normal 2 2 5 4 2 3" xfId="21376"/>
    <cellStyle name="Normal 2 2 5 4 2 4" xfId="36419"/>
    <cellStyle name="Normal 2 2 5 4 3" xfId="10104"/>
    <cellStyle name="Normal 2 2 5 4 3 2" xfId="25148"/>
    <cellStyle name="Normal 2 2 5 4 3 3" xfId="40191"/>
    <cellStyle name="Normal 2 2 5 4 4" xfId="17627"/>
    <cellStyle name="Normal 2 2 5 4 5" xfId="32670"/>
    <cellStyle name="Normal 2 2 5 5" xfId="4462"/>
    <cellStyle name="Normal 2 2 5 5 2" xfId="11986"/>
    <cellStyle name="Normal 2 2 5 5 2 2" xfId="27030"/>
    <cellStyle name="Normal 2 2 5 5 2 3" xfId="42073"/>
    <cellStyle name="Normal 2 2 5 5 3" xfId="19509"/>
    <cellStyle name="Normal 2 2 5 5 4" xfId="34552"/>
    <cellStyle name="Normal 2 2 5 6" xfId="8225"/>
    <cellStyle name="Normal 2 2 5 6 2" xfId="23269"/>
    <cellStyle name="Normal 2 2 5 6 3" xfId="38312"/>
    <cellStyle name="Normal 2 2 5 7" xfId="15748"/>
    <cellStyle name="Normal 2 2 5 8" xfId="30791"/>
    <cellStyle name="Normal 2 2 6" xfId="649"/>
    <cellStyle name="Normal 2 2 6 2" xfId="1609"/>
    <cellStyle name="Normal 2 2 6 2 2" xfId="3480"/>
    <cellStyle name="Normal 2 2 6 2 2 2" xfId="7275"/>
    <cellStyle name="Normal 2 2 6 2 2 2 2" xfId="14798"/>
    <cellStyle name="Normal 2 2 6 2 2 2 2 2" xfId="29842"/>
    <cellStyle name="Normal 2 2 6 2 2 2 2 3" xfId="44885"/>
    <cellStyle name="Normal 2 2 6 2 2 2 3" xfId="22321"/>
    <cellStyle name="Normal 2 2 6 2 2 2 4" xfId="37364"/>
    <cellStyle name="Normal 2 2 6 2 2 3" xfId="11049"/>
    <cellStyle name="Normal 2 2 6 2 2 3 2" xfId="26093"/>
    <cellStyle name="Normal 2 2 6 2 2 3 3" xfId="41136"/>
    <cellStyle name="Normal 2 2 6 2 2 4" xfId="18572"/>
    <cellStyle name="Normal 2 2 6 2 2 5" xfId="33615"/>
    <cellStyle name="Normal 2 2 6 2 3" xfId="5410"/>
    <cellStyle name="Normal 2 2 6 2 3 2" xfId="12933"/>
    <cellStyle name="Normal 2 2 6 2 3 2 2" xfId="27977"/>
    <cellStyle name="Normal 2 2 6 2 3 2 3" xfId="43020"/>
    <cellStyle name="Normal 2 2 6 2 3 3" xfId="20456"/>
    <cellStyle name="Normal 2 2 6 2 3 4" xfId="35499"/>
    <cellStyle name="Normal 2 2 6 2 4" xfId="9184"/>
    <cellStyle name="Normal 2 2 6 2 4 2" xfId="24228"/>
    <cellStyle name="Normal 2 2 6 2 4 3" xfId="39271"/>
    <cellStyle name="Normal 2 2 6 2 5" xfId="16707"/>
    <cellStyle name="Normal 2 2 6 2 6" xfId="31750"/>
    <cellStyle name="Normal 2 2 6 3" xfId="2548"/>
    <cellStyle name="Normal 2 2 6 3 2" xfId="6343"/>
    <cellStyle name="Normal 2 2 6 3 2 2" xfId="13866"/>
    <cellStyle name="Normal 2 2 6 3 2 2 2" xfId="28910"/>
    <cellStyle name="Normal 2 2 6 3 2 2 3" xfId="43953"/>
    <cellStyle name="Normal 2 2 6 3 2 3" xfId="21389"/>
    <cellStyle name="Normal 2 2 6 3 2 4" xfId="36432"/>
    <cellStyle name="Normal 2 2 6 3 3" xfId="10117"/>
    <cellStyle name="Normal 2 2 6 3 3 2" xfId="25161"/>
    <cellStyle name="Normal 2 2 6 3 3 3" xfId="40204"/>
    <cellStyle name="Normal 2 2 6 3 4" xfId="17640"/>
    <cellStyle name="Normal 2 2 6 3 5" xfId="32683"/>
    <cellStyle name="Normal 2 2 6 4" xfId="4478"/>
    <cellStyle name="Normal 2 2 6 4 2" xfId="12001"/>
    <cellStyle name="Normal 2 2 6 4 2 2" xfId="27045"/>
    <cellStyle name="Normal 2 2 6 4 2 3" xfId="42088"/>
    <cellStyle name="Normal 2 2 6 4 3" xfId="19524"/>
    <cellStyle name="Normal 2 2 6 4 4" xfId="34567"/>
    <cellStyle name="Normal 2 2 6 5" xfId="8252"/>
    <cellStyle name="Normal 2 2 6 5 2" xfId="23296"/>
    <cellStyle name="Normal 2 2 6 5 3" xfId="38339"/>
    <cellStyle name="Normal 2 2 6 6" xfId="15775"/>
    <cellStyle name="Normal 2 2 6 7" xfId="30818"/>
    <cellStyle name="Normal 2 2 7" xfId="1157"/>
    <cellStyle name="Normal 2 2 7 2" xfId="3028"/>
    <cellStyle name="Normal 2 2 7 2 2" xfId="6823"/>
    <cellStyle name="Normal 2 2 7 2 2 2" xfId="14346"/>
    <cellStyle name="Normal 2 2 7 2 2 2 2" xfId="29390"/>
    <cellStyle name="Normal 2 2 7 2 2 2 3" xfId="44433"/>
    <cellStyle name="Normal 2 2 7 2 2 3" xfId="21869"/>
    <cellStyle name="Normal 2 2 7 2 2 4" xfId="36912"/>
    <cellStyle name="Normal 2 2 7 2 3" xfId="10597"/>
    <cellStyle name="Normal 2 2 7 2 3 2" xfId="25641"/>
    <cellStyle name="Normal 2 2 7 2 3 3" xfId="40684"/>
    <cellStyle name="Normal 2 2 7 2 4" xfId="18120"/>
    <cellStyle name="Normal 2 2 7 2 5" xfId="33163"/>
    <cellStyle name="Normal 2 2 7 3" xfId="4958"/>
    <cellStyle name="Normal 2 2 7 3 2" xfId="12481"/>
    <cellStyle name="Normal 2 2 7 3 2 2" xfId="27525"/>
    <cellStyle name="Normal 2 2 7 3 2 3" xfId="42568"/>
    <cellStyle name="Normal 2 2 7 3 3" xfId="20004"/>
    <cellStyle name="Normal 2 2 7 3 4" xfId="35047"/>
    <cellStyle name="Normal 2 2 7 4" xfId="8732"/>
    <cellStyle name="Normal 2 2 7 4 2" xfId="23776"/>
    <cellStyle name="Normal 2 2 7 4 3" xfId="38819"/>
    <cellStyle name="Normal 2 2 7 5" xfId="16255"/>
    <cellStyle name="Normal 2 2 7 6" xfId="31298"/>
    <cellStyle name="Normal 2 2 8" xfId="2095"/>
    <cellStyle name="Normal 2 2 8 2" xfId="5891"/>
    <cellStyle name="Normal 2 2 8 2 2" xfId="13414"/>
    <cellStyle name="Normal 2 2 8 2 2 2" xfId="28458"/>
    <cellStyle name="Normal 2 2 8 2 2 3" xfId="43501"/>
    <cellStyle name="Normal 2 2 8 2 3" xfId="20937"/>
    <cellStyle name="Normal 2 2 8 2 4" xfId="35980"/>
    <cellStyle name="Normal 2 2 8 3" xfId="9665"/>
    <cellStyle name="Normal 2 2 8 3 2" xfId="24709"/>
    <cellStyle name="Normal 2 2 8 3 3" xfId="39752"/>
    <cellStyle name="Normal 2 2 8 4" xfId="17188"/>
    <cellStyle name="Normal 2 2 8 5" xfId="32231"/>
    <cellStyle name="Normal 2 2 9" xfId="4021"/>
    <cellStyle name="Normal 2 2 9 2" xfId="11545"/>
    <cellStyle name="Normal 2 2 9 2 2" xfId="26589"/>
    <cellStyle name="Normal 2 2 9 2 3" xfId="41632"/>
    <cellStyle name="Normal 2 2 9 3" xfId="19068"/>
    <cellStyle name="Normal 2 2 9 4" xfId="34111"/>
    <cellStyle name="Normal 2 3" xfId="7"/>
    <cellStyle name="Normal 2 3 10" xfId="7787"/>
    <cellStyle name="Normal 2 3 10 2" xfId="22831"/>
    <cellStyle name="Normal 2 3 10 3" xfId="37874"/>
    <cellStyle name="Normal 2 3 11" xfId="15310"/>
    <cellStyle name="Normal 2 3 12" xfId="30353"/>
    <cellStyle name="Normal 2 3 13" xfId="45402"/>
    <cellStyle name="Normal 2 3 2" xfId="23"/>
    <cellStyle name="Normal 2 3 2 10" xfId="30362"/>
    <cellStyle name="Normal 2 3 2 2" xfId="42"/>
    <cellStyle name="Normal 2 3 2 2 2" xfId="679"/>
    <cellStyle name="Normal 2 3 2 2 2 2" xfId="1638"/>
    <cellStyle name="Normal 2 3 2 2 2 2 2" xfId="3509"/>
    <cellStyle name="Normal 2 3 2 2 2 2 2 2" xfId="7304"/>
    <cellStyle name="Normal 2 3 2 2 2 2 2 2 2" xfId="14827"/>
    <cellStyle name="Normal 2 3 2 2 2 2 2 2 2 2" xfId="29871"/>
    <cellStyle name="Normal 2 3 2 2 2 2 2 2 2 3" xfId="44914"/>
    <cellStyle name="Normal 2 3 2 2 2 2 2 2 3" xfId="22350"/>
    <cellStyle name="Normal 2 3 2 2 2 2 2 2 4" xfId="37393"/>
    <cellStyle name="Normal 2 3 2 2 2 2 2 3" xfId="11078"/>
    <cellStyle name="Normal 2 3 2 2 2 2 2 3 2" xfId="26122"/>
    <cellStyle name="Normal 2 3 2 2 2 2 2 3 3" xfId="41165"/>
    <cellStyle name="Normal 2 3 2 2 2 2 2 4" xfId="18601"/>
    <cellStyle name="Normal 2 3 2 2 2 2 2 5" xfId="33644"/>
    <cellStyle name="Normal 2 3 2 2 2 2 3" xfId="5439"/>
    <cellStyle name="Normal 2 3 2 2 2 2 3 2" xfId="12962"/>
    <cellStyle name="Normal 2 3 2 2 2 2 3 2 2" xfId="28006"/>
    <cellStyle name="Normal 2 3 2 2 2 2 3 2 3" xfId="43049"/>
    <cellStyle name="Normal 2 3 2 2 2 2 3 3" xfId="20485"/>
    <cellStyle name="Normal 2 3 2 2 2 2 3 4" xfId="35528"/>
    <cellStyle name="Normal 2 3 2 2 2 2 4" xfId="9213"/>
    <cellStyle name="Normal 2 3 2 2 2 2 4 2" xfId="24257"/>
    <cellStyle name="Normal 2 3 2 2 2 2 4 3" xfId="39300"/>
    <cellStyle name="Normal 2 3 2 2 2 2 5" xfId="16736"/>
    <cellStyle name="Normal 2 3 2 2 2 2 6" xfId="31779"/>
    <cellStyle name="Normal 2 3 2 2 2 3" xfId="2577"/>
    <cellStyle name="Normal 2 3 2 2 2 3 2" xfId="6372"/>
    <cellStyle name="Normal 2 3 2 2 2 3 2 2" xfId="13895"/>
    <cellStyle name="Normal 2 3 2 2 2 3 2 2 2" xfId="28939"/>
    <cellStyle name="Normal 2 3 2 2 2 3 2 2 3" xfId="43982"/>
    <cellStyle name="Normal 2 3 2 2 2 3 2 3" xfId="21418"/>
    <cellStyle name="Normal 2 3 2 2 2 3 2 4" xfId="36461"/>
    <cellStyle name="Normal 2 3 2 2 2 3 3" xfId="10146"/>
    <cellStyle name="Normal 2 3 2 2 2 3 3 2" xfId="25190"/>
    <cellStyle name="Normal 2 3 2 2 2 3 3 3" xfId="40233"/>
    <cellStyle name="Normal 2 3 2 2 2 3 4" xfId="17669"/>
    <cellStyle name="Normal 2 3 2 2 2 3 5" xfId="32712"/>
    <cellStyle name="Normal 2 3 2 2 2 4" xfId="4507"/>
    <cellStyle name="Normal 2 3 2 2 2 4 2" xfId="12030"/>
    <cellStyle name="Normal 2 3 2 2 2 4 2 2" xfId="27074"/>
    <cellStyle name="Normal 2 3 2 2 2 4 2 3" xfId="42117"/>
    <cellStyle name="Normal 2 3 2 2 2 4 3" xfId="19553"/>
    <cellStyle name="Normal 2 3 2 2 2 4 4" xfId="34596"/>
    <cellStyle name="Normal 2 3 2 2 2 5" xfId="8281"/>
    <cellStyle name="Normal 2 3 2 2 2 5 2" xfId="23325"/>
    <cellStyle name="Normal 2 3 2 2 2 5 3" xfId="38368"/>
    <cellStyle name="Normal 2 3 2 2 2 6" xfId="15804"/>
    <cellStyle name="Normal 2 3 2 2 2 7" xfId="30847"/>
    <cellStyle name="Normal 2 3 2 2 3" xfId="1186"/>
    <cellStyle name="Normal 2 3 2 2 3 2" xfId="3057"/>
    <cellStyle name="Normal 2 3 2 2 3 2 2" xfId="6852"/>
    <cellStyle name="Normal 2 3 2 2 3 2 2 2" xfId="14375"/>
    <cellStyle name="Normal 2 3 2 2 3 2 2 2 2" xfId="29419"/>
    <cellStyle name="Normal 2 3 2 2 3 2 2 2 3" xfId="44462"/>
    <cellStyle name="Normal 2 3 2 2 3 2 2 3" xfId="21898"/>
    <cellStyle name="Normal 2 3 2 2 3 2 2 4" xfId="36941"/>
    <cellStyle name="Normal 2 3 2 2 3 2 3" xfId="10626"/>
    <cellStyle name="Normal 2 3 2 2 3 2 3 2" xfId="25670"/>
    <cellStyle name="Normal 2 3 2 2 3 2 3 3" xfId="40713"/>
    <cellStyle name="Normal 2 3 2 2 3 2 4" xfId="18149"/>
    <cellStyle name="Normal 2 3 2 2 3 2 5" xfId="33192"/>
    <cellStyle name="Normal 2 3 2 2 3 3" xfId="4987"/>
    <cellStyle name="Normal 2 3 2 2 3 3 2" xfId="12510"/>
    <cellStyle name="Normal 2 3 2 2 3 3 2 2" xfId="27554"/>
    <cellStyle name="Normal 2 3 2 2 3 3 2 3" xfId="42597"/>
    <cellStyle name="Normal 2 3 2 2 3 3 3" xfId="20033"/>
    <cellStyle name="Normal 2 3 2 2 3 3 4" xfId="35076"/>
    <cellStyle name="Normal 2 3 2 2 3 4" xfId="8761"/>
    <cellStyle name="Normal 2 3 2 2 3 4 2" xfId="23805"/>
    <cellStyle name="Normal 2 3 2 2 3 4 3" xfId="38848"/>
    <cellStyle name="Normal 2 3 2 2 3 5" xfId="16284"/>
    <cellStyle name="Normal 2 3 2 2 3 6" xfId="31327"/>
    <cellStyle name="Normal 2 3 2 2 4" xfId="2124"/>
    <cellStyle name="Normal 2 3 2 2 4 2" xfId="5920"/>
    <cellStyle name="Normal 2 3 2 2 4 2 2" xfId="13443"/>
    <cellStyle name="Normal 2 3 2 2 4 2 2 2" xfId="28487"/>
    <cellStyle name="Normal 2 3 2 2 4 2 2 3" xfId="43530"/>
    <cellStyle name="Normal 2 3 2 2 4 2 3" xfId="20966"/>
    <cellStyle name="Normal 2 3 2 2 4 2 4" xfId="36009"/>
    <cellStyle name="Normal 2 3 2 2 4 3" xfId="9694"/>
    <cellStyle name="Normal 2 3 2 2 4 3 2" xfId="24738"/>
    <cellStyle name="Normal 2 3 2 2 4 3 3" xfId="39781"/>
    <cellStyle name="Normal 2 3 2 2 4 4" xfId="17217"/>
    <cellStyle name="Normal 2 3 2 2 4 5" xfId="32260"/>
    <cellStyle name="Normal 2 3 2 2 5" xfId="4050"/>
    <cellStyle name="Normal 2 3 2 2 5 2" xfId="11574"/>
    <cellStyle name="Normal 2 3 2 2 5 2 2" xfId="26618"/>
    <cellStyle name="Normal 2 3 2 2 5 2 3" xfId="41661"/>
    <cellStyle name="Normal 2 3 2 2 5 3" xfId="19097"/>
    <cellStyle name="Normal 2 3 2 2 5 4" xfId="34140"/>
    <cellStyle name="Normal 2 3 2 2 6" xfId="7813"/>
    <cellStyle name="Normal 2 3 2 2 6 2" xfId="22857"/>
    <cellStyle name="Normal 2 3 2 2 6 3" xfId="37900"/>
    <cellStyle name="Normal 2 3 2 2 7" xfId="15336"/>
    <cellStyle name="Normal 2 3 2 2 8" xfId="30379"/>
    <cellStyle name="Normal 2 3 2 3" xfId="598"/>
    <cellStyle name="Normal 2 3 2 3 2" xfId="1096"/>
    <cellStyle name="Normal 2 3 2 3 2 2" xfId="2055"/>
    <cellStyle name="Normal 2 3 2 3 2 2 2" xfId="3926"/>
    <cellStyle name="Normal 2 3 2 3 2 2 2 2" xfId="7721"/>
    <cellStyle name="Normal 2 3 2 3 2 2 2 2 2" xfId="15244"/>
    <cellStyle name="Normal 2 3 2 3 2 2 2 2 2 2" xfId="30288"/>
    <cellStyle name="Normal 2 3 2 3 2 2 2 2 2 3" xfId="45331"/>
    <cellStyle name="Normal 2 3 2 3 2 2 2 2 3" xfId="22767"/>
    <cellStyle name="Normal 2 3 2 3 2 2 2 2 4" xfId="37810"/>
    <cellStyle name="Normal 2 3 2 3 2 2 2 3" xfId="11495"/>
    <cellStyle name="Normal 2 3 2 3 2 2 2 3 2" xfId="26539"/>
    <cellStyle name="Normal 2 3 2 3 2 2 2 3 3" xfId="41582"/>
    <cellStyle name="Normal 2 3 2 3 2 2 2 4" xfId="19018"/>
    <cellStyle name="Normal 2 3 2 3 2 2 2 5" xfId="34061"/>
    <cellStyle name="Normal 2 3 2 3 2 2 3" xfId="5856"/>
    <cellStyle name="Normal 2 3 2 3 2 2 3 2" xfId="13379"/>
    <cellStyle name="Normal 2 3 2 3 2 2 3 2 2" xfId="28423"/>
    <cellStyle name="Normal 2 3 2 3 2 2 3 2 3" xfId="43466"/>
    <cellStyle name="Normal 2 3 2 3 2 2 3 3" xfId="20902"/>
    <cellStyle name="Normal 2 3 2 3 2 2 3 4" xfId="35945"/>
    <cellStyle name="Normal 2 3 2 3 2 2 4" xfId="9630"/>
    <cellStyle name="Normal 2 3 2 3 2 2 4 2" xfId="24674"/>
    <cellStyle name="Normal 2 3 2 3 2 2 4 3" xfId="39717"/>
    <cellStyle name="Normal 2 3 2 3 2 2 5" xfId="17153"/>
    <cellStyle name="Normal 2 3 2 3 2 2 6" xfId="32196"/>
    <cellStyle name="Normal 2 3 2 3 2 3" xfId="2994"/>
    <cellStyle name="Normal 2 3 2 3 2 3 2" xfId="6789"/>
    <cellStyle name="Normal 2 3 2 3 2 3 2 2" xfId="14312"/>
    <cellStyle name="Normal 2 3 2 3 2 3 2 2 2" xfId="29356"/>
    <cellStyle name="Normal 2 3 2 3 2 3 2 2 3" xfId="44399"/>
    <cellStyle name="Normal 2 3 2 3 2 3 2 3" xfId="21835"/>
    <cellStyle name="Normal 2 3 2 3 2 3 2 4" xfId="36878"/>
    <cellStyle name="Normal 2 3 2 3 2 3 3" xfId="10563"/>
    <cellStyle name="Normal 2 3 2 3 2 3 3 2" xfId="25607"/>
    <cellStyle name="Normal 2 3 2 3 2 3 3 3" xfId="40650"/>
    <cellStyle name="Normal 2 3 2 3 2 3 4" xfId="18086"/>
    <cellStyle name="Normal 2 3 2 3 2 3 5" xfId="33129"/>
    <cellStyle name="Normal 2 3 2 3 2 4" xfId="4924"/>
    <cellStyle name="Normal 2 3 2 3 2 4 2" xfId="12447"/>
    <cellStyle name="Normal 2 3 2 3 2 4 2 2" xfId="27491"/>
    <cellStyle name="Normal 2 3 2 3 2 4 2 3" xfId="42534"/>
    <cellStyle name="Normal 2 3 2 3 2 4 3" xfId="19970"/>
    <cellStyle name="Normal 2 3 2 3 2 4 4" xfId="35013"/>
    <cellStyle name="Normal 2 3 2 3 2 5" xfId="8698"/>
    <cellStyle name="Normal 2 3 2 3 2 5 2" xfId="23742"/>
    <cellStyle name="Normal 2 3 2 3 2 5 3" xfId="38785"/>
    <cellStyle name="Normal 2 3 2 3 2 6" xfId="16221"/>
    <cellStyle name="Normal 2 3 2 3 2 7" xfId="31264"/>
    <cellStyle name="Normal 2 3 2 3 3" xfId="1603"/>
    <cellStyle name="Normal 2 3 2 3 3 2" xfId="3474"/>
    <cellStyle name="Normal 2 3 2 3 3 2 2" xfId="7269"/>
    <cellStyle name="Normal 2 3 2 3 3 2 2 2" xfId="14792"/>
    <cellStyle name="Normal 2 3 2 3 3 2 2 2 2" xfId="29836"/>
    <cellStyle name="Normal 2 3 2 3 3 2 2 2 3" xfId="44879"/>
    <cellStyle name="Normal 2 3 2 3 3 2 2 3" xfId="22315"/>
    <cellStyle name="Normal 2 3 2 3 3 2 2 4" xfId="37358"/>
    <cellStyle name="Normal 2 3 2 3 3 2 3" xfId="11043"/>
    <cellStyle name="Normal 2 3 2 3 3 2 3 2" xfId="26087"/>
    <cellStyle name="Normal 2 3 2 3 3 2 3 3" xfId="41130"/>
    <cellStyle name="Normal 2 3 2 3 3 2 4" xfId="18566"/>
    <cellStyle name="Normal 2 3 2 3 3 2 5" xfId="33609"/>
    <cellStyle name="Normal 2 3 2 3 3 3" xfId="5404"/>
    <cellStyle name="Normal 2 3 2 3 3 3 2" xfId="12927"/>
    <cellStyle name="Normal 2 3 2 3 3 3 2 2" xfId="27971"/>
    <cellStyle name="Normal 2 3 2 3 3 3 2 3" xfId="43014"/>
    <cellStyle name="Normal 2 3 2 3 3 3 3" xfId="20450"/>
    <cellStyle name="Normal 2 3 2 3 3 3 4" xfId="35493"/>
    <cellStyle name="Normal 2 3 2 3 3 4" xfId="9178"/>
    <cellStyle name="Normal 2 3 2 3 3 4 2" xfId="24222"/>
    <cellStyle name="Normal 2 3 2 3 3 4 3" xfId="39265"/>
    <cellStyle name="Normal 2 3 2 3 3 5" xfId="16701"/>
    <cellStyle name="Normal 2 3 2 3 3 6" xfId="31744"/>
    <cellStyle name="Normal 2 3 2 3 4" xfId="2541"/>
    <cellStyle name="Normal 2 3 2 3 4 2" xfId="6337"/>
    <cellStyle name="Normal 2 3 2 3 4 2 2" xfId="13860"/>
    <cellStyle name="Normal 2 3 2 3 4 2 2 2" xfId="28904"/>
    <cellStyle name="Normal 2 3 2 3 4 2 2 3" xfId="43947"/>
    <cellStyle name="Normal 2 3 2 3 4 2 3" xfId="21383"/>
    <cellStyle name="Normal 2 3 2 3 4 2 4" xfId="36426"/>
    <cellStyle name="Normal 2 3 2 3 4 3" xfId="10111"/>
    <cellStyle name="Normal 2 3 2 3 4 3 2" xfId="25155"/>
    <cellStyle name="Normal 2 3 2 3 4 3 3" xfId="40198"/>
    <cellStyle name="Normal 2 3 2 3 4 4" xfId="17634"/>
    <cellStyle name="Normal 2 3 2 3 4 5" xfId="32677"/>
    <cellStyle name="Normal 2 3 2 3 5" xfId="4469"/>
    <cellStyle name="Normal 2 3 2 3 5 2" xfId="11993"/>
    <cellStyle name="Normal 2 3 2 3 5 2 2" xfId="27037"/>
    <cellStyle name="Normal 2 3 2 3 5 2 3" xfId="42080"/>
    <cellStyle name="Normal 2 3 2 3 5 3" xfId="19516"/>
    <cellStyle name="Normal 2 3 2 3 5 4" xfId="34559"/>
    <cellStyle name="Normal 2 3 2 3 6" xfId="8232"/>
    <cellStyle name="Normal 2 3 2 3 6 2" xfId="23276"/>
    <cellStyle name="Normal 2 3 2 3 6 3" xfId="38319"/>
    <cellStyle name="Normal 2 3 2 3 7" xfId="15755"/>
    <cellStyle name="Normal 2 3 2 3 8" xfId="30798"/>
    <cellStyle name="Normal 2 3 2 4" xfId="662"/>
    <cellStyle name="Normal 2 3 2 4 2" xfId="1621"/>
    <cellStyle name="Normal 2 3 2 4 2 2" xfId="3492"/>
    <cellStyle name="Normal 2 3 2 4 2 2 2" xfId="7287"/>
    <cellStyle name="Normal 2 3 2 4 2 2 2 2" xfId="14810"/>
    <cellStyle name="Normal 2 3 2 4 2 2 2 2 2" xfId="29854"/>
    <cellStyle name="Normal 2 3 2 4 2 2 2 2 3" xfId="44897"/>
    <cellStyle name="Normal 2 3 2 4 2 2 2 3" xfId="22333"/>
    <cellStyle name="Normal 2 3 2 4 2 2 2 4" xfId="37376"/>
    <cellStyle name="Normal 2 3 2 4 2 2 3" xfId="11061"/>
    <cellStyle name="Normal 2 3 2 4 2 2 3 2" xfId="26105"/>
    <cellStyle name="Normal 2 3 2 4 2 2 3 3" xfId="41148"/>
    <cellStyle name="Normal 2 3 2 4 2 2 4" xfId="18584"/>
    <cellStyle name="Normal 2 3 2 4 2 2 5" xfId="33627"/>
    <cellStyle name="Normal 2 3 2 4 2 3" xfId="5422"/>
    <cellStyle name="Normal 2 3 2 4 2 3 2" xfId="12945"/>
    <cellStyle name="Normal 2 3 2 4 2 3 2 2" xfId="27989"/>
    <cellStyle name="Normal 2 3 2 4 2 3 2 3" xfId="43032"/>
    <cellStyle name="Normal 2 3 2 4 2 3 3" xfId="20468"/>
    <cellStyle name="Normal 2 3 2 4 2 3 4" xfId="35511"/>
    <cellStyle name="Normal 2 3 2 4 2 4" xfId="9196"/>
    <cellStyle name="Normal 2 3 2 4 2 4 2" xfId="24240"/>
    <cellStyle name="Normal 2 3 2 4 2 4 3" xfId="39283"/>
    <cellStyle name="Normal 2 3 2 4 2 5" xfId="16719"/>
    <cellStyle name="Normal 2 3 2 4 2 6" xfId="31762"/>
    <cellStyle name="Normal 2 3 2 4 3" xfId="2560"/>
    <cellStyle name="Normal 2 3 2 4 3 2" xfId="6355"/>
    <cellStyle name="Normal 2 3 2 4 3 2 2" xfId="13878"/>
    <cellStyle name="Normal 2 3 2 4 3 2 2 2" xfId="28922"/>
    <cellStyle name="Normal 2 3 2 4 3 2 2 3" xfId="43965"/>
    <cellStyle name="Normal 2 3 2 4 3 2 3" xfId="21401"/>
    <cellStyle name="Normal 2 3 2 4 3 2 4" xfId="36444"/>
    <cellStyle name="Normal 2 3 2 4 3 3" xfId="10129"/>
    <cellStyle name="Normal 2 3 2 4 3 3 2" xfId="25173"/>
    <cellStyle name="Normal 2 3 2 4 3 3 3" xfId="40216"/>
    <cellStyle name="Normal 2 3 2 4 3 4" xfId="17652"/>
    <cellStyle name="Normal 2 3 2 4 3 5" xfId="32695"/>
    <cellStyle name="Normal 2 3 2 4 4" xfId="4490"/>
    <cellStyle name="Normal 2 3 2 4 4 2" xfId="12013"/>
    <cellStyle name="Normal 2 3 2 4 4 2 2" xfId="27057"/>
    <cellStyle name="Normal 2 3 2 4 4 2 3" xfId="42100"/>
    <cellStyle name="Normal 2 3 2 4 4 3" xfId="19536"/>
    <cellStyle name="Normal 2 3 2 4 4 4" xfId="34579"/>
    <cellStyle name="Normal 2 3 2 4 5" xfId="8264"/>
    <cellStyle name="Normal 2 3 2 4 5 2" xfId="23308"/>
    <cellStyle name="Normal 2 3 2 4 5 3" xfId="38351"/>
    <cellStyle name="Normal 2 3 2 4 6" xfId="15787"/>
    <cellStyle name="Normal 2 3 2 4 7" xfId="30830"/>
    <cellStyle name="Normal 2 3 2 5" xfId="1169"/>
    <cellStyle name="Normal 2 3 2 5 2" xfId="3040"/>
    <cellStyle name="Normal 2 3 2 5 2 2" xfId="6835"/>
    <cellStyle name="Normal 2 3 2 5 2 2 2" xfId="14358"/>
    <cellStyle name="Normal 2 3 2 5 2 2 2 2" xfId="29402"/>
    <cellStyle name="Normal 2 3 2 5 2 2 2 3" xfId="44445"/>
    <cellStyle name="Normal 2 3 2 5 2 2 3" xfId="21881"/>
    <cellStyle name="Normal 2 3 2 5 2 2 4" xfId="36924"/>
    <cellStyle name="Normal 2 3 2 5 2 3" xfId="10609"/>
    <cellStyle name="Normal 2 3 2 5 2 3 2" xfId="25653"/>
    <cellStyle name="Normal 2 3 2 5 2 3 3" xfId="40696"/>
    <cellStyle name="Normal 2 3 2 5 2 4" xfId="18132"/>
    <cellStyle name="Normal 2 3 2 5 2 5" xfId="33175"/>
    <cellStyle name="Normal 2 3 2 5 3" xfId="4970"/>
    <cellStyle name="Normal 2 3 2 5 3 2" xfId="12493"/>
    <cellStyle name="Normal 2 3 2 5 3 2 2" xfId="27537"/>
    <cellStyle name="Normal 2 3 2 5 3 2 3" xfId="42580"/>
    <cellStyle name="Normal 2 3 2 5 3 3" xfId="20016"/>
    <cellStyle name="Normal 2 3 2 5 3 4" xfId="35059"/>
    <cellStyle name="Normal 2 3 2 5 4" xfId="8744"/>
    <cellStyle name="Normal 2 3 2 5 4 2" xfId="23788"/>
    <cellStyle name="Normal 2 3 2 5 4 3" xfId="38831"/>
    <cellStyle name="Normal 2 3 2 5 5" xfId="16267"/>
    <cellStyle name="Normal 2 3 2 5 6" xfId="31310"/>
    <cellStyle name="Normal 2 3 2 6" xfId="2107"/>
    <cellStyle name="Normal 2 3 2 6 2" xfId="5903"/>
    <cellStyle name="Normal 2 3 2 6 2 2" xfId="13426"/>
    <cellStyle name="Normal 2 3 2 6 2 2 2" xfId="28470"/>
    <cellStyle name="Normal 2 3 2 6 2 2 3" xfId="43513"/>
    <cellStyle name="Normal 2 3 2 6 2 3" xfId="20949"/>
    <cellStyle name="Normal 2 3 2 6 2 4" xfId="35992"/>
    <cellStyle name="Normal 2 3 2 6 3" xfId="9677"/>
    <cellStyle name="Normal 2 3 2 6 3 2" xfId="24721"/>
    <cellStyle name="Normal 2 3 2 6 3 3" xfId="39764"/>
    <cellStyle name="Normal 2 3 2 6 4" xfId="17200"/>
    <cellStyle name="Normal 2 3 2 6 5" xfId="32243"/>
    <cellStyle name="Normal 2 3 2 7" xfId="4033"/>
    <cellStyle name="Normal 2 3 2 7 2" xfId="11557"/>
    <cellStyle name="Normal 2 3 2 7 2 2" xfId="26601"/>
    <cellStyle name="Normal 2 3 2 7 2 3" xfId="41644"/>
    <cellStyle name="Normal 2 3 2 7 3" xfId="19080"/>
    <cellStyle name="Normal 2 3 2 7 4" xfId="34123"/>
    <cellStyle name="Normal 2 3 2 8" xfId="7796"/>
    <cellStyle name="Normal 2 3 2 8 2" xfId="22840"/>
    <cellStyle name="Normal 2 3 2 8 3" xfId="37883"/>
    <cellStyle name="Normal 2 3 2 9" xfId="15319"/>
    <cellStyle name="Normal 2 3 3" xfId="203"/>
    <cellStyle name="Normal 2 3 4" xfId="33"/>
    <cellStyle name="Normal 2 3 4 2" xfId="670"/>
    <cellStyle name="Normal 2 3 4 2 2" xfId="1629"/>
    <cellStyle name="Normal 2 3 4 2 2 2" xfId="3500"/>
    <cellStyle name="Normal 2 3 4 2 2 2 2" xfId="7295"/>
    <cellStyle name="Normal 2 3 4 2 2 2 2 2" xfId="14818"/>
    <cellStyle name="Normal 2 3 4 2 2 2 2 2 2" xfId="29862"/>
    <cellStyle name="Normal 2 3 4 2 2 2 2 2 3" xfId="44905"/>
    <cellStyle name="Normal 2 3 4 2 2 2 2 3" xfId="22341"/>
    <cellStyle name="Normal 2 3 4 2 2 2 2 4" xfId="37384"/>
    <cellStyle name="Normal 2 3 4 2 2 2 3" xfId="11069"/>
    <cellStyle name="Normal 2 3 4 2 2 2 3 2" xfId="26113"/>
    <cellStyle name="Normal 2 3 4 2 2 2 3 3" xfId="41156"/>
    <cellStyle name="Normal 2 3 4 2 2 2 4" xfId="18592"/>
    <cellStyle name="Normal 2 3 4 2 2 2 5" xfId="33635"/>
    <cellStyle name="Normal 2 3 4 2 2 3" xfId="5430"/>
    <cellStyle name="Normal 2 3 4 2 2 3 2" xfId="12953"/>
    <cellStyle name="Normal 2 3 4 2 2 3 2 2" xfId="27997"/>
    <cellStyle name="Normal 2 3 4 2 2 3 2 3" xfId="43040"/>
    <cellStyle name="Normal 2 3 4 2 2 3 3" xfId="20476"/>
    <cellStyle name="Normal 2 3 4 2 2 3 4" xfId="35519"/>
    <cellStyle name="Normal 2 3 4 2 2 4" xfId="9204"/>
    <cellStyle name="Normal 2 3 4 2 2 4 2" xfId="24248"/>
    <cellStyle name="Normal 2 3 4 2 2 4 3" xfId="39291"/>
    <cellStyle name="Normal 2 3 4 2 2 5" xfId="16727"/>
    <cellStyle name="Normal 2 3 4 2 2 6" xfId="31770"/>
    <cellStyle name="Normal 2 3 4 2 3" xfId="2568"/>
    <cellStyle name="Normal 2 3 4 2 3 2" xfId="6363"/>
    <cellStyle name="Normal 2 3 4 2 3 2 2" xfId="13886"/>
    <cellStyle name="Normal 2 3 4 2 3 2 2 2" xfId="28930"/>
    <cellStyle name="Normal 2 3 4 2 3 2 2 3" xfId="43973"/>
    <cellStyle name="Normal 2 3 4 2 3 2 3" xfId="21409"/>
    <cellStyle name="Normal 2 3 4 2 3 2 4" xfId="36452"/>
    <cellStyle name="Normal 2 3 4 2 3 3" xfId="10137"/>
    <cellStyle name="Normal 2 3 4 2 3 3 2" xfId="25181"/>
    <cellStyle name="Normal 2 3 4 2 3 3 3" xfId="40224"/>
    <cellStyle name="Normal 2 3 4 2 3 4" xfId="17660"/>
    <cellStyle name="Normal 2 3 4 2 3 5" xfId="32703"/>
    <cellStyle name="Normal 2 3 4 2 4" xfId="4498"/>
    <cellStyle name="Normal 2 3 4 2 4 2" xfId="12021"/>
    <cellStyle name="Normal 2 3 4 2 4 2 2" xfId="27065"/>
    <cellStyle name="Normal 2 3 4 2 4 2 3" xfId="42108"/>
    <cellStyle name="Normal 2 3 4 2 4 3" xfId="19544"/>
    <cellStyle name="Normal 2 3 4 2 4 4" xfId="34587"/>
    <cellStyle name="Normal 2 3 4 2 5" xfId="8272"/>
    <cellStyle name="Normal 2 3 4 2 5 2" xfId="23316"/>
    <cellStyle name="Normal 2 3 4 2 5 3" xfId="38359"/>
    <cellStyle name="Normal 2 3 4 2 6" xfId="15795"/>
    <cellStyle name="Normal 2 3 4 2 7" xfId="30838"/>
    <cellStyle name="Normal 2 3 4 3" xfId="1177"/>
    <cellStyle name="Normal 2 3 4 3 2" xfId="3048"/>
    <cellStyle name="Normal 2 3 4 3 2 2" xfId="6843"/>
    <cellStyle name="Normal 2 3 4 3 2 2 2" xfId="14366"/>
    <cellStyle name="Normal 2 3 4 3 2 2 2 2" xfId="29410"/>
    <cellStyle name="Normal 2 3 4 3 2 2 2 3" xfId="44453"/>
    <cellStyle name="Normal 2 3 4 3 2 2 3" xfId="21889"/>
    <cellStyle name="Normal 2 3 4 3 2 2 4" xfId="36932"/>
    <cellStyle name="Normal 2 3 4 3 2 3" xfId="10617"/>
    <cellStyle name="Normal 2 3 4 3 2 3 2" xfId="25661"/>
    <cellStyle name="Normal 2 3 4 3 2 3 3" xfId="40704"/>
    <cellStyle name="Normal 2 3 4 3 2 4" xfId="18140"/>
    <cellStyle name="Normal 2 3 4 3 2 5" xfId="33183"/>
    <cellStyle name="Normal 2 3 4 3 3" xfId="4978"/>
    <cellStyle name="Normal 2 3 4 3 3 2" xfId="12501"/>
    <cellStyle name="Normal 2 3 4 3 3 2 2" xfId="27545"/>
    <cellStyle name="Normal 2 3 4 3 3 2 3" xfId="42588"/>
    <cellStyle name="Normal 2 3 4 3 3 3" xfId="20024"/>
    <cellStyle name="Normal 2 3 4 3 3 4" xfId="35067"/>
    <cellStyle name="Normal 2 3 4 3 4" xfId="8752"/>
    <cellStyle name="Normal 2 3 4 3 4 2" xfId="23796"/>
    <cellStyle name="Normal 2 3 4 3 4 3" xfId="38839"/>
    <cellStyle name="Normal 2 3 4 3 5" xfId="16275"/>
    <cellStyle name="Normal 2 3 4 3 6" xfId="31318"/>
    <cellStyle name="Normal 2 3 4 4" xfId="2115"/>
    <cellStyle name="Normal 2 3 4 4 2" xfId="5911"/>
    <cellStyle name="Normal 2 3 4 4 2 2" xfId="13434"/>
    <cellStyle name="Normal 2 3 4 4 2 2 2" xfId="28478"/>
    <cellStyle name="Normal 2 3 4 4 2 2 3" xfId="43521"/>
    <cellStyle name="Normal 2 3 4 4 2 3" xfId="20957"/>
    <cellStyle name="Normal 2 3 4 4 2 4" xfId="36000"/>
    <cellStyle name="Normal 2 3 4 4 3" xfId="9685"/>
    <cellStyle name="Normal 2 3 4 4 3 2" xfId="24729"/>
    <cellStyle name="Normal 2 3 4 4 3 3" xfId="39772"/>
    <cellStyle name="Normal 2 3 4 4 4" xfId="17208"/>
    <cellStyle name="Normal 2 3 4 4 5" xfId="32251"/>
    <cellStyle name="Normal 2 3 4 5" xfId="4041"/>
    <cellStyle name="Normal 2 3 4 5 2" xfId="11565"/>
    <cellStyle name="Normal 2 3 4 5 2 2" xfId="26609"/>
    <cellStyle name="Normal 2 3 4 5 2 3" xfId="41652"/>
    <cellStyle name="Normal 2 3 4 5 3" xfId="19088"/>
    <cellStyle name="Normal 2 3 4 5 4" xfId="34131"/>
    <cellStyle name="Normal 2 3 4 6" xfId="7804"/>
    <cellStyle name="Normal 2 3 4 6 2" xfId="22848"/>
    <cellStyle name="Normal 2 3 4 6 3" xfId="37891"/>
    <cellStyle name="Normal 2 3 4 7" xfId="15327"/>
    <cellStyle name="Normal 2 3 4 8" xfId="30370"/>
    <cellStyle name="Normal 2 3 5" xfId="592"/>
    <cellStyle name="Normal 2 3 5 2" xfId="1090"/>
    <cellStyle name="Normal 2 3 5 2 2" xfId="2049"/>
    <cellStyle name="Normal 2 3 5 2 2 2" xfId="3920"/>
    <cellStyle name="Normal 2 3 5 2 2 2 2" xfId="7715"/>
    <cellStyle name="Normal 2 3 5 2 2 2 2 2" xfId="15238"/>
    <cellStyle name="Normal 2 3 5 2 2 2 2 2 2" xfId="30282"/>
    <cellStyle name="Normal 2 3 5 2 2 2 2 2 3" xfId="45325"/>
    <cellStyle name="Normal 2 3 5 2 2 2 2 3" xfId="22761"/>
    <cellStyle name="Normal 2 3 5 2 2 2 2 4" xfId="37804"/>
    <cellStyle name="Normal 2 3 5 2 2 2 3" xfId="11489"/>
    <cellStyle name="Normal 2 3 5 2 2 2 3 2" xfId="26533"/>
    <cellStyle name="Normal 2 3 5 2 2 2 3 3" xfId="41576"/>
    <cellStyle name="Normal 2 3 5 2 2 2 4" xfId="19012"/>
    <cellStyle name="Normal 2 3 5 2 2 2 5" xfId="34055"/>
    <cellStyle name="Normal 2 3 5 2 2 3" xfId="5850"/>
    <cellStyle name="Normal 2 3 5 2 2 3 2" xfId="13373"/>
    <cellStyle name="Normal 2 3 5 2 2 3 2 2" xfId="28417"/>
    <cellStyle name="Normal 2 3 5 2 2 3 2 3" xfId="43460"/>
    <cellStyle name="Normal 2 3 5 2 2 3 3" xfId="20896"/>
    <cellStyle name="Normal 2 3 5 2 2 3 4" xfId="35939"/>
    <cellStyle name="Normal 2 3 5 2 2 4" xfId="9624"/>
    <cellStyle name="Normal 2 3 5 2 2 4 2" xfId="24668"/>
    <cellStyle name="Normal 2 3 5 2 2 4 3" xfId="39711"/>
    <cellStyle name="Normal 2 3 5 2 2 5" xfId="17147"/>
    <cellStyle name="Normal 2 3 5 2 2 6" xfId="32190"/>
    <cellStyle name="Normal 2 3 5 2 3" xfId="2988"/>
    <cellStyle name="Normal 2 3 5 2 3 2" xfId="6783"/>
    <cellStyle name="Normal 2 3 5 2 3 2 2" xfId="14306"/>
    <cellStyle name="Normal 2 3 5 2 3 2 2 2" xfId="29350"/>
    <cellStyle name="Normal 2 3 5 2 3 2 2 3" xfId="44393"/>
    <cellStyle name="Normal 2 3 5 2 3 2 3" xfId="21829"/>
    <cellStyle name="Normal 2 3 5 2 3 2 4" xfId="36872"/>
    <cellStyle name="Normal 2 3 5 2 3 3" xfId="10557"/>
    <cellStyle name="Normal 2 3 5 2 3 3 2" xfId="25601"/>
    <cellStyle name="Normal 2 3 5 2 3 3 3" xfId="40644"/>
    <cellStyle name="Normal 2 3 5 2 3 4" xfId="18080"/>
    <cellStyle name="Normal 2 3 5 2 3 5" xfId="33123"/>
    <cellStyle name="Normal 2 3 5 2 4" xfId="4918"/>
    <cellStyle name="Normal 2 3 5 2 4 2" xfId="12441"/>
    <cellStyle name="Normal 2 3 5 2 4 2 2" xfId="27485"/>
    <cellStyle name="Normal 2 3 5 2 4 2 3" xfId="42528"/>
    <cellStyle name="Normal 2 3 5 2 4 3" xfId="19964"/>
    <cellStyle name="Normal 2 3 5 2 4 4" xfId="35007"/>
    <cellStyle name="Normal 2 3 5 2 5" xfId="8692"/>
    <cellStyle name="Normal 2 3 5 2 5 2" xfId="23736"/>
    <cellStyle name="Normal 2 3 5 2 5 3" xfId="38779"/>
    <cellStyle name="Normal 2 3 5 2 6" xfId="16215"/>
    <cellStyle name="Normal 2 3 5 2 7" xfId="31258"/>
    <cellStyle name="Normal 2 3 5 3" xfId="1597"/>
    <cellStyle name="Normal 2 3 5 3 2" xfId="3468"/>
    <cellStyle name="Normal 2 3 5 3 2 2" xfId="7263"/>
    <cellStyle name="Normal 2 3 5 3 2 2 2" xfId="14786"/>
    <cellStyle name="Normal 2 3 5 3 2 2 2 2" xfId="29830"/>
    <cellStyle name="Normal 2 3 5 3 2 2 2 3" xfId="44873"/>
    <cellStyle name="Normal 2 3 5 3 2 2 3" xfId="22309"/>
    <cellStyle name="Normal 2 3 5 3 2 2 4" xfId="37352"/>
    <cellStyle name="Normal 2 3 5 3 2 3" xfId="11037"/>
    <cellStyle name="Normal 2 3 5 3 2 3 2" xfId="26081"/>
    <cellStyle name="Normal 2 3 5 3 2 3 3" xfId="41124"/>
    <cellStyle name="Normal 2 3 5 3 2 4" xfId="18560"/>
    <cellStyle name="Normal 2 3 5 3 2 5" xfId="33603"/>
    <cellStyle name="Normal 2 3 5 3 3" xfId="5398"/>
    <cellStyle name="Normal 2 3 5 3 3 2" xfId="12921"/>
    <cellStyle name="Normal 2 3 5 3 3 2 2" xfId="27965"/>
    <cellStyle name="Normal 2 3 5 3 3 2 3" xfId="43008"/>
    <cellStyle name="Normal 2 3 5 3 3 3" xfId="20444"/>
    <cellStyle name="Normal 2 3 5 3 3 4" xfId="35487"/>
    <cellStyle name="Normal 2 3 5 3 4" xfId="9172"/>
    <cellStyle name="Normal 2 3 5 3 4 2" xfId="24216"/>
    <cellStyle name="Normal 2 3 5 3 4 3" xfId="39259"/>
    <cellStyle name="Normal 2 3 5 3 5" xfId="16695"/>
    <cellStyle name="Normal 2 3 5 3 6" xfId="31738"/>
    <cellStyle name="Normal 2 3 5 4" xfId="2535"/>
    <cellStyle name="Normal 2 3 5 4 2" xfId="6331"/>
    <cellStyle name="Normal 2 3 5 4 2 2" xfId="13854"/>
    <cellStyle name="Normal 2 3 5 4 2 2 2" xfId="28898"/>
    <cellStyle name="Normal 2 3 5 4 2 2 3" xfId="43941"/>
    <cellStyle name="Normal 2 3 5 4 2 3" xfId="21377"/>
    <cellStyle name="Normal 2 3 5 4 2 4" xfId="36420"/>
    <cellStyle name="Normal 2 3 5 4 3" xfId="10105"/>
    <cellStyle name="Normal 2 3 5 4 3 2" xfId="25149"/>
    <cellStyle name="Normal 2 3 5 4 3 3" xfId="40192"/>
    <cellStyle name="Normal 2 3 5 4 4" xfId="17628"/>
    <cellStyle name="Normal 2 3 5 4 5" xfId="32671"/>
    <cellStyle name="Normal 2 3 5 5" xfId="4463"/>
    <cellStyle name="Normal 2 3 5 5 2" xfId="11987"/>
    <cellStyle name="Normal 2 3 5 5 2 2" xfId="27031"/>
    <cellStyle name="Normal 2 3 5 5 2 3" xfId="42074"/>
    <cellStyle name="Normal 2 3 5 5 3" xfId="19510"/>
    <cellStyle name="Normal 2 3 5 5 4" xfId="34553"/>
    <cellStyle name="Normal 2 3 5 6" xfId="8226"/>
    <cellStyle name="Normal 2 3 5 6 2" xfId="23270"/>
    <cellStyle name="Normal 2 3 5 6 3" xfId="38313"/>
    <cellStyle name="Normal 2 3 5 7" xfId="15749"/>
    <cellStyle name="Normal 2 3 5 8" xfId="30792"/>
    <cellStyle name="Normal 2 3 6" xfId="652"/>
    <cellStyle name="Normal 2 3 6 2" xfId="1612"/>
    <cellStyle name="Normal 2 3 6 2 2" xfId="3483"/>
    <cellStyle name="Normal 2 3 6 2 2 2" xfId="7278"/>
    <cellStyle name="Normal 2 3 6 2 2 2 2" xfId="14801"/>
    <cellStyle name="Normal 2 3 6 2 2 2 2 2" xfId="29845"/>
    <cellStyle name="Normal 2 3 6 2 2 2 2 3" xfId="44888"/>
    <cellStyle name="Normal 2 3 6 2 2 2 3" xfId="22324"/>
    <cellStyle name="Normal 2 3 6 2 2 2 4" xfId="37367"/>
    <cellStyle name="Normal 2 3 6 2 2 3" xfId="11052"/>
    <cellStyle name="Normal 2 3 6 2 2 3 2" xfId="26096"/>
    <cellStyle name="Normal 2 3 6 2 2 3 3" xfId="41139"/>
    <cellStyle name="Normal 2 3 6 2 2 4" xfId="18575"/>
    <cellStyle name="Normal 2 3 6 2 2 5" xfId="33618"/>
    <cellStyle name="Normal 2 3 6 2 3" xfId="5413"/>
    <cellStyle name="Normal 2 3 6 2 3 2" xfId="12936"/>
    <cellStyle name="Normal 2 3 6 2 3 2 2" xfId="27980"/>
    <cellStyle name="Normal 2 3 6 2 3 2 3" xfId="43023"/>
    <cellStyle name="Normal 2 3 6 2 3 3" xfId="20459"/>
    <cellStyle name="Normal 2 3 6 2 3 4" xfId="35502"/>
    <cellStyle name="Normal 2 3 6 2 4" xfId="9187"/>
    <cellStyle name="Normal 2 3 6 2 4 2" xfId="24231"/>
    <cellStyle name="Normal 2 3 6 2 4 3" xfId="39274"/>
    <cellStyle name="Normal 2 3 6 2 5" xfId="16710"/>
    <cellStyle name="Normal 2 3 6 2 6" xfId="31753"/>
    <cellStyle name="Normal 2 3 6 3" xfId="2551"/>
    <cellStyle name="Normal 2 3 6 3 2" xfId="6346"/>
    <cellStyle name="Normal 2 3 6 3 2 2" xfId="13869"/>
    <cellStyle name="Normal 2 3 6 3 2 2 2" xfId="28913"/>
    <cellStyle name="Normal 2 3 6 3 2 2 3" xfId="43956"/>
    <cellStyle name="Normal 2 3 6 3 2 3" xfId="21392"/>
    <cellStyle name="Normal 2 3 6 3 2 4" xfId="36435"/>
    <cellStyle name="Normal 2 3 6 3 3" xfId="10120"/>
    <cellStyle name="Normal 2 3 6 3 3 2" xfId="25164"/>
    <cellStyle name="Normal 2 3 6 3 3 3" xfId="40207"/>
    <cellStyle name="Normal 2 3 6 3 4" xfId="17643"/>
    <cellStyle name="Normal 2 3 6 3 5" xfId="32686"/>
    <cellStyle name="Normal 2 3 6 4" xfId="4481"/>
    <cellStyle name="Normal 2 3 6 4 2" xfId="12004"/>
    <cellStyle name="Normal 2 3 6 4 2 2" xfId="27048"/>
    <cellStyle name="Normal 2 3 6 4 2 3" xfId="42091"/>
    <cellStyle name="Normal 2 3 6 4 3" xfId="19527"/>
    <cellStyle name="Normal 2 3 6 4 4" xfId="34570"/>
    <cellStyle name="Normal 2 3 6 5" xfId="8255"/>
    <cellStyle name="Normal 2 3 6 5 2" xfId="23299"/>
    <cellStyle name="Normal 2 3 6 5 3" xfId="38342"/>
    <cellStyle name="Normal 2 3 6 6" xfId="15778"/>
    <cellStyle name="Normal 2 3 6 7" xfId="30821"/>
    <cellStyle name="Normal 2 3 7" xfId="1160"/>
    <cellStyle name="Normal 2 3 7 2" xfId="3031"/>
    <cellStyle name="Normal 2 3 7 2 2" xfId="6826"/>
    <cellStyle name="Normal 2 3 7 2 2 2" xfId="14349"/>
    <cellStyle name="Normal 2 3 7 2 2 2 2" xfId="29393"/>
    <cellStyle name="Normal 2 3 7 2 2 2 3" xfId="44436"/>
    <cellStyle name="Normal 2 3 7 2 2 3" xfId="21872"/>
    <cellStyle name="Normal 2 3 7 2 2 4" xfId="36915"/>
    <cellStyle name="Normal 2 3 7 2 3" xfId="10600"/>
    <cellStyle name="Normal 2 3 7 2 3 2" xfId="25644"/>
    <cellStyle name="Normal 2 3 7 2 3 3" xfId="40687"/>
    <cellStyle name="Normal 2 3 7 2 4" xfId="18123"/>
    <cellStyle name="Normal 2 3 7 2 5" xfId="33166"/>
    <cellStyle name="Normal 2 3 7 3" xfId="4961"/>
    <cellStyle name="Normal 2 3 7 3 2" xfId="12484"/>
    <cellStyle name="Normal 2 3 7 3 2 2" xfId="27528"/>
    <cellStyle name="Normal 2 3 7 3 2 3" xfId="42571"/>
    <cellStyle name="Normal 2 3 7 3 3" xfId="20007"/>
    <cellStyle name="Normal 2 3 7 3 4" xfId="35050"/>
    <cellStyle name="Normal 2 3 7 4" xfId="8735"/>
    <cellStyle name="Normal 2 3 7 4 2" xfId="23779"/>
    <cellStyle name="Normal 2 3 7 4 3" xfId="38822"/>
    <cellStyle name="Normal 2 3 7 5" xfId="16258"/>
    <cellStyle name="Normal 2 3 7 6" xfId="31301"/>
    <cellStyle name="Normal 2 3 8" xfId="2098"/>
    <cellStyle name="Normal 2 3 8 2" xfId="5894"/>
    <cellStyle name="Normal 2 3 8 2 2" xfId="13417"/>
    <cellStyle name="Normal 2 3 8 2 2 2" xfId="28461"/>
    <cellStyle name="Normal 2 3 8 2 2 3" xfId="43504"/>
    <cellStyle name="Normal 2 3 8 2 3" xfId="20940"/>
    <cellStyle name="Normal 2 3 8 2 4" xfId="35983"/>
    <cellStyle name="Normal 2 3 8 3" xfId="9668"/>
    <cellStyle name="Normal 2 3 8 3 2" xfId="24712"/>
    <cellStyle name="Normal 2 3 8 3 3" xfId="39755"/>
    <cellStyle name="Normal 2 3 8 4" xfId="17191"/>
    <cellStyle name="Normal 2 3 8 5" xfId="32234"/>
    <cellStyle name="Normal 2 3 9" xfId="4024"/>
    <cellStyle name="Normal 2 3 9 2" xfId="11548"/>
    <cellStyle name="Normal 2 3 9 2 2" xfId="26592"/>
    <cellStyle name="Normal 2 3 9 2 3" xfId="41635"/>
    <cellStyle name="Normal 2 3 9 3" xfId="19071"/>
    <cellStyle name="Normal 2 3 9 4" xfId="34114"/>
    <cellStyle name="Normal 2 4" xfId="11"/>
    <cellStyle name="Normal 2 4 10" xfId="15313"/>
    <cellStyle name="Normal 2 4 11" xfId="30356"/>
    <cellStyle name="Normal 2 4 2" xfId="26"/>
    <cellStyle name="Normal 2 4 2 10" xfId="30365"/>
    <cellStyle name="Normal 2 4 2 2" xfId="45"/>
    <cellStyle name="Normal 2 4 2 2 2" xfId="682"/>
    <cellStyle name="Normal 2 4 2 2 2 2" xfId="1641"/>
    <cellStyle name="Normal 2 4 2 2 2 2 2" xfId="3512"/>
    <cellStyle name="Normal 2 4 2 2 2 2 2 2" xfId="7307"/>
    <cellStyle name="Normal 2 4 2 2 2 2 2 2 2" xfId="14830"/>
    <cellStyle name="Normal 2 4 2 2 2 2 2 2 2 2" xfId="29874"/>
    <cellStyle name="Normal 2 4 2 2 2 2 2 2 2 3" xfId="44917"/>
    <cellStyle name="Normal 2 4 2 2 2 2 2 2 3" xfId="22353"/>
    <cellStyle name="Normal 2 4 2 2 2 2 2 2 4" xfId="37396"/>
    <cellStyle name="Normal 2 4 2 2 2 2 2 3" xfId="11081"/>
    <cellStyle name="Normal 2 4 2 2 2 2 2 3 2" xfId="26125"/>
    <cellStyle name="Normal 2 4 2 2 2 2 2 3 3" xfId="41168"/>
    <cellStyle name="Normal 2 4 2 2 2 2 2 4" xfId="18604"/>
    <cellStyle name="Normal 2 4 2 2 2 2 2 5" xfId="33647"/>
    <cellStyle name="Normal 2 4 2 2 2 2 3" xfId="5442"/>
    <cellStyle name="Normal 2 4 2 2 2 2 3 2" xfId="12965"/>
    <cellStyle name="Normal 2 4 2 2 2 2 3 2 2" xfId="28009"/>
    <cellStyle name="Normal 2 4 2 2 2 2 3 2 3" xfId="43052"/>
    <cellStyle name="Normal 2 4 2 2 2 2 3 3" xfId="20488"/>
    <cellStyle name="Normal 2 4 2 2 2 2 3 4" xfId="35531"/>
    <cellStyle name="Normal 2 4 2 2 2 2 4" xfId="9216"/>
    <cellStyle name="Normal 2 4 2 2 2 2 4 2" xfId="24260"/>
    <cellStyle name="Normal 2 4 2 2 2 2 4 3" xfId="39303"/>
    <cellStyle name="Normal 2 4 2 2 2 2 5" xfId="16739"/>
    <cellStyle name="Normal 2 4 2 2 2 2 6" xfId="31782"/>
    <cellStyle name="Normal 2 4 2 2 2 3" xfId="2580"/>
    <cellStyle name="Normal 2 4 2 2 2 3 2" xfId="6375"/>
    <cellStyle name="Normal 2 4 2 2 2 3 2 2" xfId="13898"/>
    <cellStyle name="Normal 2 4 2 2 2 3 2 2 2" xfId="28942"/>
    <cellStyle name="Normal 2 4 2 2 2 3 2 2 3" xfId="43985"/>
    <cellStyle name="Normal 2 4 2 2 2 3 2 3" xfId="21421"/>
    <cellStyle name="Normal 2 4 2 2 2 3 2 4" xfId="36464"/>
    <cellStyle name="Normal 2 4 2 2 2 3 3" xfId="10149"/>
    <cellStyle name="Normal 2 4 2 2 2 3 3 2" xfId="25193"/>
    <cellStyle name="Normal 2 4 2 2 2 3 3 3" xfId="40236"/>
    <cellStyle name="Normal 2 4 2 2 2 3 4" xfId="17672"/>
    <cellStyle name="Normal 2 4 2 2 2 3 5" xfId="32715"/>
    <cellStyle name="Normal 2 4 2 2 2 4" xfId="4510"/>
    <cellStyle name="Normal 2 4 2 2 2 4 2" xfId="12033"/>
    <cellStyle name="Normal 2 4 2 2 2 4 2 2" xfId="27077"/>
    <cellStyle name="Normal 2 4 2 2 2 4 2 3" xfId="42120"/>
    <cellStyle name="Normal 2 4 2 2 2 4 3" xfId="19556"/>
    <cellStyle name="Normal 2 4 2 2 2 4 4" xfId="34599"/>
    <cellStyle name="Normal 2 4 2 2 2 5" xfId="8284"/>
    <cellStyle name="Normal 2 4 2 2 2 5 2" xfId="23328"/>
    <cellStyle name="Normal 2 4 2 2 2 5 3" xfId="38371"/>
    <cellStyle name="Normal 2 4 2 2 2 6" xfId="15807"/>
    <cellStyle name="Normal 2 4 2 2 2 7" xfId="30850"/>
    <cellStyle name="Normal 2 4 2 2 3" xfId="1189"/>
    <cellStyle name="Normal 2 4 2 2 3 2" xfId="3060"/>
    <cellStyle name="Normal 2 4 2 2 3 2 2" xfId="6855"/>
    <cellStyle name="Normal 2 4 2 2 3 2 2 2" xfId="14378"/>
    <cellStyle name="Normal 2 4 2 2 3 2 2 2 2" xfId="29422"/>
    <cellStyle name="Normal 2 4 2 2 3 2 2 2 3" xfId="44465"/>
    <cellStyle name="Normal 2 4 2 2 3 2 2 3" xfId="21901"/>
    <cellStyle name="Normal 2 4 2 2 3 2 2 4" xfId="36944"/>
    <cellStyle name="Normal 2 4 2 2 3 2 3" xfId="10629"/>
    <cellStyle name="Normal 2 4 2 2 3 2 3 2" xfId="25673"/>
    <cellStyle name="Normal 2 4 2 2 3 2 3 3" xfId="40716"/>
    <cellStyle name="Normal 2 4 2 2 3 2 4" xfId="18152"/>
    <cellStyle name="Normal 2 4 2 2 3 2 5" xfId="33195"/>
    <cellStyle name="Normal 2 4 2 2 3 3" xfId="4990"/>
    <cellStyle name="Normal 2 4 2 2 3 3 2" xfId="12513"/>
    <cellStyle name="Normal 2 4 2 2 3 3 2 2" xfId="27557"/>
    <cellStyle name="Normal 2 4 2 2 3 3 2 3" xfId="42600"/>
    <cellStyle name="Normal 2 4 2 2 3 3 3" xfId="20036"/>
    <cellStyle name="Normal 2 4 2 2 3 3 4" xfId="35079"/>
    <cellStyle name="Normal 2 4 2 2 3 4" xfId="8764"/>
    <cellStyle name="Normal 2 4 2 2 3 4 2" xfId="23808"/>
    <cellStyle name="Normal 2 4 2 2 3 4 3" xfId="38851"/>
    <cellStyle name="Normal 2 4 2 2 3 5" xfId="16287"/>
    <cellStyle name="Normal 2 4 2 2 3 6" xfId="31330"/>
    <cellStyle name="Normal 2 4 2 2 4" xfId="2127"/>
    <cellStyle name="Normal 2 4 2 2 4 2" xfId="5923"/>
    <cellStyle name="Normal 2 4 2 2 4 2 2" xfId="13446"/>
    <cellStyle name="Normal 2 4 2 2 4 2 2 2" xfId="28490"/>
    <cellStyle name="Normal 2 4 2 2 4 2 2 3" xfId="43533"/>
    <cellStyle name="Normal 2 4 2 2 4 2 3" xfId="20969"/>
    <cellStyle name="Normal 2 4 2 2 4 2 4" xfId="36012"/>
    <cellStyle name="Normal 2 4 2 2 4 3" xfId="9697"/>
    <cellStyle name="Normal 2 4 2 2 4 3 2" xfId="24741"/>
    <cellStyle name="Normal 2 4 2 2 4 3 3" xfId="39784"/>
    <cellStyle name="Normal 2 4 2 2 4 4" xfId="17220"/>
    <cellStyle name="Normal 2 4 2 2 4 5" xfId="32263"/>
    <cellStyle name="Normal 2 4 2 2 5" xfId="4053"/>
    <cellStyle name="Normal 2 4 2 2 5 2" xfId="11577"/>
    <cellStyle name="Normal 2 4 2 2 5 2 2" xfId="26621"/>
    <cellStyle name="Normal 2 4 2 2 5 2 3" xfId="41664"/>
    <cellStyle name="Normal 2 4 2 2 5 3" xfId="19100"/>
    <cellStyle name="Normal 2 4 2 2 5 4" xfId="34143"/>
    <cellStyle name="Normal 2 4 2 2 6" xfId="7816"/>
    <cellStyle name="Normal 2 4 2 2 6 2" xfId="22860"/>
    <cellStyle name="Normal 2 4 2 2 6 3" xfId="37903"/>
    <cellStyle name="Normal 2 4 2 2 7" xfId="15339"/>
    <cellStyle name="Normal 2 4 2 2 8" xfId="30382"/>
    <cellStyle name="Normal 2 4 2 3" xfId="601"/>
    <cellStyle name="Normal 2 4 2 3 2" xfId="1099"/>
    <cellStyle name="Normal 2 4 2 3 2 2" xfId="2058"/>
    <cellStyle name="Normal 2 4 2 3 2 2 2" xfId="3929"/>
    <cellStyle name="Normal 2 4 2 3 2 2 2 2" xfId="7724"/>
    <cellStyle name="Normal 2 4 2 3 2 2 2 2 2" xfId="15247"/>
    <cellStyle name="Normal 2 4 2 3 2 2 2 2 2 2" xfId="30291"/>
    <cellStyle name="Normal 2 4 2 3 2 2 2 2 2 3" xfId="45334"/>
    <cellStyle name="Normal 2 4 2 3 2 2 2 2 3" xfId="22770"/>
    <cellStyle name="Normal 2 4 2 3 2 2 2 2 4" xfId="37813"/>
    <cellStyle name="Normal 2 4 2 3 2 2 2 3" xfId="11498"/>
    <cellStyle name="Normal 2 4 2 3 2 2 2 3 2" xfId="26542"/>
    <cellStyle name="Normal 2 4 2 3 2 2 2 3 3" xfId="41585"/>
    <cellStyle name="Normal 2 4 2 3 2 2 2 4" xfId="19021"/>
    <cellStyle name="Normal 2 4 2 3 2 2 2 5" xfId="34064"/>
    <cellStyle name="Normal 2 4 2 3 2 2 3" xfId="5859"/>
    <cellStyle name="Normal 2 4 2 3 2 2 3 2" xfId="13382"/>
    <cellStyle name="Normal 2 4 2 3 2 2 3 2 2" xfId="28426"/>
    <cellStyle name="Normal 2 4 2 3 2 2 3 2 3" xfId="43469"/>
    <cellStyle name="Normal 2 4 2 3 2 2 3 3" xfId="20905"/>
    <cellStyle name="Normal 2 4 2 3 2 2 3 4" xfId="35948"/>
    <cellStyle name="Normal 2 4 2 3 2 2 4" xfId="9633"/>
    <cellStyle name="Normal 2 4 2 3 2 2 4 2" xfId="24677"/>
    <cellStyle name="Normal 2 4 2 3 2 2 4 3" xfId="39720"/>
    <cellStyle name="Normal 2 4 2 3 2 2 5" xfId="17156"/>
    <cellStyle name="Normal 2 4 2 3 2 2 6" xfId="32199"/>
    <cellStyle name="Normal 2 4 2 3 2 3" xfId="2997"/>
    <cellStyle name="Normal 2 4 2 3 2 3 2" xfId="6792"/>
    <cellStyle name="Normal 2 4 2 3 2 3 2 2" xfId="14315"/>
    <cellStyle name="Normal 2 4 2 3 2 3 2 2 2" xfId="29359"/>
    <cellStyle name="Normal 2 4 2 3 2 3 2 2 3" xfId="44402"/>
    <cellStyle name="Normal 2 4 2 3 2 3 2 3" xfId="21838"/>
    <cellStyle name="Normal 2 4 2 3 2 3 2 4" xfId="36881"/>
    <cellStyle name="Normal 2 4 2 3 2 3 3" xfId="10566"/>
    <cellStyle name="Normal 2 4 2 3 2 3 3 2" xfId="25610"/>
    <cellStyle name="Normal 2 4 2 3 2 3 3 3" xfId="40653"/>
    <cellStyle name="Normal 2 4 2 3 2 3 4" xfId="18089"/>
    <cellStyle name="Normal 2 4 2 3 2 3 5" xfId="33132"/>
    <cellStyle name="Normal 2 4 2 3 2 4" xfId="4927"/>
    <cellStyle name="Normal 2 4 2 3 2 4 2" xfId="12450"/>
    <cellStyle name="Normal 2 4 2 3 2 4 2 2" xfId="27494"/>
    <cellStyle name="Normal 2 4 2 3 2 4 2 3" xfId="42537"/>
    <cellStyle name="Normal 2 4 2 3 2 4 3" xfId="19973"/>
    <cellStyle name="Normal 2 4 2 3 2 4 4" xfId="35016"/>
    <cellStyle name="Normal 2 4 2 3 2 5" xfId="8701"/>
    <cellStyle name="Normal 2 4 2 3 2 5 2" xfId="23745"/>
    <cellStyle name="Normal 2 4 2 3 2 5 3" xfId="38788"/>
    <cellStyle name="Normal 2 4 2 3 2 6" xfId="16224"/>
    <cellStyle name="Normal 2 4 2 3 2 7" xfId="31267"/>
    <cellStyle name="Normal 2 4 2 3 3" xfId="1606"/>
    <cellStyle name="Normal 2 4 2 3 3 2" xfId="3477"/>
    <cellStyle name="Normal 2 4 2 3 3 2 2" xfId="7272"/>
    <cellStyle name="Normal 2 4 2 3 3 2 2 2" xfId="14795"/>
    <cellStyle name="Normal 2 4 2 3 3 2 2 2 2" xfId="29839"/>
    <cellStyle name="Normal 2 4 2 3 3 2 2 2 3" xfId="44882"/>
    <cellStyle name="Normal 2 4 2 3 3 2 2 3" xfId="22318"/>
    <cellStyle name="Normal 2 4 2 3 3 2 2 4" xfId="37361"/>
    <cellStyle name="Normal 2 4 2 3 3 2 3" xfId="11046"/>
    <cellStyle name="Normal 2 4 2 3 3 2 3 2" xfId="26090"/>
    <cellStyle name="Normal 2 4 2 3 3 2 3 3" xfId="41133"/>
    <cellStyle name="Normal 2 4 2 3 3 2 4" xfId="18569"/>
    <cellStyle name="Normal 2 4 2 3 3 2 5" xfId="33612"/>
    <cellStyle name="Normal 2 4 2 3 3 3" xfId="5407"/>
    <cellStyle name="Normal 2 4 2 3 3 3 2" xfId="12930"/>
    <cellStyle name="Normal 2 4 2 3 3 3 2 2" xfId="27974"/>
    <cellStyle name="Normal 2 4 2 3 3 3 2 3" xfId="43017"/>
    <cellStyle name="Normal 2 4 2 3 3 3 3" xfId="20453"/>
    <cellStyle name="Normal 2 4 2 3 3 3 4" xfId="35496"/>
    <cellStyle name="Normal 2 4 2 3 3 4" xfId="9181"/>
    <cellStyle name="Normal 2 4 2 3 3 4 2" xfId="24225"/>
    <cellStyle name="Normal 2 4 2 3 3 4 3" xfId="39268"/>
    <cellStyle name="Normal 2 4 2 3 3 5" xfId="16704"/>
    <cellStyle name="Normal 2 4 2 3 3 6" xfId="31747"/>
    <cellStyle name="Normal 2 4 2 3 4" xfId="2544"/>
    <cellStyle name="Normal 2 4 2 3 4 2" xfId="6340"/>
    <cellStyle name="Normal 2 4 2 3 4 2 2" xfId="13863"/>
    <cellStyle name="Normal 2 4 2 3 4 2 2 2" xfId="28907"/>
    <cellStyle name="Normal 2 4 2 3 4 2 2 3" xfId="43950"/>
    <cellStyle name="Normal 2 4 2 3 4 2 3" xfId="21386"/>
    <cellStyle name="Normal 2 4 2 3 4 2 4" xfId="36429"/>
    <cellStyle name="Normal 2 4 2 3 4 3" xfId="10114"/>
    <cellStyle name="Normal 2 4 2 3 4 3 2" xfId="25158"/>
    <cellStyle name="Normal 2 4 2 3 4 3 3" xfId="40201"/>
    <cellStyle name="Normal 2 4 2 3 4 4" xfId="17637"/>
    <cellStyle name="Normal 2 4 2 3 4 5" xfId="32680"/>
    <cellStyle name="Normal 2 4 2 3 5" xfId="4472"/>
    <cellStyle name="Normal 2 4 2 3 5 2" xfId="11996"/>
    <cellStyle name="Normal 2 4 2 3 5 2 2" xfId="27040"/>
    <cellStyle name="Normal 2 4 2 3 5 2 3" xfId="42083"/>
    <cellStyle name="Normal 2 4 2 3 5 3" xfId="19519"/>
    <cellStyle name="Normal 2 4 2 3 5 4" xfId="34562"/>
    <cellStyle name="Normal 2 4 2 3 6" xfId="8235"/>
    <cellStyle name="Normal 2 4 2 3 6 2" xfId="23279"/>
    <cellStyle name="Normal 2 4 2 3 6 3" xfId="38322"/>
    <cellStyle name="Normal 2 4 2 3 7" xfId="15758"/>
    <cellStyle name="Normal 2 4 2 3 8" xfId="30801"/>
    <cellStyle name="Normal 2 4 2 4" xfId="665"/>
    <cellStyle name="Normal 2 4 2 4 2" xfId="1624"/>
    <cellStyle name="Normal 2 4 2 4 2 2" xfId="3495"/>
    <cellStyle name="Normal 2 4 2 4 2 2 2" xfId="7290"/>
    <cellStyle name="Normal 2 4 2 4 2 2 2 2" xfId="14813"/>
    <cellStyle name="Normal 2 4 2 4 2 2 2 2 2" xfId="29857"/>
    <cellStyle name="Normal 2 4 2 4 2 2 2 2 3" xfId="44900"/>
    <cellStyle name="Normal 2 4 2 4 2 2 2 3" xfId="22336"/>
    <cellStyle name="Normal 2 4 2 4 2 2 2 4" xfId="37379"/>
    <cellStyle name="Normal 2 4 2 4 2 2 3" xfId="11064"/>
    <cellStyle name="Normal 2 4 2 4 2 2 3 2" xfId="26108"/>
    <cellStyle name="Normal 2 4 2 4 2 2 3 3" xfId="41151"/>
    <cellStyle name="Normal 2 4 2 4 2 2 4" xfId="18587"/>
    <cellStyle name="Normal 2 4 2 4 2 2 5" xfId="33630"/>
    <cellStyle name="Normal 2 4 2 4 2 3" xfId="5425"/>
    <cellStyle name="Normal 2 4 2 4 2 3 2" xfId="12948"/>
    <cellStyle name="Normal 2 4 2 4 2 3 2 2" xfId="27992"/>
    <cellStyle name="Normal 2 4 2 4 2 3 2 3" xfId="43035"/>
    <cellStyle name="Normal 2 4 2 4 2 3 3" xfId="20471"/>
    <cellStyle name="Normal 2 4 2 4 2 3 4" xfId="35514"/>
    <cellStyle name="Normal 2 4 2 4 2 4" xfId="9199"/>
    <cellStyle name="Normal 2 4 2 4 2 4 2" xfId="24243"/>
    <cellStyle name="Normal 2 4 2 4 2 4 3" xfId="39286"/>
    <cellStyle name="Normal 2 4 2 4 2 5" xfId="16722"/>
    <cellStyle name="Normal 2 4 2 4 2 6" xfId="31765"/>
    <cellStyle name="Normal 2 4 2 4 3" xfId="2563"/>
    <cellStyle name="Normal 2 4 2 4 3 2" xfId="6358"/>
    <cellStyle name="Normal 2 4 2 4 3 2 2" xfId="13881"/>
    <cellStyle name="Normal 2 4 2 4 3 2 2 2" xfId="28925"/>
    <cellStyle name="Normal 2 4 2 4 3 2 2 3" xfId="43968"/>
    <cellStyle name="Normal 2 4 2 4 3 2 3" xfId="21404"/>
    <cellStyle name="Normal 2 4 2 4 3 2 4" xfId="36447"/>
    <cellStyle name="Normal 2 4 2 4 3 3" xfId="10132"/>
    <cellStyle name="Normal 2 4 2 4 3 3 2" xfId="25176"/>
    <cellStyle name="Normal 2 4 2 4 3 3 3" xfId="40219"/>
    <cellStyle name="Normal 2 4 2 4 3 4" xfId="17655"/>
    <cellStyle name="Normal 2 4 2 4 3 5" xfId="32698"/>
    <cellStyle name="Normal 2 4 2 4 4" xfId="4493"/>
    <cellStyle name="Normal 2 4 2 4 4 2" xfId="12016"/>
    <cellStyle name="Normal 2 4 2 4 4 2 2" xfId="27060"/>
    <cellStyle name="Normal 2 4 2 4 4 2 3" xfId="42103"/>
    <cellStyle name="Normal 2 4 2 4 4 3" xfId="19539"/>
    <cellStyle name="Normal 2 4 2 4 4 4" xfId="34582"/>
    <cellStyle name="Normal 2 4 2 4 5" xfId="8267"/>
    <cellStyle name="Normal 2 4 2 4 5 2" xfId="23311"/>
    <cellStyle name="Normal 2 4 2 4 5 3" xfId="38354"/>
    <cellStyle name="Normal 2 4 2 4 6" xfId="15790"/>
    <cellStyle name="Normal 2 4 2 4 7" xfId="30833"/>
    <cellStyle name="Normal 2 4 2 5" xfId="1172"/>
    <cellStyle name="Normal 2 4 2 5 2" xfId="3043"/>
    <cellStyle name="Normal 2 4 2 5 2 2" xfId="6838"/>
    <cellStyle name="Normal 2 4 2 5 2 2 2" xfId="14361"/>
    <cellStyle name="Normal 2 4 2 5 2 2 2 2" xfId="29405"/>
    <cellStyle name="Normal 2 4 2 5 2 2 2 3" xfId="44448"/>
    <cellStyle name="Normal 2 4 2 5 2 2 3" xfId="21884"/>
    <cellStyle name="Normal 2 4 2 5 2 2 4" xfId="36927"/>
    <cellStyle name="Normal 2 4 2 5 2 3" xfId="10612"/>
    <cellStyle name="Normal 2 4 2 5 2 3 2" xfId="25656"/>
    <cellStyle name="Normal 2 4 2 5 2 3 3" xfId="40699"/>
    <cellStyle name="Normal 2 4 2 5 2 4" xfId="18135"/>
    <cellStyle name="Normal 2 4 2 5 2 5" xfId="33178"/>
    <cellStyle name="Normal 2 4 2 5 3" xfId="4973"/>
    <cellStyle name="Normal 2 4 2 5 3 2" xfId="12496"/>
    <cellStyle name="Normal 2 4 2 5 3 2 2" xfId="27540"/>
    <cellStyle name="Normal 2 4 2 5 3 2 3" xfId="42583"/>
    <cellStyle name="Normal 2 4 2 5 3 3" xfId="20019"/>
    <cellStyle name="Normal 2 4 2 5 3 4" xfId="35062"/>
    <cellStyle name="Normal 2 4 2 5 4" xfId="8747"/>
    <cellStyle name="Normal 2 4 2 5 4 2" xfId="23791"/>
    <cellStyle name="Normal 2 4 2 5 4 3" xfId="38834"/>
    <cellStyle name="Normal 2 4 2 5 5" xfId="16270"/>
    <cellStyle name="Normal 2 4 2 5 6" xfId="31313"/>
    <cellStyle name="Normal 2 4 2 6" xfId="2110"/>
    <cellStyle name="Normal 2 4 2 6 2" xfId="5906"/>
    <cellStyle name="Normal 2 4 2 6 2 2" xfId="13429"/>
    <cellStyle name="Normal 2 4 2 6 2 2 2" xfId="28473"/>
    <cellStyle name="Normal 2 4 2 6 2 2 3" xfId="43516"/>
    <cellStyle name="Normal 2 4 2 6 2 3" xfId="20952"/>
    <cellStyle name="Normal 2 4 2 6 2 4" xfId="35995"/>
    <cellStyle name="Normal 2 4 2 6 3" xfId="9680"/>
    <cellStyle name="Normal 2 4 2 6 3 2" xfId="24724"/>
    <cellStyle name="Normal 2 4 2 6 3 3" xfId="39767"/>
    <cellStyle name="Normal 2 4 2 6 4" xfId="17203"/>
    <cellStyle name="Normal 2 4 2 6 5" xfId="32246"/>
    <cellStyle name="Normal 2 4 2 7" xfId="4036"/>
    <cellStyle name="Normal 2 4 2 7 2" xfId="11560"/>
    <cellStyle name="Normal 2 4 2 7 2 2" xfId="26604"/>
    <cellStyle name="Normal 2 4 2 7 2 3" xfId="41647"/>
    <cellStyle name="Normal 2 4 2 7 3" xfId="19083"/>
    <cellStyle name="Normal 2 4 2 7 4" xfId="34126"/>
    <cellStyle name="Normal 2 4 2 8" xfId="7799"/>
    <cellStyle name="Normal 2 4 2 8 2" xfId="22843"/>
    <cellStyle name="Normal 2 4 2 8 3" xfId="37886"/>
    <cellStyle name="Normal 2 4 2 9" xfId="15322"/>
    <cellStyle name="Normal 2 4 3" xfId="36"/>
    <cellStyle name="Normal 2 4 3 2" xfId="673"/>
    <cellStyle name="Normal 2 4 3 2 2" xfId="1632"/>
    <cellStyle name="Normal 2 4 3 2 2 2" xfId="3503"/>
    <cellStyle name="Normal 2 4 3 2 2 2 2" xfId="7298"/>
    <cellStyle name="Normal 2 4 3 2 2 2 2 2" xfId="14821"/>
    <cellStyle name="Normal 2 4 3 2 2 2 2 2 2" xfId="29865"/>
    <cellStyle name="Normal 2 4 3 2 2 2 2 2 3" xfId="44908"/>
    <cellStyle name="Normal 2 4 3 2 2 2 2 3" xfId="22344"/>
    <cellStyle name="Normal 2 4 3 2 2 2 2 4" xfId="37387"/>
    <cellStyle name="Normal 2 4 3 2 2 2 3" xfId="11072"/>
    <cellStyle name="Normal 2 4 3 2 2 2 3 2" xfId="26116"/>
    <cellStyle name="Normal 2 4 3 2 2 2 3 3" xfId="41159"/>
    <cellStyle name="Normal 2 4 3 2 2 2 4" xfId="18595"/>
    <cellStyle name="Normal 2 4 3 2 2 2 5" xfId="33638"/>
    <cellStyle name="Normal 2 4 3 2 2 3" xfId="5433"/>
    <cellStyle name="Normal 2 4 3 2 2 3 2" xfId="12956"/>
    <cellStyle name="Normal 2 4 3 2 2 3 2 2" xfId="28000"/>
    <cellStyle name="Normal 2 4 3 2 2 3 2 3" xfId="43043"/>
    <cellStyle name="Normal 2 4 3 2 2 3 3" xfId="20479"/>
    <cellStyle name="Normal 2 4 3 2 2 3 4" xfId="35522"/>
    <cellStyle name="Normal 2 4 3 2 2 4" xfId="9207"/>
    <cellStyle name="Normal 2 4 3 2 2 4 2" xfId="24251"/>
    <cellStyle name="Normal 2 4 3 2 2 4 3" xfId="39294"/>
    <cellStyle name="Normal 2 4 3 2 2 5" xfId="16730"/>
    <cellStyle name="Normal 2 4 3 2 2 6" xfId="31773"/>
    <cellStyle name="Normal 2 4 3 2 3" xfId="2571"/>
    <cellStyle name="Normal 2 4 3 2 3 2" xfId="6366"/>
    <cellStyle name="Normal 2 4 3 2 3 2 2" xfId="13889"/>
    <cellStyle name="Normal 2 4 3 2 3 2 2 2" xfId="28933"/>
    <cellStyle name="Normal 2 4 3 2 3 2 2 3" xfId="43976"/>
    <cellStyle name="Normal 2 4 3 2 3 2 3" xfId="21412"/>
    <cellStyle name="Normal 2 4 3 2 3 2 4" xfId="36455"/>
    <cellStyle name="Normal 2 4 3 2 3 3" xfId="10140"/>
    <cellStyle name="Normal 2 4 3 2 3 3 2" xfId="25184"/>
    <cellStyle name="Normal 2 4 3 2 3 3 3" xfId="40227"/>
    <cellStyle name="Normal 2 4 3 2 3 4" xfId="17663"/>
    <cellStyle name="Normal 2 4 3 2 3 5" xfId="32706"/>
    <cellStyle name="Normal 2 4 3 2 4" xfId="4501"/>
    <cellStyle name="Normal 2 4 3 2 4 2" xfId="12024"/>
    <cellStyle name="Normal 2 4 3 2 4 2 2" xfId="27068"/>
    <cellStyle name="Normal 2 4 3 2 4 2 3" xfId="42111"/>
    <cellStyle name="Normal 2 4 3 2 4 3" xfId="19547"/>
    <cellStyle name="Normal 2 4 3 2 4 4" xfId="34590"/>
    <cellStyle name="Normal 2 4 3 2 5" xfId="8275"/>
    <cellStyle name="Normal 2 4 3 2 5 2" xfId="23319"/>
    <cellStyle name="Normal 2 4 3 2 5 3" xfId="38362"/>
    <cellStyle name="Normal 2 4 3 2 6" xfId="15798"/>
    <cellStyle name="Normal 2 4 3 2 7" xfId="30841"/>
    <cellStyle name="Normal 2 4 3 3" xfId="1180"/>
    <cellStyle name="Normal 2 4 3 3 2" xfId="3051"/>
    <cellStyle name="Normal 2 4 3 3 2 2" xfId="6846"/>
    <cellStyle name="Normal 2 4 3 3 2 2 2" xfId="14369"/>
    <cellStyle name="Normal 2 4 3 3 2 2 2 2" xfId="29413"/>
    <cellStyle name="Normal 2 4 3 3 2 2 2 3" xfId="44456"/>
    <cellStyle name="Normal 2 4 3 3 2 2 3" xfId="21892"/>
    <cellStyle name="Normal 2 4 3 3 2 2 4" xfId="36935"/>
    <cellStyle name="Normal 2 4 3 3 2 3" xfId="10620"/>
    <cellStyle name="Normal 2 4 3 3 2 3 2" xfId="25664"/>
    <cellStyle name="Normal 2 4 3 3 2 3 3" xfId="40707"/>
    <cellStyle name="Normal 2 4 3 3 2 4" xfId="18143"/>
    <cellStyle name="Normal 2 4 3 3 2 5" xfId="33186"/>
    <cellStyle name="Normal 2 4 3 3 3" xfId="4981"/>
    <cellStyle name="Normal 2 4 3 3 3 2" xfId="12504"/>
    <cellStyle name="Normal 2 4 3 3 3 2 2" xfId="27548"/>
    <cellStyle name="Normal 2 4 3 3 3 2 3" xfId="42591"/>
    <cellStyle name="Normal 2 4 3 3 3 3" xfId="20027"/>
    <cellStyle name="Normal 2 4 3 3 3 4" xfId="35070"/>
    <cellStyle name="Normal 2 4 3 3 4" xfId="8755"/>
    <cellStyle name="Normal 2 4 3 3 4 2" xfId="23799"/>
    <cellStyle name="Normal 2 4 3 3 4 3" xfId="38842"/>
    <cellStyle name="Normal 2 4 3 3 5" xfId="16278"/>
    <cellStyle name="Normal 2 4 3 3 6" xfId="31321"/>
    <cellStyle name="Normal 2 4 3 4" xfId="2118"/>
    <cellStyle name="Normal 2 4 3 4 2" xfId="5914"/>
    <cellStyle name="Normal 2 4 3 4 2 2" xfId="13437"/>
    <cellStyle name="Normal 2 4 3 4 2 2 2" xfId="28481"/>
    <cellStyle name="Normal 2 4 3 4 2 2 3" xfId="43524"/>
    <cellStyle name="Normal 2 4 3 4 2 3" xfId="20960"/>
    <cellStyle name="Normal 2 4 3 4 2 4" xfId="36003"/>
    <cellStyle name="Normal 2 4 3 4 3" xfId="9688"/>
    <cellStyle name="Normal 2 4 3 4 3 2" xfId="24732"/>
    <cellStyle name="Normal 2 4 3 4 3 3" xfId="39775"/>
    <cellStyle name="Normal 2 4 3 4 4" xfId="17211"/>
    <cellStyle name="Normal 2 4 3 4 5" xfId="32254"/>
    <cellStyle name="Normal 2 4 3 5" xfId="4044"/>
    <cellStyle name="Normal 2 4 3 5 2" xfId="11568"/>
    <cellStyle name="Normal 2 4 3 5 2 2" xfId="26612"/>
    <cellStyle name="Normal 2 4 3 5 2 3" xfId="41655"/>
    <cellStyle name="Normal 2 4 3 5 3" xfId="19091"/>
    <cellStyle name="Normal 2 4 3 5 4" xfId="34134"/>
    <cellStyle name="Normal 2 4 3 6" xfId="7807"/>
    <cellStyle name="Normal 2 4 3 6 2" xfId="22851"/>
    <cellStyle name="Normal 2 4 3 6 3" xfId="37894"/>
    <cellStyle name="Normal 2 4 3 7" xfId="15330"/>
    <cellStyle name="Normal 2 4 3 8" xfId="30373"/>
    <cellStyle name="Normal 2 4 4" xfId="594"/>
    <cellStyle name="Normal 2 4 4 2" xfId="1092"/>
    <cellStyle name="Normal 2 4 4 2 2" xfId="2051"/>
    <cellStyle name="Normal 2 4 4 2 2 2" xfId="3922"/>
    <cellStyle name="Normal 2 4 4 2 2 2 2" xfId="7717"/>
    <cellStyle name="Normal 2 4 4 2 2 2 2 2" xfId="15240"/>
    <cellStyle name="Normal 2 4 4 2 2 2 2 2 2" xfId="30284"/>
    <cellStyle name="Normal 2 4 4 2 2 2 2 2 3" xfId="45327"/>
    <cellStyle name="Normal 2 4 4 2 2 2 2 3" xfId="22763"/>
    <cellStyle name="Normal 2 4 4 2 2 2 2 4" xfId="37806"/>
    <cellStyle name="Normal 2 4 4 2 2 2 3" xfId="11491"/>
    <cellStyle name="Normal 2 4 4 2 2 2 3 2" xfId="26535"/>
    <cellStyle name="Normal 2 4 4 2 2 2 3 3" xfId="41578"/>
    <cellStyle name="Normal 2 4 4 2 2 2 4" xfId="19014"/>
    <cellStyle name="Normal 2 4 4 2 2 2 5" xfId="34057"/>
    <cellStyle name="Normal 2 4 4 2 2 3" xfId="5852"/>
    <cellStyle name="Normal 2 4 4 2 2 3 2" xfId="13375"/>
    <cellStyle name="Normal 2 4 4 2 2 3 2 2" xfId="28419"/>
    <cellStyle name="Normal 2 4 4 2 2 3 2 3" xfId="43462"/>
    <cellStyle name="Normal 2 4 4 2 2 3 3" xfId="20898"/>
    <cellStyle name="Normal 2 4 4 2 2 3 4" xfId="35941"/>
    <cellStyle name="Normal 2 4 4 2 2 4" xfId="9626"/>
    <cellStyle name="Normal 2 4 4 2 2 4 2" xfId="24670"/>
    <cellStyle name="Normal 2 4 4 2 2 4 3" xfId="39713"/>
    <cellStyle name="Normal 2 4 4 2 2 5" xfId="17149"/>
    <cellStyle name="Normal 2 4 4 2 2 6" xfId="32192"/>
    <cellStyle name="Normal 2 4 4 2 3" xfId="2990"/>
    <cellStyle name="Normal 2 4 4 2 3 2" xfId="6785"/>
    <cellStyle name="Normal 2 4 4 2 3 2 2" xfId="14308"/>
    <cellStyle name="Normal 2 4 4 2 3 2 2 2" xfId="29352"/>
    <cellStyle name="Normal 2 4 4 2 3 2 2 3" xfId="44395"/>
    <cellStyle name="Normal 2 4 4 2 3 2 3" xfId="21831"/>
    <cellStyle name="Normal 2 4 4 2 3 2 4" xfId="36874"/>
    <cellStyle name="Normal 2 4 4 2 3 3" xfId="10559"/>
    <cellStyle name="Normal 2 4 4 2 3 3 2" xfId="25603"/>
    <cellStyle name="Normal 2 4 4 2 3 3 3" xfId="40646"/>
    <cellStyle name="Normal 2 4 4 2 3 4" xfId="18082"/>
    <cellStyle name="Normal 2 4 4 2 3 5" xfId="33125"/>
    <cellStyle name="Normal 2 4 4 2 4" xfId="4920"/>
    <cellStyle name="Normal 2 4 4 2 4 2" xfId="12443"/>
    <cellStyle name="Normal 2 4 4 2 4 2 2" xfId="27487"/>
    <cellStyle name="Normal 2 4 4 2 4 2 3" xfId="42530"/>
    <cellStyle name="Normal 2 4 4 2 4 3" xfId="19966"/>
    <cellStyle name="Normal 2 4 4 2 4 4" xfId="35009"/>
    <cellStyle name="Normal 2 4 4 2 5" xfId="8694"/>
    <cellStyle name="Normal 2 4 4 2 5 2" xfId="23738"/>
    <cellStyle name="Normal 2 4 4 2 5 3" xfId="38781"/>
    <cellStyle name="Normal 2 4 4 2 6" xfId="16217"/>
    <cellStyle name="Normal 2 4 4 2 7" xfId="31260"/>
    <cellStyle name="Normal 2 4 4 3" xfId="1599"/>
    <cellStyle name="Normal 2 4 4 3 2" xfId="3470"/>
    <cellStyle name="Normal 2 4 4 3 2 2" xfId="7265"/>
    <cellStyle name="Normal 2 4 4 3 2 2 2" xfId="14788"/>
    <cellStyle name="Normal 2 4 4 3 2 2 2 2" xfId="29832"/>
    <cellStyle name="Normal 2 4 4 3 2 2 2 3" xfId="44875"/>
    <cellStyle name="Normal 2 4 4 3 2 2 3" xfId="22311"/>
    <cellStyle name="Normal 2 4 4 3 2 2 4" xfId="37354"/>
    <cellStyle name="Normal 2 4 4 3 2 3" xfId="11039"/>
    <cellStyle name="Normal 2 4 4 3 2 3 2" xfId="26083"/>
    <cellStyle name="Normal 2 4 4 3 2 3 3" xfId="41126"/>
    <cellStyle name="Normal 2 4 4 3 2 4" xfId="18562"/>
    <cellStyle name="Normal 2 4 4 3 2 5" xfId="33605"/>
    <cellStyle name="Normal 2 4 4 3 3" xfId="5400"/>
    <cellStyle name="Normal 2 4 4 3 3 2" xfId="12923"/>
    <cellStyle name="Normal 2 4 4 3 3 2 2" xfId="27967"/>
    <cellStyle name="Normal 2 4 4 3 3 2 3" xfId="43010"/>
    <cellStyle name="Normal 2 4 4 3 3 3" xfId="20446"/>
    <cellStyle name="Normal 2 4 4 3 3 4" xfId="35489"/>
    <cellStyle name="Normal 2 4 4 3 4" xfId="9174"/>
    <cellStyle name="Normal 2 4 4 3 4 2" xfId="24218"/>
    <cellStyle name="Normal 2 4 4 3 4 3" xfId="39261"/>
    <cellStyle name="Normal 2 4 4 3 5" xfId="16697"/>
    <cellStyle name="Normal 2 4 4 3 6" xfId="31740"/>
    <cellStyle name="Normal 2 4 4 4" xfId="2537"/>
    <cellStyle name="Normal 2 4 4 4 2" xfId="6333"/>
    <cellStyle name="Normal 2 4 4 4 2 2" xfId="13856"/>
    <cellStyle name="Normal 2 4 4 4 2 2 2" xfId="28900"/>
    <cellStyle name="Normal 2 4 4 4 2 2 3" xfId="43943"/>
    <cellStyle name="Normal 2 4 4 4 2 3" xfId="21379"/>
    <cellStyle name="Normal 2 4 4 4 2 4" xfId="36422"/>
    <cellStyle name="Normal 2 4 4 4 3" xfId="10107"/>
    <cellStyle name="Normal 2 4 4 4 3 2" xfId="25151"/>
    <cellStyle name="Normal 2 4 4 4 3 3" xfId="40194"/>
    <cellStyle name="Normal 2 4 4 4 4" xfId="17630"/>
    <cellStyle name="Normal 2 4 4 4 5" xfId="32673"/>
    <cellStyle name="Normal 2 4 4 5" xfId="4465"/>
    <cellStyle name="Normal 2 4 4 5 2" xfId="11989"/>
    <cellStyle name="Normal 2 4 4 5 2 2" xfId="27033"/>
    <cellStyle name="Normal 2 4 4 5 2 3" xfId="42076"/>
    <cellStyle name="Normal 2 4 4 5 3" xfId="19512"/>
    <cellStyle name="Normal 2 4 4 5 4" xfId="34555"/>
    <cellStyle name="Normal 2 4 4 6" xfId="8228"/>
    <cellStyle name="Normal 2 4 4 6 2" xfId="23272"/>
    <cellStyle name="Normal 2 4 4 6 3" xfId="38315"/>
    <cellStyle name="Normal 2 4 4 7" xfId="15751"/>
    <cellStyle name="Normal 2 4 4 8" xfId="30794"/>
    <cellStyle name="Normal 2 4 5" xfId="656"/>
    <cellStyle name="Normal 2 4 5 2" xfId="1615"/>
    <cellStyle name="Normal 2 4 5 2 2" xfId="3486"/>
    <cellStyle name="Normal 2 4 5 2 2 2" xfId="7281"/>
    <cellStyle name="Normal 2 4 5 2 2 2 2" xfId="14804"/>
    <cellStyle name="Normal 2 4 5 2 2 2 2 2" xfId="29848"/>
    <cellStyle name="Normal 2 4 5 2 2 2 2 3" xfId="44891"/>
    <cellStyle name="Normal 2 4 5 2 2 2 3" xfId="22327"/>
    <cellStyle name="Normal 2 4 5 2 2 2 4" xfId="37370"/>
    <cellStyle name="Normal 2 4 5 2 2 3" xfId="11055"/>
    <cellStyle name="Normal 2 4 5 2 2 3 2" xfId="26099"/>
    <cellStyle name="Normal 2 4 5 2 2 3 3" xfId="41142"/>
    <cellStyle name="Normal 2 4 5 2 2 4" xfId="18578"/>
    <cellStyle name="Normal 2 4 5 2 2 5" xfId="33621"/>
    <cellStyle name="Normal 2 4 5 2 3" xfId="5416"/>
    <cellStyle name="Normal 2 4 5 2 3 2" xfId="12939"/>
    <cellStyle name="Normal 2 4 5 2 3 2 2" xfId="27983"/>
    <cellStyle name="Normal 2 4 5 2 3 2 3" xfId="43026"/>
    <cellStyle name="Normal 2 4 5 2 3 3" xfId="20462"/>
    <cellStyle name="Normal 2 4 5 2 3 4" xfId="35505"/>
    <cellStyle name="Normal 2 4 5 2 4" xfId="9190"/>
    <cellStyle name="Normal 2 4 5 2 4 2" xfId="24234"/>
    <cellStyle name="Normal 2 4 5 2 4 3" xfId="39277"/>
    <cellStyle name="Normal 2 4 5 2 5" xfId="16713"/>
    <cellStyle name="Normal 2 4 5 2 6" xfId="31756"/>
    <cellStyle name="Normal 2 4 5 3" xfId="2554"/>
    <cellStyle name="Normal 2 4 5 3 2" xfId="6349"/>
    <cellStyle name="Normal 2 4 5 3 2 2" xfId="13872"/>
    <cellStyle name="Normal 2 4 5 3 2 2 2" xfId="28916"/>
    <cellStyle name="Normal 2 4 5 3 2 2 3" xfId="43959"/>
    <cellStyle name="Normal 2 4 5 3 2 3" xfId="21395"/>
    <cellStyle name="Normal 2 4 5 3 2 4" xfId="36438"/>
    <cellStyle name="Normal 2 4 5 3 3" xfId="10123"/>
    <cellStyle name="Normal 2 4 5 3 3 2" xfId="25167"/>
    <cellStyle name="Normal 2 4 5 3 3 3" xfId="40210"/>
    <cellStyle name="Normal 2 4 5 3 4" xfId="17646"/>
    <cellStyle name="Normal 2 4 5 3 5" xfId="32689"/>
    <cellStyle name="Normal 2 4 5 4" xfId="4484"/>
    <cellStyle name="Normal 2 4 5 4 2" xfId="12007"/>
    <cellStyle name="Normal 2 4 5 4 2 2" xfId="27051"/>
    <cellStyle name="Normal 2 4 5 4 2 3" xfId="42094"/>
    <cellStyle name="Normal 2 4 5 4 3" xfId="19530"/>
    <cellStyle name="Normal 2 4 5 4 4" xfId="34573"/>
    <cellStyle name="Normal 2 4 5 5" xfId="8258"/>
    <cellStyle name="Normal 2 4 5 5 2" xfId="23302"/>
    <cellStyle name="Normal 2 4 5 5 3" xfId="38345"/>
    <cellStyle name="Normal 2 4 5 6" xfId="15781"/>
    <cellStyle name="Normal 2 4 5 7" xfId="30824"/>
    <cellStyle name="Normal 2 4 6" xfId="1163"/>
    <cellStyle name="Normal 2 4 6 2" xfId="3034"/>
    <cellStyle name="Normal 2 4 6 2 2" xfId="6829"/>
    <cellStyle name="Normal 2 4 6 2 2 2" xfId="14352"/>
    <cellStyle name="Normal 2 4 6 2 2 2 2" xfId="29396"/>
    <cellStyle name="Normal 2 4 6 2 2 2 3" xfId="44439"/>
    <cellStyle name="Normal 2 4 6 2 2 3" xfId="21875"/>
    <cellStyle name="Normal 2 4 6 2 2 4" xfId="36918"/>
    <cellStyle name="Normal 2 4 6 2 3" xfId="10603"/>
    <cellStyle name="Normal 2 4 6 2 3 2" xfId="25647"/>
    <cellStyle name="Normal 2 4 6 2 3 3" xfId="40690"/>
    <cellStyle name="Normal 2 4 6 2 4" xfId="18126"/>
    <cellStyle name="Normal 2 4 6 2 5" xfId="33169"/>
    <cellStyle name="Normal 2 4 6 3" xfId="4964"/>
    <cellStyle name="Normal 2 4 6 3 2" xfId="12487"/>
    <cellStyle name="Normal 2 4 6 3 2 2" xfId="27531"/>
    <cellStyle name="Normal 2 4 6 3 2 3" xfId="42574"/>
    <cellStyle name="Normal 2 4 6 3 3" xfId="20010"/>
    <cellStyle name="Normal 2 4 6 3 4" xfId="35053"/>
    <cellStyle name="Normal 2 4 6 4" xfId="8738"/>
    <cellStyle name="Normal 2 4 6 4 2" xfId="23782"/>
    <cellStyle name="Normal 2 4 6 4 3" xfId="38825"/>
    <cellStyle name="Normal 2 4 6 5" xfId="16261"/>
    <cellStyle name="Normal 2 4 6 6" xfId="31304"/>
    <cellStyle name="Normal 2 4 7" xfId="2101"/>
    <cellStyle name="Normal 2 4 7 2" xfId="5897"/>
    <cellStyle name="Normal 2 4 7 2 2" xfId="13420"/>
    <cellStyle name="Normal 2 4 7 2 2 2" xfId="28464"/>
    <cellStyle name="Normal 2 4 7 2 2 3" xfId="43507"/>
    <cellStyle name="Normal 2 4 7 2 3" xfId="20943"/>
    <cellStyle name="Normal 2 4 7 2 4" xfId="35986"/>
    <cellStyle name="Normal 2 4 7 3" xfId="9671"/>
    <cellStyle name="Normal 2 4 7 3 2" xfId="24715"/>
    <cellStyle name="Normal 2 4 7 3 3" xfId="39758"/>
    <cellStyle name="Normal 2 4 7 4" xfId="17194"/>
    <cellStyle name="Normal 2 4 7 5" xfId="32237"/>
    <cellStyle name="Normal 2 4 8" xfId="4027"/>
    <cellStyle name="Normal 2 4 8 2" xfId="11551"/>
    <cellStyle name="Normal 2 4 8 2 2" xfId="26595"/>
    <cellStyle name="Normal 2 4 8 2 3" xfId="41638"/>
    <cellStyle name="Normal 2 4 8 3" xfId="19074"/>
    <cellStyle name="Normal 2 4 8 4" xfId="34117"/>
    <cellStyle name="Normal 2 4 9" xfId="7790"/>
    <cellStyle name="Normal 2 4 9 2" xfId="22834"/>
    <cellStyle name="Normal 2 4 9 3" xfId="37877"/>
    <cellStyle name="Normal 2 5" xfId="19"/>
    <cellStyle name="Normal 2 5 10" xfId="30358"/>
    <cellStyle name="Normal 2 5 11" xfId="45403"/>
    <cellStyle name="Normal 2 5 2" xfId="38"/>
    <cellStyle name="Normal 2 5 2 2" xfId="675"/>
    <cellStyle name="Normal 2 5 2 2 2" xfId="1634"/>
    <cellStyle name="Normal 2 5 2 2 2 2" xfId="3505"/>
    <cellStyle name="Normal 2 5 2 2 2 2 2" xfId="7300"/>
    <cellStyle name="Normal 2 5 2 2 2 2 2 2" xfId="14823"/>
    <cellStyle name="Normal 2 5 2 2 2 2 2 2 2" xfId="29867"/>
    <cellStyle name="Normal 2 5 2 2 2 2 2 2 3" xfId="44910"/>
    <cellStyle name="Normal 2 5 2 2 2 2 2 3" xfId="22346"/>
    <cellStyle name="Normal 2 5 2 2 2 2 2 4" xfId="37389"/>
    <cellStyle name="Normal 2 5 2 2 2 2 3" xfId="11074"/>
    <cellStyle name="Normal 2 5 2 2 2 2 3 2" xfId="26118"/>
    <cellStyle name="Normal 2 5 2 2 2 2 3 3" xfId="41161"/>
    <cellStyle name="Normal 2 5 2 2 2 2 4" xfId="18597"/>
    <cellStyle name="Normal 2 5 2 2 2 2 5" xfId="33640"/>
    <cellStyle name="Normal 2 5 2 2 2 3" xfId="5435"/>
    <cellStyle name="Normal 2 5 2 2 2 3 2" xfId="12958"/>
    <cellStyle name="Normal 2 5 2 2 2 3 2 2" xfId="28002"/>
    <cellStyle name="Normal 2 5 2 2 2 3 2 3" xfId="43045"/>
    <cellStyle name="Normal 2 5 2 2 2 3 3" xfId="20481"/>
    <cellStyle name="Normal 2 5 2 2 2 3 4" xfId="35524"/>
    <cellStyle name="Normal 2 5 2 2 2 4" xfId="9209"/>
    <cellStyle name="Normal 2 5 2 2 2 4 2" xfId="24253"/>
    <cellStyle name="Normal 2 5 2 2 2 4 3" xfId="39296"/>
    <cellStyle name="Normal 2 5 2 2 2 5" xfId="16732"/>
    <cellStyle name="Normal 2 5 2 2 2 6" xfId="31775"/>
    <cellStyle name="Normal 2 5 2 2 3" xfId="2573"/>
    <cellStyle name="Normal 2 5 2 2 3 2" xfId="6368"/>
    <cellStyle name="Normal 2 5 2 2 3 2 2" xfId="13891"/>
    <cellStyle name="Normal 2 5 2 2 3 2 2 2" xfId="28935"/>
    <cellStyle name="Normal 2 5 2 2 3 2 2 3" xfId="43978"/>
    <cellStyle name="Normal 2 5 2 2 3 2 3" xfId="21414"/>
    <cellStyle name="Normal 2 5 2 2 3 2 4" xfId="36457"/>
    <cellStyle name="Normal 2 5 2 2 3 3" xfId="10142"/>
    <cellStyle name="Normal 2 5 2 2 3 3 2" xfId="25186"/>
    <cellStyle name="Normal 2 5 2 2 3 3 3" xfId="40229"/>
    <cellStyle name="Normal 2 5 2 2 3 4" xfId="17665"/>
    <cellStyle name="Normal 2 5 2 2 3 5" xfId="32708"/>
    <cellStyle name="Normal 2 5 2 2 4" xfId="4503"/>
    <cellStyle name="Normal 2 5 2 2 4 2" xfId="12026"/>
    <cellStyle name="Normal 2 5 2 2 4 2 2" xfId="27070"/>
    <cellStyle name="Normal 2 5 2 2 4 2 3" xfId="42113"/>
    <cellStyle name="Normal 2 5 2 2 4 3" xfId="19549"/>
    <cellStyle name="Normal 2 5 2 2 4 4" xfId="34592"/>
    <cellStyle name="Normal 2 5 2 2 5" xfId="8277"/>
    <cellStyle name="Normal 2 5 2 2 5 2" xfId="23321"/>
    <cellStyle name="Normal 2 5 2 2 5 3" xfId="38364"/>
    <cellStyle name="Normal 2 5 2 2 6" xfId="15800"/>
    <cellStyle name="Normal 2 5 2 2 7" xfId="30843"/>
    <cellStyle name="Normal 2 5 2 3" xfId="1182"/>
    <cellStyle name="Normal 2 5 2 3 2" xfId="3053"/>
    <cellStyle name="Normal 2 5 2 3 2 2" xfId="6848"/>
    <cellStyle name="Normal 2 5 2 3 2 2 2" xfId="14371"/>
    <cellStyle name="Normal 2 5 2 3 2 2 2 2" xfId="29415"/>
    <cellStyle name="Normal 2 5 2 3 2 2 2 3" xfId="44458"/>
    <cellStyle name="Normal 2 5 2 3 2 2 3" xfId="21894"/>
    <cellStyle name="Normal 2 5 2 3 2 2 4" xfId="36937"/>
    <cellStyle name="Normal 2 5 2 3 2 3" xfId="10622"/>
    <cellStyle name="Normal 2 5 2 3 2 3 2" xfId="25666"/>
    <cellStyle name="Normal 2 5 2 3 2 3 3" xfId="40709"/>
    <cellStyle name="Normal 2 5 2 3 2 4" xfId="18145"/>
    <cellStyle name="Normal 2 5 2 3 2 5" xfId="33188"/>
    <cellStyle name="Normal 2 5 2 3 3" xfId="4983"/>
    <cellStyle name="Normal 2 5 2 3 3 2" xfId="12506"/>
    <cellStyle name="Normal 2 5 2 3 3 2 2" xfId="27550"/>
    <cellStyle name="Normal 2 5 2 3 3 2 3" xfId="42593"/>
    <cellStyle name="Normal 2 5 2 3 3 3" xfId="20029"/>
    <cellStyle name="Normal 2 5 2 3 3 4" xfId="35072"/>
    <cellStyle name="Normal 2 5 2 3 4" xfId="8757"/>
    <cellStyle name="Normal 2 5 2 3 4 2" xfId="23801"/>
    <cellStyle name="Normal 2 5 2 3 4 3" xfId="38844"/>
    <cellStyle name="Normal 2 5 2 3 5" xfId="16280"/>
    <cellStyle name="Normal 2 5 2 3 6" xfId="31323"/>
    <cellStyle name="Normal 2 5 2 4" xfId="2120"/>
    <cellStyle name="Normal 2 5 2 4 2" xfId="5916"/>
    <cellStyle name="Normal 2 5 2 4 2 2" xfId="13439"/>
    <cellStyle name="Normal 2 5 2 4 2 2 2" xfId="28483"/>
    <cellStyle name="Normal 2 5 2 4 2 2 3" xfId="43526"/>
    <cellStyle name="Normal 2 5 2 4 2 3" xfId="20962"/>
    <cellStyle name="Normal 2 5 2 4 2 4" xfId="36005"/>
    <cellStyle name="Normal 2 5 2 4 3" xfId="9690"/>
    <cellStyle name="Normal 2 5 2 4 3 2" xfId="24734"/>
    <cellStyle name="Normal 2 5 2 4 3 3" xfId="39777"/>
    <cellStyle name="Normal 2 5 2 4 4" xfId="17213"/>
    <cellStyle name="Normal 2 5 2 4 5" xfId="32256"/>
    <cellStyle name="Normal 2 5 2 5" xfId="4046"/>
    <cellStyle name="Normal 2 5 2 5 2" xfId="11570"/>
    <cellStyle name="Normal 2 5 2 5 2 2" xfId="26614"/>
    <cellStyle name="Normal 2 5 2 5 2 3" xfId="41657"/>
    <cellStyle name="Normal 2 5 2 5 3" xfId="19093"/>
    <cellStyle name="Normal 2 5 2 5 4" xfId="34136"/>
    <cellStyle name="Normal 2 5 2 6" xfId="7809"/>
    <cellStyle name="Normal 2 5 2 6 2" xfId="22853"/>
    <cellStyle name="Normal 2 5 2 6 3" xfId="37896"/>
    <cellStyle name="Normal 2 5 2 7" xfId="15332"/>
    <cellStyle name="Normal 2 5 2 8" xfId="30375"/>
    <cellStyle name="Normal 2 5 3" xfId="595"/>
    <cellStyle name="Normal 2 5 3 2" xfId="1093"/>
    <cellStyle name="Normal 2 5 3 2 2" xfId="2052"/>
    <cellStyle name="Normal 2 5 3 2 2 2" xfId="3923"/>
    <cellStyle name="Normal 2 5 3 2 2 2 2" xfId="7718"/>
    <cellStyle name="Normal 2 5 3 2 2 2 2 2" xfId="15241"/>
    <cellStyle name="Normal 2 5 3 2 2 2 2 2 2" xfId="30285"/>
    <cellStyle name="Normal 2 5 3 2 2 2 2 2 3" xfId="45328"/>
    <cellStyle name="Normal 2 5 3 2 2 2 2 3" xfId="22764"/>
    <cellStyle name="Normal 2 5 3 2 2 2 2 4" xfId="37807"/>
    <cellStyle name="Normal 2 5 3 2 2 2 3" xfId="11492"/>
    <cellStyle name="Normal 2 5 3 2 2 2 3 2" xfId="26536"/>
    <cellStyle name="Normal 2 5 3 2 2 2 3 3" xfId="41579"/>
    <cellStyle name="Normal 2 5 3 2 2 2 4" xfId="19015"/>
    <cellStyle name="Normal 2 5 3 2 2 2 5" xfId="34058"/>
    <cellStyle name="Normal 2 5 3 2 2 3" xfId="5853"/>
    <cellStyle name="Normal 2 5 3 2 2 3 2" xfId="13376"/>
    <cellStyle name="Normal 2 5 3 2 2 3 2 2" xfId="28420"/>
    <cellStyle name="Normal 2 5 3 2 2 3 2 3" xfId="43463"/>
    <cellStyle name="Normal 2 5 3 2 2 3 3" xfId="20899"/>
    <cellStyle name="Normal 2 5 3 2 2 3 4" xfId="35942"/>
    <cellStyle name="Normal 2 5 3 2 2 4" xfId="9627"/>
    <cellStyle name="Normal 2 5 3 2 2 4 2" xfId="24671"/>
    <cellStyle name="Normal 2 5 3 2 2 4 3" xfId="39714"/>
    <cellStyle name="Normal 2 5 3 2 2 5" xfId="17150"/>
    <cellStyle name="Normal 2 5 3 2 2 6" xfId="32193"/>
    <cellStyle name="Normal 2 5 3 2 3" xfId="2991"/>
    <cellStyle name="Normal 2 5 3 2 3 2" xfId="6786"/>
    <cellStyle name="Normal 2 5 3 2 3 2 2" xfId="14309"/>
    <cellStyle name="Normal 2 5 3 2 3 2 2 2" xfId="29353"/>
    <cellStyle name="Normal 2 5 3 2 3 2 2 3" xfId="44396"/>
    <cellStyle name="Normal 2 5 3 2 3 2 3" xfId="21832"/>
    <cellStyle name="Normal 2 5 3 2 3 2 4" xfId="36875"/>
    <cellStyle name="Normal 2 5 3 2 3 3" xfId="10560"/>
    <cellStyle name="Normal 2 5 3 2 3 3 2" xfId="25604"/>
    <cellStyle name="Normal 2 5 3 2 3 3 3" xfId="40647"/>
    <cellStyle name="Normal 2 5 3 2 3 4" xfId="18083"/>
    <cellStyle name="Normal 2 5 3 2 3 5" xfId="33126"/>
    <cellStyle name="Normal 2 5 3 2 4" xfId="4921"/>
    <cellStyle name="Normal 2 5 3 2 4 2" xfId="12444"/>
    <cellStyle name="Normal 2 5 3 2 4 2 2" xfId="27488"/>
    <cellStyle name="Normal 2 5 3 2 4 2 3" xfId="42531"/>
    <cellStyle name="Normal 2 5 3 2 4 3" xfId="19967"/>
    <cellStyle name="Normal 2 5 3 2 4 4" xfId="35010"/>
    <cellStyle name="Normal 2 5 3 2 5" xfId="8695"/>
    <cellStyle name="Normal 2 5 3 2 5 2" xfId="23739"/>
    <cellStyle name="Normal 2 5 3 2 5 3" xfId="38782"/>
    <cellStyle name="Normal 2 5 3 2 6" xfId="16218"/>
    <cellStyle name="Normal 2 5 3 2 7" xfId="31261"/>
    <cellStyle name="Normal 2 5 3 3" xfId="1600"/>
    <cellStyle name="Normal 2 5 3 3 2" xfId="3471"/>
    <cellStyle name="Normal 2 5 3 3 2 2" xfId="7266"/>
    <cellStyle name="Normal 2 5 3 3 2 2 2" xfId="14789"/>
    <cellStyle name="Normal 2 5 3 3 2 2 2 2" xfId="29833"/>
    <cellStyle name="Normal 2 5 3 3 2 2 2 3" xfId="44876"/>
    <cellStyle name="Normal 2 5 3 3 2 2 3" xfId="22312"/>
    <cellStyle name="Normal 2 5 3 3 2 2 4" xfId="37355"/>
    <cellStyle name="Normal 2 5 3 3 2 3" xfId="11040"/>
    <cellStyle name="Normal 2 5 3 3 2 3 2" xfId="26084"/>
    <cellStyle name="Normal 2 5 3 3 2 3 3" xfId="41127"/>
    <cellStyle name="Normal 2 5 3 3 2 4" xfId="18563"/>
    <cellStyle name="Normal 2 5 3 3 2 5" xfId="33606"/>
    <cellStyle name="Normal 2 5 3 3 3" xfId="5401"/>
    <cellStyle name="Normal 2 5 3 3 3 2" xfId="12924"/>
    <cellStyle name="Normal 2 5 3 3 3 2 2" xfId="27968"/>
    <cellStyle name="Normal 2 5 3 3 3 2 3" xfId="43011"/>
    <cellStyle name="Normal 2 5 3 3 3 3" xfId="20447"/>
    <cellStyle name="Normal 2 5 3 3 3 4" xfId="35490"/>
    <cellStyle name="Normal 2 5 3 3 4" xfId="9175"/>
    <cellStyle name="Normal 2 5 3 3 4 2" xfId="24219"/>
    <cellStyle name="Normal 2 5 3 3 4 3" xfId="39262"/>
    <cellStyle name="Normal 2 5 3 3 5" xfId="16698"/>
    <cellStyle name="Normal 2 5 3 3 6" xfId="31741"/>
    <cellStyle name="Normal 2 5 3 4" xfId="2538"/>
    <cellStyle name="Normal 2 5 3 4 2" xfId="6334"/>
    <cellStyle name="Normal 2 5 3 4 2 2" xfId="13857"/>
    <cellStyle name="Normal 2 5 3 4 2 2 2" xfId="28901"/>
    <cellStyle name="Normal 2 5 3 4 2 2 3" xfId="43944"/>
    <cellStyle name="Normal 2 5 3 4 2 3" xfId="21380"/>
    <cellStyle name="Normal 2 5 3 4 2 4" xfId="36423"/>
    <cellStyle name="Normal 2 5 3 4 3" xfId="10108"/>
    <cellStyle name="Normal 2 5 3 4 3 2" xfId="25152"/>
    <cellStyle name="Normal 2 5 3 4 3 3" xfId="40195"/>
    <cellStyle name="Normal 2 5 3 4 4" xfId="17631"/>
    <cellStyle name="Normal 2 5 3 4 5" xfId="32674"/>
    <cellStyle name="Normal 2 5 3 5" xfId="4466"/>
    <cellStyle name="Normal 2 5 3 5 2" xfId="11990"/>
    <cellStyle name="Normal 2 5 3 5 2 2" xfId="27034"/>
    <cellStyle name="Normal 2 5 3 5 2 3" xfId="42077"/>
    <cellStyle name="Normal 2 5 3 5 3" xfId="19513"/>
    <cellStyle name="Normal 2 5 3 5 4" xfId="34556"/>
    <cellStyle name="Normal 2 5 3 6" xfId="8229"/>
    <cellStyle name="Normal 2 5 3 6 2" xfId="23273"/>
    <cellStyle name="Normal 2 5 3 6 3" xfId="38316"/>
    <cellStyle name="Normal 2 5 3 7" xfId="15752"/>
    <cellStyle name="Normal 2 5 3 8" xfId="30795"/>
    <cellStyle name="Normal 2 5 4" xfId="658"/>
    <cellStyle name="Normal 2 5 4 2" xfId="1617"/>
    <cellStyle name="Normal 2 5 4 2 2" xfId="3488"/>
    <cellStyle name="Normal 2 5 4 2 2 2" xfId="7283"/>
    <cellStyle name="Normal 2 5 4 2 2 2 2" xfId="14806"/>
    <cellStyle name="Normal 2 5 4 2 2 2 2 2" xfId="29850"/>
    <cellStyle name="Normal 2 5 4 2 2 2 2 3" xfId="44893"/>
    <cellStyle name="Normal 2 5 4 2 2 2 3" xfId="22329"/>
    <cellStyle name="Normal 2 5 4 2 2 2 4" xfId="37372"/>
    <cellStyle name="Normal 2 5 4 2 2 3" xfId="11057"/>
    <cellStyle name="Normal 2 5 4 2 2 3 2" xfId="26101"/>
    <cellStyle name="Normal 2 5 4 2 2 3 3" xfId="41144"/>
    <cellStyle name="Normal 2 5 4 2 2 4" xfId="18580"/>
    <cellStyle name="Normal 2 5 4 2 2 5" xfId="33623"/>
    <cellStyle name="Normal 2 5 4 2 3" xfId="5418"/>
    <cellStyle name="Normal 2 5 4 2 3 2" xfId="12941"/>
    <cellStyle name="Normal 2 5 4 2 3 2 2" xfId="27985"/>
    <cellStyle name="Normal 2 5 4 2 3 2 3" xfId="43028"/>
    <cellStyle name="Normal 2 5 4 2 3 3" xfId="20464"/>
    <cellStyle name="Normal 2 5 4 2 3 4" xfId="35507"/>
    <cellStyle name="Normal 2 5 4 2 4" xfId="9192"/>
    <cellStyle name="Normal 2 5 4 2 4 2" xfId="24236"/>
    <cellStyle name="Normal 2 5 4 2 4 3" xfId="39279"/>
    <cellStyle name="Normal 2 5 4 2 5" xfId="16715"/>
    <cellStyle name="Normal 2 5 4 2 6" xfId="31758"/>
    <cellStyle name="Normal 2 5 4 3" xfId="2556"/>
    <cellStyle name="Normal 2 5 4 3 2" xfId="6351"/>
    <cellStyle name="Normal 2 5 4 3 2 2" xfId="13874"/>
    <cellStyle name="Normal 2 5 4 3 2 2 2" xfId="28918"/>
    <cellStyle name="Normal 2 5 4 3 2 2 3" xfId="43961"/>
    <cellStyle name="Normal 2 5 4 3 2 3" xfId="21397"/>
    <cellStyle name="Normal 2 5 4 3 2 4" xfId="36440"/>
    <cellStyle name="Normal 2 5 4 3 3" xfId="10125"/>
    <cellStyle name="Normal 2 5 4 3 3 2" xfId="25169"/>
    <cellStyle name="Normal 2 5 4 3 3 3" xfId="40212"/>
    <cellStyle name="Normal 2 5 4 3 4" xfId="17648"/>
    <cellStyle name="Normal 2 5 4 3 5" xfId="32691"/>
    <cellStyle name="Normal 2 5 4 4" xfId="4486"/>
    <cellStyle name="Normal 2 5 4 4 2" xfId="12009"/>
    <cellStyle name="Normal 2 5 4 4 2 2" xfId="27053"/>
    <cellStyle name="Normal 2 5 4 4 2 3" xfId="42096"/>
    <cellStyle name="Normal 2 5 4 4 3" xfId="19532"/>
    <cellStyle name="Normal 2 5 4 4 4" xfId="34575"/>
    <cellStyle name="Normal 2 5 4 5" xfId="8260"/>
    <cellStyle name="Normal 2 5 4 5 2" xfId="23304"/>
    <cellStyle name="Normal 2 5 4 5 3" xfId="38347"/>
    <cellStyle name="Normal 2 5 4 6" xfId="15783"/>
    <cellStyle name="Normal 2 5 4 7" xfId="30826"/>
    <cellStyle name="Normal 2 5 5" xfId="1165"/>
    <cellStyle name="Normal 2 5 5 2" xfId="3036"/>
    <cellStyle name="Normal 2 5 5 2 2" xfId="6831"/>
    <cellStyle name="Normal 2 5 5 2 2 2" xfId="14354"/>
    <cellStyle name="Normal 2 5 5 2 2 2 2" xfId="29398"/>
    <cellStyle name="Normal 2 5 5 2 2 2 3" xfId="44441"/>
    <cellStyle name="Normal 2 5 5 2 2 3" xfId="21877"/>
    <cellStyle name="Normal 2 5 5 2 2 4" xfId="36920"/>
    <cellStyle name="Normal 2 5 5 2 3" xfId="10605"/>
    <cellStyle name="Normal 2 5 5 2 3 2" xfId="25649"/>
    <cellStyle name="Normal 2 5 5 2 3 3" xfId="40692"/>
    <cellStyle name="Normal 2 5 5 2 4" xfId="18128"/>
    <cellStyle name="Normal 2 5 5 2 5" xfId="33171"/>
    <cellStyle name="Normal 2 5 5 3" xfId="4966"/>
    <cellStyle name="Normal 2 5 5 3 2" xfId="12489"/>
    <cellStyle name="Normal 2 5 5 3 2 2" xfId="27533"/>
    <cellStyle name="Normal 2 5 5 3 2 3" xfId="42576"/>
    <cellStyle name="Normal 2 5 5 3 3" xfId="20012"/>
    <cellStyle name="Normal 2 5 5 3 4" xfId="35055"/>
    <cellStyle name="Normal 2 5 5 4" xfId="8740"/>
    <cellStyle name="Normal 2 5 5 4 2" xfId="23784"/>
    <cellStyle name="Normal 2 5 5 4 3" xfId="38827"/>
    <cellStyle name="Normal 2 5 5 5" xfId="16263"/>
    <cellStyle name="Normal 2 5 5 6" xfId="31306"/>
    <cellStyle name="Normal 2 5 6" xfId="2103"/>
    <cellStyle name="Normal 2 5 6 2" xfId="5899"/>
    <cellStyle name="Normal 2 5 6 2 2" xfId="13422"/>
    <cellStyle name="Normal 2 5 6 2 2 2" xfId="28466"/>
    <cellStyle name="Normal 2 5 6 2 2 3" xfId="43509"/>
    <cellStyle name="Normal 2 5 6 2 3" xfId="20945"/>
    <cellStyle name="Normal 2 5 6 2 4" xfId="35988"/>
    <cellStyle name="Normal 2 5 6 3" xfId="9673"/>
    <cellStyle name="Normal 2 5 6 3 2" xfId="24717"/>
    <cellStyle name="Normal 2 5 6 3 3" xfId="39760"/>
    <cellStyle name="Normal 2 5 6 4" xfId="17196"/>
    <cellStyle name="Normal 2 5 6 5" xfId="32239"/>
    <cellStyle name="Normal 2 5 7" xfId="4029"/>
    <cellStyle name="Normal 2 5 7 2" xfId="11553"/>
    <cellStyle name="Normal 2 5 7 2 2" xfId="26597"/>
    <cellStyle name="Normal 2 5 7 2 3" xfId="41640"/>
    <cellStyle name="Normal 2 5 7 3" xfId="19076"/>
    <cellStyle name="Normal 2 5 7 4" xfId="34119"/>
    <cellStyle name="Normal 2 5 8" xfId="7792"/>
    <cellStyle name="Normal 2 5 8 2" xfId="22836"/>
    <cellStyle name="Normal 2 5 8 3" xfId="37879"/>
    <cellStyle name="Normal 2 5 9" xfId="15315"/>
    <cellStyle name="Normal 2 6" xfId="29"/>
    <cellStyle name="Normal 2 6 2" xfId="666"/>
    <cellStyle name="Normal 2 6 2 2" xfId="1625"/>
    <cellStyle name="Normal 2 6 2 2 2" xfId="3496"/>
    <cellStyle name="Normal 2 6 2 2 2 2" xfId="7291"/>
    <cellStyle name="Normal 2 6 2 2 2 2 2" xfId="14814"/>
    <cellStyle name="Normal 2 6 2 2 2 2 2 2" xfId="29858"/>
    <cellStyle name="Normal 2 6 2 2 2 2 2 3" xfId="44901"/>
    <cellStyle name="Normal 2 6 2 2 2 2 3" xfId="22337"/>
    <cellStyle name="Normal 2 6 2 2 2 2 4" xfId="37380"/>
    <cellStyle name="Normal 2 6 2 2 2 3" xfId="11065"/>
    <cellStyle name="Normal 2 6 2 2 2 3 2" xfId="26109"/>
    <cellStyle name="Normal 2 6 2 2 2 3 3" xfId="41152"/>
    <cellStyle name="Normal 2 6 2 2 2 4" xfId="18588"/>
    <cellStyle name="Normal 2 6 2 2 2 5" xfId="33631"/>
    <cellStyle name="Normal 2 6 2 2 3" xfId="5426"/>
    <cellStyle name="Normal 2 6 2 2 3 2" xfId="12949"/>
    <cellStyle name="Normal 2 6 2 2 3 2 2" xfId="27993"/>
    <cellStyle name="Normal 2 6 2 2 3 2 3" xfId="43036"/>
    <cellStyle name="Normal 2 6 2 2 3 3" xfId="20472"/>
    <cellStyle name="Normal 2 6 2 2 3 4" xfId="35515"/>
    <cellStyle name="Normal 2 6 2 2 4" xfId="9200"/>
    <cellStyle name="Normal 2 6 2 2 4 2" xfId="24244"/>
    <cellStyle name="Normal 2 6 2 2 4 3" xfId="39287"/>
    <cellStyle name="Normal 2 6 2 2 5" xfId="16723"/>
    <cellStyle name="Normal 2 6 2 2 6" xfId="31766"/>
    <cellStyle name="Normal 2 6 2 3" xfId="2564"/>
    <cellStyle name="Normal 2 6 2 3 2" xfId="6359"/>
    <cellStyle name="Normal 2 6 2 3 2 2" xfId="13882"/>
    <cellStyle name="Normal 2 6 2 3 2 2 2" xfId="28926"/>
    <cellStyle name="Normal 2 6 2 3 2 2 3" xfId="43969"/>
    <cellStyle name="Normal 2 6 2 3 2 3" xfId="21405"/>
    <cellStyle name="Normal 2 6 2 3 2 4" xfId="36448"/>
    <cellStyle name="Normal 2 6 2 3 3" xfId="10133"/>
    <cellStyle name="Normal 2 6 2 3 3 2" xfId="25177"/>
    <cellStyle name="Normal 2 6 2 3 3 3" xfId="40220"/>
    <cellStyle name="Normal 2 6 2 3 4" xfId="17656"/>
    <cellStyle name="Normal 2 6 2 3 5" xfId="32699"/>
    <cellStyle name="Normal 2 6 2 4" xfId="4494"/>
    <cellStyle name="Normal 2 6 2 4 2" xfId="12017"/>
    <cellStyle name="Normal 2 6 2 4 2 2" xfId="27061"/>
    <cellStyle name="Normal 2 6 2 4 2 3" xfId="42104"/>
    <cellStyle name="Normal 2 6 2 4 3" xfId="19540"/>
    <cellStyle name="Normal 2 6 2 4 4" xfId="34583"/>
    <cellStyle name="Normal 2 6 2 5" xfId="8268"/>
    <cellStyle name="Normal 2 6 2 5 2" xfId="23312"/>
    <cellStyle name="Normal 2 6 2 5 3" xfId="38355"/>
    <cellStyle name="Normal 2 6 2 6" xfId="15791"/>
    <cellStyle name="Normal 2 6 2 7" xfId="30834"/>
    <cellStyle name="Normal 2 6 3" xfId="1173"/>
    <cellStyle name="Normal 2 6 3 2" xfId="3044"/>
    <cellStyle name="Normal 2 6 3 2 2" xfId="6839"/>
    <cellStyle name="Normal 2 6 3 2 2 2" xfId="14362"/>
    <cellStyle name="Normal 2 6 3 2 2 2 2" xfId="29406"/>
    <cellStyle name="Normal 2 6 3 2 2 2 3" xfId="44449"/>
    <cellStyle name="Normal 2 6 3 2 2 3" xfId="21885"/>
    <cellStyle name="Normal 2 6 3 2 2 4" xfId="36928"/>
    <cellStyle name="Normal 2 6 3 2 3" xfId="10613"/>
    <cellStyle name="Normal 2 6 3 2 3 2" xfId="25657"/>
    <cellStyle name="Normal 2 6 3 2 3 3" xfId="40700"/>
    <cellStyle name="Normal 2 6 3 2 4" xfId="18136"/>
    <cellStyle name="Normal 2 6 3 2 5" xfId="33179"/>
    <cellStyle name="Normal 2 6 3 3" xfId="4974"/>
    <cellStyle name="Normal 2 6 3 3 2" xfId="12497"/>
    <cellStyle name="Normal 2 6 3 3 2 2" xfId="27541"/>
    <cellStyle name="Normal 2 6 3 3 2 3" xfId="42584"/>
    <cellStyle name="Normal 2 6 3 3 3" xfId="20020"/>
    <cellStyle name="Normal 2 6 3 3 4" xfId="35063"/>
    <cellStyle name="Normal 2 6 3 4" xfId="8748"/>
    <cellStyle name="Normal 2 6 3 4 2" xfId="23792"/>
    <cellStyle name="Normal 2 6 3 4 3" xfId="38835"/>
    <cellStyle name="Normal 2 6 3 5" xfId="16271"/>
    <cellStyle name="Normal 2 6 3 6" xfId="31314"/>
    <cellStyle name="Normal 2 6 4" xfId="2111"/>
    <cellStyle name="Normal 2 6 4 2" xfId="5907"/>
    <cellStyle name="Normal 2 6 4 2 2" xfId="13430"/>
    <cellStyle name="Normal 2 6 4 2 2 2" xfId="28474"/>
    <cellStyle name="Normal 2 6 4 2 2 3" xfId="43517"/>
    <cellStyle name="Normal 2 6 4 2 3" xfId="20953"/>
    <cellStyle name="Normal 2 6 4 2 4" xfId="35996"/>
    <cellStyle name="Normal 2 6 4 3" xfId="9681"/>
    <cellStyle name="Normal 2 6 4 3 2" xfId="24725"/>
    <cellStyle name="Normal 2 6 4 3 3" xfId="39768"/>
    <cellStyle name="Normal 2 6 4 4" xfId="17204"/>
    <cellStyle name="Normal 2 6 4 5" xfId="32247"/>
    <cellStyle name="Normal 2 6 5" xfId="4037"/>
    <cellStyle name="Normal 2 6 5 2" xfId="11561"/>
    <cellStyle name="Normal 2 6 5 2 2" xfId="26605"/>
    <cellStyle name="Normal 2 6 5 2 3" xfId="41648"/>
    <cellStyle name="Normal 2 6 5 3" xfId="19084"/>
    <cellStyle name="Normal 2 6 5 4" xfId="34127"/>
    <cellStyle name="Normal 2 6 6" xfId="7800"/>
    <cellStyle name="Normal 2 6 6 2" xfId="22844"/>
    <cellStyle name="Normal 2 6 6 3" xfId="37887"/>
    <cellStyle name="Normal 2 6 7" xfId="15323"/>
    <cellStyle name="Normal 2 6 8" xfId="30366"/>
    <cellStyle name="Normal 2 7" xfId="590"/>
    <cellStyle name="Normal 2 7 2" xfId="1088"/>
    <cellStyle name="Normal 2 7 2 2" xfId="2047"/>
    <cellStyle name="Normal 2 7 2 2 2" xfId="3918"/>
    <cellStyle name="Normal 2 7 2 2 2 2" xfId="7713"/>
    <cellStyle name="Normal 2 7 2 2 2 2 2" xfId="15236"/>
    <cellStyle name="Normal 2 7 2 2 2 2 2 2" xfId="30280"/>
    <cellStyle name="Normal 2 7 2 2 2 2 2 3" xfId="45323"/>
    <cellStyle name="Normal 2 7 2 2 2 2 3" xfId="22759"/>
    <cellStyle name="Normal 2 7 2 2 2 2 4" xfId="37802"/>
    <cellStyle name="Normal 2 7 2 2 2 3" xfId="11487"/>
    <cellStyle name="Normal 2 7 2 2 2 3 2" xfId="26531"/>
    <cellStyle name="Normal 2 7 2 2 2 3 3" xfId="41574"/>
    <cellStyle name="Normal 2 7 2 2 2 4" xfId="19010"/>
    <cellStyle name="Normal 2 7 2 2 2 5" xfId="34053"/>
    <cellStyle name="Normal 2 7 2 2 3" xfId="5848"/>
    <cellStyle name="Normal 2 7 2 2 3 2" xfId="13371"/>
    <cellStyle name="Normal 2 7 2 2 3 2 2" xfId="28415"/>
    <cellStyle name="Normal 2 7 2 2 3 2 3" xfId="43458"/>
    <cellStyle name="Normal 2 7 2 2 3 3" xfId="20894"/>
    <cellStyle name="Normal 2 7 2 2 3 4" xfId="35937"/>
    <cellStyle name="Normal 2 7 2 2 4" xfId="9622"/>
    <cellStyle name="Normal 2 7 2 2 4 2" xfId="24666"/>
    <cellStyle name="Normal 2 7 2 2 4 3" xfId="39709"/>
    <cellStyle name="Normal 2 7 2 2 5" xfId="17145"/>
    <cellStyle name="Normal 2 7 2 2 6" xfId="32188"/>
    <cellStyle name="Normal 2 7 2 3" xfId="2986"/>
    <cellStyle name="Normal 2 7 2 3 2" xfId="6781"/>
    <cellStyle name="Normal 2 7 2 3 2 2" xfId="14304"/>
    <cellStyle name="Normal 2 7 2 3 2 2 2" xfId="29348"/>
    <cellStyle name="Normal 2 7 2 3 2 2 3" xfId="44391"/>
    <cellStyle name="Normal 2 7 2 3 2 3" xfId="21827"/>
    <cellStyle name="Normal 2 7 2 3 2 4" xfId="36870"/>
    <cellStyle name="Normal 2 7 2 3 3" xfId="10555"/>
    <cellStyle name="Normal 2 7 2 3 3 2" xfId="25599"/>
    <cellStyle name="Normal 2 7 2 3 3 3" xfId="40642"/>
    <cellStyle name="Normal 2 7 2 3 4" xfId="18078"/>
    <cellStyle name="Normal 2 7 2 3 5" xfId="33121"/>
    <cellStyle name="Normal 2 7 2 4" xfId="4916"/>
    <cellStyle name="Normal 2 7 2 4 2" xfId="12439"/>
    <cellStyle name="Normal 2 7 2 4 2 2" xfId="27483"/>
    <cellStyle name="Normal 2 7 2 4 2 3" xfId="42526"/>
    <cellStyle name="Normal 2 7 2 4 3" xfId="19962"/>
    <cellStyle name="Normal 2 7 2 4 4" xfId="35005"/>
    <cellStyle name="Normal 2 7 2 5" xfId="8690"/>
    <cellStyle name="Normal 2 7 2 5 2" xfId="23734"/>
    <cellStyle name="Normal 2 7 2 5 3" xfId="38777"/>
    <cellStyle name="Normal 2 7 2 6" xfId="16213"/>
    <cellStyle name="Normal 2 7 2 7" xfId="31256"/>
    <cellStyle name="Normal 2 7 3" xfId="1595"/>
    <cellStyle name="Normal 2 7 3 2" xfId="3466"/>
    <cellStyle name="Normal 2 7 3 2 2" xfId="7261"/>
    <cellStyle name="Normal 2 7 3 2 2 2" xfId="14784"/>
    <cellStyle name="Normal 2 7 3 2 2 2 2" xfId="29828"/>
    <cellStyle name="Normal 2 7 3 2 2 2 3" xfId="44871"/>
    <cellStyle name="Normal 2 7 3 2 2 3" xfId="22307"/>
    <cellStyle name="Normal 2 7 3 2 2 4" xfId="37350"/>
    <cellStyle name="Normal 2 7 3 2 3" xfId="11035"/>
    <cellStyle name="Normal 2 7 3 2 3 2" xfId="26079"/>
    <cellStyle name="Normal 2 7 3 2 3 3" xfId="41122"/>
    <cellStyle name="Normal 2 7 3 2 4" xfId="18558"/>
    <cellStyle name="Normal 2 7 3 2 5" xfId="33601"/>
    <cellStyle name="Normal 2 7 3 3" xfId="5396"/>
    <cellStyle name="Normal 2 7 3 3 2" xfId="12919"/>
    <cellStyle name="Normal 2 7 3 3 2 2" xfId="27963"/>
    <cellStyle name="Normal 2 7 3 3 2 3" xfId="43006"/>
    <cellStyle name="Normal 2 7 3 3 3" xfId="20442"/>
    <cellStyle name="Normal 2 7 3 3 4" xfId="35485"/>
    <cellStyle name="Normal 2 7 3 4" xfId="9170"/>
    <cellStyle name="Normal 2 7 3 4 2" xfId="24214"/>
    <cellStyle name="Normal 2 7 3 4 3" xfId="39257"/>
    <cellStyle name="Normal 2 7 3 5" xfId="16693"/>
    <cellStyle name="Normal 2 7 3 6" xfId="31736"/>
    <cellStyle name="Normal 2 7 4" xfId="2533"/>
    <cellStyle name="Normal 2 7 4 2" xfId="6329"/>
    <cellStyle name="Normal 2 7 4 2 2" xfId="13852"/>
    <cellStyle name="Normal 2 7 4 2 2 2" xfId="28896"/>
    <cellStyle name="Normal 2 7 4 2 2 3" xfId="43939"/>
    <cellStyle name="Normal 2 7 4 2 3" xfId="21375"/>
    <cellStyle name="Normal 2 7 4 2 4" xfId="36418"/>
    <cellStyle name="Normal 2 7 4 3" xfId="10103"/>
    <cellStyle name="Normal 2 7 4 3 2" xfId="25147"/>
    <cellStyle name="Normal 2 7 4 3 3" xfId="40190"/>
    <cellStyle name="Normal 2 7 4 4" xfId="17626"/>
    <cellStyle name="Normal 2 7 4 5" xfId="32669"/>
    <cellStyle name="Normal 2 7 5" xfId="4461"/>
    <cellStyle name="Normal 2 7 5 2" xfId="11985"/>
    <cellStyle name="Normal 2 7 5 2 2" xfId="27029"/>
    <cellStyle name="Normal 2 7 5 2 3" xfId="42072"/>
    <cellStyle name="Normal 2 7 5 3" xfId="19508"/>
    <cellStyle name="Normal 2 7 5 4" xfId="34551"/>
    <cellStyle name="Normal 2 7 6" xfId="8224"/>
    <cellStyle name="Normal 2 7 6 2" xfId="23268"/>
    <cellStyle name="Normal 2 7 6 3" xfId="38311"/>
    <cellStyle name="Normal 2 7 7" xfId="15747"/>
    <cellStyle name="Normal 2 7 8" xfId="30790"/>
    <cellStyle name="Normal 2 8" xfId="648"/>
    <cellStyle name="Normal 2 8 2" xfId="1608"/>
    <cellStyle name="Normal 2 8 2 2" xfId="3479"/>
    <cellStyle name="Normal 2 8 2 2 2" xfId="7274"/>
    <cellStyle name="Normal 2 8 2 2 2 2" xfId="14797"/>
    <cellStyle name="Normal 2 8 2 2 2 2 2" xfId="29841"/>
    <cellStyle name="Normal 2 8 2 2 2 2 3" xfId="44884"/>
    <cellStyle name="Normal 2 8 2 2 2 3" xfId="22320"/>
    <cellStyle name="Normal 2 8 2 2 2 4" xfId="37363"/>
    <cellStyle name="Normal 2 8 2 2 3" xfId="11048"/>
    <cellStyle name="Normal 2 8 2 2 3 2" xfId="26092"/>
    <cellStyle name="Normal 2 8 2 2 3 3" xfId="41135"/>
    <cellStyle name="Normal 2 8 2 2 4" xfId="18571"/>
    <cellStyle name="Normal 2 8 2 2 5" xfId="33614"/>
    <cellStyle name="Normal 2 8 2 3" xfId="5409"/>
    <cellStyle name="Normal 2 8 2 3 2" xfId="12932"/>
    <cellStyle name="Normal 2 8 2 3 2 2" xfId="27976"/>
    <cellStyle name="Normal 2 8 2 3 2 3" xfId="43019"/>
    <cellStyle name="Normal 2 8 2 3 3" xfId="20455"/>
    <cellStyle name="Normal 2 8 2 3 4" xfId="35498"/>
    <cellStyle name="Normal 2 8 2 4" xfId="9183"/>
    <cellStyle name="Normal 2 8 2 4 2" xfId="24227"/>
    <cellStyle name="Normal 2 8 2 4 3" xfId="39270"/>
    <cellStyle name="Normal 2 8 2 5" xfId="16706"/>
    <cellStyle name="Normal 2 8 2 6" xfId="31749"/>
    <cellStyle name="Normal 2 8 3" xfId="2547"/>
    <cellStyle name="Normal 2 8 3 2" xfId="6342"/>
    <cellStyle name="Normal 2 8 3 2 2" xfId="13865"/>
    <cellStyle name="Normal 2 8 3 2 2 2" xfId="28909"/>
    <cellStyle name="Normal 2 8 3 2 2 3" xfId="43952"/>
    <cellStyle name="Normal 2 8 3 2 3" xfId="21388"/>
    <cellStyle name="Normal 2 8 3 2 4" xfId="36431"/>
    <cellStyle name="Normal 2 8 3 3" xfId="10116"/>
    <cellStyle name="Normal 2 8 3 3 2" xfId="25160"/>
    <cellStyle name="Normal 2 8 3 3 3" xfId="40203"/>
    <cellStyle name="Normal 2 8 3 4" xfId="17639"/>
    <cellStyle name="Normal 2 8 3 5" xfId="32682"/>
    <cellStyle name="Normal 2 8 4" xfId="4477"/>
    <cellStyle name="Normal 2 8 4 2" xfId="12000"/>
    <cellStyle name="Normal 2 8 4 2 2" xfId="27044"/>
    <cellStyle name="Normal 2 8 4 2 3" xfId="42087"/>
    <cellStyle name="Normal 2 8 4 3" xfId="19523"/>
    <cellStyle name="Normal 2 8 4 4" xfId="34566"/>
    <cellStyle name="Normal 2 8 5" xfId="8251"/>
    <cellStyle name="Normal 2 8 5 2" xfId="23295"/>
    <cellStyle name="Normal 2 8 5 3" xfId="38338"/>
    <cellStyle name="Normal 2 8 6" xfId="15774"/>
    <cellStyle name="Normal 2 8 7" xfId="30817"/>
    <cellStyle name="Normal 2 9" xfId="1144"/>
    <cellStyle name="Normal 2 9 2" xfId="3015"/>
    <cellStyle name="Normal 2 9 2 2" xfId="6810"/>
    <cellStyle name="Normal 2 9 2 2 2" xfId="14333"/>
    <cellStyle name="Normal 2 9 2 2 2 2" xfId="29377"/>
    <cellStyle name="Normal 2 9 2 2 2 3" xfId="44420"/>
    <cellStyle name="Normal 2 9 2 2 3" xfId="21856"/>
    <cellStyle name="Normal 2 9 2 2 4" xfId="36899"/>
    <cellStyle name="Normal 2 9 2 3" xfId="10584"/>
    <cellStyle name="Normal 2 9 2 3 2" xfId="25628"/>
    <cellStyle name="Normal 2 9 2 3 3" xfId="40671"/>
    <cellStyle name="Normal 2 9 2 4" xfId="18107"/>
    <cellStyle name="Normal 2 9 2 5" xfId="33150"/>
    <cellStyle name="Normal 2 9 3" xfId="4945"/>
    <cellStyle name="Normal 2 9 3 2" xfId="12468"/>
    <cellStyle name="Normal 2 9 3 2 2" xfId="27512"/>
    <cellStyle name="Normal 2 9 3 2 3" xfId="42555"/>
    <cellStyle name="Normal 2 9 3 3" xfId="19991"/>
    <cellStyle name="Normal 2 9 3 4" xfId="35034"/>
    <cellStyle name="Normal 2 9 4" xfId="8719"/>
    <cellStyle name="Normal 2 9 4 2" xfId="23763"/>
    <cellStyle name="Normal 2 9 4 3" xfId="38806"/>
    <cellStyle name="Normal 2 9 5" xfId="16242"/>
    <cellStyle name="Normal 2 9 6" xfId="31285"/>
    <cellStyle name="Normal 20" xfId="204"/>
    <cellStyle name="Normal 20 2" xfId="205"/>
    <cellStyle name="Normal 20 2 2" xfId="732"/>
    <cellStyle name="Normal 20 2 2 2" xfId="1691"/>
    <cellStyle name="Normal 20 2 2 2 2" xfId="3562"/>
    <cellStyle name="Normal 20 2 2 2 2 2" xfId="7357"/>
    <cellStyle name="Normal 20 2 2 2 2 2 2" xfId="14880"/>
    <cellStyle name="Normal 20 2 2 2 2 2 2 2" xfId="29924"/>
    <cellStyle name="Normal 20 2 2 2 2 2 2 3" xfId="44967"/>
    <cellStyle name="Normal 20 2 2 2 2 2 3" xfId="22403"/>
    <cellStyle name="Normal 20 2 2 2 2 2 4" xfId="37446"/>
    <cellStyle name="Normal 20 2 2 2 2 3" xfId="11131"/>
    <cellStyle name="Normal 20 2 2 2 2 3 2" xfId="26175"/>
    <cellStyle name="Normal 20 2 2 2 2 3 3" xfId="41218"/>
    <cellStyle name="Normal 20 2 2 2 2 4" xfId="18654"/>
    <cellStyle name="Normal 20 2 2 2 2 5" xfId="33697"/>
    <cellStyle name="Normal 20 2 2 2 3" xfId="5492"/>
    <cellStyle name="Normal 20 2 2 2 3 2" xfId="13015"/>
    <cellStyle name="Normal 20 2 2 2 3 2 2" xfId="28059"/>
    <cellStyle name="Normal 20 2 2 2 3 2 3" xfId="43102"/>
    <cellStyle name="Normal 20 2 2 2 3 3" xfId="20538"/>
    <cellStyle name="Normal 20 2 2 2 3 4" xfId="35581"/>
    <cellStyle name="Normal 20 2 2 2 4" xfId="9266"/>
    <cellStyle name="Normal 20 2 2 2 4 2" xfId="24310"/>
    <cellStyle name="Normal 20 2 2 2 4 3" xfId="39353"/>
    <cellStyle name="Normal 20 2 2 2 5" xfId="16789"/>
    <cellStyle name="Normal 20 2 2 2 6" xfId="31832"/>
    <cellStyle name="Normal 20 2 2 3" xfId="2630"/>
    <cellStyle name="Normal 20 2 2 3 2" xfId="6425"/>
    <cellStyle name="Normal 20 2 2 3 2 2" xfId="13948"/>
    <cellStyle name="Normal 20 2 2 3 2 2 2" xfId="28992"/>
    <cellStyle name="Normal 20 2 2 3 2 2 3" xfId="44035"/>
    <cellStyle name="Normal 20 2 2 3 2 3" xfId="21471"/>
    <cellStyle name="Normal 20 2 2 3 2 4" xfId="36514"/>
    <cellStyle name="Normal 20 2 2 3 3" xfId="10199"/>
    <cellStyle name="Normal 20 2 2 3 3 2" xfId="25243"/>
    <cellStyle name="Normal 20 2 2 3 3 3" xfId="40286"/>
    <cellStyle name="Normal 20 2 2 3 4" xfId="17722"/>
    <cellStyle name="Normal 20 2 2 3 5" xfId="32765"/>
    <cellStyle name="Normal 20 2 2 4" xfId="4560"/>
    <cellStyle name="Normal 20 2 2 4 2" xfId="12083"/>
    <cellStyle name="Normal 20 2 2 4 2 2" xfId="27127"/>
    <cellStyle name="Normal 20 2 2 4 2 3" xfId="42170"/>
    <cellStyle name="Normal 20 2 2 4 3" xfId="19606"/>
    <cellStyle name="Normal 20 2 2 4 4" xfId="34649"/>
    <cellStyle name="Normal 20 2 2 5" xfId="8334"/>
    <cellStyle name="Normal 20 2 2 5 2" xfId="23378"/>
    <cellStyle name="Normal 20 2 2 5 3" xfId="38421"/>
    <cellStyle name="Normal 20 2 2 6" xfId="15857"/>
    <cellStyle name="Normal 20 2 2 7" xfId="30900"/>
    <cellStyle name="Normal 20 2 3" xfId="1239"/>
    <cellStyle name="Normal 20 2 3 2" xfId="3110"/>
    <cellStyle name="Normal 20 2 3 2 2" xfId="6905"/>
    <cellStyle name="Normal 20 2 3 2 2 2" xfId="14428"/>
    <cellStyle name="Normal 20 2 3 2 2 2 2" xfId="29472"/>
    <cellStyle name="Normal 20 2 3 2 2 2 3" xfId="44515"/>
    <cellStyle name="Normal 20 2 3 2 2 3" xfId="21951"/>
    <cellStyle name="Normal 20 2 3 2 2 4" xfId="36994"/>
    <cellStyle name="Normal 20 2 3 2 3" xfId="10679"/>
    <cellStyle name="Normal 20 2 3 2 3 2" xfId="25723"/>
    <cellStyle name="Normal 20 2 3 2 3 3" xfId="40766"/>
    <cellStyle name="Normal 20 2 3 2 4" xfId="18202"/>
    <cellStyle name="Normal 20 2 3 2 5" xfId="33245"/>
    <cellStyle name="Normal 20 2 3 3" xfId="5040"/>
    <cellStyle name="Normal 20 2 3 3 2" xfId="12563"/>
    <cellStyle name="Normal 20 2 3 3 2 2" xfId="27607"/>
    <cellStyle name="Normal 20 2 3 3 2 3" xfId="42650"/>
    <cellStyle name="Normal 20 2 3 3 3" xfId="20086"/>
    <cellStyle name="Normal 20 2 3 3 4" xfId="35129"/>
    <cellStyle name="Normal 20 2 3 4" xfId="8814"/>
    <cellStyle name="Normal 20 2 3 4 2" xfId="23858"/>
    <cellStyle name="Normal 20 2 3 4 3" xfId="38901"/>
    <cellStyle name="Normal 20 2 3 5" xfId="16337"/>
    <cellStyle name="Normal 20 2 3 6" xfId="31380"/>
    <cellStyle name="Normal 20 2 4" xfId="2177"/>
    <cellStyle name="Normal 20 2 4 2" xfId="5973"/>
    <cellStyle name="Normal 20 2 4 2 2" xfId="13496"/>
    <cellStyle name="Normal 20 2 4 2 2 2" xfId="28540"/>
    <cellStyle name="Normal 20 2 4 2 2 3" xfId="43583"/>
    <cellStyle name="Normal 20 2 4 2 3" xfId="21019"/>
    <cellStyle name="Normal 20 2 4 2 4" xfId="36062"/>
    <cellStyle name="Normal 20 2 4 3" xfId="9747"/>
    <cellStyle name="Normal 20 2 4 3 2" xfId="24791"/>
    <cellStyle name="Normal 20 2 4 3 3" xfId="39834"/>
    <cellStyle name="Normal 20 2 4 4" xfId="17270"/>
    <cellStyle name="Normal 20 2 4 5" xfId="32313"/>
    <cellStyle name="Normal 20 2 5" xfId="4105"/>
    <cellStyle name="Normal 20 2 5 2" xfId="11629"/>
    <cellStyle name="Normal 20 2 5 2 2" xfId="26673"/>
    <cellStyle name="Normal 20 2 5 2 3" xfId="41716"/>
    <cellStyle name="Normal 20 2 5 3" xfId="19152"/>
    <cellStyle name="Normal 20 2 5 4" xfId="34195"/>
    <cellStyle name="Normal 20 2 6" xfId="7868"/>
    <cellStyle name="Normal 20 2 6 2" xfId="22912"/>
    <cellStyle name="Normal 20 2 6 3" xfId="37955"/>
    <cellStyle name="Normal 20 2 7" xfId="15391"/>
    <cellStyle name="Normal 20 2 8" xfId="30434"/>
    <cellStyle name="Normal 20 3" xfId="731"/>
    <cellStyle name="Normal 20 3 2" xfId="1690"/>
    <cellStyle name="Normal 20 3 2 2" xfId="3561"/>
    <cellStyle name="Normal 20 3 2 2 2" xfId="7356"/>
    <cellStyle name="Normal 20 3 2 2 2 2" xfId="14879"/>
    <cellStyle name="Normal 20 3 2 2 2 2 2" xfId="29923"/>
    <cellStyle name="Normal 20 3 2 2 2 2 3" xfId="44966"/>
    <cellStyle name="Normal 20 3 2 2 2 3" xfId="22402"/>
    <cellStyle name="Normal 20 3 2 2 2 4" xfId="37445"/>
    <cellStyle name="Normal 20 3 2 2 3" xfId="11130"/>
    <cellStyle name="Normal 20 3 2 2 3 2" xfId="26174"/>
    <cellStyle name="Normal 20 3 2 2 3 3" xfId="41217"/>
    <cellStyle name="Normal 20 3 2 2 4" xfId="18653"/>
    <cellStyle name="Normal 20 3 2 2 5" xfId="33696"/>
    <cellStyle name="Normal 20 3 2 3" xfId="5491"/>
    <cellStyle name="Normal 20 3 2 3 2" xfId="13014"/>
    <cellStyle name="Normal 20 3 2 3 2 2" xfId="28058"/>
    <cellStyle name="Normal 20 3 2 3 2 3" xfId="43101"/>
    <cellStyle name="Normal 20 3 2 3 3" xfId="20537"/>
    <cellStyle name="Normal 20 3 2 3 4" xfId="35580"/>
    <cellStyle name="Normal 20 3 2 4" xfId="9265"/>
    <cellStyle name="Normal 20 3 2 4 2" xfId="24309"/>
    <cellStyle name="Normal 20 3 2 4 3" xfId="39352"/>
    <cellStyle name="Normal 20 3 2 5" xfId="16788"/>
    <cellStyle name="Normal 20 3 2 6" xfId="31831"/>
    <cellStyle name="Normal 20 3 3" xfId="2629"/>
    <cellStyle name="Normal 20 3 3 2" xfId="6424"/>
    <cellStyle name="Normal 20 3 3 2 2" xfId="13947"/>
    <cellStyle name="Normal 20 3 3 2 2 2" xfId="28991"/>
    <cellStyle name="Normal 20 3 3 2 2 3" xfId="44034"/>
    <cellStyle name="Normal 20 3 3 2 3" xfId="21470"/>
    <cellStyle name="Normal 20 3 3 2 4" xfId="36513"/>
    <cellStyle name="Normal 20 3 3 3" xfId="10198"/>
    <cellStyle name="Normal 20 3 3 3 2" xfId="25242"/>
    <cellStyle name="Normal 20 3 3 3 3" xfId="40285"/>
    <cellStyle name="Normal 20 3 3 4" xfId="17721"/>
    <cellStyle name="Normal 20 3 3 5" xfId="32764"/>
    <cellStyle name="Normal 20 3 4" xfId="4559"/>
    <cellStyle name="Normal 20 3 4 2" xfId="12082"/>
    <cellStyle name="Normal 20 3 4 2 2" xfId="27126"/>
    <cellStyle name="Normal 20 3 4 2 3" xfId="42169"/>
    <cellStyle name="Normal 20 3 4 3" xfId="19605"/>
    <cellStyle name="Normal 20 3 4 4" xfId="34648"/>
    <cellStyle name="Normal 20 3 5" xfId="8333"/>
    <cellStyle name="Normal 20 3 5 2" xfId="23377"/>
    <cellStyle name="Normal 20 3 5 3" xfId="38420"/>
    <cellStyle name="Normal 20 3 6" xfId="15856"/>
    <cellStyle name="Normal 20 3 7" xfId="30899"/>
    <cellStyle name="Normal 20 4" xfId="1238"/>
    <cellStyle name="Normal 20 4 2" xfId="3109"/>
    <cellStyle name="Normal 20 4 2 2" xfId="6904"/>
    <cellStyle name="Normal 20 4 2 2 2" xfId="14427"/>
    <cellStyle name="Normal 20 4 2 2 2 2" xfId="29471"/>
    <cellStyle name="Normal 20 4 2 2 2 3" xfId="44514"/>
    <cellStyle name="Normal 20 4 2 2 3" xfId="21950"/>
    <cellStyle name="Normal 20 4 2 2 4" xfId="36993"/>
    <cellStyle name="Normal 20 4 2 3" xfId="10678"/>
    <cellStyle name="Normal 20 4 2 3 2" xfId="25722"/>
    <cellStyle name="Normal 20 4 2 3 3" xfId="40765"/>
    <cellStyle name="Normal 20 4 2 4" xfId="18201"/>
    <cellStyle name="Normal 20 4 2 5" xfId="33244"/>
    <cellStyle name="Normal 20 4 3" xfId="5039"/>
    <cellStyle name="Normal 20 4 3 2" xfId="12562"/>
    <cellStyle name="Normal 20 4 3 2 2" xfId="27606"/>
    <cellStyle name="Normal 20 4 3 2 3" xfId="42649"/>
    <cellStyle name="Normal 20 4 3 3" xfId="20085"/>
    <cellStyle name="Normal 20 4 3 4" xfId="35128"/>
    <cellStyle name="Normal 20 4 4" xfId="8813"/>
    <cellStyle name="Normal 20 4 4 2" xfId="23857"/>
    <cellStyle name="Normal 20 4 4 3" xfId="38900"/>
    <cellStyle name="Normal 20 4 5" xfId="16336"/>
    <cellStyle name="Normal 20 4 6" xfId="31379"/>
    <cellStyle name="Normal 20 5" xfId="2176"/>
    <cellStyle name="Normal 20 5 2" xfId="5972"/>
    <cellStyle name="Normal 20 5 2 2" xfId="13495"/>
    <cellStyle name="Normal 20 5 2 2 2" xfId="28539"/>
    <cellStyle name="Normal 20 5 2 2 3" xfId="43582"/>
    <cellStyle name="Normal 20 5 2 3" xfId="21018"/>
    <cellStyle name="Normal 20 5 2 4" xfId="36061"/>
    <cellStyle name="Normal 20 5 3" xfId="9746"/>
    <cellStyle name="Normal 20 5 3 2" xfId="24790"/>
    <cellStyle name="Normal 20 5 3 3" xfId="39833"/>
    <cellStyle name="Normal 20 5 4" xfId="17269"/>
    <cellStyle name="Normal 20 5 5" xfId="32312"/>
    <cellStyle name="Normal 20 6" xfId="4104"/>
    <cellStyle name="Normal 20 6 2" xfId="11628"/>
    <cellStyle name="Normal 20 6 2 2" xfId="26672"/>
    <cellStyle name="Normal 20 6 2 3" xfId="41715"/>
    <cellStyle name="Normal 20 6 3" xfId="19151"/>
    <cellStyle name="Normal 20 6 4" xfId="34194"/>
    <cellStyle name="Normal 20 7" xfId="7867"/>
    <cellStyle name="Normal 20 7 2" xfId="22911"/>
    <cellStyle name="Normal 20 7 3" xfId="37954"/>
    <cellStyle name="Normal 20 8" xfId="15390"/>
    <cellStyle name="Normal 20 9" xfId="30433"/>
    <cellStyle name="Normal 21" xfId="206"/>
    <cellStyle name="Normal 21 2" xfId="207"/>
    <cellStyle name="Normal 21 2 2" xfId="734"/>
    <cellStyle name="Normal 21 2 2 2" xfId="1693"/>
    <cellStyle name="Normal 21 2 2 2 2" xfId="3564"/>
    <cellStyle name="Normal 21 2 2 2 2 2" xfId="7359"/>
    <cellStyle name="Normal 21 2 2 2 2 2 2" xfId="14882"/>
    <cellStyle name="Normal 21 2 2 2 2 2 2 2" xfId="29926"/>
    <cellStyle name="Normal 21 2 2 2 2 2 2 3" xfId="44969"/>
    <cellStyle name="Normal 21 2 2 2 2 2 3" xfId="22405"/>
    <cellStyle name="Normal 21 2 2 2 2 2 4" xfId="37448"/>
    <cellStyle name="Normal 21 2 2 2 2 3" xfId="11133"/>
    <cellStyle name="Normal 21 2 2 2 2 3 2" xfId="26177"/>
    <cellStyle name="Normal 21 2 2 2 2 3 3" xfId="41220"/>
    <cellStyle name="Normal 21 2 2 2 2 4" xfId="18656"/>
    <cellStyle name="Normal 21 2 2 2 2 5" xfId="33699"/>
    <cellStyle name="Normal 21 2 2 2 3" xfId="5494"/>
    <cellStyle name="Normal 21 2 2 2 3 2" xfId="13017"/>
    <cellStyle name="Normal 21 2 2 2 3 2 2" xfId="28061"/>
    <cellStyle name="Normal 21 2 2 2 3 2 3" xfId="43104"/>
    <cellStyle name="Normal 21 2 2 2 3 3" xfId="20540"/>
    <cellStyle name="Normal 21 2 2 2 3 4" xfId="35583"/>
    <cellStyle name="Normal 21 2 2 2 4" xfId="9268"/>
    <cellStyle name="Normal 21 2 2 2 4 2" xfId="24312"/>
    <cellStyle name="Normal 21 2 2 2 4 3" xfId="39355"/>
    <cellStyle name="Normal 21 2 2 2 5" xfId="16791"/>
    <cellStyle name="Normal 21 2 2 2 6" xfId="31834"/>
    <cellStyle name="Normal 21 2 2 3" xfId="2632"/>
    <cellStyle name="Normal 21 2 2 3 2" xfId="6427"/>
    <cellStyle name="Normal 21 2 2 3 2 2" xfId="13950"/>
    <cellStyle name="Normal 21 2 2 3 2 2 2" xfId="28994"/>
    <cellStyle name="Normal 21 2 2 3 2 2 3" xfId="44037"/>
    <cellStyle name="Normal 21 2 2 3 2 3" xfId="21473"/>
    <cellStyle name="Normal 21 2 2 3 2 4" xfId="36516"/>
    <cellStyle name="Normal 21 2 2 3 3" xfId="10201"/>
    <cellStyle name="Normal 21 2 2 3 3 2" xfId="25245"/>
    <cellStyle name="Normal 21 2 2 3 3 3" xfId="40288"/>
    <cellStyle name="Normal 21 2 2 3 4" xfId="17724"/>
    <cellStyle name="Normal 21 2 2 3 5" xfId="32767"/>
    <cellStyle name="Normal 21 2 2 4" xfId="4562"/>
    <cellStyle name="Normal 21 2 2 4 2" xfId="12085"/>
    <cellStyle name="Normal 21 2 2 4 2 2" xfId="27129"/>
    <cellStyle name="Normal 21 2 2 4 2 3" xfId="42172"/>
    <cellStyle name="Normal 21 2 2 4 3" xfId="19608"/>
    <cellStyle name="Normal 21 2 2 4 4" xfId="34651"/>
    <cellStyle name="Normal 21 2 2 5" xfId="8336"/>
    <cellStyle name="Normal 21 2 2 5 2" xfId="23380"/>
    <cellStyle name="Normal 21 2 2 5 3" xfId="38423"/>
    <cellStyle name="Normal 21 2 2 6" xfId="15859"/>
    <cellStyle name="Normal 21 2 2 7" xfId="30902"/>
    <cellStyle name="Normal 21 2 3" xfId="1241"/>
    <cellStyle name="Normal 21 2 3 2" xfId="3112"/>
    <cellStyle name="Normal 21 2 3 2 2" xfId="6907"/>
    <cellStyle name="Normal 21 2 3 2 2 2" xfId="14430"/>
    <cellStyle name="Normal 21 2 3 2 2 2 2" xfId="29474"/>
    <cellStyle name="Normal 21 2 3 2 2 2 3" xfId="44517"/>
    <cellStyle name="Normal 21 2 3 2 2 3" xfId="21953"/>
    <cellStyle name="Normal 21 2 3 2 2 4" xfId="36996"/>
    <cellStyle name="Normal 21 2 3 2 3" xfId="10681"/>
    <cellStyle name="Normal 21 2 3 2 3 2" xfId="25725"/>
    <cellStyle name="Normal 21 2 3 2 3 3" xfId="40768"/>
    <cellStyle name="Normal 21 2 3 2 4" xfId="18204"/>
    <cellStyle name="Normal 21 2 3 2 5" xfId="33247"/>
    <cellStyle name="Normal 21 2 3 3" xfId="5042"/>
    <cellStyle name="Normal 21 2 3 3 2" xfId="12565"/>
    <cellStyle name="Normal 21 2 3 3 2 2" xfId="27609"/>
    <cellStyle name="Normal 21 2 3 3 2 3" xfId="42652"/>
    <cellStyle name="Normal 21 2 3 3 3" xfId="20088"/>
    <cellStyle name="Normal 21 2 3 3 4" xfId="35131"/>
    <cellStyle name="Normal 21 2 3 4" xfId="8816"/>
    <cellStyle name="Normal 21 2 3 4 2" xfId="23860"/>
    <cellStyle name="Normal 21 2 3 4 3" xfId="38903"/>
    <cellStyle name="Normal 21 2 3 5" xfId="16339"/>
    <cellStyle name="Normal 21 2 3 6" xfId="31382"/>
    <cellStyle name="Normal 21 2 4" xfId="2179"/>
    <cellStyle name="Normal 21 2 4 2" xfId="5975"/>
    <cellStyle name="Normal 21 2 4 2 2" xfId="13498"/>
    <cellStyle name="Normal 21 2 4 2 2 2" xfId="28542"/>
    <cellStyle name="Normal 21 2 4 2 2 3" xfId="43585"/>
    <cellStyle name="Normal 21 2 4 2 3" xfId="21021"/>
    <cellStyle name="Normal 21 2 4 2 4" xfId="36064"/>
    <cellStyle name="Normal 21 2 4 3" xfId="9749"/>
    <cellStyle name="Normal 21 2 4 3 2" xfId="24793"/>
    <cellStyle name="Normal 21 2 4 3 3" xfId="39836"/>
    <cellStyle name="Normal 21 2 4 4" xfId="17272"/>
    <cellStyle name="Normal 21 2 4 5" xfId="32315"/>
    <cellStyle name="Normal 21 2 5" xfId="4107"/>
    <cellStyle name="Normal 21 2 5 2" xfId="11631"/>
    <cellStyle name="Normal 21 2 5 2 2" xfId="26675"/>
    <cellStyle name="Normal 21 2 5 2 3" xfId="41718"/>
    <cellStyle name="Normal 21 2 5 3" xfId="19154"/>
    <cellStyle name="Normal 21 2 5 4" xfId="34197"/>
    <cellStyle name="Normal 21 2 6" xfId="7870"/>
    <cellStyle name="Normal 21 2 6 2" xfId="22914"/>
    <cellStyle name="Normal 21 2 6 3" xfId="37957"/>
    <cellStyle name="Normal 21 2 7" xfId="15393"/>
    <cellStyle name="Normal 21 2 8" xfId="30436"/>
    <cellStyle name="Normal 21 3" xfId="733"/>
    <cellStyle name="Normal 21 3 2" xfId="1692"/>
    <cellStyle name="Normal 21 3 2 2" xfId="3563"/>
    <cellStyle name="Normal 21 3 2 2 2" xfId="7358"/>
    <cellStyle name="Normal 21 3 2 2 2 2" xfId="14881"/>
    <cellStyle name="Normal 21 3 2 2 2 2 2" xfId="29925"/>
    <cellStyle name="Normal 21 3 2 2 2 2 3" xfId="44968"/>
    <cellStyle name="Normal 21 3 2 2 2 3" xfId="22404"/>
    <cellStyle name="Normal 21 3 2 2 2 4" xfId="37447"/>
    <cellStyle name="Normal 21 3 2 2 3" xfId="11132"/>
    <cellStyle name="Normal 21 3 2 2 3 2" xfId="26176"/>
    <cellStyle name="Normal 21 3 2 2 3 3" xfId="41219"/>
    <cellStyle name="Normal 21 3 2 2 4" xfId="18655"/>
    <cellStyle name="Normal 21 3 2 2 5" xfId="33698"/>
    <cellStyle name="Normal 21 3 2 3" xfId="5493"/>
    <cellStyle name="Normal 21 3 2 3 2" xfId="13016"/>
    <cellStyle name="Normal 21 3 2 3 2 2" xfId="28060"/>
    <cellStyle name="Normal 21 3 2 3 2 3" xfId="43103"/>
    <cellStyle name="Normal 21 3 2 3 3" xfId="20539"/>
    <cellStyle name="Normal 21 3 2 3 4" xfId="35582"/>
    <cellStyle name="Normal 21 3 2 4" xfId="9267"/>
    <cellStyle name="Normal 21 3 2 4 2" xfId="24311"/>
    <cellStyle name="Normal 21 3 2 4 3" xfId="39354"/>
    <cellStyle name="Normal 21 3 2 5" xfId="16790"/>
    <cellStyle name="Normal 21 3 2 6" xfId="31833"/>
    <cellStyle name="Normal 21 3 3" xfId="2631"/>
    <cellStyle name="Normal 21 3 3 2" xfId="6426"/>
    <cellStyle name="Normal 21 3 3 2 2" xfId="13949"/>
    <cellStyle name="Normal 21 3 3 2 2 2" xfId="28993"/>
    <cellStyle name="Normal 21 3 3 2 2 3" xfId="44036"/>
    <cellStyle name="Normal 21 3 3 2 3" xfId="21472"/>
    <cellStyle name="Normal 21 3 3 2 4" xfId="36515"/>
    <cellStyle name="Normal 21 3 3 3" xfId="10200"/>
    <cellStyle name="Normal 21 3 3 3 2" xfId="25244"/>
    <cellStyle name="Normal 21 3 3 3 3" xfId="40287"/>
    <cellStyle name="Normal 21 3 3 4" xfId="17723"/>
    <cellStyle name="Normal 21 3 3 5" xfId="32766"/>
    <cellStyle name="Normal 21 3 4" xfId="4561"/>
    <cellStyle name="Normal 21 3 4 2" xfId="12084"/>
    <cellStyle name="Normal 21 3 4 2 2" xfId="27128"/>
    <cellStyle name="Normal 21 3 4 2 3" xfId="42171"/>
    <cellStyle name="Normal 21 3 4 3" xfId="19607"/>
    <cellStyle name="Normal 21 3 4 4" xfId="34650"/>
    <cellStyle name="Normal 21 3 5" xfId="8335"/>
    <cellStyle name="Normal 21 3 5 2" xfId="23379"/>
    <cellStyle name="Normal 21 3 5 3" xfId="38422"/>
    <cellStyle name="Normal 21 3 6" xfId="15858"/>
    <cellStyle name="Normal 21 3 7" xfId="30901"/>
    <cellStyle name="Normal 21 4" xfId="1240"/>
    <cellStyle name="Normal 21 4 2" xfId="3111"/>
    <cellStyle name="Normal 21 4 2 2" xfId="6906"/>
    <cellStyle name="Normal 21 4 2 2 2" xfId="14429"/>
    <cellStyle name="Normal 21 4 2 2 2 2" xfId="29473"/>
    <cellStyle name="Normal 21 4 2 2 2 3" xfId="44516"/>
    <cellStyle name="Normal 21 4 2 2 3" xfId="21952"/>
    <cellStyle name="Normal 21 4 2 2 4" xfId="36995"/>
    <cellStyle name="Normal 21 4 2 3" xfId="10680"/>
    <cellStyle name="Normal 21 4 2 3 2" xfId="25724"/>
    <cellStyle name="Normal 21 4 2 3 3" xfId="40767"/>
    <cellStyle name="Normal 21 4 2 4" xfId="18203"/>
    <cellStyle name="Normal 21 4 2 5" xfId="33246"/>
    <cellStyle name="Normal 21 4 3" xfId="5041"/>
    <cellStyle name="Normal 21 4 3 2" xfId="12564"/>
    <cellStyle name="Normal 21 4 3 2 2" xfId="27608"/>
    <cellStyle name="Normal 21 4 3 2 3" xfId="42651"/>
    <cellStyle name="Normal 21 4 3 3" xfId="20087"/>
    <cellStyle name="Normal 21 4 3 4" xfId="35130"/>
    <cellStyle name="Normal 21 4 4" xfId="8815"/>
    <cellStyle name="Normal 21 4 4 2" xfId="23859"/>
    <cellStyle name="Normal 21 4 4 3" xfId="38902"/>
    <cellStyle name="Normal 21 4 5" xfId="16338"/>
    <cellStyle name="Normal 21 4 6" xfId="31381"/>
    <cellStyle name="Normal 21 5" xfId="2178"/>
    <cellStyle name="Normal 21 5 2" xfId="5974"/>
    <cellStyle name="Normal 21 5 2 2" xfId="13497"/>
    <cellStyle name="Normal 21 5 2 2 2" xfId="28541"/>
    <cellStyle name="Normal 21 5 2 2 3" xfId="43584"/>
    <cellStyle name="Normal 21 5 2 3" xfId="21020"/>
    <cellStyle name="Normal 21 5 2 4" xfId="36063"/>
    <cellStyle name="Normal 21 5 3" xfId="9748"/>
    <cellStyle name="Normal 21 5 3 2" xfId="24792"/>
    <cellStyle name="Normal 21 5 3 3" xfId="39835"/>
    <cellStyle name="Normal 21 5 4" xfId="17271"/>
    <cellStyle name="Normal 21 5 5" xfId="32314"/>
    <cellStyle name="Normal 21 6" xfId="4106"/>
    <cellStyle name="Normal 21 6 2" xfId="11630"/>
    <cellStyle name="Normal 21 6 2 2" xfId="26674"/>
    <cellStyle name="Normal 21 6 2 3" xfId="41717"/>
    <cellStyle name="Normal 21 6 3" xfId="19153"/>
    <cellStyle name="Normal 21 6 4" xfId="34196"/>
    <cellStyle name="Normal 21 7" xfId="7869"/>
    <cellStyle name="Normal 21 7 2" xfId="22913"/>
    <cellStyle name="Normal 21 7 3" xfId="37956"/>
    <cellStyle name="Normal 21 8" xfId="15392"/>
    <cellStyle name="Normal 21 9" xfId="30435"/>
    <cellStyle name="Normal 22" xfId="208"/>
    <cellStyle name="Normal 22 2" xfId="209"/>
    <cellStyle name="Normal 22 2 2" xfId="736"/>
    <cellStyle name="Normal 22 2 2 2" xfId="1695"/>
    <cellStyle name="Normal 22 2 2 2 2" xfId="3566"/>
    <cellStyle name="Normal 22 2 2 2 2 2" xfId="7361"/>
    <cellStyle name="Normal 22 2 2 2 2 2 2" xfId="14884"/>
    <cellStyle name="Normal 22 2 2 2 2 2 2 2" xfId="29928"/>
    <cellStyle name="Normal 22 2 2 2 2 2 2 3" xfId="44971"/>
    <cellStyle name="Normal 22 2 2 2 2 2 3" xfId="22407"/>
    <cellStyle name="Normal 22 2 2 2 2 2 4" xfId="37450"/>
    <cellStyle name="Normal 22 2 2 2 2 3" xfId="11135"/>
    <cellStyle name="Normal 22 2 2 2 2 3 2" xfId="26179"/>
    <cellStyle name="Normal 22 2 2 2 2 3 3" xfId="41222"/>
    <cellStyle name="Normal 22 2 2 2 2 4" xfId="18658"/>
    <cellStyle name="Normal 22 2 2 2 2 5" xfId="33701"/>
    <cellStyle name="Normal 22 2 2 2 3" xfId="5496"/>
    <cellStyle name="Normal 22 2 2 2 3 2" xfId="13019"/>
    <cellStyle name="Normal 22 2 2 2 3 2 2" xfId="28063"/>
    <cellStyle name="Normal 22 2 2 2 3 2 3" xfId="43106"/>
    <cellStyle name="Normal 22 2 2 2 3 3" xfId="20542"/>
    <cellStyle name="Normal 22 2 2 2 3 4" xfId="35585"/>
    <cellStyle name="Normal 22 2 2 2 4" xfId="9270"/>
    <cellStyle name="Normal 22 2 2 2 4 2" xfId="24314"/>
    <cellStyle name="Normal 22 2 2 2 4 3" xfId="39357"/>
    <cellStyle name="Normal 22 2 2 2 5" xfId="16793"/>
    <cellStyle name="Normal 22 2 2 2 6" xfId="31836"/>
    <cellStyle name="Normal 22 2 2 3" xfId="2634"/>
    <cellStyle name="Normal 22 2 2 3 2" xfId="6429"/>
    <cellStyle name="Normal 22 2 2 3 2 2" xfId="13952"/>
    <cellStyle name="Normal 22 2 2 3 2 2 2" xfId="28996"/>
    <cellStyle name="Normal 22 2 2 3 2 2 3" xfId="44039"/>
    <cellStyle name="Normal 22 2 2 3 2 3" xfId="21475"/>
    <cellStyle name="Normal 22 2 2 3 2 4" xfId="36518"/>
    <cellStyle name="Normal 22 2 2 3 3" xfId="10203"/>
    <cellStyle name="Normal 22 2 2 3 3 2" xfId="25247"/>
    <cellStyle name="Normal 22 2 2 3 3 3" xfId="40290"/>
    <cellStyle name="Normal 22 2 2 3 4" xfId="17726"/>
    <cellStyle name="Normal 22 2 2 3 5" xfId="32769"/>
    <cellStyle name="Normal 22 2 2 4" xfId="4564"/>
    <cellStyle name="Normal 22 2 2 4 2" xfId="12087"/>
    <cellStyle name="Normal 22 2 2 4 2 2" xfId="27131"/>
    <cellStyle name="Normal 22 2 2 4 2 3" xfId="42174"/>
    <cellStyle name="Normal 22 2 2 4 3" xfId="19610"/>
    <cellStyle name="Normal 22 2 2 4 4" xfId="34653"/>
    <cellStyle name="Normal 22 2 2 5" xfId="8338"/>
    <cellStyle name="Normal 22 2 2 5 2" xfId="23382"/>
    <cellStyle name="Normal 22 2 2 5 3" xfId="38425"/>
    <cellStyle name="Normal 22 2 2 6" xfId="15861"/>
    <cellStyle name="Normal 22 2 2 7" xfId="30904"/>
    <cellStyle name="Normal 22 2 3" xfId="1243"/>
    <cellStyle name="Normal 22 2 3 2" xfId="3114"/>
    <cellStyle name="Normal 22 2 3 2 2" xfId="6909"/>
    <cellStyle name="Normal 22 2 3 2 2 2" xfId="14432"/>
    <cellStyle name="Normal 22 2 3 2 2 2 2" xfId="29476"/>
    <cellStyle name="Normal 22 2 3 2 2 2 3" xfId="44519"/>
    <cellStyle name="Normal 22 2 3 2 2 3" xfId="21955"/>
    <cellStyle name="Normal 22 2 3 2 2 4" xfId="36998"/>
    <cellStyle name="Normal 22 2 3 2 3" xfId="10683"/>
    <cellStyle name="Normal 22 2 3 2 3 2" xfId="25727"/>
    <cellStyle name="Normal 22 2 3 2 3 3" xfId="40770"/>
    <cellStyle name="Normal 22 2 3 2 4" xfId="18206"/>
    <cellStyle name="Normal 22 2 3 2 5" xfId="33249"/>
    <cellStyle name="Normal 22 2 3 3" xfId="5044"/>
    <cellStyle name="Normal 22 2 3 3 2" xfId="12567"/>
    <cellStyle name="Normal 22 2 3 3 2 2" xfId="27611"/>
    <cellStyle name="Normal 22 2 3 3 2 3" xfId="42654"/>
    <cellStyle name="Normal 22 2 3 3 3" xfId="20090"/>
    <cellStyle name="Normal 22 2 3 3 4" xfId="35133"/>
    <cellStyle name="Normal 22 2 3 4" xfId="8818"/>
    <cellStyle name="Normal 22 2 3 4 2" xfId="23862"/>
    <cellStyle name="Normal 22 2 3 4 3" xfId="38905"/>
    <cellStyle name="Normal 22 2 3 5" xfId="16341"/>
    <cellStyle name="Normal 22 2 3 6" xfId="31384"/>
    <cellStyle name="Normal 22 2 4" xfId="2181"/>
    <cellStyle name="Normal 22 2 4 2" xfId="5977"/>
    <cellStyle name="Normal 22 2 4 2 2" xfId="13500"/>
    <cellStyle name="Normal 22 2 4 2 2 2" xfId="28544"/>
    <cellStyle name="Normal 22 2 4 2 2 3" xfId="43587"/>
    <cellStyle name="Normal 22 2 4 2 3" xfId="21023"/>
    <cellStyle name="Normal 22 2 4 2 4" xfId="36066"/>
    <cellStyle name="Normal 22 2 4 3" xfId="9751"/>
    <cellStyle name="Normal 22 2 4 3 2" xfId="24795"/>
    <cellStyle name="Normal 22 2 4 3 3" xfId="39838"/>
    <cellStyle name="Normal 22 2 4 4" xfId="17274"/>
    <cellStyle name="Normal 22 2 4 5" xfId="32317"/>
    <cellStyle name="Normal 22 2 5" xfId="4109"/>
    <cellStyle name="Normal 22 2 5 2" xfId="11633"/>
    <cellStyle name="Normal 22 2 5 2 2" xfId="26677"/>
    <cellStyle name="Normal 22 2 5 2 3" xfId="41720"/>
    <cellStyle name="Normal 22 2 5 3" xfId="19156"/>
    <cellStyle name="Normal 22 2 5 4" xfId="34199"/>
    <cellStyle name="Normal 22 2 6" xfId="7872"/>
    <cellStyle name="Normal 22 2 6 2" xfId="22916"/>
    <cellStyle name="Normal 22 2 6 3" xfId="37959"/>
    <cellStyle name="Normal 22 2 7" xfId="15395"/>
    <cellStyle name="Normal 22 2 8" xfId="30438"/>
    <cellStyle name="Normal 22 3" xfId="735"/>
    <cellStyle name="Normal 22 3 2" xfId="1694"/>
    <cellStyle name="Normal 22 3 2 2" xfId="3565"/>
    <cellStyle name="Normal 22 3 2 2 2" xfId="7360"/>
    <cellStyle name="Normal 22 3 2 2 2 2" xfId="14883"/>
    <cellStyle name="Normal 22 3 2 2 2 2 2" xfId="29927"/>
    <cellStyle name="Normal 22 3 2 2 2 2 3" xfId="44970"/>
    <cellStyle name="Normal 22 3 2 2 2 3" xfId="22406"/>
    <cellStyle name="Normal 22 3 2 2 2 4" xfId="37449"/>
    <cellStyle name="Normal 22 3 2 2 3" xfId="11134"/>
    <cellStyle name="Normal 22 3 2 2 3 2" xfId="26178"/>
    <cellStyle name="Normal 22 3 2 2 3 3" xfId="41221"/>
    <cellStyle name="Normal 22 3 2 2 4" xfId="18657"/>
    <cellStyle name="Normal 22 3 2 2 5" xfId="33700"/>
    <cellStyle name="Normal 22 3 2 3" xfId="5495"/>
    <cellStyle name="Normal 22 3 2 3 2" xfId="13018"/>
    <cellStyle name="Normal 22 3 2 3 2 2" xfId="28062"/>
    <cellStyle name="Normal 22 3 2 3 2 3" xfId="43105"/>
    <cellStyle name="Normal 22 3 2 3 3" xfId="20541"/>
    <cellStyle name="Normal 22 3 2 3 4" xfId="35584"/>
    <cellStyle name="Normal 22 3 2 4" xfId="9269"/>
    <cellStyle name="Normal 22 3 2 4 2" xfId="24313"/>
    <cellStyle name="Normal 22 3 2 4 3" xfId="39356"/>
    <cellStyle name="Normal 22 3 2 5" xfId="16792"/>
    <cellStyle name="Normal 22 3 2 6" xfId="31835"/>
    <cellStyle name="Normal 22 3 3" xfId="2633"/>
    <cellStyle name="Normal 22 3 3 2" xfId="6428"/>
    <cellStyle name="Normal 22 3 3 2 2" xfId="13951"/>
    <cellStyle name="Normal 22 3 3 2 2 2" xfId="28995"/>
    <cellStyle name="Normal 22 3 3 2 2 3" xfId="44038"/>
    <cellStyle name="Normal 22 3 3 2 3" xfId="21474"/>
    <cellStyle name="Normal 22 3 3 2 4" xfId="36517"/>
    <cellStyle name="Normal 22 3 3 3" xfId="10202"/>
    <cellStyle name="Normal 22 3 3 3 2" xfId="25246"/>
    <cellStyle name="Normal 22 3 3 3 3" xfId="40289"/>
    <cellStyle name="Normal 22 3 3 4" xfId="17725"/>
    <cellStyle name="Normal 22 3 3 5" xfId="32768"/>
    <cellStyle name="Normal 22 3 4" xfId="4563"/>
    <cellStyle name="Normal 22 3 4 2" xfId="12086"/>
    <cellStyle name="Normal 22 3 4 2 2" xfId="27130"/>
    <cellStyle name="Normal 22 3 4 2 3" xfId="42173"/>
    <cellStyle name="Normal 22 3 4 3" xfId="19609"/>
    <cellStyle name="Normal 22 3 4 4" xfId="34652"/>
    <cellStyle name="Normal 22 3 5" xfId="8337"/>
    <cellStyle name="Normal 22 3 5 2" xfId="23381"/>
    <cellStyle name="Normal 22 3 5 3" xfId="38424"/>
    <cellStyle name="Normal 22 3 6" xfId="15860"/>
    <cellStyle name="Normal 22 3 7" xfId="30903"/>
    <cellStyle name="Normal 22 4" xfId="1242"/>
    <cellStyle name="Normal 22 4 2" xfId="3113"/>
    <cellStyle name="Normal 22 4 2 2" xfId="6908"/>
    <cellStyle name="Normal 22 4 2 2 2" xfId="14431"/>
    <cellStyle name="Normal 22 4 2 2 2 2" xfId="29475"/>
    <cellStyle name="Normal 22 4 2 2 2 3" xfId="44518"/>
    <cellStyle name="Normal 22 4 2 2 3" xfId="21954"/>
    <cellStyle name="Normal 22 4 2 2 4" xfId="36997"/>
    <cellStyle name="Normal 22 4 2 3" xfId="10682"/>
    <cellStyle name="Normal 22 4 2 3 2" xfId="25726"/>
    <cellStyle name="Normal 22 4 2 3 3" xfId="40769"/>
    <cellStyle name="Normal 22 4 2 4" xfId="18205"/>
    <cellStyle name="Normal 22 4 2 5" xfId="33248"/>
    <cellStyle name="Normal 22 4 3" xfId="5043"/>
    <cellStyle name="Normal 22 4 3 2" xfId="12566"/>
    <cellStyle name="Normal 22 4 3 2 2" xfId="27610"/>
    <cellStyle name="Normal 22 4 3 2 3" xfId="42653"/>
    <cellStyle name="Normal 22 4 3 3" xfId="20089"/>
    <cellStyle name="Normal 22 4 3 4" xfId="35132"/>
    <cellStyle name="Normal 22 4 4" xfId="8817"/>
    <cellStyle name="Normal 22 4 4 2" xfId="23861"/>
    <cellStyle name="Normal 22 4 4 3" xfId="38904"/>
    <cellStyle name="Normal 22 4 5" xfId="16340"/>
    <cellStyle name="Normal 22 4 6" xfId="31383"/>
    <cellStyle name="Normal 22 5" xfId="2180"/>
    <cellStyle name="Normal 22 5 2" xfId="5976"/>
    <cellStyle name="Normal 22 5 2 2" xfId="13499"/>
    <cellStyle name="Normal 22 5 2 2 2" xfId="28543"/>
    <cellStyle name="Normal 22 5 2 2 3" xfId="43586"/>
    <cellStyle name="Normal 22 5 2 3" xfId="21022"/>
    <cellStyle name="Normal 22 5 2 4" xfId="36065"/>
    <cellStyle name="Normal 22 5 3" xfId="9750"/>
    <cellStyle name="Normal 22 5 3 2" xfId="24794"/>
    <cellStyle name="Normal 22 5 3 3" xfId="39837"/>
    <cellStyle name="Normal 22 5 4" xfId="17273"/>
    <cellStyle name="Normal 22 5 5" xfId="32316"/>
    <cellStyle name="Normal 22 6" xfId="4108"/>
    <cellStyle name="Normal 22 6 2" xfId="11632"/>
    <cellStyle name="Normal 22 6 2 2" xfId="26676"/>
    <cellStyle name="Normal 22 6 2 3" xfId="41719"/>
    <cellStyle name="Normal 22 6 3" xfId="19155"/>
    <cellStyle name="Normal 22 6 4" xfId="34198"/>
    <cellStyle name="Normal 22 7" xfId="7871"/>
    <cellStyle name="Normal 22 7 2" xfId="22915"/>
    <cellStyle name="Normal 22 7 3" xfId="37958"/>
    <cellStyle name="Normal 22 8" xfId="15394"/>
    <cellStyle name="Normal 22 9" xfId="30437"/>
    <cellStyle name="Normal 23" xfId="210"/>
    <cellStyle name="Normal 23 2" xfId="211"/>
    <cellStyle name="Normal 23 2 2" xfId="738"/>
    <cellStyle name="Normal 23 2 2 2" xfId="1697"/>
    <cellStyle name="Normal 23 2 2 2 2" xfId="3568"/>
    <cellStyle name="Normal 23 2 2 2 2 2" xfId="7363"/>
    <cellStyle name="Normal 23 2 2 2 2 2 2" xfId="14886"/>
    <cellStyle name="Normal 23 2 2 2 2 2 2 2" xfId="29930"/>
    <cellStyle name="Normal 23 2 2 2 2 2 2 3" xfId="44973"/>
    <cellStyle name="Normal 23 2 2 2 2 2 3" xfId="22409"/>
    <cellStyle name="Normal 23 2 2 2 2 2 4" xfId="37452"/>
    <cellStyle name="Normal 23 2 2 2 2 3" xfId="11137"/>
    <cellStyle name="Normal 23 2 2 2 2 3 2" xfId="26181"/>
    <cellStyle name="Normal 23 2 2 2 2 3 3" xfId="41224"/>
    <cellStyle name="Normal 23 2 2 2 2 4" xfId="18660"/>
    <cellStyle name="Normal 23 2 2 2 2 5" xfId="33703"/>
    <cellStyle name="Normal 23 2 2 2 3" xfId="5498"/>
    <cellStyle name="Normal 23 2 2 2 3 2" xfId="13021"/>
    <cellStyle name="Normal 23 2 2 2 3 2 2" xfId="28065"/>
    <cellStyle name="Normal 23 2 2 2 3 2 3" xfId="43108"/>
    <cellStyle name="Normal 23 2 2 2 3 3" xfId="20544"/>
    <cellStyle name="Normal 23 2 2 2 3 4" xfId="35587"/>
    <cellStyle name="Normal 23 2 2 2 4" xfId="9272"/>
    <cellStyle name="Normal 23 2 2 2 4 2" xfId="24316"/>
    <cellStyle name="Normal 23 2 2 2 4 3" xfId="39359"/>
    <cellStyle name="Normal 23 2 2 2 5" xfId="16795"/>
    <cellStyle name="Normal 23 2 2 2 6" xfId="31838"/>
    <cellStyle name="Normal 23 2 2 3" xfId="2636"/>
    <cellStyle name="Normal 23 2 2 3 2" xfId="6431"/>
    <cellStyle name="Normal 23 2 2 3 2 2" xfId="13954"/>
    <cellStyle name="Normal 23 2 2 3 2 2 2" xfId="28998"/>
    <cellStyle name="Normal 23 2 2 3 2 2 3" xfId="44041"/>
    <cellStyle name="Normal 23 2 2 3 2 3" xfId="21477"/>
    <cellStyle name="Normal 23 2 2 3 2 4" xfId="36520"/>
    <cellStyle name="Normal 23 2 2 3 3" xfId="10205"/>
    <cellStyle name="Normal 23 2 2 3 3 2" xfId="25249"/>
    <cellStyle name="Normal 23 2 2 3 3 3" xfId="40292"/>
    <cellStyle name="Normal 23 2 2 3 4" xfId="17728"/>
    <cellStyle name="Normal 23 2 2 3 5" xfId="32771"/>
    <cellStyle name="Normal 23 2 2 4" xfId="4566"/>
    <cellStyle name="Normal 23 2 2 4 2" xfId="12089"/>
    <cellStyle name="Normal 23 2 2 4 2 2" xfId="27133"/>
    <cellStyle name="Normal 23 2 2 4 2 3" xfId="42176"/>
    <cellStyle name="Normal 23 2 2 4 3" xfId="19612"/>
    <cellStyle name="Normal 23 2 2 4 4" xfId="34655"/>
    <cellStyle name="Normal 23 2 2 5" xfId="8340"/>
    <cellStyle name="Normal 23 2 2 5 2" xfId="23384"/>
    <cellStyle name="Normal 23 2 2 5 3" xfId="38427"/>
    <cellStyle name="Normal 23 2 2 6" xfId="15863"/>
    <cellStyle name="Normal 23 2 2 7" xfId="30906"/>
    <cellStyle name="Normal 23 2 3" xfId="1245"/>
    <cellStyle name="Normal 23 2 3 2" xfId="3116"/>
    <cellStyle name="Normal 23 2 3 2 2" xfId="6911"/>
    <cellStyle name="Normal 23 2 3 2 2 2" xfId="14434"/>
    <cellStyle name="Normal 23 2 3 2 2 2 2" xfId="29478"/>
    <cellStyle name="Normal 23 2 3 2 2 2 3" xfId="44521"/>
    <cellStyle name="Normal 23 2 3 2 2 3" xfId="21957"/>
    <cellStyle name="Normal 23 2 3 2 2 4" xfId="37000"/>
    <cellStyle name="Normal 23 2 3 2 3" xfId="10685"/>
    <cellStyle name="Normal 23 2 3 2 3 2" xfId="25729"/>
    <cellStyle name="Normal 23 2 3 2 3 3" xfId="40772"/>
    <cellStyle name="Normal 23 2 3 2 4" xfId="18208"/>
    <cellStyle name="Normal 23 2 3 2 5" xfId="33251"/>
    <cellStyle name="Normal 23 2 3 3" xfId="5046"/>
    <cellStyle name="Normal 23 2 3 3 2" xfId="12569"/>
    <cellStyle name="Normal 23 2 3 3 2 2" xfId="27613"/>
    <cellStyle name="Normal 23 2 3 3 2 3" xfId="42656"/>
    <cellStyle name="Normal 23 2 3 3 3" xfId="20092"/>
    <cellStyle name="Normal 23 2 3 3 4" xfId="35135"/>
    <cellStyle name="Normal 23 2 3 4" xfId="8820"/>
    <cellStyle name="Normal 23 2 3 4 2" xfId="23864"/>
    <cellStyle name="Normal 23 2 3 4 3" xfId="38907"/>
    <cellStyle name="Normal 23 2 3 5" xfId="16343"/>
    <cellStyle name="Normal 23 2 3 6" xfId="31386"/>
    <cellStyle name="Normal 23 2 4" xfId="2183"/>
    <cellStyle name="Normal 23 2 4 2" xfId="5979"/>
    <cellStyle name="Normal 23 2 4 2 2" xfId="13502"/>
    <cellStyle name="Normal 23 2 4 2 2 2" xfId="28546"/>
    <cellStyle name="Normal 23 2 4 2 2 3" xfId="43589"/>
    <cellStyle name="Normal 23 2 4 2 3" xfId="21025"/>
    <cellStyle name="Normal 23 2 4 2 4" xfId="36068"/>
    <cellStyle name="Normal 23 2 4 3" xfId="9753"/>
    <cellStyle name="Normal 23 2 4 3 2" xfId="24797"/>
    <cellStyle name="Normal 23 2 4 3 3" xfId="39840"/>
    <cellStyle name="Normal 23 2 4 4" xfId="17276"/>
    <cellStyle name="Normal 23 2 4 5" xfId="32319"/>
    <cellStyle name="Normal 23 2 5" xfId="4111"/>
    <cellStyle name="Normal 23 2 5 2" xfId="11635"/>
    <cellStyle name="Normal 23 2 5 2 2" xfId="26679"/>
    <cellStyle name="Normal 23 2 5 2 3" xfId="41722"/>
    <cellStyle name="Normal 23 2 5 3" xfId="19158"/>
    <cellStyle name="Normal 23 2 5 4" xfId="34201"/>
    <cellStyle name="Normal 23 2 6" xfId="7874"/>
    <cellStyle name="Normal 23 2 6 2" xfId="22918"/>
    <cellStyle name="Normal 23 2 6 3" xfId="37961"/>
    <cellStyle name="Normal 23 2 7" xfId="15397"/>
    <cellStyle name="Normal 23 2 8" xfId="30440"/>
    <cellStyle name="Normal 23 3" xfId="737"/>
    <cellStyle name="Normal 23 3 2" xfId="1696"/>
    <cellStyle name="Normal 23 3 2 2" xfId="3567"/>
    <cellStyle name="Normal 23 3 2 2 2" xfId="7362"/>
    <cellStyle name="Normal 23 3 2 2 2 2" xfId="14885"/>
    <cellStyle name="Normal 23 3 2 2 2 2 2" xfId="29929"/>
    <cellStyle name="Normal 23 3 2 2 2 2 3" xfId="44972"/>
    <cellStyle name="Normal 23 3 2 2 2 3" xfId="22408"/>
    <cellStyle name="Normal 23 3 2 2 2 4" xfId="37451"/>
    <cellStyle name="Normal 23 3 2 2 3" xfId="11136"/>
    <cellStyle name="Normal 23 3 2 2 3 2" xfId="26180"/>
    <cellStyle name="Normal 23 3 2 2 3 3" xfId="41223"/>
    <cellStyle name="Normal 23 3 2 2 4" xfId="18659"/>
    <cellStyle name="Normal 23 3 2 2 5" xfId="33702"/>
    <cellStyle name="Normal 23 3 2 3" xfId="5497"/>
    <cellStyle name="Normal 23 3 2 3 2" xfId="13020"/>
    <cellStyle name="Normal 23 3 2 3 2 2" xfId="28064"/>
    <cellStyle name="Normal 23 3 2 3 2 3" xfId="43107"/>
    <cellStyle name="Normal 23 3 2 3 3" xfId="20543"/>
    <cellStyle name="Normal 23 3 2 3 4" xfId="35586"/>
    <cellStyle name="Normal 23 3 2 4" xfId="9271"/>
    <cellStyle name="Normal 23 3 2 4 2" xfId="24315"/>
    <cellStyle name="Normal 23 3 2 4 3" xfId="39358"/>
    <cellStyle name="Normal 23 3 2 5" xfId="16794"/>
    <cellStyle name="Normal 23 3 2 6" xfId="31837"/>
    <cellStyle name="Normal 23 3 3" xfId="2635"/>
    <cellStyle name="Normal 23 3 3 2" xfId="6430"/>
    <cellStyle name="Normal 23 3 3 2 2" xfId="13953"/>
    <cellStyle name="Normal 23 3 3 2 2 2" xfId="28997"/>
    <cellStyle name="Normal 23 3 3 2 2 3" xfId="44040"/>
    <cellStyle name="Normal 23 3 3 2 3" xfId="21476"/>
    <cellStyle name="Normal 23 3 3 2 4" xfId="36519"/>
    <cellStyle name="Normal 23 3 3 3" xfId="10204"/>
    <cellStyle name="Normal 23 3 3 3 2" xfId="25248"/>
    <cellStyle name="Normal 23 3 3 3 3" xfId="40291"/>
    <cellStyle name="Normal 23 3 3 4" xfId="17727"/>
    <cellStyle name="Normal 23 3 3 5" xfId="32770"/>
    <cellStyle name="Normal 23 3 4" xfId="4565"/>
    <cellStyle name="Normal 23 3 4 2" xfId="12088"/>
    <cellStyle name="Normal 23 3 4 2 2" xfId="27132"/>
    <cellStyle name="Normal 23 3 4 2 3" xfId="42175"/>
    <cellStyle name="Normal 23 3 4 3" xfId="19611"/>
    <cellStyle name="Normal 23 3 4 4" xfId="34654"/>
    <cellStyle name="Normal 23 3 5" xfId="8339"/>
    <cellStyle name="Normal 23 3 5 2" xfId="23383"/>
    <cellStyle name="Normal 23 3 5 3" xfId="38426"/>
    <cellStyle name="Normal 23 3 6" xfId="15862"/>
    <cellStyle name="Normal 23 3 7" xfId="30905"/>
    <cellStyle name="Normal 23 4" xfId="1244"/>
    <cellStyle name="Normal 23 4 2" xfId="3115"/>
    <cellStyle name="Normal 23 4 2 2" xfId="6910"/>
    <cellStyle name="Normal 23 4 2 2 2" xfId="14433"/>
    <cellStyle name="Normal 23 4 2 2 2 2" xfId="29477"/>
    <cellStyle name="Normal 23 4 2 2 2 3" xfId="44520"/>
    <cellStyle name="Normal 23 4 2 2 3" xfId="21956"/>
    <cellStyle name="Normal 23 4 2 2 4" xfId="36999"/>
    <cellStyle name="Normal 23 4 2 3" xfId="10684"/>
    <cellStyle name="Normal 23 4 2 3 2" xfId="25728"/>
    <cellStyle name="Normal 23 4 2 3 3" xfId="40771"/>
    <cellStyle name="Normal 23 4 2 4" xfId="18207"/>
    <cellStyle name="Normal 23 4 2 5" xfId="33250"/>
    <cellStyle name="Normal 23 4 3" xfId="5045"/>
    <cellStyle name="Normal 23 4 3 2" xfId="12568"/>
    <cellStyle name="Normal 23 4 3 2 2" xfId="27612"/>
    <cellStyle name="Normal 23 4 3 2 3" xfId="42655"/>
    <cellStyle name="Normal 23 4 3 3" xfId="20091"/>
    <cellStyle name="Normal 23 4 3 4" xfId="35134"/>
    <cellStyle name="Normal 23 4 4" xfId="8819"/>
    <cellStyle name="Normal 23 4 4 2" xfId="23863"/>
    <cellStyle name="Normal 23 4 4 3" xfId="38906"/>
    <cellStyle name="Normal 23 4 5" xfId="16342"/>
    <cellStyle name="Normal 23 4 6" xfId="31385"/>
    <cellStyle name="Normal 23 5" xfId="2182"/>
    <cellStyle name="Normal 23 5 2" xfId="5978"/>
    <cellStyle name="Normal 23 5 2 2" xfId="13501"/>
    <cellStyle name="Normal 23 5 2 2 2" xfId="28545"/>
    <cellStyle name="Normal 23 5 2 2 3" xfId="43588"/>
    <cellStyle name="Normal 23 5 2 3" xfId="21024"/>
    <cellStyle name="Normal 23 5 2 4" xfId="36067"/>
    <cellStyle name="Normal 23 5 3" xfId="9752"/>
    <cellStyle name="Normal 23 5 3 2" xfId="24796"/>
    <cellStyle name="Normal 23 5 3 3" xfId="39839"/>
    <cellStyle name="Normal 23 5 4" xfId="17275"/>
    <cellStyle name="Normal 23 5 5" xfId="32318"/>
    <cellStyle name="Normal 23 6" xfId="4110"/>
    <cellStyle name="Normal 23 6 2" xfId="11634"/>
    <cellStyle name="Normal 23 6 2 2" xfId="26678"/>
    <cellStyle name="Normal 23 6 2 3" xfId="41721"/>
    <cellStyle name="Normal 23 6 3" xfId="19157"/>
    <cellStyle name="Normal 23 6 4" xfId="34200"/>
    <cellStyle name="Normal 23 7" xfId="7873"/>
    <cellStyle name="Normal 23 7 2" xfId="22917"/>
    <cellStyle name="Normal 23 7 3" xfId="37960"/>
    <cellStyle name="Normal 23 8" xfId="15396"/>
    <cellStyle name="Normal 23 9" xfId="30439"/>
    <cellStyle name="Normal 24" xfId="212"/>
    <cellStyle name="Normal 24 2" xfId="213"/>
    <cellStyle name="Normal 24 2 2" xfId="740"/>
    <cellStyle name="Normal 24 2 2 2" xfId="1699"/>
    <cellStyle name="Normal 24 2 2 2 2" xfId="3570"/>
    <cellStyle name="Normal 24 2 2 2 2 2" xfId="7365"/>
    <cellStyle name="Normal 24 2 2 2 2 2 2" xfId="14888"/>
    <cellStyle name="Normal 24 2 2 2 2 2 2 2" xfId="29932"/>
    <cellStyle name="Normal 24 2 2 2 2 2 2 3" xfId="44975"/>
    <cellStyle name="Normal 24 2 2 2 2 2 3" xfId="22411"/>
    <cellStyle name="Normal 24 2 2 2 2 2 4" xfId="37454"/>
    <cellStyle name="Normal 24 2 2 2 2 3" xfId="11139"/>
    <cellStyle name="Normal 24 2 2 2 2 3 2" xfId="26183"/>
    <cellStyle name="Normal 24 2 2 2 2 3 3" xfId="41226"/>
    <cellStyle name="Normal 24 2 2 2 2 4" xfId="18662"/>
    <cellStyle name="Normal 24 2 2 2 2 5" xfId="33705"/>
    <cellStyle name="Normal 24 2 2 2 3" xfId="5500"/>
    <cellStyle name="Normal 24 2 2 2 3 2" xfId="13023"/>
    <cellStyle name="Normal 24 2 2 2 3 2 2" xfId="28067"/>
    <cellStyle name="Normal 24 2 2 2 3 2 3" xfId="43110"/>
    <cellStyle name="Normal 24 2 2 2 3 3" xfId="20546"/>
    <cellStyle name="Normal 24 2 2 2 3 4" xfId="35589"/>
    <cellStyle name="Normal 24 2 2 2 4" xfId="9274"/>
    <cellStyle name="Normal 24 2 2 2 4 2" xfId="24318"/>
    <cellStyle name="Normal 24 2 2 2 4 3" xfId="39361"/>
    <cellStyle name="Normal 24 2 2 2 5" xfId="16797"/>
    <cellStyle name="Normal 24 2 2 2 6" xfId="31840"/>
    <cellStyle name="Normal 24 2 2 3" xfId="2638"/>
    <cellStyle name="Normal 24 2 2 3 2" xfId="6433"/>
    <cellStyle name="Normal 24 2 2 3 2 2" xfId="13956"/>
    <cellStyle name="Normal 24 2 2 3 2 2 2" xfId="29000"/>
    <cellStyle name="Normal 24 2 2 3 2 2 3" xfId="44043"/>
    <cellStyle name="Normal 24 2 2 3 2 3" xfId="21479"/>
    <cellStyle name="Normal 24 2 2 3 2 4" xfId="36522"/>
    <cellStyle name="Normal 24 2 2 3 3" xfId="10207"/>
    <cellStyle name="Normal 24 2 2 3 3 2" xfId="25251"/>
    <cellStyle name="Normal 24 2 2 3 3 3" xfId="40294"/>
    <cellStyle name="Normal 24 2 2 3 4" xfId="17730"/>
    <cellStyle name="Normal 24 2 2 3 5" xfId="32773"/>
    <cellStyle name="Normal 24 2 2 4" xfId="4568"/>
    <cellStyle name="Normal 24 2 2 4 2" xfId="12091"/>
    <cellStyle name="Normal 24 2 2 4 2 2" xfId="27135"/>
    <cellStyle name="Normal 24 2 2 4 2 3" xfId="42178"/>
    <cellStyle name="Normal 24 2 2 4 3" xfId="19614"/>
    <cellStyle name="Normal 24 2 2 4 4" xfId="34657"/>
    <cellStyle name="Normal 24 2 2 5" xfId="8342"/>
    <cellStyle name="Normal 24 2 2 5 2" xfId="23386"/>
    <cellStyle name="Normal 24 2 2 5 3" xfId="38429"/>
    <cellStyle name="Normal 24 2 2 6" xfId="15865"/>
    <cellStyle name="Normal 24 2 2 7" xfId="30908"/>
    <cellStyle name="Normal 24 2 3" xfId="1247"/>
    <cellStyle name="Normal 24 2 3 2" xfId="3118"/>
    <cellStyle name="Normal 24 2 3 2 2" xfId="6913"/>
    <cellStyle name="Normal 24 2 3 2 2 2" xfId="14436"/>
    <cellStyle name="Normal 24 2 3 2 2 2 2" xfId="29480"/>
    <cellStyle name="Normal 24 2 3 2 2 2 3" xfId="44523"/>
    <cellStyle name="Normal 24 2 3 2 2 3" xfId="21959"/>
    <cellStyle name="Normal 24 2 3 2 2 4" xfId="37002"/>
    <cellStyle name="Normal 24 2 3 2 3" xfId="10687"/>
    <cellStyle name="Normal 24 2 3 2 3 2" xfId="25731"/>
    <cellStyle name="Normal 24 2 3 2 3 3" xfId="40774"/>
    <cellStyle name="Normal 24 2 3 2 4" xfId="18210"/>
    <cellStyle name="Normal 24 2 3 2 5" xfId="33253"/>
    <cellStyle name="Normal 24 2 3 3" xfId="5048"/>
    <cellStyle name="Normal 24 2 3 3 2" xfId="12571"/>
    <cellStyle name="Normal 24 2 3 3 2 2" xfId="27615"/>
    <cellStyle name="Normal 24 2 3 3 2 3" xfId="42658"/>
    <cellStyle name="Normal 24 2 3 3 3" xfId="20094"/>
    <cellStyle name="Normal 24 2 3 3 4" xfId="35137"/>
    <cellStyle name="Normal 24 2 3 4" xfId="8822"/>
    <cellStyle name="Normal 24 2 3 4 2" xfId="23866"/>
    <cellStyle name="Normal 24 2 3 4 3" xfId="38909"/>
    <cellStyle name="Normal 24 2 3 5" xfId="16345"/>
    <cellStyle name="Normal 24 2 3 6" xfId="31388"/>
    <cellStyle name="Normal 24 2 4" xfId="2185"/>
    <cellStyle name="Normal 24 2 4 2" xfId="5981"/>
    <cellStyle name="Normal 24 2 4 2 2" xfId="13504"/>
    <cellStyle name="Normal 24 2 4 2 2 2" xfId="28548"/>
    <cellStyle name="Normal 24 2 4 2 2 3" xfId="43591"/>
    <cellStyle name="Normal 24 2 4 2 3" xfId="21027"/>
    <cellStyle name="Normal 24 2 4 2 4" xfId="36070"/>
    <cellStyle name="Normal 24 2 4 3" xfId="9755"/>
    <cellStyle name="Normal 24 2 4 3 2" xfId="24799"/>
    <cellStyle name="Normal 24 2 4 3 3" xfId="39842"/>
    <cellStyle name="Normal 24 2 4 4" xfId="17278"/>
    <cellStyle name="Normal 24 2 4 5" xfId="32321"/>
    <cellStyle name="Normal 24 2 5" xfId="4113"/>
    <cellStyle name="Normal 24 2 5 2" xfId="11637"/>
    <cellStyle name="Normal 24 2 5 2 2" xfId="26681"/>
    <cellStyle name="Normal 24 2 5 2 3" xfId="41724"/>
    <cellStyle name="Normal 24 2 5 3" xfId="19160"/>
    <cellStyle name="Normal 24 2 5 4" xfId="34203"/>
    <cellStyle name="Normal 24 2 6" xfId="7876"/>
    <cellStyle name="Normal 24 2 6 2" xfId="22920"/>
    <cellStyle name="Normal 24 2 6 3" xfId="37963"/>
    <cellStyle name="Normal 24 2 7" xfId="15399"/>
    <cellStyle name="Normal 24 2 8" xfId="30442"/>
    <cellStyle name="Normal 24 3" xfId="739"/>
    <cellStyle name="Normal 24 3 2" xfId="1698"/>
    <cellStyle name="Normal 24 3 2 2" xfId="3569"/>
    <cellStyle name="Normal 24 3 2 2 2" xfId="7364"/>
    <cellStyle name="Normal 24 3 2 2 2 2" xfId="14887"/>
    <cellStyle name="Normal 24 3 2 2 2 2 2" xfId="29931"/>
    <cellStyle name="Normal 24 3 2 2 2 2 3" xfId="44974"/>
    <cellStyle name="Normal 24 3 2 2 2 3" xfId="22410"/>
    <cellStyle name="Normal 24 3 2 2 2 4" xfId="37453"/>
    <cellStyle name="Normal 24 3 2 2 3" xfId="11138"/>
    <cellStyle name="Normal 24 3 2 2 3 2" xfId="26182"/>
    <cellStyle name="Normal 24 3 2 2 3 3" xfId="41225"/>
    <cellStyle name="Normal 24 3 2 2 4" xfId="18661"/>
    <cellStyle name="Normal 24 3 2 2 5" xfId="33704"/>
    <cellStyle name="Normal 24 3 2 3" xfId="5499"/>
    <cellStyle name="Normal 24 3 2 3 2" xfId="13022"/>
    <cellStyle name="Normal 24 3 2 3 2 2" xfId="28066"/>
    <cellStyle name="Normal 24 3 2 3 2 3" xfId="43109"/>
    <cellStyle name="Normal 24 3 2 3 3" xfId="20545"/>
    <cellStyle name="Normal 24 3 2 3 4" xfId="35588"/>
    <cellStyle name="Normal 24 3 2 4" xfId="9273"/>
    <cellStyle name="Normal 24 3 2 4 2" xfId="24317"/>
    <cellStyle name="Normal 24 3 2 4 3" xfId="39360"/>
    <cellStyle name="Normal 24 3 2 5" xfId="16796"/>
    <cellStyle name="Normal 24 3 2 6" xfId="31839"/>
    <cellStyle name="Normal 24 3 3" xfId="2637"/>
    <cellStyle name="Normal 24 3 3 2" xfId="6432"/>
    <cellStyle name="Normal 24 3 3 2 2" xfId="13955"/>
    <cellStyle name="Normal 24 3 3 2 2 2" xfId="28999"/>
    <cellStyle name="Normal 24 3 3 2 2 3" xfId="44042"/>
    <cellStyle name="Normal 24 3 3 2 3" xfId="21478"/>
    <cellStyle name="Normal 24 3 3 2 4" xfId="36521"/>
    <cellStyle name="Normal 24 3 3 3" xfId="10206"/>
    <cellStyle name="Normal 24 3 3 3 2" xfId="25250"/>
    <cellStyle name="Normal 24 3 3 3 3" xfId="40293"/>
    <cellStyle name="Normal 24 3 3 4" xfId="17729"/>
    <cellStyle name="Normal 24 3 3 5" xfId="32772"/>
    <cellStyle name="Normal 24 3 4" xfId="4567"/>
    <cellStyle name="Normal 24 3 4 2" xfId="12090"/>
    <cellStyle name="Normal 24 3 4 2 2" xfId="27134"/>
    <cellStyle name="Normal 24 3 4 2 3" xfId="42177"/>
    <cellStyle name="Normal 24 3 4 3" xfId="19613"/>
    <cellStyle name="Normal 24 3 4 4" xfId="34656"/>
    <cellStyle name="Normal 24 3 5" xfId="8341"/>
    <cellStyle name="Normal 24 3 5 2" xfId="23385"/>
    <cellStyle name="Normal 24 3 5 3" xfId="38428"/>
    <cellStyle name="Normal 24 3 6" xfId="15864"/>
    <cellStyle name="Normal 24 3 7" xfId="30907"/>
    <cellStyle name="Normal 24 4" xfId="1246"/>
    <cellStyle name="Normal 24 4 2" xfId="3117"/>
    <cellStyle name="Normal 24 4 2 2" xfId="6912"/>
    <cellStyle name="Normal 24 4 2 2 2" xfId="14435"/>
    <cellStyle name="Normal 24 4 2 2 2 2" xfId="29479"/>
    <cellStyle name="Normal 24 4 2 2 2 3" xfId="44522"/>
    <cellStyle name="Normal 24 4 2 2 3" xfId="21958"/>
    <cellStyle name="Normal 24 4 2 2 4" xfId="37001"/>
    <cellStyle name="Normal 24 4 2 3" xfId="10686"/>
    <cellStyle name="Normal 24 4 2 3 2" xfId="25730"/>
    <cellStyle name="Normal 24 4 2 3 3" xfId="40773"/>
    <cellStyle name="Normal 24 4 2 4" xfId="18209"/>
    <cellStyle name="Normal 24 4 2 5" xfId="33252"/>
    <cellStyle name="Normal 24 4 3" xfId="5047"/>
    <cellStyle name="Normal 24 4 3 2" xfId="12570"/>
    <cellStyle name="Normal 24 4 3 2 2" xfId="27614"/>
    <cellStyle name="Normal 24 4 3 2 3" xfId="42657"/>
    <cellStyle name="Normal 24 4 3 3" xfId="20093"/>
    <cellStyle name="Normal 24 4 3 4" xfId="35136"/>
    <cellStyle name="Normal 24 4 4" xfId="8821"/>
    <cellStyle name="Normal 24 4 4 2" xfId="23865"/>
    <cellStyle name="Normal 24 4 4 3" xfId="38908"/>
    <cellStyle name="Normal 24 4 5" xfId="16344"/>
    <cellStyle name="Normal 24 4 6" xfId="31387"/>
    <cellStyle name="Normal 24 5" xfId="2184"/>
    <cellStyle name="Normal 24 5 2" xfId="5980"/>
    <cellStyle name="Normal 24 5 2 2" xfId="13503"/>
    <cellStyle name="Normal 24 5 2 2 2" xfId="28547"/>
    <cellStyle name="Normal 24 5 2 2 3" xfId="43590"/>
    <cellStyle name="Normal 24 5 2 3" xfId="21026"/>
    <cellStyle name="Normal 24 5 2 4" xfId="36069"/>
    <cellStyle name="Normal 24 5 3" xfId="9754"/>
    <cellStyle name="Normal 24 5 3 2" xfId="24798"/>
    <cellStyle name="Normal 24 5 3 3" xfId="39841"/>
    <cellStyle name="Normal 24 5 4" xfId="17277"/>
    <cellStyle name="Normal 24 5 5" xfId="32320"/>
    <cellStyle name="Normal 24 6" xfId="4112"/>
    <cellStyle name="Normal 24 6 2" xfId="11636"/>
    <cellStyle name="Normal 24 6 2 2" xfId="26680"/>
    <cellStyle name="Normal 24 6 2 3" xfId="41723"/>
    <cellStyle name="Normal 24 6 3" xfId="19159"/>
    <cellStyle name="Normal 24 6 4" xfId="34202"/>
    <cellStyle name="Normal 24 7" xfId="7875"/>
    <cellStyle name="Normal 24 7 2" xfId="22919"/>
    <cellStyle name="Normal 24 7 3" xfId="37962"/>
    <cellStyle name="Normal 24 8" xfId="15398"/>
    <cellStyle name="Normal 24 9" xfId="30441"/>
    <cellStyle name="Normal 25" xfId="214"/>
    <cellStyle name="Normal 25 2" xfId="215"/>
    <cellStyle name="Normal 25 2 2" xfId="742"/>
    <cellStyle name="Normal 25 2 2 2" xfId="1701"/>
    <cellStyle name="Normal 25 2 2 2 2" xfId="3572"/>
    <cellStyle name="Normal 25 2 2 2 2 2" xfId="7367"/>
    <cellStyle name="Normal 25 2 2 2 2 2 2" xfId="14890"/>
    <cellStyle name="Normal 25 2 2 2 2 2 2 2" xfId="29934"/>
    <cellStyle name="Normal 25 2 2 2 2 2 2 3" xfId="44977"/>
    <cellStyle name="Normal 25 2 2 2 2 2 3" xfId="22413"/>
    <cellStyle name="Normal 25 2 2 2 2 2 4" xfId="37456"/>
    <cellStyle name="Normal 25 2 2 2 2 3" xfId="11141"/>
    <cellStyle name="Normal 25 2 2 2 2 3 2" xfId="26185"/>
    <cellStyle name="Normal 25 2 2 2 2 3 3" xfId="41228"/>
    <cellStyle name="Normal 25 2 2 2 2 4" xfId="18664"/>
    <cellStyle name="Normal 25 2 2 2 2 5" xfId="33707"/>
    <cellStyle name="Normal 25 2 2 2 3" xfId="5502"/>
    <cellStyle name="Normal 25 2 2 2 3 2" xfId="13025"/>
    <cellStyle name="Normal 25 2 2 2 3 2 2" xfId="28069"/>
    <cellStyle name="Normal 25 2 2 2 3 2 3" xfId="43112"/>
    <cellStyle name="Normal 25 2 2 2 3 3" xfId="20548"/>
    <cellStyle name="Normal 25 2 2 2 3 4" xfId="35591"/>
    <cellStyle name="Normal 25 2 2 2 4" xfId="9276"/>
    <cellStyle name="Normal 25 2 2 2 4 2" xfId="24320"/>
    <cellStyle name="Normal 25 2 2 2 4 3" xfId="39363"/>
    <cellStyle name="Normal 25 2 2 2 5" xfId="16799"/>
    <cellStyle name="Normal 25 2 2 2 6" xfId="31842"/>
    <cellStyle name="Normal 25 2 2 3" xfId="2640"/>
    <cellStyle name="Normal 25 2 2 3 2" xfId="6435"/>
    <cellStyle name="Normal 25 2 2 3 2 2" xfId="13958"/>
    <cellStyle name="Normal 25 2 2 3 2 2 2" xfId="29002"/>
    <cellStyle name="Normal 25 2 2 3 2 2 3" xfId="44045"/>
    <cellStyle name="Normal 25 2 2 3 2 3" xfId="21481"/>
    <cellStyle name="Normal 25 2 2 3 2 4" xfId="36524"/>
    <cellStyle name="Normal 25 2 2 3 3" xfId="10209"/>
    <cellStyle name="Normal 25 2 2 3 3 2" xfId="25253"/>
    <cellStyle name="Normal 25 2 2 3 3 3" xfId="40296"/>
    <cellStyle name="Normal 25 2 2 3 4" xfId="17732"/>
    <cellStyle name="Normal 25 2 2 3 5" xfId="32775"/>
    <cellStyle name="Normal 25 2 2 4" xfId="4570"/>
    <cellStyle name="Normal 25 2 2 4 2" xfId="12093"/>
    <cellStyle name="Normal 25 2 2 4 2 2" xfId="27137"/>
    <cellStyle name="Normal 25 2 2 4 2 3" xfId="42180"/>
    <cellStyle name="Normal 25 2 2 4 3" xfId="19616"/>
    <cellStyle name="Normal 25 2 2 4 4" xfId="34659"/>
    <cellStyle name="Normal 25 2 2 5" xfId="8344"/>
    <cellStyle name="Normal 25 2 2 5 2" xfId="23388"/>
    <cellStyle name="Normal 25 2 2 5 3" xfId="38431"/>
    <cellStyle name="Normal 25 2 2 6" xfId="15867"/>
    <cellStyle name="Normal 25 2 2 7" xfId="30910"/>
    <cellStyle name="Normal 25 2 3" xfId="1249"/>
    <cellStyle name="Normal 25 2 3 2" xfId="3120"/>
    <cellStyle name="Normal 25 2 3 2 2" xfId="6915"/>
    <cellStyle name="Normal 25 2 3 2 2 2" xfId="14438"/>
    <cellStyle name="Normal 25 2 3 2 2 2 2" xfId="29482"/>
    <cellStyle name="Normal 25 2 3 2 2 2 3" xfId="44525"/>
    <cellStyle name="Normal 25 2 3 2 2 3" xfId="21961"/>
    <cellStyle name="Normal 25 2 3 2 2 4" xfId="37004"/>
    <cellStyle name="Normal 25 2 3 2 3" xfId="10689"/>
    <cellStyle name="Normal 25 2 3 2 3 2" xfId="25733"/>
    <cellStyle name="Normal 25 2 3 2 3 3" xfId="40776"/>
    <cellStyle name="Normal 25 2 3 2 4" xfId="18212"/>
    <cellStyle name="Normal 25 2 3 2 5" xfId="33255"/>
    <cellStyle name="Normal 25 2 3 3" xfId="5050"/>
    <cellStyle name="Normal 25 2 3 3 2" xfId="12573"/>
    <cellStyle name="Normal 25 2 3 3 2 2" xfId="27617"/>
    <cellStyle name="Normal 25 2 3 3 2 3" xfId="42660"/>
    <cellStyle name="Normal 25 2 3 3 3" xfId="20096"/>
    <cellStyle name="Normal 25 2 3 3 4" xfId="35139"/>
    <cellStyle name="Normal 25 2 3 4" xfId="8824"/>
    <cellStyle name="Normal 25 2 3 4 2" xfId="23868"/>
    <cellStyle name="Normal 25 2 3 4 3" xfId="38911"/>
    <cellStyle name="Normal 25 2 3 5" xfId="16347"/>
    <cellStyle name="Normal 25 2 3 6" xfId="31390"/>
    <cellStyle name="Normal 25 2 4" xfId="2187"/>
    <cellStyle name="Normal 25 2 4 2" xfId="5983"/>
    <cellStyle name="Normal 25 2 4 2 2" xfId="13506"/>
    <cellStyle name="Normal 25 2 4 2 2 2" xfId="28550"/>
    <cellStyle name="Normal 25 2 4 2 2 3" xfId="43593"/>
    <cellStyle name="Normal 25 2 4 2 3" xfId="21029"/>
    <cellStyle name="Normal 25 2 4 2 4" xfId="36072"/>
    <cellStyle name="Normal 25 2 4 3" xfId="9757"/>
    <cellStyle name="Normal 25 2 4 3 2" xfId="24801"/>
    <cellStyle name="Normal 25 2 4 3 3" xfId="39844"/>
    <cellStyle name="Normal 25 2 4 4" xfId="17280"/>
    <cellStyle name="Normal 25 2 4 5" xfId="32323"/>
    <cellStyle name="Normal 25 2 5" xfId="4115"/>
    <cellStyle name="Normal 25 2 5 2" xfId="11639"/>
    <cellStyle name="Normal 25 2 5 2 2" xfId="26683"/>
    <cellStyle name="Normal 25 2 5 2 3" xfId="41726"/>
    <cellStyle name="Normal 25 2 5 3" xfId="19162"/>
    <cellStyle name="Normal 25 2 5 4" xfId="34205"/>
    <cellStyle name="Normal 25 2 6" xfId="7878"/>
    <cellStyle name="Normal 25 2 6 2" xfId="22922"/>
    <cellStyle name="Normal 25 2 6 3" xfId="37965"/>
    <cellStyle name="Normal 25 2 7" xfId="15401"/>
    <cellStyle name="Normal 25 2 8" xfId="30444"/>
    <cellStyle name="Normal 25 3" xfId="741"/>
    <cellStyle name="Normal 25 3 2" xfId="1700"/>
    <cellStyle name="Normal 25 3 2 2" xfId="3571"/>
    <cellStyle name="Normal 25 3 2 2 2" xfId="7366"/>
    <cellStyle name="Normal 25 3 2 2 2 2" xfId="14889"/>
    <cellStyle name="Normal 25 3 2 2 2 2 2" xfId="29933"/>
    <cellStyle name="Normal 25 3 2 2 2 2 3" xfId="44976"/>
    <cellStyle name="Normal 25 3 2 2 2 3" xfId="22412"/>
    <cellStyle name="Normal 25 3 2 2 2 4" xfId="37455"/>
    <cellStyle name="Normal 25 3 2 2 3" xfId="11140"/>
    <cellStyle name="Normal 25 3 2 2 3 2" xfId="26184"/>
    <cellStyle name="Normal 25 3 2 2 3 3" xfId="41227"/>
    <cellStyle name="Normal 25 3 2 2 4" xfId="18663"/>
    <cellStyle name="Normal 25 3 2 2 5" xfId="33706"/>
    <cellStyle name="Normal 25 3 2 3" xfId="5501"/>
    <cellStyle name="Normal 25 3 2 3 2" xfId="13024"/>
    <cellStyle name="Normal 25 3 2 3 2 2" xfId="28068"/>
    <cellStyle name="Normal 25 3 2 3 2 3" xfId="43111"/>
    <cellStyle name="Normal 25 3 2 3 3" xfId="20547"/>
    <cellStyle name="Normal 25 3 2 3 4" xfId="35590"/>
    <cellStyle name="Normal 25 3 2 4" xfId="9275"/>
    <cellStyle name="Normal 25 3 2 4 2" xfId="24319"/>
    <cellStyle name="Normal 25 3 2 4 3" xfId="39362"/>
    <cellStyle name="Normal 25 3 2 5" xfId="16798"/>
    <cellStyle name="Normal 25 3 2 6" xfId="31841"/>
    <cellStyle name="Normal 25 3 3" xfId="2639"/>
    <cellStyle name="Normal 25 3 3 2" xfId="6434"/>
    <cellStyle name="Normal 25 3 3 2 2" xfId="13957"/>
    <cellStyle name="Normal 25 3 3 2 2 2" xfId="29001"/>
    <cellStyle name="Normal 25 3 3 2 2 3" xfId="44044"/>
    <cellStyle name="Normal 25 3 3 2 3" xfId="21480"/>
    <cellStyle name="Normal 25 3 3 2 4" xfId="36523"/>
    <cellStyle name="Normal 25 3 3 3" xfId="10208"/>
    <cellStyle name="Normal 25 3 3 3 2" xfId="25252"/>
    <cellStyle name="Normal 25 3 3 3 3" xfId="40295"/>
    <cellStyle name="Normal 25 3 3 4" xfId="17731"/>
    <cellStyle name="Normal 25 3 3 5" xfId="32774"/>
    <cellStyle name="Normal 25 3 4" xfId="4569"/>
    <cellStyle name="Normal 25 3 4 2" xfId="12092"/>
    <cellStyle name="Normal 25 3 4 2 2" xfId="27136"/>
    <cellStyle name="Normal 25 3 4 2 3" xfId="42179"/>
    <cellStyle name="Normal 25 3 4 3" xfId="19615"/>
    <cellStyle name="Normal 25 3 4 4" xfId="34658"/>
    <cellStyle name="Normal 25 3 5" xfId="8343"/>
    <cellStyle name="Normal 25 3 5 2" xfId="23387"/>
    <cellStyle name="Normal 25 3 5 3" xfId="38430"/>
    <cellStyle name="Normal 25 3 6" xfId="15866"/>
    <cellStyle name="Normal 25 3 7" xfId="30909"/>
    <cellStyle name="Normal 25 4" xfId="1248"/>
    <cellStyle name="Normal 25 4 2" xfId="3119"/>
    <cellStyle name="Normal 25 4 2 2" xfId="6914"/>
    <cellStyle name="Normal 25 4 2 2 2" xfId="14437"/>
    <cellStyle name="Normal 25 4 2 2 2 2" xfId="29481"/>
    <cellStyle name="Normal 25 4 2 2 2 3" xfId="44524"/>
    <cellStyle name="Normal 25 4 2 2 3" xfId="21960"/>
    <cellStyle name="Normal 25 4 2 2 4" xfId="37003"/>
    <cellStyle name="Normal 25 4 2 3" xfId="10688"/>
    <cellStyle name="Normal 25 4 2 3 2" xfId="25732"/>
    <cellStyle name="Normal 25 4 2 3 3" xfId="40775"/>
    <cellStyle name="Normal 25 4 2 4" xfId="18211"/>
    <cellStyle name="Normal 25 4 2 5" xfId="33254"/>
    <cellStyle name="Normal 25 4 3" xfId="5049"/>
    <cellStyle name="Normal 25 4 3 2" xfId="12572"/>
    <cellStyle name="Normal 25 4 3 2 2" xfId="27616"/>
    <cellStyle name="Normal 25 4 3 2 3" xfId="42659"/>
    <cellStyle name="Normal 25 4 3 3" xfId="20095"/>
    <cellStyle name="Normal 25 4 3 4" xfId="35138"/>
    <cellStyle name="Normal 25 4 4" xfId="8823"/>
    <cellStyle name="Normal 25 4 4 2" xfId="23867"/>
    <cellStyle name="Normal 25 4 4 3" xfId="38910"/>
    <cellStyle name="Normal 25 4 5" xfId="16346"/>
    <cellStyle name="Normal 25 4 6" xfId="31389"/>
    <cellStyle name="Normal 25 5" xfId="2186"/>
    <cellStyle name="Normal 25 5 2" xfId="5982"/>
    <cellStyle name="Normal 25 5 2 2" xfId="13505"/>
    <cellStyle name="Normal 25 5 2 2 2" xfId="28549"/>
    <cellStyle name="Normal 25 5 2 2 3" xfId="43592"/>
    <cellStyle name="Normal 25 5 2 3" xfId="21028"/>
    <cellStyle name="Normal 25 5 2 4" xfId="36071"/>
    <cellStyle name="Normal 25 5 3" xfId="9756"/>
    <cellStyle name="Normal 25 5 3 2" xfId="24800"/>
    <cellStyle name="Normal 25 5 3 3" xfId="39843"/>
    <cellStyle name="Normal 25 5 4" xfId="17279"/>
    <cellStyle name="Normal 25 5 5" xfId="32322"/>
    <cellStyle name="Normal 25 6" xfId="4114"/>
    <cellStyle name="Normal 25 6 2" xfId="11638"/>
    <cellStyle name="Normal 25 6 2 2" xfId="26682"/>
    <cellStyle name="Normal 25 6 2 3" xfId="41725"/>
    <cellStyle name="Normal 25 6 3" xfId="19161"/>
    <cellStyle name="Normal 25 6 4" xfId="34204"/>
    <cellStyle name="Normal 25 7" xfId="7877"/>
    <cellStyle name="Normal 25 7 2" xfId="22921"/>
    <cellStyle name="Normal 25 7 3" xfId="37964"/>
    <cellStyle name="Normal 25 8" xfId="15400"/>
    <cellStyle name="Normal 25 9" xfId="30443"/>
    <cellStyle name="Normal 26" xfId="216"/>
    <cellStyle name="Normal 27" xfId="217"/>
    <cellStyle name="Normal 27 2" xfId="605"/>
    <cellStyle name="Normal 28" xfId="218"/>
    <cellStyle name="Normal 28 2" xfId="219"/>
    <cellStyle name="Normal 28 2 2" xfId="744"/>
    <cellStyle name="Normal 28 2 2 2" xfId="1703"/>
    <cellStyle name="Normal 28 2 2 2 2" xfId="3574"/>
    <cellStyle name="Normal 28 2 2 2 2 2" xfId="7369"/>
    <cellStyle name="Normal 28 2 2 2 2 2 2" xfId="14892"/>
    <cellStyle name="Normal 28 2 2 2 2 2 2 2" xfId="29936"/>
    <cellStyle name="Normal 28 2 2 2 2 2 2 3" xfId="44979"/>
    <cellStyle name="Normal 28 2 2 2 2 2 3" xfId="22415"/>
    <cellStyle name="Normal 28 2 2 2 2 2 4" xfId="37458"/>
    <cellStyle name="Normal 28 2 2 2 2 3" xfId="11143"/>
    <cellStyle name="Normal 28 2 2 2 2 3 2" xfId="26187"/>
    <cellStyle name="Normal 28 2 2 2 2 3 3" xfId="41230"/>
    <cellStyle name="Normal 28 2 2 2 2 4" xfId="18666"/>
    <cellStyle name="Normal 28 2 2 2 2 5" xfId="33709"/>
    <cellStyle name="Normal 28 2 2 2 3" xfId="5504"/>
    <cellStyle name="Normal 28 2 2 2 3 2" xfId="13027"/>
    <cellStyle name="Normal 28 2 2 2 3 2 2" xfId="28071"/>
    <cellStyle name="Normal 28 2 2 2 3 2 3" xfId="43114"/>
    <cellStyle name="Normal 28 2 2 2 3 3" xfId="20550"/>
    <cellStyle name="Normal 28 2 2 2 3 4" xfId="35593"/>
    <cellStyle name="Normal 28 2 2 2 4" xfId="9278"/>
    <cellStyle name="Normal 28 2 2 2 4 2" xfId="24322"/>
    <cellStyle name="Normal 28 2 2 2 4 3" xfId="39365"/>
    <cellStyle name="Normal 28 2 2 2 5" xfId="16801"/>
    <cellStyle name="Normal 28 2 2 2 6" xfId="31844"/>
    <cellStyle name="Normal 28 2 2 3" xfId="2642"/>
    <cellStyle name="Normal 28 2 2 3 2" xfId="6437"/>
    <cellStyle name="Normal 28 2 2 3 2 2" xfId="13960"/>
    <cellStyle name="Normal 28 2 2 3 2 2 2" xfId="29004"/>
    <cellStyle name="Normal 28 2 2 3 2 2 3" xfId="44047"/>
    <cellStyle name="Normal 28 2 2 3 2 3" xfId="21483"/>
    <cellStyle name="Normal 28 2 2 3 2 4" xfId="36526"/>
    <cellStyle name="Normal 28 2 2 3 3" xfId="10211"/>
    <cellStyle name="Normal 28 2 2 3 3 2" xfId="25255"/>
    <cellStyle name="Normal 28 2 2 3 3 3" xfId="40298"/>
    <cellStyle name="Normal 28 2 2 3 4" xfId="17734"/>
    <cellStyle name="Normal 28 2 2 3 5" xfId="32777"/>
    <cellStyle name="Normal 28 2 2 4" xfId="4572"/>
    <cellStyle name="Normal 28 2 2 4 2" xfId="12095"/>
    <cellStyle name="Normal 28 2 2 4 2 2" xfId="27139"/>
    <cellStyle name="Normal 28 2 2 4 2 3" xfId="42182"/>
    <cellStyle name="Normal 28 2 2 4 3" xfId="19618"/>
    <cellStyle name="Normal 28 2 2 4 4" xfId="34661"/>
    <cellStyle name="Normal 28 2 2 5" xfId="8346"/>
    <cellStyle name="Normal 28 2 2 5 2" xfId="23390"/>
    <cellStyle name="Normal 28 2 2 5 3" xfId="38433"/>
    <cellStyle name="Normal 28 2 2 6" xfId="15869"/>
    <cellStyle name="Normal 28 2 2 7" xfId="30912"/>
    <cellStyle name="Normal 28 2 3" xfId="1251"/>
    <cellStyle name="Normal 28 2 3 2" xfId="3122"/>
    <cellStyle name="Normal 28 2 3 2 2" xfId="6917"/>
    <cellStyle name="Normal 28 2 3 2 2 2" xfId="14440"/>
    <cellStyle name="Normal 28 2 3 2 2 2 2" xfId="29484"/>
    <cellStyle name="Normal 28 2 3 2 2 2 3" xfId="44527"/>
    <cellStyle name="Normal 28 2 3 2 2 3" xfId="21963"/>
    <cellStyle name="Normal 28 2 3 2 2 4" xfId="37006"/>
    <cellStyle name="Normal 28 2 3 2 3" xfId="10691"/>
    <cellStyle name="Normal 28 2 3 2 3 2" xfId="25735"/>
    <cellStyle name="Normal 28 2 3 2 3 3" xfId="40778"/>
    <cellStyle name="Normal 28 2 3 2 4" xfId="18214"/>
    <cellStyle name="Normal 28 2 3 2 5" xfId="33257"/>
    <cellStyle name="Normal 28 2 3 3" xfId="5052"/>
    <cellStyle name="Normal 28 2 3 3 2" xfId="12575"/>
    <cellStyle name="Normal 28 2 3 3 2 2" xfId="27619"/>
    <cellStyle name="Normal 28 2 3 3 2 3" xfId="42662"/>
    <cellStyle name="Normal 28 2 3 3 3" xfId="20098"/>
    <cellStyle name="Normal 28 2 3 3 4" xfId="35141"/>
    <cellStyle name="Normal 28 2 3 4" xfId="8826"/>
    <cellStyle name="Normal 28 2 3 4 2" xfId="23870"/>
    <cellStyle name="Normal 28 2 3 4 3" xfId="38913"/>
    <cellStyle name="Normal 28 2 3 5" xfId="16349"/>
    <cellStyle name="Normal 28 2 3 6" xfId="31392"/>
    <cellStyle name="Normal 28 2 4" xfId="2189"/>
    <cellStyle name="Normal 28 2 4 2" xfId="5985"/>
    <cellStyle name="Normal 28 2 4 2 2" xfId="13508"/>
    <cellStyle name="Normal 28 2 4 2 2 2" xfId="28552"/>
    <cellStyle name="Normal 28 2 4 2 2 3" xfId="43595"/>
    <cellStyle name="Normal 28 2 4 2 3" xfId="21031"/>
    <cellStyle name="Normal 28 2 4 2 4" xfId="36074"/>
    <cellStyle name="Normal 28 2 4 3" xfId="9759"/>
    <cellStyle name="Normal 28 2 4 3 2" xfId="24803"/>
    <cellStyle name="Normal 28 2 4 3 3" xfId="39846"/>
    <cellStyle name="Normal 28 2 4 4" xfId="17282"/>
    <cellStyle name="Normal 28 2 4 5" xfId="32325"/>
    <cellStyle name="Normal 28 2 5" xfId="4117"/>
    <cellStyle name="Normal 28 2 5 2" xfId="11641"/>
    <cellStyle name="Normal 28 2 5 2 2" xfId="26685"/>
    <cellStyle name="Normal 28 2 5 2 3" xfId="41728"/>
    <cellStyle name="Normal 28 2 5 3" xfId="19164"/>
    <cellStyle name="Normal 28 2 5 4" xfId="34207"/>
    <cellStyle name="Normal 28 2 6" xfId="7880"/>
    <cellStyle name="Normal 28 2 6 2" xfId="22924"/>
    <cellStyle name="Normal 28 2 6 3" xfId="37967"/>
    <cellStyle name="Normal 28 2 7" xfId="15403"/>
    <cellStyle name="Normal 28 2 8" xfId="30446"/>
    <cellStyle name="Normal 28 3" xfId="743"/>
    <cellStyle name="Normal 28 3 2" xfId="1702"/>
    <cellStyle name="Normal 28 3 2 2" xfId="3573"/>
    <cellStyle name="Normal 28 3 2 2 2" xfId="7368"/>
    <cellStyle name="Normal 28 3 2 2 2 2" xfId="14891"/>
    <cellStyle name="Normal 28 3 2 2 2 2 2" xfId="29935"/>
    <cellStyle name="Normal 28 3 2 2 2 2 3" xfId="44978"/>
    <cellStyle name="Normal 28 3 2 2 2 3" xfId="22414"/>
    <cellStyle name="Normal 28 3 2 2 2 4" xfId="37457"/>
    <cellStyle name="Normal 28 3 2 2 3" xfId="11142"/>
    <cellStyle name="Normal 28 3 2 2 3 2" xfId="26186"/>
    <cellStyle name="Normal 28 3 2 2 3 3" xfId="41229"/>
    <cellStyle name="Normal 28 3 2 2 4" xfId="18665"/>
    <cellStyle name="Normal 28 3 2 2 5" xfId="33708"/>
    <cellStyle name="Normal 28 3 2 3" xfId="5503"/>
    <cellStyle name="Normal 28 3 2 3 2" xfId="13026"/>
    <cellStyle name="Normal 28 3 2 3 2 2" xfId="28070"/>
    <cellStyle name="Normal 28 3 2 3 2 3" xfId="43113"/>
    <cellStyle name="Normal 28 3 2 3 3" xfId="20549"/>
    <cellStyle name="Normal 28 3 2 3 4" xfId="35592"/>
    <cellStyle name="Normal 28 3 2 4" xfId="9277"/>
    <cellStyle name="Normal 28 3 2 4 2" xfId="24321"/>
    <cellStyle name="Normal 28 3 2 4 3" xfId="39364"/>
    <cellStyle name="Normal 28 3 2 5" xfId="16800"/>
    <cellStyle name="Normal 28 3 2 6" xfId="31843"/>
    <cellStyle name="Normal 28 3 3" xfId="2641"/>
    <cellStyle name="Normal 28 3 3 2" xfId="6436"/>
    <cellStyle name="Normal 28 3 3 2 2" xfId="13959"/>
    <cellStyle name="Normal 28 3 3 2 2 2" xfId="29003"/>
    <cellStyle name="Normal 28 3 3 2 2 3" xfId="44046"/>
    <cellStyle name="Normal 28 3 3 2 3" xfId="21482"/>
    <cellStyle name="Normal 28 3 3 2 4" xfId="36525"/>
    <cellStyle name="Normal 28 3 3 3" xfId="10210"/>
    <cellStyle name="Normal 28 3 3 3 2" xfId="25254"/>
    <cellStyle name="Normal 28 3 3 3 3" xfId="40297"/>
    <cellStyle name="Normal 28 3 3 4" xfId="17733"/>
    <cellStyle name="Normal 28 3 3 5" xfId="32776"/>
    <cellStyle name="Normal 28 3 4" xfId="4571"/>
    <cellStyle name="Normal 28 3 4 2" xfId="12094"/>
    <cellStyle name="Normal 28 3 4 2 2" xfId="27138"/>
    <cellStyle name="Normal 28 3 4 2 3" xfId="42181"/>
    <cellStyle name="Normal 28 3 4 3" xfId="19617"/>
    <cellStyle name="Normal 28 3 4 4" xfId="34660"/>
    <cellStyle name="Normal 28 3 5" xfId="8345"/>
    <cellStyle name="Normal 28 3 5 2" xfId="23389"/>
    <cellStyle name="Normal 28 3 5 3" xfId="38432"/>
    <cellStyle name="Normal 28 3 6" xfId="15868"/>
    <cellStyle name="Normal 28 3 7" xfId="30911"/>
    <cellStyle name="Normal 28 4" xfId="1250"/>
    <cellStyle name="Normal 28 4 2" xfId="3121"/>
    <cellStyle name="Normal 28 4 2 2" xfId="6916"/>
    <cellStyle name="Normal 28 4 2 2 2" xfId="14439"/>
    <cellStyle name="Normal 28 4 2 2 2 2" xfId="29483"/>
    <cellStyle name="Normal 28 4 2 2 2 3" xfId="44526"/>
    <cellStyle name="Normal 28 4 2 2 3" xfId="21962"/>
    <cellStyle name="Normal 28 4 2 2 4" xfId="37005"/>
    <cellStyle name="Normal 28 4 2 3" xfId="10690"/>
    <cellStyle name="Normal 28 4 2 3 2" xfId="25734"/>
    <cellStyle name="Normal 28 4 2 3 3" xfId="40777"/>
    <cellStyle name="Normal 28 4 2 4" xfId="18213"/>
    <cellStyle name="Normal 28 4 2 5" xfId="33256"/>
    <cellStyle name="Normal 28 4 3" xfId="5051"/>
    <cellStyle name="Normal 28 4 3 2" xfId="12574"/>
    <cellStyle name="Normal 28 4 3 2 2" xfId="27618"/>
    <cellStyle name="Normal 28 4 3 2 3" xfId="42661"/>
    <cellStyle name="Normal 28 4 3 3" xfId="20097"/>
    <cellStyle name="Normal 28 4 3 4" xfId="35140"/>
    <cellStyle name="Normal 28 4 4" xfId="8825"/>
    <cellStyle name="Normal 28 4 4 2" xfId="23869"/>
    <cellStyle name="Normal 28 4 4 3" xfId="38912"/>
    <cellStyle name="Normal 28 4 5" xfId="16348"/>
    <cellStyle name="Normal 28 4 6" xfId="31391"/>
    <cellStyle name="Normal 28 5" xfId="2188"/>
    <cellStyle name="Normal 28 5 2" xfId="5984"/>
    <cellStyle name="Normal 28 5 2 2" xfId="13507"/>
    <cellStyle name="Normal 28 5 2 2 2" xfId="28551"/>
    <cellStyle name="Normal 28 5 2 2 3" xfId="43594"/>
    <cellStyle name="Normal 28 5 2 3" xfId="21030"/>
    <cellStyle name="Normal 28 5 2 4" xfId="36073"/>
    <cellStyle name="Normal 28 5 3" xfId="9758"/>
    <cellStyle name="Normal 28 5 3 2" xfId="24802"/>
    <cellStyle name="Normal 28 5 3 3" xfId="39845"/>
    <cellStyle name="Normal 28 5 4" xfId="17281"/>
    <cellStyle name="Normal 28 5 5" xfId="32324"/>
    <cellStyle name="Normal 28 6" xfId="4116"/>
    <cellStyle name="Normal 28 6 2" xfId="11640"/>
    <cellStyle name="Normal 28 6 2 2" xfId="26684"/>
    <cellStyle name="Normal 28 6 2 3" xfId="41727"/>
    <cellStyle name="Normal 28 6 3" xfId="19163"/>
    <cellStyle name="Normal 28 6 4" xfId="34206"/>
    <cellStyle name="Normal 28 7" xfId="7879"/>
    <cellStyle name="Normal 28 7 2" xfId="22923"/>
    <cellStyle name="Normal 28 7 3" xfId="37966"/>
    <cellStyle name="Normal 28 8" xfId="15402"/>
    <cellStyle name="Normal 28 9" xfId="30445"/>
    <cellStyle name="Normal 29" xfId="606"/>
    <cellStyle name="Normal 3" xfId="5"/>
    <cellStyle name="Normal 3 10" xfId="4022"/>
    <cellStyle name="Normal 3 10 2" xfId="11546"/>
    <cellStyle name="Normal 3 10 2 2" xfId="26590"/>
    <cellStyle name="Normal 3 10 2 3" xfId="41633"/>
    <cellStyle name="Normal 3 10 3" xfId="19069"/>
    <cellStyle name="Normal 3 10 4" xfId="34112"/>
    <cellStyle name="Normal 3 11" xfId="7785"/>
    <cellStyle name="Normal 3 11 2" xfId="22829"/>
    <cellStyle name="Normal 3 11 3" xfId="37872"/>
    <cellStyle name="Normal 3 12" xfId="15308"/>
    <cellStyle name="Normal 3 13" xfId="30351"/>
    <cellStyle name="Normal 3 2" xfId="9"/>
    <cellStyle name="Normal 3 2 10" xfId="15312"/>
    <cellStyle name="Normal 3 2 11" xfId="30355"/>
    <cellStyle name="Normal 3 2 2" xfId="25"/>
    <cellStyle name="Normal 3 2 2 10" xfId="30364"/>
    <cellStyle name="Normal 3 2 2 2" xfId="44"/>
    <cellStyle name="Normal 3 2 2 2 2" xfId="681"/>
    <cellStyle name="Normal 3 2 2 2 2 2" xfId="1640"/>
    <cellStyle name="Normal 3 2 2 2 2 2 2" xfId="3511"/>
    <cellStyle name="Normal 3 2 2 2 2 2 2 2" xfId="7306"/>
    <cellStyle name="Normal 3 2 2 2 2 2 2 2 2" xfId="14829"/>
    <cellStyle name="Normal 3 2 2 2 2 2 2 2 2 2" xfId="29873"/>
    <cellStyle name="Normal 3 2 2 2 2 2 2 2 2 3" xfId="44916"/>
    <cellStyle name="Normal 3 2 2 2 2 2 2 2 3" xfId="22352"/>
    <cellStyle name="Normal 3 2 2 2 2 2 2 2 4" xfId="37395"/>
    <cellStyle name="Normal 3 2 2 2 2 2 2 3" xfId="11080"/>
    <cellStyle name="Normal 3 2 2 2 2 2 2 3 2" xfId="26124"/>
    <cellStyle name="Normal 3 2 2 2 2 2 2 3 3" xfId="41167"/>
    <cellStyle name="Normal 3 2 2 2 2 2 2 4" xfId="18603"/>
    <cellStyle name="Normal 3 2 2 2 2 2 2 5" xfId="33646"/>
    <cellStyle name="Normal 3 2 2 2 2 2 3" xfId="5441"/>
    <cellStyle name="Normal 3 2 2 2 2 2 3 2" xfId="12964"/>
    <cellStyle name="Normal 3 2 2 2 2 2 3 2 2" xfId="28008"/>
    <cellStyle name="Normal 3 2 2 2 2 2 3 2 3" xfId="43051"/>
    <cellStyle name="Normal 3 2 2 2 2 2 3 3" xfId="20487"/>
    <cellStyle name="Normal 3 2 2 2 2 2 3 4" xfId="35530"/>
    <cellStyle name="Normal 3 2 2 2 2 2 4" xfId="9215"/>
    <cellStyle name="Normal 3 2 2 2 2 2 4 2" xfId="24259"/>
    <cellStyle name="Normal 3 2 2 2 2 2 4 3" xfId="39302"/>
    <cellStyle name="Normal 3 2 2 2 2 2 5" xfId="16738"/>
    <cellStyle name="Normal 3 2 2 2 2 2 6" xfId="31781"/>
    <cellStyle name="Normal 3 2 2 2 2 3" xfId="2579"/>
    <cellStyle name="Normal 3 2 2 2 2 3 2" xfId="6374"/>
    <cellStyle name="Normal 3 2 2 2 2 3 2 2" xfId="13897"/>
    <cellStyle name="Normal 3 2 2 2 2 3 2 2 2" xfId="28941"/>
    <cellStyle name="Normal 3 2 2 2 2 3 2 2 3" xfId="43984"/>
    <cellStyle name="Normal 3 2 2 2 2 3 2 3" xfId="21420"/>
    <cellStyle name="Normal 3 2 2 2 2 3 2 4" xfId="36463"/>
    <cellStyle name="Normal 3 2 2 2 2 3 3" xfId="10148"/>
    <cellStyle name="Normal 3 2 2 2 2 3 3 2" xfId="25192"/>
    <cellStyle name="Normal 3 2 2 2 2 3 3 3" xfId="40235"/>
    <cellStyle name="Normal 3 2 2 2 2 3 4" xfId="17671"/>
    <cellStyle name="Normal 3 2 2 2 2 3 5" xfId="32714"/>
    <cellStyle name="Normal 3 2 2 2 2 4" xfId="4509"/>
    <cellStyle name="Normal 3 2 2 2 2 4 2" xfId="12032"/>
    <cellStyle name="Normal 3 2 2 2 2 4 2 2" xfId="27076"/>
    <cellStyle name="Normal 3 2 2 2 2 4 2 3" xfId="42119"/>
    <cellStyle name="Normal 3 2 2 2 2 4 3" xfId="19555"/>
    <cellStyle name="Normal 3 2 2 2 2 4 4" xfId="34598"/>
    <cellStyle name="Normal 3 2 2 2 2 5" xfId="8283"/>
    <cellStyle name="Normal 3 2 2 2 2 5 2" xfId="23327"/>
    <cellStyle name="Normal 3 2 2 2 2 5 3" xfId="38370"/>
    <cellStyle name="Normal 3 2 2 2 2 6" xfId="15806"/>
    <cellStyle name="Normal 3 2 2 2 2 7" xfId="30849"/>
    <cellStyle name="Normal 3 2 2 2 3" xfId="1188"/>
    <cellStyle name="Normal 3 2 2 2 3 2" xfId="3059"/>
    <cellStyle name="Normal 3 2 2 2 3 2 2" xfId="6854"/>
    <cellStyle name="Normal 3 2 2 2 3 2 2 2" xfId="14377"/>
    <cellStyle name="Normal 3 2 2 2 3 2 2 2 2" xfId="29421"/>
    <cellStyle name="Normal 3 2 2 2 3 2 2 2 3" xfId="44464"/>
    <cellStyle name="Normal 3 2 2 2 3 2 2 3" xfId="21900"/>
    <cellStyle name="Normal 3 2 2 2 3 2 2 4" xfId="36943"/>
    <cellStyle name="Normal 3 2 2 2 3 2 3" xfId="10628"/>
    <cellStyle name="Normal 3 2 2 2 3 2 3 2" xfId="25672"/>
    <cellStyle name="Normal 3 2 2 2 3 2 3 3" xfId="40715"/>
    <cellStyle name="Normal 3 2 2 2 3 2 4" xfId="18151"/>
    <cellStyle name="Normal 3 2 2 2 3 2 5" xfId="33194"/>
    <cellStyle name="Normal 3 2 2 2 3 3" xfId="4989"/>
    <cellStyle name="Normal 3 2 2 2 3 3 2" xfId="12512"/>
    <cellStyle name="Normal 3 2 2 2 3 3 2 2" xfId="27556"/>
    <cellStyle name="Normal 3 2 2 2 3 3 2 3" xfId="42599"/>
    <cellStyle name="Normal 3 2 2 2 3 3 3" xfId="20035"/>
    <cellStyle name="Normal 3 2 2 2 3 3 4" xfId="35078"/>
    <cellStyle name="Normal 3 2 2 2 3 4" xfId="8763"/>
    <cellStyle name="Normal 3 2 2 2 3 4 2" xfId="23807"/>
    <cellStyle name="Normal 3 2 2 2 3 4 3" xfId="38850"/>
    <cellStyle name="Normal 3 2 2 2 3 5" xfId="16286"/>
    <cellStyle name="Normal 3 2 2 2 3 6" xfId="31329"/>
    <cellStyle name="Normal 3 2 2 2 4" xfId="2126"/>
    <cellStyle name="Normal 3 2 2 2 4 2" xfId="5922"/>
    <cellStyle name="Normal 3 2 2 2 4 2 2" xfId="13445"/>
    <cellStyle name="Normal 3 2 2 2 4 2 2 2" xfId="28489"/>
    <cellStyle name="Normal 3 2 2 2 4 2 2 3" xfId="43532"/>
    <cellStyle name="Normal 3 2 2 2 4 2 3" xfId="20968"/>
    <cellStyle name="Normal 3 2 2 2 4 2 4" xfId="36011"/>
    <cellStyle name="Normal 3 2 2 2 4 3" xfId="9696"/>
    <cellStyle name="Normal 3 2 2 2 4 3 2" xfId="24740"/>
    <cellStyle name="Normal 3 2 2 2 4 3 3" xfId="39783"/>
    <cellStyle name="Normal 3 2 2 2 4 4" xfId="17219"/>
    <cellStyle name="Normal 3 2 2 2 4 5" xfId="32262"/>
    <cellStyle name="Normal 3 2 2 2 5" xfId="4052"/>
    <cellStyle name="Normal 3 2 2 2 5 2" xfId="11576"/>
    <cellStyle name="Normal 3 2 2 2 5 2 2" xfId="26620"/>
    <cellStyle name="Normal 3 2 2 2 5 2 3" xfId="41663"/>
    <cellStyle name="Normal 3 2 2 2 5 3" xfId="19099"/>
    <cellStyle name="Normal 3 2 2 2 5 4" xfId="34142"/>
    <cellStyle name="Normal 3 2 2 2 6" xfId="7815"/>
    <cellStyle name="Normal 3 2 2 2 6 2" xfId="22859"/>
    <cellStyle name="Normal 3 2 2 2 6 3" xfId="37902"/>
    <cellStyle name="Normal 3 2 2 2 7" xfId="15338"/>
    <cellStyle name="Normal 3 2 2 2 8" xfId="30381"/>
    <cellStyle name="Normal 3 2 2 3" xfId="600"/>
    <cellStyle name="Normal 3 2 2 3 2" xfId="1098"/>
    <cellStyle name="Normal 3 2 2 3 2 2" xfId="2057"/>
    <cellStyle name="Normal 3 2 2 3 2 2 2" xfId="3928"/>
    <cellStyle name="Normal 3 2 2 3 2 2 2 2" xfId="7723"/>
    <cellStyle name="Normal 3 2 2 3 2 2 2 2 2" xfId="15246"/>
    <cellStyle name="Normal 3 2 2 3 2 2 2 2 2 2" xfId="30290"/>
    <cellStyle name="Normal 3 2 2 3 2 2 2 2 2 3" xfId="45333"/>
    <cellStyle name="Normal 3 2 2 3 2 2 2 2 3" xfId="22769"/>
    <cellStyle name="Normal 3 2 2 3 2 2 2 2 4" xfId="37812"/>
    <cellStyle name="Normal 3 2 2 3 2 2 2 3" xfId="11497"/>
    <cellStyle name="Normal 3 2 2 3 2 2 2 3 2" xfId="26541"/>
    <cellStyle name="Normal 3 2 2 3 2 2 2 3 3" xfId="41584"/>
    <cellStyle name="Normal 3 2 2 3 2 2 2 4" xfId="19020"/>
    <cellStyle name="Normal 3 2 2 3 2 2 2 5" xfId="34063"/>
    <cellStyle name="Normal 3 2 2 3 2 2 3" xfId="5858"/>
    <cellStyle name="Normal 3 2 2 3 2 2 3 2" xfId="13381"/>
    <cellStyle name="Normal 3 2 2 3 2 2 3 2 2" xfId="28425"/>
    <cellStyle name="Normal 3 2 2 3 2 2 3 2 3" xfId="43468"/>
    <cellStyle name="Normal 3 2 2 3 2 2 3 3" xfId="20904"/>
    <cellStyle name="Normal 3 2 2 3 2 2 3 4" xfId="35947"/>
    <cellStyle name="Normal 3 2 2 3 2 2 4" xfId="9632"/>
    <cellStyle name="Normal 3 2 2 3 2 2 4 2" xfId="24676"/>
    <cellStyle name="Normal 3 2 2 3 2 2 4 3" xfId="39719"/>
    <cellStyle name="Normal 3 2 2 3 2 2 5" xfId="17155"/>
    <cellStyle name="Normal 3 2 2 3 2 2 6" xfId="32198"/>
    <cellStyle name="Normal 3 2 2 3 2 3" xfId="2996"/>
    <cellStyle name="Normal 3 2 2 3 2 3 2" xfId="6791"/>
    <cellStyle name="Normal 3 2 2 3 2 3 2 2" xfId="14314"/>
    <cellStyle name="Normal 3 2 2 3 2 3 2 2 2" xfId="29358"/>
    <cellStyle name="Normal 3 2 2 3 2 3 2 2 3" xfId="44401"/>
    <cellStyle name="Normal 3 2 2 3 2 3 2 3" xfId="21837"/>
    <cellStyle name="Normal 3 2 2 3 2 3 2 4" xfId="36880"/>
    <cellStyle name="Normal 3 2 2 3 2 3 3" xfId="10565"/>
    <cellStyle name="Normal 3 2 2 3 2 3 3 2" xfId="25609"/>
    <cellStyle name="Normal 3 2 2 3 2 3 3 3" xfId="40652"/>
    <cellStyle name="Normal 3 2 2 3 2 3 4" xfId="18088"/>
    <cellStyle name="Normal 3 2 2 3 2 3 5" xfId="33131"/>
    <cellStyle name="Normal 3 2 2 3 2 4" xfId="4926"/>
    <cellStyle name="Normal 3 2 2 3 2 4 2" xfId="12449"/>
    <cellStyle name="Normal 3 2 2 3 2 4 2 2" xfId="27493"/>
    <cellStyle name="Normal 3 2 2 3 2 4 2 3" xfId="42536"/>
    <cellStyle name="Normal 3 2 2 3 2 4 3" xfId="19972"/>
    <cellStyle name="Normal 3 2 2 3 2 4 4" xfId="35015"/>
    <cellStyle name="Normal 3 2 2 3 2 5" xfId="8700"/>
    <cellStyle name="Normal 3 2 2 3 2 5 2" xfId="23744"/>
    <cellStyle name="Normal 3 2 2 3 2 5 3" xfId="38787"/>
    <cellStyle name="Normal 3 2 2 3 2 6" xfId="16223"/>
    <cellStyle name="Normal 3 2 2 3 2 7" xfId="31266"/>
    <cellStyle name="Normal 3 2 2 3 3" xfId="1605"/>
    <cellStyle name="Normal 3 2 2 3 3 2" xfId="3476"/>
    <cellStyle name="Normal 3 2 2 3 3 2 2" xfId="7271"/>
    <cellStyle name="Normal 3 2 2 3 3 2 2 2" xfId="14794"/>
    <cellStyle name="Normal 3 2 2 3 3 2 2 2 2" xfId="29838"/>
    <cellStyle name="Normal 3 2 2 3 3 2 2 2 3" xfId="44881"/>
    <cellStyle name="Normal 3 2 2 3 3 2 2 3" xfId="22317"/>
    <cellStyle name="Normal 3 2 2 3 3 2 2 4" xfId="37360"/>
    <cellStyle name="Normal 3 2 2 3 3 2 3" xfId="11045"/>
    <cellStyle name="Normal 3 2 2 3 3 2 3 2" xfId="26089"/>
    <cellStyle name="Normal 3 2 2 3 3 2 3 3" xfId="41132"/>
    <cellStyle name="Normal 3 2 2 3 3 2 4" xfId="18568"/>
    <cellStyle name="Normal 3 2 2 3 3 2 5" xfId="33611"/>
    <cellStyle name="Normal 3 2 2 3 3 3" xfId="5406"/>
    <cellStyle name="Normal 3 2 2 3 3 3 2" xfId="12929"/>
    <cellStyle name="Normal 3 2 2 3 3 3 2 2" xfId="27973"/>
    <cellStyle name="Normal 3 2 2 3 3 3 2 3" xfId="43016"/>
    <cellStyle name="Normal 3 2 2 3 3 3 3" xfId="20452"/>
    <cellStyle name="Normal 3 2 2 3 3 3 4" xfId="35495"/>
    <cellStyle name="Normal 3 2 2 3 3 4" xfId="9180"/>
    <cellStyle name="Normal 3 2 2 3 3 4 2" xfId="24224"/>
    <cellStyle name="Normal 3 2 2 3 3 4 3" xfId="39267"/>
    <cellStyle name="Normal 3 2 2 3 3 5" xfId="16703"/>
    <cellStyle name="Normal 3 2 2 3 3 6" xfId="31746"/>
    <cellStyle name="Normal 3 2 2 3 4" xfId="2543"/>
    <cellStyle name="Normal 3 2 2 3 4 2" xfId="6339"/>
    <cellStyle name="Normal 3 2 2 3 4 2 2" xfId="13862"/>
    <cellStyle name="Normal 3 2 2 3 4 2 2 2" xfId="28906"/>
    <cellStyle name="Normal 3 2 2 3 4 2 2 3" xfId="43949"/>
    <cellStyle name="Normal 3 2 2 3 4 2 3" xfId="21385"/>
    <cellStyle name="Normal 3 2 2 3 4 2 4" xfId="36428"/>
    <cellStyle name="Normal 3 2 2 3 4 3" xfId="10113"/>
    <cellStyle name="Normal 3 2 2 3 4 3 2" xfId="25157"/>
    <cellStyle name="Normal 3 2 2 3 4 3 3" xfId="40200"/>
    <cellStyle name="Normal 3 2 2 3 4 4" xfId="17636"/>
    <cellStyle name="Normal 3 2 2 3 4 5" xfId="32679"/>
    <cellStyle name="Normal 3 2 2 3 5" xfId="4471"/>
    <cellStyle name="Normal 3 2 2 3 5 2" xfId="11995"/>
    <cellStyle name="Normal 3 2 2 3 5 2 2" xfId="27039"/>
    <cellStyle name="Normal 3 2 2 3 5 2 3" xfId="42082"/>
    <cellStyle name="Normal 3 2 2 3 5 3" xfId="19518"/>
    <cellStyle name="Normal 3 2 2 3 5 4" xfId="34561"/>
    <cellStyle name="Normal 3 2 2 3 6" xfId="8234"/>
    <cellStyle name="Normal 3 2 2 3 6 2" xfId="23278"/>
    <cellStyle name="Normal 3 2 2 3 6 3" xfId="38321"/>
    <cellStyle name="Normal 3 2 2 3 7" xfId="15757"/>
    <cellStyle name="Normal 3 2 2 3 8" xfId="30800"/>
    <cellStyle name="Normal 3 2 2 4" xfId="664"/>
    <cellStyle name="Normal 3 2 2 4 2" xfId="1623"/>
    <cellStyle name="Normal 3 2 2 4 2 2" xfId="3494"/>
    <cellStyle name="Normal 3 2 2 4 2 2 2" xfId="7289"/>
    <cellStyle name="Normal 3 2 2 4 2 2 2 2" xfId="14812"/>
    <cellStyle name="Normal 3 2 2 4 2 2 2 2 2" xfId="29856"/>
    <cellStyle name="Normal 3 2 2 4 2 2 2 2 3" xfId="44899"/>
    <cellStyle name="Normal 3 2 2 4 2 2 2 3" xfId="22335"/>
    <cellStyle name="Normal 3 2 2 4 2 2 2 4" xfId="37378"/>
    <cellStyle name="Normal 3 2 2 4 2 2 3" xfId="11063"/>
    <cellStyle name="Normal 3 2 2 4 2 2 3 2" xfId="26107"/>
    <cellStyle name="Normal 3 2 2 4 2 2 3 3" xfId="41150"/>
    <cellStyle name="Normal 3 2 2 4 2 2 4" xfId="18586"/>
    <cellStyle name="Normal 3 2 2 4 2 2 5" xfId="33629"/>
    <cellStyle name="Normal 3 2 2 4 2 3" xfId="5424"/>
    <cellStyle name="Normal 3 2 2 4 2 3 2" xfId="12947"/>
    <cellStyle name="Normal 3 2 2 4 2 3 2 2" xfId="27991"/>
    <cellStyle name="Normal 3 2 2 4 2 3 2 3" xfId="43034"/>
    <cellStyle name="Normal 3 2 2 4 2 3 3" xfId="20470"/>
    <cellStyle name="Normal 3 2 2 4 2 3 4" xfId="35513"/>
    <cellStyle name="Normal 3 2 2 4 2 4" xfId="9198"/>
    <cellStyle name="Normal 3 2 2 4 2 4 2" xfId="24242"/>
    <cellStyle name="Normal 3 2 2 4 2 4 3" xfId="39285"/>
    <cellStyle name="Normal 3 2 2 4 2 5" xfId="16721"/>
    <cellStyle name="Normal 3 2 2 4 2 6" xfId="31764"/>
    <cellStyle name="Normal 3 2 2 4 3" xfId="2562"/>
    <cellStyle name="Normal 3 2 2 4 3 2" xfId="6357"/>
    <cellStyle name="Normal 3 2 2 4 3 2 2" xfId="13880"/>
    <cellStyle name="Normal 3 2 2 4 3 2 2 2" xfId="28924"/>
    <cellStyle name="Normal 3 2 2 4 3 2 2 3" xfId="43967"/>
    <cellStyle name="Normal 3 2 2 4 3 2 3" xfId="21403"/>
    <cellStyle name="Normal 3 2 2 4 3 2 4" xfId="36446"/>
    <cellStyle name="Normal 3 2 2 4 3 3" xfId="10131"/>
    <cellStyle name="Normal 3 2 2 4 3 3 2" xfId="25175"/>
    <cellStyle name="Normal 3 2 2 4 3 3 3" xfId="40218"/>
    <cellStyle name="Normal 3 2 2 4 3 4" xfId="17654"/>
    <cellStyle name="Normal 3 2 2 4 3 5" xfId="32697"/>
    <cellStyle name="Normal 3 2 2 4 4" xfId="4492"/>
    <cellStyle name="Normal 3 2 2 4 4 2" xfId="12015"/>
    <cellStyle name="Normal 3 2 2 4 4 2 2" xfId="27059"/>
    <cellStyle name="Normal 3 2 2 4 4 2 3" xfId="42102"/>
    <cellStyle name="Normal 3 2 2 4 4 3" xfId="19538"/>
    <cellStyle name="Normal 3 2 2 4 4 4" xfId="34581"/>
    <cellStyle name="Normal 3 2 2 4 5" xfId="8266"/>
    <cellStyle name="Normal 3 2 2 4 5 2" xfId="23310"/>
    <cellStyle name="Normal 3 2 2 4 5 3" xfId="38353"/>
    <cellStyle name="Normal 3 2 2 4 6" xfId="15789"/>
    <cellStyle name="Normal 3 2 2 4 7" xfId="30832"/>
    <cellStyle name="Normal 3 2 2 5" xfId="1171"/>
    <cellStyle name="Normal 3 2 2 5 2" xfId="3042"/>
    <cellStyle name="Normal 3 2 2 5 2 2" xfId="6837"/>
    <cellStyle name="Normal 3 2 2 5 2 2 2" xfId="14360"/>
    <cellStyle name="Normal 3 2 2 5 2 2 2 2" xfId="29404"/>
    <cellStyle name="Normal 3 2 2 5 2 2 2 3" xfId="44447"/>
    <cellStyle name="Normal 3 2 2 5 2 2 3" xfId="21883"/>
    <cellStyle name="Normal 3 2 2 5 2 2 4" xfId="36926"/>
    <cellStyle name="Normal 3 2 2 5 2 3" xfId="10611"/>
    <cellStyle name="Normal 3 2 2 5 2 3 2" xfId="25655"/>
    <cellStyle name="Normal 3 2 2 5 2 3 3" xfId="40698"/>
    <cellStyle name="Normal 3 2 2 5 2 4" xfId="18134"/>
    <cellStyle name="Normal 3 2 2 5 2 5" xfId="33177"/>
    <cellStyle name="Normal 3 2 2 5 3" xfId="4972"/>
    <cellStyle name="Normal 3 2 2 5 3 2" xfId="12495"/>
    <cellStyle name="Normal 3 2 2 5 3 2 2" xfId="27539"/>
    <cellStyle name="Normal 3 2 2 5 3 2 3" xfId="42582"/>
    <cellStyle name="Normal 3 2 2 5 3 3" xfId="20018"/>
    <cellStyle name="Normal 3 2 2 5 3 4" xfId="35061"/>
    <cellStyle name="Normal 3 2 2 5 4" xfId="8746"/>
    <cellStyle name="Normal 3 2 2 5 4 2" xfId="23790"/>
    <cellStyle name="Normal 3 2 2 5 4 3" xfId="38833"/>
    <cellStyle name="Normal 3 2 2 5 5" xfId="16269"/>
    <cellStyle name="Normal 3 2 2 5 6" xfId="31312"/>
    <cellStyle name="Normal 3 2 2 6" xfId="2109"/>
    <cellStyle name="Normal 3 2 2 6 2" xfId="5905"/>
    <cellStyle name="Normal 3 2 2 6 2 2" xfId="13428"/>
    <cellStyle name="Normal 3 2 2 6 2 2 2" xfId="28472"/>
    <cellStyle name="Normal 3 2 2 6 2 2 3" xfId="43515"/>
    <cellStyle name="Normal 3 2 2 6 2 3" xfId="20951"/>
    <cellStyle name="Normal 3 2 2 6 2 4" xfId="35994"/>
    <cellStyle name="Normal 3 2 2 6 3" xfId="9679"/>
    <cellStyle name="Normal 3 2 2 6 3 2" xfId="24723"/>
    <cellStyle name="Normal 3 2 2 6 3 3" xfId="39766"/>
    <cellStyle name="Normal 3 2 2 6 4" xfId="17202"/>
    <cellStyle name="Normal 3 2 2 6 5" xfId="32245"/>
    <cellStyle name="Normal 3 2 2 7" xfId="4035"/>
    <cellStyle name="Normal 3 2 2 7 2" xfId="11559"/>
    <cellStyle name="Normal 3 2 2 7 2 2" xfId="26603"/>
    <cellStyle name="Normal 3 2 2 7 2 3" xfId="41646"/>
    <cellStyle name="Normal 3 2 2 7 3" xfId="19082"/>
    <cellStyle name="Normal 3 2 2 7 4" xfId="34125"/>
    <cellStyle name="Normal 3 2 2 8" xfId="7798"/>
    <cellStyle name="Normal 3 2 2 8 2" xfId="22842"/>
    <cellStyle name="Normal 3 2 2 8 3" xfId="37885"/>
    <cellStyle name="Normal 3 2 2 9" xfId="15321"/>
    <cellStyle name="Normal 3 2 3" xfId="220"/>
    <cellStyle name="Normal 3 2 3 2" xfId="745"/>
    <cellStyle name="Normal 3 2 3 2 2" xfId="1704"/>
    <cellStyle name="Normal 3 2 3 2 2 2" xfId="3575"/>
    <cellStyle name="Normal 3 2 3 2 2 2 2" xfId="7370"/>
    <cellStyle name="Normal 3 2 3 2 2 2 2 2" xfId="14893"/>
    <cellStyle name="Normal 3 2 3 2 2 2 2 2 2" xfId="29937"/>
    <cellStyle name="Normal 3 2 3 2 2 2 2 2 3" xfId="44980"/>
    <cellStyle name="Normal 3 2 3 2 2 2 2 3" xfId="22416"/>
    <cellStyle name="Normal 3 2 3 2 2 2 2 4" xfId="37459"/>
    <cellStyle name="Normal 3 2 3 2 2 2 3" xfId="11144"/>
    <cellStyle name="Normal 3 2 3 2 2 2 3 2" xfId="26188"/>
    <cellStyle name="Normal 3 2 3 2 2 2 3 3" xfId="41231"/>
    <cellStyle name="Normal 3 2 3 2 2 2 4" xfId="18667"/>
    <cellStyle name="Normal 3 2 3 2 2 2 5" xfId="33710"/>
    <cellStyle name="Normal 3 2 3 2 2 3" xfId="5505"/>
    <cellStyle name="Normal 3 2 3 2 2 3 2" xfId="13028"/>
    <cellStyle name="Normal 3 2 3 2 2 3 2 2" xfId="28072"/>
    <cellStyle name="Normal 3 2 3 2 2 3 2 3" xfId="43115"/>
    <cellStyle name="Normal 3 2 3 2 2 3 3" xfId="20551"/>
    <cellStyle name="Normal 3 2 3 2 2 3 4" xfId="35594"/>
    <cellStyle name="Normal 3 2 3 2 2 4" xfId="9279"/>
    <cellStyle name="Normal 3 2 3 2 2 4 2" xfId="24323"/>
    <cellStyle name="Normal 3 2 3 2 2 4 3" xfId="39366"/>
    <cellStyle name="Normal 3 2 3 2 2 5" xfId="16802"/>
    <cellStyle name="Normal 3 2 3 2 2 6" xfId="31845"/>
    <cellStyle name="Normal 3 2 3 2 3" xfId="2643"/>
    <cellStyle name="Normal 3 2 3 2 3 2" xfId="6438"/>
    <cellStyle name="Normal 3 2 3 2 3 2 2" xfId="13961"/>
    <cellStyle name="Normal 3 2 3 2 3 2 2 2" xfId="29005"/>
    <cellStyle name="Normal 3 2 3 2 3 2 2 3" xfId="44048"/>
    <cellStyle name="Normal 3 2 3 2 3 2 3" xfId="21484"/>
    <cellStyle name="Normal 3 2 3 2 3 2 4" xfId="36527"/>
    <cellStyle name="Normal 3 2 3 2 3 3" xfId="10212"/>
    <cellStyle name="Normal 3 2 3 2 3 3 2" xfId="25256"/>
    <cellStyle name="Normal 3 2 3 2 3 3 3" xfId="40299"/>
    <cellStyle name="Normal 3 2 3 2 3 4" xfId="17735"/>
    <cellStyle name="Normal 3 2 3 2 3 5" xfId="32778"/>
    <cellStyle name="Normal 3 2 3 2 4" xfId="4573"/>
    <cellStyle name="Normal 3 2 3 2 4 2" xfId="12096"/>
    <cellStyle name="Normal 3 2 3 2 4 2 2" xfId="27140"/>
    <cellStyle name="Normal 3 2 3 2 4 2 3" xfId="42183"/>
    <cellStyle name="Normal 3 2 3 2 4 3" xfId="19619"/>
    <cellStyle name="Normal 3 2 3 2 4 4" xfId="34662"/>
    <cellStyle name="Normal 3 2 3 2 5" xfId="8347"/>
    <cellStyle name="Normal 3 2 3 2 5 2" xfId="23391"/>
    <cellStyle name="Normal 3 2 3 2 5 3" xfId="38434"/>
    <cellStyle name="Normal 3 2 3 2 6" xfId="15870"/>
    <cellStyle name="Normal 3 2 3 2 7" xfId="30913"/>
    <cellStyle name="Normal 3 2 3 3" xfId="1252"/>
    <cellStyle name="Normal 3 2 3 3 2" xfId="3123"/>
    <cellStyle name="Normal 3 2 3 3 2 2" xfId="6918"/>
    <cellStyle name="Normal 3 2 3 3 2 2 2" xfId="14441"/>
    <cellStyle name="Normal 3 2 3 3 2 2 2 2" xfId="29485"/>
    <cellStyle name="Normal 3 2 3 3 2 2 2 3" xfId="44528"/>
    <cellStyle name="Normal 3 2 3 3 2 2 3" xfId="21964"/>
    <cellStyle name="Normal 3 2 3 3 2 2 4" xfId="37007"/>
    <cellStyle name="Normal 3 2 3 3 2 3" xfId="10692"/>
    <cellStyle name="Normal 3 2 3 3 2 3 2" xfId="25736"/>
    <cellStyle name="Normal 3 2 3 3 2 3 3" xfId="40779"/>
    <cellStyle name="Normal 3 2 3 3 2 4" xfId="18215"/>
    <cellStyle name="Normal 3 2 3 3 2 5" xfId="33258"/>
    <cellStyle name="Normal 3 2 3 3 3" xfId="5053"/>
    <cellStyle name="Normal 3 2 3 3 3 2" xfId="12576"/>
    <cellStyle name="Normal 3 2 3 3 3 2 2" xfId="27620"/>
    <cellStyle name="Normal 3 2 3 3 3 2 3" xfId="42663"/>
    <cellStyle name="Normal 3 2 3 3 3 3" xfId="20099"/>
    <cellStyle name="Normal 3 2 3 3 3 4" xfId="35142"/>
    <cellStyle name="Normal 3 2 3 3 4" xfId="8827"/>
    <cellStyle name="Normal 3 2 3 3 4 2" xfId="23871"/>
    <cellStyle name="Normal 3 2 3 3 4 3" xfId="38914"/>
    <cellStyle name="Normal 3 2 3 3 5" xfId="16350"/>
    <cellStyle name="Normal 3 2 3 3 6" xfId="31393"/>
    <cellStyle name="Normal 3 2 3 4" xfId="2190"/>
    <cellStyle name="Normal 3 2 3 4 2" xfId="5986"/>
    <cellStyle name="Normal 3 2 3 4 2 2" xfId="13509"/>
    <cellStyle name="Normal 3 2 3 4 2 2 2" xfId="28553"/>
    <cellStyle name="Normal 3 2 3 4 2 2 3" xfId="43596"/>
    <cellStyle name="Normal 3 2 3 4 2 3" xfId="21032"/>
    <cellStyle name="Normal 3 2 3 4 2 4" xfId="36075"/>
    <cellStyle name="Normal 3 2 3 4 3" xfId="9760"/>
    <cellStyle name="Normal 3 2 3 4 3 2" xfId="24804"/>
    <cellStyle name="Normal 3 2 3 4 3 3" xfId="39847"/>
    <cellStyle name="Normal 3 2 3 4 4" xfId="17283"/>
    <cellStyle name="Normal 3 2 3 4 5" xfId="32326"/>
    <cellStyle name="Normal 3 2 3 5" xfId="4118"/>
    <cellStyle name="Normal 3 2 3 5 2" xfId="11642"/>
    <cellStyle name="Normal 3 2 3 5 2 2" xfId="26686"/>
    <cellStyle name="Normal 3 2 3 5 2 3" xfId="41729"/>
    <cellStyle name="Normal 3 2 3 5 3" xfId="19165"/>
    <cellStyle name="Normal 3 2 3 5 4" xfId="34208"/>
    <cellStyle name="Normal 3 2 3 6" xfId="7881"/>
    <cellStyle name="Normal 3 2 3 6 2" xfId="22925"/>
    <cellStyle name="Normal 3 2 3 6 3" xfId="37968"/>
    <cellStyle name="Normal 3 2 3 7" xfId="15404"/>
    <cellStyle name="Normal 3 2 3 8" xfId="30447"/>
    <cellStyle name="Normal 3 2 4" xfId="35"/>
    <cellStyle name="Normal 3 2 4 2" xfId="672"/>
    <cellStyle name="Normal 3 2 4 2 2" xfId="1631"/>
    <cellStyle name="Normal 3 2 4 2 2 2" xfId="3502"/>
    <cellStyle name="Normal 3 2 4 2 2 2 2" xfId="7297"/>
    <cellStyle name="Normal 3 2 4 2 2 2 2 2" xfId="14820"/>
    <cellStyle name="Normal 3 2 4 2 2 2 2 2 2" xfId="29864"/>
    <cellStyle name="Normal 3 2 4 2 2 2 2 2 3" xfId="44907"/>
    <cellStyle name="Normal 3 2 4 2 2 2 2 3" xfId="22343"/>
    <cellStyle name="Normal 3 2 4 2 2 2 2 4" xfId="37386"/>
    <cellStyle name="Normal 3 2 4 2 2 2 3" xfId="11071"/>
    <cellStyle name="Normal 3 2 4 2 2 2 3 2" xfId="26115"/>
    <cellStyle name="Normal 3 2 4 2 2 2 3 3" xfId="41158"/>
    <cellStyle name="Normal 3 2 4 2 2 2 4" xfId="18594"/>
    <cellStyle name="Normal 3 2 4 2 2 2 5" xfId="33637"/>
    <cellStyle name="Normal 3 2 4 2 2 3" xfId="5432"/>
    <cellStyle name="Normal 3 2 4 2 2 3 2" xfId="12955"/>
    <cellStyle name="Normal 3 2 4 2 2 3 2 2" xfId="27999"/>
    <cellStyle name="Normal 3 2 4 2 2 3 2 3" xfId="43042"/>
    <cellStyle name="Normal 3 2 4 2 2 3 3" xfId="20478"/>
    <cellStyle name="Normal 3 2 4 2 2 3 4" xfId="35521"/>
    <cellStyle name="Normal 3 2 4 2 2 4" xfId="9206"/>
    <cellStyle name="Normal 3 2 4 2 2 4 2" xfId="24250"/>
    <cellStyle name="Normal 3 2 4 2 2 4 3" xfId="39293"/>
    <cellStyle name="Normal 3 2 4 2 2 5" xfId="16729"/>
    <cellStyle name="Normal 3 2 4 2 2 6" xfId="31772"/>
    <cellStyle name="Normal 3 2 4 2 3" xfId="2570"/>
    <cellStyle name="Normal 3 2 4 2 3 2" xfId="6365"/>
    <cellStyle name="Normal 3 2 4 2 3 2 2" xfId="13888"/>
    <cellStyle name="Normal 3 2 4 2 3 2 2 2" xfId="28932"/>
    <cellStyle name="Normal 3 2 4 2 3 2 2 3" xfId="43975"/>
    <cellStyle name="Normal 3 2 4 2 3 2 3" xfId="21411"/>
    <cellStyle name="Normal 3 2 4 2 3 2 4" xfId="36454"/>
    <cellStyle name="Normal 3 2 4 2 3 3" xfId="10139"/>
    <cellStyle name="Normal 3 2 4 2 3 3 2" xfId="25183"/>
    <cellStyle name="Normal 3 2 4 2 3 3 3" xfId="40226"/>
    <cellStyle name="Normal 3 2 4 2 3 4" xfId="17662"/>
    <cellStyle name="Normal 3 2 4 2 3 5" xfId="32705"/>
    <cellStyle name="Normal 3 2 4 2 4" xfId="4500"/>
    <cellStyle name="Normal 3 2 4 2 4 2" xfId="12023"/>
    <cellStyle name="Normal 3 2 4 2 4 2 2" xfId="27067"/>
    <cellStyle name="Normal 3 2 4 2 4 2 3" xfId="42110"/>
    <cellStyle name="Normal 3 2 4 2 4 3" xfId="19546"/>
    <cellStyle name="Normal 3 2 4 2 4 4" xfId="34589"/>
    <cellStyle name="Normal 3 2 4 2 5" xfId="8274"/>
    <cellStyle name="Normal 3 2 4 2 5 2" xfId="23318"/>
    <cellStyle name="Normal 3 2 4 2 5 3" xfId="38361"/>
    <cellStyle name="Normal 3 2 4 2 6" xfId="15797"/>
    <cellStyle name="Normal 3 2 4 2 7" xfId="30840"/>
    <cellStyle name="Normal 3 2 4 3" xfId="1179"/>
    <cellStyle name="Normal 3 2 4 3 2" xfId="3050"/>
    <cellStyle name="Normal 3 2 4 3 2 2" xfId="6845"/>
    <cellStyle name="Normal 3 2 4 3 2 2 2" xfId="14368"/>
    <cellStyle name="Normal 3 2 4 3 2 2 2 2" xfId="29412"/>
    <cellStyle name="Normal 3 2 4 3 2 2 2 3" xfId="44455"/>
    <cellStyle name="Normal 3 2 4 3 2 2 3" xfId="21891"/>
    <cellStyle name="Normal 3 2 4 3 2 2 4" xfId="36934"/>
    <cellStyle name="Normal 3 2 4 3 2 3" xfId="10619"/>
    <cellStyle name="Normal 3 2 4 3 2 3 2" xfId="25663"/>
    <cellStyle name="Normal 3 2 4 3 2 3 3" xfId="40706"/>
    <cellStyle name="Normal 3 2 4 3 2 4" xfId="18142"/>
    <cellStyle name="Normal 3 2 4 3 2 5" xfId="33185"/>
    <cellStyle name="Normal 3 2 4 3 3" xfId="4980"/>
    <cellStyle name="Normal 3 2 4 3 3 2" xfId="12503"/>
    <cellStyle name="Normal 3 2 4 3 3 2 2" xfId="27547"/>
    <cellStyle name="Normal 3 2 4 3 3 2 3" xfId="42590"/>
    <cellStyle name="Normal 3 2 4 3 3 3" xfId="20026"/>
    <cellStyle name="Normal 3 2 4 3 3 4" xfId="35069"/>
    <cellStyle name="Normal 3 2 4 3 4" xfId="8754"/>
    <cellStyle name="Normal 3 2 4 3 4 2" xfId="23798"/>
    <cellStyle name="Normal 3 2 4 3 4 3" xfId="38841"/>
    <cellStyle name="Normal 3 2 4 3 5" xfId="16277"/>
    <cellStyle name="Normal 3 2 4 3 6" xfId="31320"/>
    <cellStyle name="Normal 3 2 4 4" xfId="2117"/>
    <cellStyle name="Normal 3 2 4 4 2" xfId="5913"/>
    <cellStyle name="Normal 3 2 4 4 2 2" xfId="13436"/>
    <cellStyle name="Normal 3 2 4 4 2 2 2" xfId="28480"/>
    <cellStyle name="Normal 3 2 4 4 2 2 3" xfId="43523"/>
    <cellStyle name="Normal 3 2 4 4 2 3" xfId="20959"/>
    <cellStyle name="Normal 3 2 4 4 2 4" xfId="36002"/>
    <cellStyle name="Normal 3 2 4 4 3" xfId="9687"/>
    <cellStyle name="Normal 3 2 4 4 3 2" xfId="24731"/>
    <cellStyle name="Normal 3 2 4 4 3 3" xfId="39774"/>
    <cellStyle name="Normal 3 2 4 4 4" xfId="17210"/>
    <cellStyle name="Normal 3 2 4 4 5" xfId="32253"/>
    <cellStyle name="Normal 3 2 4 5" xfId="4043"/>
    <cellStyle name="Normal 3 2 4 5 2" xfId="11567"/>
    <cellStyle name="Normal 3 2 4 5 2 2" xfId="26611"/>
    <cellStyle name="Normal 3 2 4 5 2 3" xfId="41654"/>
    <cellStyle name="Normal 3 2 4 5 3" xfId="19090"/>
    <cellStyle name="Normal 3 2 4 5 4" xfId="34133"/>
    <cellStyle name="Normal 3 2 4 6" xfId="7806"/>
    <cellStyle name="Normal 3 2 4 6 2" xfId="22850"/>
    <cellStyle name="Normal 3 2 4 6 3" xfId="37893"/>
    <cellStyle name="Normal 3 2 4 7" xfId="15329"/>
    <cellStyle name="Normal 3 2 4 8" xfId="30372"/>
    <cellStyle name="Normal 3 2 5" xfId="654"/>
    <cellStyle name="Normal 3 2 5 2" xfId="1614"/>
    <cellStyle name="Normal 3 2 5 2 2" xfId="3485"/>
    <cellStyle name="Normal 3 2 5 2 2 2" xfId="7280"/>
    <cellStyle name="Normal 3 2 5 2 2 2 2" xfId="14803"/>
    <cellStyle name="Normal 3 2 5 2 2 2 2 2" xfId="29847"/>
    <cellStyle name="Normal 3 2 5 2 2 2 2 3" xfId="44890"/>
    <cellStyle name="Normal 3 2 5 2 2 2 3" xfId="22326"/>
    <cellStyle name="Normal 3 2 5 2 2 2 4" xfId="37369"/>
    <cellStyle name="Normal 3 2 5 2 2 3" xfId="11054"/>
    <cellStyle name="Normal 3 2 5 2 2 3 2" xfId="26098"/>
    <cellStyle name="Normal 3 2 5 2 2 3 3" xfId="41141"/>
    <cellStyle name="Normal 3 2 5 2 2 4" xfId="18577"/>
    <cellStyle name="Normal 3 2 5 2 2 5" xfId="33620"/>
    <cellStyle name="Normal 3 2 5 2 3" xfId="5415"/>
    <cellStyle name="Normal 3 2 5 2 3 2" xfId="12938"/>
    <cellStyle name="Normal 3 2 5 2 3 2 2" xfId="27982"/>
    <cellStyle name="Normal 3 2 5 2 3 2 3" xfId="43025"/>
    <cellStyle name="Normal 3 2 5 2 3 3" xfId="20461"/>
    <cellStyle name="Normal 3 2 5 2 3 4" xfId="35504"/>
    <cellStyle name="Normal 3 2 5 2 4" xfId="9189"/>
    <cellStyle name="Normal 3 2 5 2 4 2" xfId="24233"/>
    <cellStyle name="Normal 3 2 5 2 4 3" xfId="39276"/>
    <cellStyle name="Normal 3 2 5 2 5" xfId="16712"/>
    <cellStyle name="Normal 3 2 5 2 6" xfId="31755"/>
    <cellStyle name="Normal 3 2 5 3" xfId="2553"/>
    <cellStyle name="Normal 3 2 5 3 2" xfId="6348"/>
    <cellStyle name="Normal 3 2 5 3 2 2" xfId="13871"/>
    <cellStyle name="Normal 3 2 5 3 2 2 2" xfId="28915"/>
    <cellStyle name="Normal 3 2 5 3 2 2 3" xfId="43958"/>
    <cellStyle name="Normal 3 2 5 3 2 3" xfId="21394"/>
    <cellStyle name="Normal 3 2 5 3 2 4" xfId="36437"/>
    <cellStyle name="Normal 3 2 5 3 3" xfId="10122"/>
    <cellStyle name="Normal 3 2 5 3 3 2" xfId="25166"/>
    <cellStyle name="Normal 3 2 5 3 3 3" xfId="40209"/>
    <cellStyle name="Normal 3 2 5 3 4" xfId="17645"/>
    <cellStyle name="Normal 3 2 5 3 5" xfId="32688"/>
    <cellStyle name="Normal 3 2 5 4" xfId="4483"/>
    <cellStyle name="Normal 3 2 5 4 2" xfId="12006"/>
    <cellStyle name="Normal 3 2 5 4 2 2" xfId="27050"/>
    <cellStyle name="Normal 3 2 5 4 2 3" xfId="42093"/>
    <cellStyle name="Normal 3 2 5 4 3" xfId="19529"/>
    <cellStyle name="Normal 3 2 5 4 4" xfId="34572"/>
    <cellStyle name="Normal 3 2 5 5" xfId="8257"/>
    <cellStyle name="Normal 3 2 5 5 2" xfId="23301"/>
    <cellStyle name="Normal 3 2 5 5 3" xfId="38344"/>
    <cellStyle name="Normal 3 2 5 6" xfId="15780"/>
    <cellStyle name="Normal 3 2 5 7" xfId="30823"/>
    <cellStyle name="Normal 3 2 6" xfId="1162"/>
    <cellStyle name="Normal 3 2 6 2" xfId="3033"/>
    <cellStyle name="Normal 3 2 6 2 2" xfId="6828"/>
    <cellStyle name="Normal 3 2 6 2 2 2" xfId="14351"/>
    <cellStyle name="Normal 3 2 6 2 2 2 2" xfId="29395"/>
    <cellStyle name="Normal 3 2 6 2 2 2 3" xfId="44438"/>
    <cellStyle name="Normal 3 2 6 2 2 3" xfId="21874"/>
    <cellStyle name="Normal 3 2 6 2 2 4" xfId="36917"/>
    <cellStyle name="Normal 3 2 6 2 3" xfId="10602"/>
    <cellStyle name="Normal 3 2 6 2 3 2" xfId="25646"/>
    <cellStyle name="Normal 3 2 6 2 3 3" xfId="40689"/>
    <cellStyle name="Normal 3 2 6 2 4" xfId="18125"/>
    <cellStyle name="Normal 3 2 6 2 5" xfId="33168"/>
    <cellStyle name="Normal 3 2 6 3" xfId="4963"/>
    <cellStyle name="Normal 3 2 6 3 2" xfId="12486"/>
    <cellStyle name="Normal 3 2 6 3 2 2" xfId="27530"/>
    <cellStyle name="Normal 3 2 6 3 2 3" xfId="42573"/>
    <cellStyle name="Normal 3 2 6 3 3" xfId="20009"/>
    <cellStyle name="Normal 3 2 6 3 4" xfId="35052"/>
    <cellStyle name="Normal 3 2 6 4" xfId="8737"/>
    <cellStyle name="Normal 3 2 6 4 2" xfId="23781"/>
    <cellStyle name="Normal 3 2 6 4 3" xfId="38824"/>
    <cellStyle name="Normal 3 2 6 5" xfId="16260"/>
    <cellStyle name="Normal 3 2 6 6" xfId="31303"/>
    <cellStyle name="Normal 3 2 7" xfId="2100"/>
    <cellStyle name="Normal 3 2 7 2" xfId="5896"/>
    <cellStyle name="Normal 3 2 7 2 2" xfId="13419"/>
    <cellStyle name="Normal 3 2 7 2 2 2" xfId="28463"/>
    <cellStyle name="Normal 3 2 7 2 2 3" xfId="43506"/>
    <cellStyle name="Normal 3 2 7 2 3" xfId="20942"/>
    <cellStyle name="Normal 3 2 7 2 4" xfId="35985"/>
    <cellStyle name="Normal 3 2 7 3" xfId="9670"/>
    <cellStyle name="Normal 3 2 7 3 2" xfId="24714"/>
    <cellStyle name="Normal 3 2 7 3 3" xfId="39757"/>
    <cellStyle name="Normal 3 2 7 4" xfId="17193"/>
    <cellStyle name="Normal 3 2 7 5" xfId="32236"/>
    <cellStyle name="Normal 3 2 8" xfId="4026"/>
    <cellStyle name="Normal 3 2 8 2" xfId="11550"/>
    <cellStyle name="Normal 3 2 8 2 2" xfId="26594"/>
    <cellStyle name="Normal 3 2 8 2 3" xfId="41637"/>
    <cellStyle name="Normal 3 2 8 3" xfId="19073"/>
    <cellStyle name="Normal 3 2 8 4" xfId="34116"/>
    <cellStyle name="Normal 3 2 9" xfId="7789"/>
    <cellStyle name="Normal 3 2 9 2" xfId="22833"/>
    <cellStyle name="Normal 3 2 9 3" xfId="37876"/>
    <cellStyle name="Normal 3 3" xfId="21"/>
    <cellStyle name="Normal 3 3 10" xfId="15317"/>
    <cellStyle name="Normal 3 3 11" xfId="30360"/>
    <cellStyle name="Normal 3 3 2" xfId="28"/>
    <cellStyle name="Normal 3 3 3" xfId="40"/>
    <cellStyle name="Normal 3 3 3 2" xfId="677"/>
    <cellStyle name="Normal 3 3 3 2 2" xfId="1636"/>
    <cellStyle name="Normal 3 3 3 2 2 2" xfId="3507"/>
    <cellStyle name="Normal 3 3 3 2 2 2 2" xfId="7302"/>
    <cellStyle name="Normal 3 3 3 2 2 2 2 2" xfId="14825"/>
    <cellStyle name="Normal 3 3 3 2 2 2 2 2 2" xfId="29869"/>
    <cellStyle name="Normal 3 3 3 2 2 2 2 2 3" xfId="44912"/>
    <cellStyle name="Normal 3 3 3 2 2 2 2 3" xfId="22348"/>
    <cellStyle name="Normal 3 3 3 2 2 2 2 4" xfId="37391"/>
    <cellStyle name="Normal 3 3 3 2 2 2 3" xfId="11076"/>
    <cellStyle name="Normal 3 3 3 2 2 2 3 2" xfId="26120"/>
    <cellStyle name="Normal 3 3 3 2 2 2 3 3" xfId="41163"/>
    <cellStyle name="Normal 3 3 3 2 2 2 4" xfId="18599"/>
    <cellStyle name="Normal 3 3 3 2 2 2 5" xfId="33642"/>
    <cellStyle name="Normal 3 3 3 2 2 3" xfId="5437"/>
    <cellStyle name="Normal 3 3 3 2 2 3 2" xfId="12960"/>
    <cellStyle name="Normal 3 3 3 2 2 3 2 2" xfId="28004"/>
    <cellStyle name="Normal 3 3 3 2 2 3 2 3" xfId="43047"/>
    <cellStyle name="Normal 3 3 3 2 2 3 3" xfId="20483"/>
    <cellStyle name="Normal 3 3 3 2 2 3 4" xfId="35526"/>
    <cellStyle name="Normal 3 3 3 2 2 4" xfId="9211"/>
    <cellStyle name="Normal 3 3 3 2 2 4 2" xfId="24255"/>
    <cellStyle name="Normal 3 3 3 2 2 4 3" xfId="39298"/>
    <cellStyle name="Normal 3 3 3 2 2 5" xfId="16734"/>
    <cellStyle name="Normal 3 3 3 2 2 6" xfId="31777"/>
    <cellStyle name="Normal 3 3 3 2 3" xfId="2575"/>
    <cellStyle name="Normal 3 3 3 2 3 2" xfId="6370"/>
    <cellStyle name="Normal 3 3 3 2 3 2 2" xfId="13893"/>
    <cellStyle name="Normal 3 3 3 2 3 2 2 2" xfId="28937"/>
    <cellStyle name="Normal 3 3 3 2 3 2 2 3" xfId="43980"/>
    <cellStyle name="Normal 3 3 3 2 3 2 3" xfId="21416"/>
    <cellStyle name="Normal 3 3 3 2 3 2 4" xfId="36459"/>
    <cellStyle name="Normal 3 3 3 2 3 3" xfId="10144"/>
    <cellStyle name="Normal 3 3 3 2 3 3 2" xfId="25188"/>
    <cellStyle name="Normal 3 3 3 2 3 3 3" xfId="40231"/>
    <cellStyle name="Normal 3 3 3 2 3 4" xfId="17667"/>
    <cellStyle name="Normal 3 3 3 2 3 5" xfId="32710"/>
    <cellStyle name="Normal 3 3 3 2 4" xfId="4505"/>
    <cellStyle name="Normal 3 3 3 2 4 2" xfId="12028"/>
    <cellStyle name="Normal 3 3 3 2 4 2 2" xfId="27072"/>
    <cellStyle name="Normal 3 3 3 2 4 2 3" xfId="42115"/>
    <cellStyle name="Normal 3 3 3 2 4 3" xfId="19551"/>
    <cellStyle name="Normal 3 3 3 2 4 4" xfId="34594"/>
    <cellStyle name="Normal 3 3 3 2 5" xfId="8279"/>
    <cellStyle name="Normal 3 3 3 2 5 2" xfId="23323"/>
    <cellStyle name="Normal 3 3 3 2 5 3" xfId="38366"/>
    <cellStyle name="Normal 3 3 3 2 6" xfId="15802"/>
    <cellStyle name="Normal 3 3 3 2 7" xfId="30845"/>
    <cellStyle name="Normal 3 3 3 3" xfId="1184"/>
    <cellStyle name="Normal 3 3 3 3 2" xfId="3055"/>
    <cellStyle name="Normal 3 3 3 3 2 2" xfId="6850"/>
    <cellStyle name="Normal 3 3 3 3 2 2 2" xfId="14373"/>
    <cellStyle name="Normal 3 3 3 3 2 2 2 2" xfId="29417"/>
    <cellStyle name="Normal 3 3 3 3 2 2 2 3" xfId="44460"/>
    <cellStyle name="Normal 3 3 3 3 2 2 3" xfId="21896"/>
    <cellStyle name="Normal 3 3 3 3 2 2 4" xfId="36939"/>
    <cellStyle name="Normal 3 3 3 3 2 3" xfId="10624"/>
    <cellStyle name="Normal 3 3 3 3 2 3 2" xfId="25668"/>
    <cellStyle name="Normal 3 3 3 3 2 3 3" xfId="40711"/>
    <cellStyle name="Normal 3 3 3 3 2 4" xfId="18147"/>
    <cellStyle name="Normal 3 3 3 3 2 5" xfId="33190"/>
    <cellStyle name="Normal 3 3 3 3 3" xfId="4985"/>
    <cellStyle name="Normal 3 3 3 3 3 2" xfId="12508"/>
    <cellStyle name="Normal 3 3 3 3 3 2 2" xfId="27552"/>
    <cellStyle name="Normal 3 3 3 3 3 2 3" xfId="42595"/>
    <cellStyle name="Normal 3 3 3 3 3 3" xfId="20031"/>
    <cellStyle name="Normal 3 3 3 3 3 4" xfId="35074"/>
    <cellStyle name="Normal 3 3 3 3 4" xfId="8759"/>
    <cellStyle name="Normal 3 3 3 3 4 2" xfId="23803"/>
    <cellStyle name="Normal 3 3 3 3 4 3" xfId="38846"/>
    <cellStyle name="Normal 3 3 3 3 5" xfId="16282"/>
    <cellStyle name="Normal 3 3 3 3 6" xfId="31325"/>
    <cellStyle name="Normal 3 3 3 4" xfId="2122"/>
    <cellStyle name="Normal 3 3 3 4 2" xfId="5918"/>
    <cellStyle name="Normal 3 3 3 4 2 2" xfId="13441"/>
    <cellStyle name="Normal 3 3 3 4 2 2 2" xfId="28485"/>
    <cellStyle name="Normal 3 3 3 4 2 2 3" xfId="43528"/>
    <cellStyle name="Normal 3 3 3 4 2 3" xfId="20964"/>
    <cellStyle name="Normal 3 3 3 4 2 4" xfId="36007"/>
    <cellStyle name="Normal 3 3 3 4 3" xfId="9692"/>
    <cellStyle name="Normal 3 3 3 4 3 2" xfId="24736"/>
    <cellStyle name="Normal 3 3 3 4 3 3" xfId="39779"/>
    <cellStyle name="Normal 3 3 3 4 4" xfId="17215"/>
    <cellStyle name="Normal 3 3 3 4 5" xfId="32258"/>
    <cellStyle name="Normal 3 3 3 5" xfId="4048"/>
    <cellStyle name="Normal 3 3 3 5 2" xfId="11572"/>
    <cellStyle name="Normal 3 3 3 5 2 2" xfId="26616"/>
    <cellStyle name="Normal 3 3 3 5 2 3" xfId="41659"/>
    <cellStyle name="Normal 3 3 3 5 3" xfId="19095"/>
    <cellStyle name="Normal 3 3 3 5 4" xfId="34138"/>
    <cellStyle name="Normal 3 3 3 6" xfId="7811"/>
    <cellStyle name="Normal 3 3 3 6 2" xfId="22855"/>
    <cellStyle name="Normal 3 3 3 6 3" xfId="37898"/>
    <cellStyle name="Normal 3 3 3 7" xfId="15334"/>
    <cellStyle name="Normal 3 3 3 8" xfId="30377"/>
    <cellStyle name="Normal 3 3 4" xfId="597"/>
    <cellStyle name="Normal 3 3 4 2" xfId="1095"/>
    <cellStyle name="Normal 3 3 4 2 2" xfId="2054"/>
    <cellStyle name="Normal 3 3 4 2 2 2" xfId="3925"/>
    <cellStyle name="Normal 3 3 4 2 2 2 2" xfId="7720"/>
    <cellStyle name="Normal 3 3 4 2 2 2 2 2" xfId="15243"/>
    <cellStyle name="Normal 3 3 4 2 2 2 2 2 2" xfId="30287"/>
    <cellStyle name="Normal 3 3 4 2 2 2 2 2 3" xfId="45330"/>
    <cellStyle name="Normal 3 3 4 2 2 2 2 3" xfId="22766"/>
    <cellStyle name="Normal 3 3 4 2 2 2 2 4" xfId="37809"/>
    <cellStyle name="Normal 3 3 4 2 2 2 3" xfId="11494"/>
    <cellStyle name="Normal 3 3 4 2 2 2 3 2" xfId="26538"/>
    <cellStyle name="Normal 3 3 4 2 2 2 3 3" xfId="41581"/>
    <cellStyle name="Normal 3 3 4 2 2 2 4" xfId="19017"/>
    <cellStyle name="Normal 3 3 4 2 2 2 5" xfId="34060"/>
    <cellStyle name="Normal 3 3 4 2 2 3" xfId="5855"/>
    <cellStyle name="Normal 3 3 4 2 2 3 2" xfId="13378"/>
    <cellStyle name="Normal 3 3 4 2 2 3 2 2" xfId="28422"/>
    <cellStyle name="Normal 3 3 4 2 2 3 2 3" xfId="43465"/>
    <cellStyle name="Normal 3 3 4 2 2 3 3" xfId="20901"/>
    <cellStyle name="Normal 3 3 4 2 2 3 4" xfId="35944"/>
    <cellStyle name="Normal 3 3 4 2 2 4" xfId="9629"/>
    <cellStyle name="Normal 3 3 4 2 2 4 2" xfId="24673"/>
    <cellStyle name="Normal 3 3 4 2 2 4 3" xfId="39716"/>
    <cellStyle name="Normal 3 3 4 2 2 5" xfId="17152"/>
    <cellStyle name="Normal 3 3 4 2 2 6" xfId="32195"/>
    <cellStyle name="Normal 3 3 4 2 3" xfId="2993"/>
    <cellStyle name="Normal 3 3 4 2 3 2" xfId="6788"/>
    <cellStyle name="Normal 3 3 4 2 3 2 2" xfId="14311"/>
    <cellStyle name="Normal 3 3 4 2 3 2 2 2" xfId="29355"/>
    <cellStyle name="Normal 3 3 4 2 3 2 2 3" xfId="44398"/>
    <cellStyle name="Normal 3 3 4 2 3 2 3" xfId="21834"/>
    <cellStyle name="Normal 3 3 4 2 3 2 4" xfId="36877"/>
    <cellStyle name="Normal 3 3 4 2 3 3" xfId="10562"/>
    <cellStyle name="Normal 3 3 4 2 3 3 2" xfId="25606"/>
    <cellStyle name="Normal 3 3 4 2 3 3 3" xfId="40649"/>
    <cellStyle name="Normal 3 3 4 2 3 4" xfId="18085"/>
    <cellStyle name="Normal 3 3 4 2 3 5" xfId="33128"/>
    <cellStyle name="Normal 3 3 4 2 4" xfId="4923"/>
    <cellStyle name="Normal 3 3 4 2 4 2" xfId="12446"/>
    <cellStyle name="Normal 3 3 4 2 4 2 2" xfId="27490"/>
    <cellStyle name="Normal 3 3 4 2 4 2 3" xfId="42533"/>
    <cellStyle name="Normal 3 3 4 2 4 3" xfId="19969"/>
    <cellStyle name="Normal 3 3 4 2 4 4" xfId="35012"/>
    <cellStyle name="Normal 3 3 4 2 5" xfId="8697"/>
    <cellStyle name="Normal 3 3 4 2 5 2" xfId="23741"/>
    <cellStyle name="Normal 3 3 4 2 5 3" xfId="38784"/>
    <cellStyle name="Normal 3 3 4 2 6" xfId="16220"/>
    <cellStyle name="Normal 3 3 4 2 7" xfId="31263"/>
    <cellStyle name="Normal 3 3 4 3" xfId="1602"/>
    <cellStyle name="Normal 3 3 4 3 2" xfId="3473"/>
    <cellStyle name="Normal 3 3 4 3 2 2" xfId="7268"/>
    <cellStyle name="Normal 3 3 4 3 2 2 2" xfId="14791"/>
    <cellStyle name="Normal 3 3 4 3 2 2 2 2" xfId="29835"/>
    <cellStyle name="Normal 3 3 4 3 2 2 2 3" xfId="44878"/>
    <cellStyle name="Normal 3 3 4 3 2 2 3" xfId="22314"/>
    <cellStyle name="Normal 3 3 4 3 2 2 4" xfId="37357"/>
    <cellStyle name="Normal 3 3 4 3 2 3" xfId="11042"/>
    <cellStyle name="Normal 3 3 4 3 2 3 2" xfId="26086"/>
    <cellStyle name="Normal 3 3 4 3 2 3 3" xfId="41129"/>
    <cellStyle name="Normal 3 3 4 3 2 4" xfId="18565"/>
    <cellStyle name="Normal 3 3 4 3 2 5" xfId="33608"/>
    <cellStyle name="Normal 3 3 4 3 3" xfId="5403"/>
    <cellStyle name="Normal 3 3 4 3 3 2" xfId="12926"/>
    <cellStyle name="Normal 3 3 4 3 3 2 2" xfId="27970"/>
    <cellStyle name="Normal 3 3 4 3 3 2 3" xfId="43013"/>
    <cellStyle name="Normal 3 3 4 3 3 3" xfId="20449"/>
    <cellStyle name="Normal 3 3 4 3 3 4" xfId="35492"/>
    <cellStyle name="Normal 3 3 4 3 4" xfId="9177"/>
    <cellStyle name="Normal 3 3 4 3 4 2" xfId="24221"/>
    <cellStyle name="Normal 3 3 4 3 4 3" xfId="39264"/>
    <cellStyle name="Normal 3 3 4 3 5" xfId="16700"/>
    <cellStyle name="Normal 3 3 4 3 6" xfId="31743"/>
    <cellStyle name="Normal 3 3 4 4" xfId="2540"/>
    <cellStyle name="Normal 3 3 4 4 2" xfId="6336"/>
    <cellStyle name="Normal 3 3 4 4 2 2" xfId="13859"/>
    <cellStyle name="Normal 3 3 4 4 2 2 2" xfId="28903"/>
    <cellStyle name="Normal 3 3 4 4 2 2 3" xfId="43946"/>
    <cellStyle name="Normal 3 3 4 4 2 3" xfId="21382"/>
    <cellStyle name="Normal 3 3 4 4 2 4" xfId="36425"/>
    <cellStyle name="Normal 3 3 4 4 3" xfId="10110"/>
    <cellStyle name="Normal 3 3 4 4 3 2" xfId="25154"/>
    <cellStyle name="Normal 3 3 4 4 3 3" xfId="40197"/>
    <cellStyle name="Normal 3 3 4 4 4" xfId="17633"/>
    <cellStyle name="Normal 3 3 4 4 5" xfId="32676"/>
    <cellStyle name="Normal 3 3 4 5" xfId="4468"/>
    <cellStyle name="Normal 3 3 4 5 2" xfId="11992"/>
    <cellStyle name="Normal 3 3 4 5 2 2" xfId="27036"/>
    <cellStyle name="Normal 3 3 4 5 2 3" xfId="42079"/>
    <cellStyle name="Normal 3 3 4 5 3" xfId="19515"/>
    <cellStyle name="Normal 3 3 4 5 4" xfId="34558"/>
    <cellStyle name="Normal 3 3 4 6" xfId="8231"/>
    <cellStyle name="Normal 3 3 4 6 2" xfId="23275"/>
    <cellStyle name="Normal 3 3 4 6 3" xfId="38318"/>
    <cellStyle name="Normal 3 3 4 7" xfId="15754"/>
    <cellStyle name="Normal 3 3 4 8" xfId="30797"/>
    <cellStyle name="Normal 3 3 5" xfId="660"/>
    <cellStyle name="Normal 3 3 5 2" xfId="1619"/>
    <cellStyle name="Normal 3 3 5 2 2" xfId="3490"/>
    <cellStyle name="Normal 3 3 5 2 2 2" xfId="7285"/>
    <cellStyle name="Normal 3 3 5 2 2 2 2" xfId="14808"/>
    <cellStyle name="Normal 3 3 5 2 2 2 2 2" xfId="29852"/>
    <cellStyle name="Normal 3 3 5 2 2 2 2 3" xfId="44895"/>
    <cellStyle name="Normal 3 3 5 2 2 2 3" xfId="22331"/>
    <cellStyle name="Normal 3 3 5 2 2 2 4" xfId="37374"/>
    <cellStyle name="Normal 3 3 5 2 2 3" xfId="11059"/>
    <cellStyle name="Normal 3 3 5 2 2 3 2" xfId="26103"/>
    <cellStyle name="Normal 3 3 5 2 2 3 3" xfId="41146"/>
    <cellStyle name="Normal 3 3 5 2 2 4" xfId="18582"/>
    <cellStyle name="Normal 3 3 5 2 2 5" xfId="33625"/>
    <cellStyle name="Normal 3 3 5 2 3" xfId="5420"/>
    <cellStyle name="Normal 3 3 5 2 3 2" xfId="12943"/>
    <cellStyle name="Normal 3 3 5 2 3 2 2" xfId="27987"/>
    <cellStyle name="Normal 3 3 5 2 3 2 3" xfId="43030"/>
    <cellStyle name="Normal 3 3 5 2 3 3" xfId="20466"/>
    <cellStyle name="Normal 3 3 5 2 3 4" xfId="35509"/>
    <cellStyle name="Normal 3 3 5 2 4" xfId="9194"/>
    <cellStyle name="Normal 3 3 5 2 4 2" xfId="24238"/>
    <cellStyle name="Normal 3 3 5 2 4 3" xfId="39281"/>
    <cellStyle name="Normal 3 3 5 2 5" xfId="16717"/>
    <cellStyle name="Normal 3 3 5 2 6" xfId="31760"/>
    <cellStyle name="Normal 3 3 5 3" xfId="2558"/>
    <cellStyle name="Normal 3 3 5 3 2" xfId="6353"/>
    <cellStyle name="Normal 3 3 5 3 2 2" xfId="13876"/>
    <cellStyle name="Normal 3 3 5 3 2 2 2" xfId="28920"/>
    <cellStyle name="Normal 3 3 5 3 2 2 3" xfId="43963"/>
    <cellStyle name="Normal 3 3 5 3 2 3" xfId="21399"/>
    <cellStyle name="Normal 3 3 5 3 2 4" xfId="36442"/>
    <cellStyle name="Normal 3 3 5 3 3" xfId="10127"/>
    <cellStyle name="Normal 3 3 5 3 3 2" xfId="25171"/>
    <cellStyle name="Normal 3 3 5 3 3 3" xfId="40214"/>
    <cellStyle name="Normal 3 3 5 3 4" xfId="17650"/>
    <cellStyle name="Normal 3 3 5 3 5" xfId="32693"/>
    <cellStyle name="Normal 3 3 5 4" xfId="4488"/>
    <cellStyle name="Normal 3 3 5 4 2" xfId="12011"/>
    <cellStyle name="Normal 3 3 5 4 2 2" xfId="27055"/>
    <cellStyle name="Normal 3 3 5 4 2 3" xfId="42098"/>
    <cellStyle name="Normal 3 3 5 4 3" xfId="19534"/>
    <cellStyle name="Normal 3 3 5 4 4" xfId="34577"/>
    <cellStyle name="Normal 3 3 5 5" xfId="8262"/>
    <cellStyle name="Normal 3 3 5 5 2" xfId="23306"/>
    <cellStyle name="Normal 3 3 5 5 3" xfId="38349"/>
    <cellStyle name="Normal 3 3 5 6" xfId="15785"/>
    <cellStyle name="Normal 3 3 5 7" xfId="30828"/>
    <cellStyle name="Normal 3 3 6" xfId="1167"/>
    <cellStyle name="Normal 3 3 6 2" xfId="3038"/>
    <cellStyle name="Normal 3 3 6 2 2" xfId="6833"/>
    <cellStyle name="Normal 3 3 6 2 2 2" xfId="14356"/>
    <cellStyle name="Normal 3 3 6 2 2 2 2" xfId="29400"/>
    <cellStyle name="Normal 3 3 6 2 2 2 3" xfId="44443"/>
    <cellStyle name="Normal 3 3 6 2 2 3" xfId="21879"/>
    <cellStyle name="Normal 3 3 6 2 2 4" xfId="36922"/>
    <cellStyle name="Normal 3 3 6 2 3" xfId="10607"/>
    <cellStyle name="Normal 3 3 6 2 3 2" xfId="25651"/>
    <cellStyle name="Normal 3 3 6 2 3 3" xfId="40694"/>
    <cellStyle name="Normal 3 3 6 2 4" xfId="18130"/>
    <cellStyle name="Normal 3 3 6 2 5" xfId="33173"/>
    <cellStyle name="Normal 3 3 6 3" xfId="4968"/>
    <cellStyle name="Normal 3 3 6 3 2" xfId="12491"/>
    <cellStyle name="Normal 3 3 6 3 2 2" xfId="27535"/>
    <cellStyle name="Normal 3 3 6 3 2 3" xfId="42578"/>
    <cellStyle name="Normal 3 3 6 3 3" xfId="20014"/>
    <cellStyle name="Normal 3 3 6 3 4" xfId="35057"/>
    <cellStyle name="Normal 3 3 6 4" xfId="8742"/>
    <cellStyle name="Normal 3 3 6 4 2" xfId="23786"/>
    <cellStyle name="Normal 3 3 6 4 3" xfId="38829"/>
    <cellStyle name="Normal 3 3 6 5" xfId="16265"/>
    <cellStyle name="Normal 3 3 6 6" xfId="31308"/>
    <cellStyle name="Normal 3 3 7" xfId="2105"/>
    <cellStyle name="Normal 3 3 7 2" xfId="5901"/>
    <cellStyle name="Normal 3 3 7 2 2" xfId="13424"/>
    <cellStyle name="Normal 3 3 7 2 2 2" xfId="28468"/>
    <cellStyle name="Normal 3 3 7 2 2 3" xfId="43511"/>
    <cellStyle name="Normal 3 3 7 2 3" xfId="20947"/>
    <cellStyle name="Normal 3 3 7 2 4" xfId="35990"/>
    <cellStyle name="Normal 3 3 7 3" xfId="9675"/>
    <cellStyle name="Normal 3 3 7 3 2" xfId="24719"/>
    <cellStyle name="Normal 3 3 7 3 3" xfId="39762"/>
    <cellStyle name="Normal 3 3 7 4" xfId="17198"/>
    <cellStyle name="Normal 3 3 7 5" xfId="32241"/>
    <cellStyle name="Normal 3 3 8" xfId="4031"/>
    <cellStyle name="Normal 3 3 8 2" xfId="11555"/>
    <cellStyle name="Normal 3 3 8 2 2" xfId="26599"/>
    <cellStyle name="Normal 3 3 8 2 3" xfId="41642"/>
    <cellStyle name="Normal 3 3 8 3" xfId="19078"/>
    <cellStyle name="Normal 3 3 8 4" xfId="34121"/>
    <cellStyle name="Normal 3 3 9" xfId="7794"/>
    <cellStyle name="Normal 3 3 9 2" xfId="22838"/>
    <cellStyle name="Normal 3 3 9 3" xfId="37881"/>
    <cellStyle name="Normal 3 4" xfId="221"/>
    <cellStyle name="Normal 3 4 2" xfId="222"/>
    <cellStyle name="Normal 3 4 2 2" xfId="747"/>
    <cellStyle name="Normal 3 4 2 2 2" xfId="1706"/>
    <cellStyle name="Normal 3 4 2 2 2 2" xfId="3577"/>
    <cellStyle name="Normal 3 4 2 2 2 2 2" xfId="7372"/>
    <cellStyle name="Normal 3 4 2 2 2 2 2 2" xfId="14895"/>
    <cellStyle name="Normal 3 4 2 2 2 2 2 2 2" xfId="29939"/>
    <cellStyle name="Normal 3 4 2 2 2 2 2 2 3" xfId="44982"/>
    <cellStyle name="Normal 3 4 2 2 2 2 2 3" xfId="22418"/>
    <cellStyle name="Normal 3 4 2 2 2 2 2 4" xfId="37461"/>
    <cellStyle name="Normal 3 4 2 2 2 2 3" xfId="11146"/>
    <cellStyle name="Normal 3 4 2 2 2 2 3 2" xfId="26190"/>
    <cellStyle name="Normal 3 4 2 2 2 2 3 3" xfId="41233"/>
    <cellStyle name="Normal 3 4 2 2 2 2 4" xfId="18669"/>
    <cellStyle name="Normal 3 4 2 2 2 2 5" xfId="33712"/>
    <cellStyle name="Normal 3 4 2 2 2 3" xfId="5507"/>
    <cellStyle name="Normal 3 4 2 2 2 3 2" xfId="13030"/>
    <cellStyle name="Normal 3 4 2 2 2 3 2 2" xfId="28074"/>
    <cellStyle name="Normal 3 4 2 2 2 3 2 3" xfId="43117"/>
    <cellStyle name="Normal 3 4 2 2 2 3 3" xfId="20553"/>
    <cellStyle name="Normal 3 4 2 2 2 3 4" xfId="35596"/>
    <cellStyle name="Normal 3 4 2 2 2 4" xfId="9281"/>
    <cellStyle name="Normal 3 4 2 2 2 4 2" xfId="24325"/>
    <cellStyle name="Normal 3 4 2 2 2 4 3" xfId="39368"/>
    <cellStyle name="Normal 3 4 2 2 2 5" xfId="16804"/>
    <cellStyle name="Normal 3 4 2 2 2 6" xfId="31847"/>
    <cellStyle name="Normal 3 4 2 2 3" xfId="2645"/>
    <cellStyle name="Normal 3 4 2 2 3 2" xfId="6440"/>
    <cellStyle name="Normal 3 4 2 2 3 2 2" xfId="13963"/>
    <cellStyle name="Normal 3 4 2 2 3 2 2 2" xfId="29007"/>
    <cellStyle name="Normal 3 4 2 2 3 2 2 3" xfId="44050"/>
    <cellStyle name="Normal 3 4 2 2 3 2 3" xfId="21486"/>
    <cellStyle name="Normal 3 4 2 2 3 2 4" xfId="36529"/>
    <cellStyle name="Normal 3 4 2 2 3 3" xfId="10214"/>
    <cellStyle name="Normal 3 4 2 2 3 3 2" xfId="25258"/>
    <cellStyle name="Normal 3 4 2 2 3 3 3" xfId="40301"/>
    <cellStyle name="Normal 3 4 2 2 3 4" xfId="17737"/>
    <cellStyle name="Normal 3 4 2 2 3 5" xfId="32780"/>
    <cellStyle name="Normal 3 4 2 2 4" xfId="4575"/>
    <cellStyle name="Normal 3 4 2 2 4 2" xfId="12098"/>
    <cellStyle name="Normal 3 4 2 2 4 2 2" xfId="27142"/>
    <cellStyle name="Normal 3 4 2 2 4 2 3" xfId="42185"/>
    <cellStyle name="Normal 3 4 2 2 4 3" xfId="19621"/>
    <cellStyle name="Normal 3 4 2 2 4 4" xfId="34664"/>
    <cellStyle name="Normal 3 4 2 2 5" xfId="8349"/>
    <cellStyle name="Normal 3 4 2 2 5 2" xfId="23393"/>
    <cellStyle name="Normal 3 4 2 2 5 3" xfId="38436"/>
    <cellStyle name="Normal 3 4 2 2 6" xfId="15872"/>
    <cellStyle name="Normal 3 4 2 2 7" xfId="30915"/>
    <cellStyle name="Normal 3 4 2 3" xfId="1254"/>
    <cellStyle name="Normal 3 4 2 3 2" xfId="3125"/>
    <cellStyle name="Normal 3 4 2 3 2 2" xfId="6920"/>
    <cellStyle name="Normal 3 4 2 3 2 2 2" xfId="14443"/>
    <cellStyle name="Normal 3 4 2 3 2 2 2 2" xfId="29487"/>
    <cellStyle name="Normal 3 4 2 3 2 2 2 3" xfId="44530"/>
    <cellStyle name="Normal 3 4 2 3 2 2 3" xfId="21966"/>
    <cellStyle name="Normal 3 4 2 3 2 2 4" xfId="37009"/>
    <cellStyle name="Normal 3 4 2 3 2 3" xfId="10694"/>
    <cellStyle name="Normal 3 4 2 3 2 3 2" xfId="25738"/>
    <cellStyle name="Normal 3 4 2 3 2 3 3" xfId="40781"/>
    <cellStyle name="Normal 3 4 2 3 2 4" xfId="18217"/>
    <cellStyle name="Normal 3 4 2 3 2 5" xfId="33260"/>
    <cellStyle name="Normal 3 4 2 3 3" xfId="5055"/>
    <cellStyle name="Normal 3 4 2 3 3 2" xfId="12578"/>
    <cellStyle name="Normal 3 4 2 3 3 2 2" xfId="27622"/>
    <cellStyle name="Normal 3 4 2 3 3 2 3" xfId="42665"/>
    <cellStyle name="Normal 3 4 2 3 3 3" xfId="20101"/>
    <cellStyle name="Normal 3 4 2 3 3 4" xfId="35144"/>
    <cellStyle name="Normal 3 4 2 3 4" xfId="8829"/>
    <cellStyle name="Normal 3 4 2 3 4 2" xfId="23873"/>
    <cellStyle name="Normal 3 4 2 3 4 3" xfId="38916"/>
    <cellStyle name="Normal 3 4 2 3 5" xfId="16352"/>
    <cellStyle name="Normal 3 4 2 3 6" xfId="31395"/>
    <cellStyle name="Normal 3 4 2 4" xfId="2192"/>
    <cellStyle name="Normal 3 4 2 4 2" xfId="5988"/>
    <cellStyle name="Normal 3 4 2 4 2 2" xfId="13511"/>
    <cellStyle name="Normal 3 4 2 4 2 2 2" xfId="28555"/>
    <cellStyle name="Normal 3 4 2 4 2 2 3" xfId="43598"/>
    <cellStyle name="Normal 3 4 2 4 2 3" xfId="21034"/>
    <cellStyle name="Normal 3 4 2 4 2 4" xfId="36077"/>
    <cellStyle name="Normal 3 4 2 4 3" xfId="9762"/>
    <cellStyle name="Normal 3 4 2 4 3 2" xfId="24806"/>
    <cellStyle name="Normal 3 4 2 4 3 3" xfId="39849"/>
    <cellStyle name="Normal 3 4 2 4 4" xfId="17285"/>
    <cellStyle name="Normal 3 4 2 4 5" xfId="32328"/>
    <cellStyle name="Normal 3 4 2 5" xfId="4120"/>
    <cellStyle name="Normal 3 4 2 5 2" xfId="11644"/>
    <cellStyle name="Normal 3 4 2 5 2 2" xfId="26688"/>
    <cellStyle name="Normal 3 4 2 5 2 3" xfId="41731"/>
    <cellStyle name="Normal 3 4 2 5 3" xfId="19167"/>
    <cellStyle name="Normal 3 4 2 5 4" xfId="34210"/>
    <cellStyle name="Normal 3 4 2 6" xfId="7883"/>
    <cellStyle name="Normal 3 4 2 6 2" xfId="22927"/>
    <cellStyle name="Normal 3 4 2 6 3" xfId="37970"/>
    <cellStyle name="Normal 3 4 2 7" xfId="15406"/>
    <cellStyle name="Normal 3 4 2 8" xfId="30449"/>
    <cellStyle name="Normal 3 4 3" xfId="746"/>
    <cellStyle name="Normal 3 4 3 2" xfId="1705"/>
    <cellStyle name="Normal 3 4 3 2 2" xfId="3576"/>
    <cellStyle name="Normal 3 4 3 2 2 2" xfId="7371"/>
    <cellStyle name="Normal 3 4 3 2 2 2 2" xfId="14894"/>
    <cellStyle name="Normal 3 4 3 2 2 2 2 2" xfId="29938"/>
    <cellStyle name="Normal 3 4 3 2 2 2 2 3" xfId="44981"/>
    <cellStyle name="Normal 3 4 3 2 2 2 3" xfId="22417"/>
    <cellStyle name="Normal 3 4 3 2 2 2 4" xfId="37460"/>
    <cellStyle name="Normal 3 4 3 2 2 3" xfId="11145"/>
    <cellStyle name="Normal 3 4 3 2 2 3 2" xfId="26189"/>
    <cellStyle name="Normal 3 4 3 2 2 3 3" xfId="41232"/>
    <cellStyle name="Normal 3 4 3 2 2 4" xfId="18668"/>
    <cellStyle name="Normal 3 4 3 2 2 5" xfId="33711"/>
    <cellStyle name="Normal 3 4 3 2 3" xfId="5506"/>
    <cellStyle name="Normal 3 4 3 2 3 2" xfId="13029"/>
    <cellStyle name="Normal 3 4 3 2 3 2 2" xfId="28073"/>
    <cellStyle name="Normal 3 4 3 2 3 2 3" xfId="43116"/>
    <cellStyle name="Normal 3 4 3 2 3 3" xfId="20552"/>
    <cellStyle name="Normal 3 4 3 2 3 4" xfId="35595"/>
    <cellStyle name="Normal 3 4 3 2 4" xfId="9280"/>
    <cellStyle name="Normal 3 4 3 2 4 2" xfId="24324"/>
    <cellStyle name="Normal 3 4 3 2 4 3" xfId="39367"/>
    <cellStyle name="Normal 3 4 3 2 5" xfId="16803"/>
    <cellStyle name="Normal 3 4 3 2 6" xfId="31846"/>
    <cellStyle name="Normal 3 4 3 3" xfId="2644"/>
    <cellStyle name="Normal 3 4 3 3 2" xfId="6439"/>
    <cellStyle name="Normal 3 4 3 3 2 2" xfId="13962"/>
    <cellStyle name="Normal 3 4 3 3 2 2 2" xfId="29006"/>
    <cellStyle name="Normal 3 4 3 3 2 2 3" xfId="44049"/>
    <cellStyle name="Normal 3 4 3 3 2 3" xfId="21485"/>
    <cellStyle name="Normal 3 4 3 3 2 4" xfId="36528"/>
    <cellStyle name="Normal 3 4 3 3 3" xfId="10213"/>
    <cellStyle name="Normal 3 4 3 3 3 2" xfId="25257"/>
    <cellStyle name="Normal 3 4 3 3 3 3" xfId="40300"/>
    <cellStyle name="Normal 3 4 3 3 4" xfId="17736"/>
    <cellStyle name="Normal 3 4 3 3 5" xfId="32779"/>
    <cellStyle name="Normal 3 4 3 4" xfId="4574"/>
    <cellStyle name="Normal 3 4 3 4 2" xfId="12097"/>
    <cellStyle name="Normal 3 4 3 4 2 2" xfId="27141"/>
    <cellStyle name="Normal 3 4 3 4 2 3" xfId="42184"/>
    <cellStyle name="Normal 3 4 3 4 3" xfId="19620"/>
    <cellStyle name="Normal 3 4 3 4 4" xfId="34663"/>
    <cellStyle name="Normal 3 4 3 5" xfId="8348"/>
    <cellStyle name="Normal 3 4 3 5 2" xfId="23392"/>
    <cellStyle name="Normal 3 4 3 5 3" xfId="38435"/>
    <cellStyle name="Normal 3 4 3 6" xfId="15871"/>
    <cellStyle name="Normal 3 4 3 7" xfId="30914"/>
    <cellStyle name="Normal 3 4 4" xfId="1253"/>
    <cellStyle name="Normal 3 4 4 2" xfId="3124"/>
    <cellStyle name="Normal 3 4 4 2 2" xfId="6919"/>
    <cellStyle name="Normal 3 4 4 2 2 2" xfId="14442"/>
    <cellStyle name="Normal 3 4 4 2 2 2 2" xfId="29486"/>
    <cellStyle name="Normal 3 4 4 2 2 2 3" xfId="44529"/>
    <cellStyle name="Normal 3 4 4 2 2 3" xfId="21965"/>
    <cellStyle name="Normal 3 4 4 2 2 4" xfId="37008"/>
    <cellStyle name="Normal 3 4 4 2 3" xfId="10693"/>
    <cellStyle name="Normal 3 4 4 2 3 2" xfId="25737"/>
    <cellStyle name="Normal 3 4 4 2 3 3" xfId="40780"/>
    <cellStyle name="Normal 3 4 4 2 4" xfId="18216"/>
    <cellStyle name="Normal 3 4 4 2 5" xfId="33259"/>
    <cellStyle name="Normal 3 4 4 3" xfId="5054"/>
    <cellStyle name="Normal 3 4 4 3 2" xfId="12577"/>
    <cellStyle name="Normal 3 4 4 3 2 2" xfId="27621"/>
    <cellStyle name="Normal 3 4 4 3 2 3" xfId="42664"/>
    <cellStyle name="Normal 3 4 4 3 3" xfId="20100"/>
    <cellStyle name="Normal 3 4 4 3 4" xfId="35143"/>
    <cellStyle name="Normal 3 4 4 4" xfId="8828"/>
    <cellStyle name="Normal 3 4 4 4 2" xfId="23872"/>
    <cellStyle name="Normal 3 4 4 4 3" xfId="38915"/>
    <cellStyle name="Normal 3 4 4 5" xfId="16351"/>
    <cellStyle name="Normal 3 4 4 6" xfId="31394"/>
    <cellStyle name="Normal 3 4 5" xfId="2191"/>
    <cellStyle name="Normal 3 4 5 2" xfId="5987"/>
    <cellStyle name="Normal 3 4 5 2 2" xfId="13510"/>
    <cellStyle name="Normal 3 4 5 2 2 2" xfId="28554"/>
    <cellStyle name="Normal 3 4 5 2 2 3" xfId="43597"/>
    <cellStyle name="Normal 3 4 5 2 3" xfId="21033"/>
    <cellStyle name="Normal 3 4 5 2 4" xfId="36076"/>
    <cellStyle name="Normal 3 4 5 3" xfId="9761"/>
    <cellStyle name="Normal 3 4 5 3 2" xfId="24805"/>
    <cellStyle name="Normal 3 4 5 3 3" xfId="39848"/>
    <cellStyle name="Normal 3 4 5 4" xfId="17284"/>
    <cellStyle name="Normal 3 4 5 5" xfId="32327"/>
    <cellStyle name="Normal 3 4 6" xfId="4119"/>
    <cellStyle name="Normal 3 4 6 2" xfId="11643"/>
    <cellStyle name="Normal 3 4 6 2 2" xfId="26687"/>
    <cellStyle name="Normal 3 4 6 2 3" xfId="41730"/>
    <cellStyle name="Normal 3 4 6 3" xfId="19166"/>
    <cellStyle name="Normal 3 4 6 4" xfId="34209"/>
    <cellStyle name="Normal 3 4 7" xfId="7882"/>
    <cellStyle name="Normal 3 4 7 2" xfId="22926"/>
    <cellStyle name="Normal 3 4 7 3" xfId="37969"/>
    <cellStyle name="Normal 3 4 8" xfId="15405"/>
    <cellStyle name="Normal 3 4 9" xfId="30448"/>
    <cellStyle name="Normal 3 5" xfId="223"/>
    <cellStyle name="Normal 3 6" xfId="31"/>
    <cellStyle name="Normal 3 6 2" xfId="668"/>
    <cellStyle name="Normal 3 6 2 2" xfId="1627"/>
    <cellStyle name="Normal 3 6 2 2 2" xfId="3498"/>
    <cellStyle name="Normal 3 6 2 2 2 2" xfId="7293"/>
    <cellStyle name="Normal 3 6 2 2 2 2 2" xfId="14816"/>
    <cellStyle name="Normal 3 6 2 2 2 2 2 2" xfId="29860"/>
    <cellStyle name="Normal 3 6 2 2 2 2 2 3" xfId="44903"/>
    <cellStyle name="Normal 3 6 2 2 2 2 3" xfId="22339"/>
    <cellStyle name="Normal 3 6 2 2 2 2 4" xfId="37382"/>
    <cellStyle name="Normal 3 6 2 2 2 3" xfId="11067"/>
    <cellStyle name="Normal 3 6 2 2 2 3 2" xfId="26111"/>
    <cellStyle name="Normal 3 6 2 2 2 3 3" xfId="41154"/>
    <cellStyle name="Normal 3 6 2 2 2 4" xfId="18590"/>
    <cellStyle name="Normal 3 6 2 2 2 5" xfId="33633"/>
    <cellStyle name="Normal 3 6 2 2 3" xfId="5428"/>
    <cellStyle name="Normal 3 6 2 2 3 2" xfId="12951"/>
    <cellStyle name="Normal 3 6 2 2 3 2 2" xfId="27995"/>
    <cellStyle name="Normal 3 6 2 2 3 2 3" xfId="43038"/>
    <cellStyle name="Normal 3 6 2 2 3 3" xfId="20474"/>
    <cellStyle name="Normal 3 6 2 2 3 4" xfId="35517"/>
    <cellStyle name="Normal 3 6 2 2 4" xfId="9202"/>
    <cellStyle name="Normal 3 6 2 2 4 2" xfId="24246"/>
    <cellStyle name="Normal 3 6 2 2 4 3" xfId="39289"/>
    <cellStyle name="Normal 3 6 2 2 5" xfId="16725"/>
    <cellStyle name="Normal 3 6 2 2 6" xfId="31768"/>
    <cellStyle name="Normal 3 6 2 3" xfId="2566"/>
    <cellStyle name="Normal 3 6 2 3 2" xfId="6361"/>
    <cellStyle name="Normal 3 6 2 3 2 2" xfId="13884"/>
    <cellStyle name="Normal 3 6 2 3 2 2 2" xfId="28928"/>
    <cellStyle name="Normal 3 6 2 3 2 2 3" xfId="43971"/>
    <cellStyle name="Normal 3 6 2 3 2 3" xfId="21407"/>
    <cellStyle name="Normal 3 6 2 3 2 4" xfId="36450"/>
    <cellStyle name="Normal 3 6 2 3 3" xfId="10135"/>
    <cellStyle name="Normal 3 6 2 3 3 2" xfId="25179"/>
    <cellStyle name="Normal 3 6 2 3 3 3" xfId="40222"/>
    <cellStyle name="Normal 3 6 2 3 4" xfId="17658"/>
    <cellStyle name="Normal 3 6 2 3 5" xfId="32701"/>
    <cellStyle name="Normal 3 6 2 4" xfId="4496"/>
    <cellStyle name="Normal 3 6 2 4 2" xfId="12019"/>
    <cellStyle name="Normal 3 6 2 4 2 2" xfId="27063"/>
    <cellStyle name="Normal 3 6 2 4 2 3" xfId="42106"/>
    <cellStyle name="Normal 3 6 2 4 3" xfId="19542"/>
    <cellStyle name="Normal 3 6 2 4 4" xfId="34585"/>
    <cellStyle name="Normal 3 6 2 5" xfId="8270"/>
    <cellStyle name="Normal 3 6 2 5 2" xfId="23314"/>
    <cellStyle name="Normal 3 6 2 5 3" xfId="38357"/>
    <cellStyle name="Normal 3 6 2 6" xfId="15793"/>
    <cellStyle name="Normal 3 6 2 7" xfId="30836"/>
    <cellStyle name="Normal 3 6 3" xfId="1175"/>
    <cellStyle name="Normal 3 6 3 2" xfId="3046"/>
    <cellStyle name="Normal 3 6 3 2 2" xfId="6841"/>
    <cellStyle name="Normal 3 6 3 2 2 2" xfId="14364"/>
    <cellStyle name="Normal 3 6 3 2 2 2 2" xfId="29408"/>
    <cellStyle name="Normal 3 6 3 2 2 2 3" xfId="44451"/>
    <cellStyle name="Normal 3 6 3 2 2 3" xfId="21887"/>
    <cellStyle name="Normal 3 6 3 2 2 4" xfId="36930"/>
    <cellStyle name="Normal 3 6 3 2 3" xfId="10615"/>
    <cellStyle name="Normal 3 6 3 2 3 2" xfId="25659"/>
    <cellStyle name="Normal 3 6 3 2 3 3" xfId="40702"/>
    <cellStyle name="Normal 3 6 3 2 4" xfId="18138"/>
    <cellStyle name="Normal 3 6 3 2 5" xfId="33181"/>
    <cellStyle name="Normal 3 6 3 3" xfId="4976"/>
    <cellStyle name="Normal 3 6 3 3 2" xfId="12499"/>
    <cellStyle name="Normal 3 6 3 3 2 2" xfId="27543"/>
    <cellStyle name="Normal 3 6 3 3 2 3" xfId="42586"/>
    <cellStyle name="Normal 3 6 3 3 3" xfId="20022"/>
    <cellStyle name="Normal 3 6 3 3 4" xfId="35065"/>
    <cellStyle name="Normal 3 6 3 4" xfId="8750"/>
    <cellStyle name="Normal 3 6 3 4 2" xfId="23794"/>
    <cellStyle name="Normal 3 6 3 4 3" xfId="38837"/>
    <cellStyle name="Normal 3 6 3 5" xfId="16273"/>
    <cellStyle name="Normal 3 6 3 6" xfId="31316"/>
    <cellStyle name="Normal 3 6 4" xfId="2113"/>
    <cellStyle name="Normal 3 6 4 2" xfId="5909"/>
    <cellStyle name="Normal 3 6 4 2 2" xfId="13432"/>
    <cellStyle name="Normal 3 6 4 2 2 2" xfId="28476"/>
    <cellStyle name="Normal 3 6 4 2 2 3" xfId="43519"/>
    <cellStyle name="Normal 3 6 4 2 3" xfId="20955"/>
    <cellStyle name="Normal 3 6 4 2 4" xfId="35998"/>
    <cellStyle name="Normal 3 6 4 3" xfId="9683"/>
    <cellStyle name="Normal 3 6 4 3 2" xfId="24727"/>
    <cellStyle name="Normal 3 6 4 3 3" xfId="39770"/>
    <cellStyle name="Normal 3 6 4 4" xfId="17206"/>
    <cellStyle name="Normal 3 6 4 5" xfId="32249"/>
    <cellStyle name="Normal 3 6 5" xfId="4039"/>
    <cellStyle name="Normal 3 6 5 2" xfId="11563"/>
    <cellStyle name="Normal 3 6 5 2 2" xfId="26607"/>
    <cellStyle name="Normal 3 6 5 2 3" xfId="41650"/>
    <cellStyle name="Normal 3 6 5 3" xfId="19086"/>
    <cellStyle name="Normal 3 6 5 4" xfId="34129"/>
    <cellStyle name="Normal 3 6 6" xfId="7802"/>
    <cellStyle name="Normal 3 6 6 2" xfId="22846"/>
    <cellStyle name="Normal 3 6 6 3" xfId="37889"/>
    <cellStyle name="Normal 3 6 7" xfId="15325"/>
    <cellStyle name="Normal 3 6 8" xfId="30368"/>
    <cellStyle name="Normal 3 7" xfId="650"/>
    <cellStyle name="Normal 3 7 2" xfId="1610"/>
    <cellStyle name="Normal 3 7 2 2" xfId="3481"/>
    <cellStyle name="Normal 3 7 2 2 2" xfId="7276"/>
    <cellStyle name="Normal 3 7 2 2 2 2" xfId="14799"/>
    <cellStyle name="Normal 3 7 2 2 2 2 2" xfId="29843"/>
    <cellStyle name="Normal 3 7 2 2 2 2 3" xfId="44886"/>
    <cellStyle name="Normal 3 7 2 2 2 3" xfId="22322"/>
    <cellStyle name="Normal 3 7 2 2 2 4" xfId="37365"/>
    <cellStyle name="Normal 3 7 2 2 3" xfId="11050"/>
    <cellStyle name="Normal 3 7 2 2 3 2" xfId="26094"/>
    <cellStyle name="Normal 3 7 2 2 3 3" xfId="41137"/>
    <cellStyle name="Normal 3 7 2 2 4" xfId="18573"/>
    <cellStyle name="Normal 3 7 2 2 5" xfId="33616"/>
    <cellStyle name="Normal 3 7 2 3" xfId="5411"/>
    <cellStyle name="Normal 3 7 2 3 2" xfId="12934"/>
    <cellStyle name="Normal 3 7 2 3 2 2" xfId="27978"/>
    <cellStyle name="Normal 3 7 2 3 2 3" xfId="43021"/>
    <cellStyle name="Normal 3 7 2 3 3" xfId="20457"/>
    <cellStyle name="Normal 3 7 2 3 4" xfId="35500"/>
    <cellStyle name="Normal 3 7 2 4" xfId="9185"/>
    <cellStyle name="Normal 3 7 2 4 2" xfId="24229"/>
    <cellStyle name="Normal 3 7 2 4 3" xfId="39272"/>
    <cellStyle name="Normal 3 7 2 5" xfId="16708"/>
    <cellStyle name="Normal 3 7 2 6" xfId="31751"/>
    <cellStyle name="Normal 3 7 3" xfId="2549"/>
    <cellStyle name="Normal 3 7 3 2" xfId="6344"/>
    <cellStyle name="Normal 3 7 3 2 2" xfId="13867"/>
    <cellStyle name="Normal 3 7 3 2 2 2" xfId="28911"/>
    <cellStyle name="Normal 3 7 3 2 2 3" xfId="43954"/>
    <cellStyle name="Normal 3 7 3 2 3" xfId="21390"/>
    <cellStyle name="Normal 3 7 3 2 4" xfId="36433"/>
    <cellStyle name="Normal 3 7 3 3" xfId="10118"/>
    <cellStyle name="Normal 3 7 3 3 2" xfId="25162"/>
    <cellStyle name="Normal 3 7 3 3 3" xfId="40205"/>
    <cellStyle name="Normal 3 7 3 4" xfId="17641"/>
    <cellStyle name="Normal 3 7 3 5" xfId="32684"/>
    <cellStyle name="Normal 3 7 4" xfId="4479"/>
    <cellStyle name="Normal 3 7 4 2" xfId="12002"/>
    <cellStyle name="Normal 3 7 4 2 2" xfId="27046"/>
    <cellStyle name="Normal 3 7 4 2 3" xfId="42089"/>
    <cellStyle name="Normal 3 7 4 3" xfId="19525"/>
    <cellStyle name="Normal 3 7 4 4" xfId="34568"/>
    <cellStyle name="Normal 3 7 5" xfId="8253"/>
    <cellStyle name="Normal 3 7 5 2" xfId="23297"/>
    <cellStyle name="Normal 3 7 5 3" xfId="38340"/>
    <cellStyle name="Normal 3 7 6" xfId="15776"/>
    <cellStyle name="Normal 3 7 7" xfId="30819"/>
    <cellStyle name="Normal 3 8" xfId="1158"/>
    <cellStyle name="Normal 3 8 2" xfId="3029"/>
    <cellStyle name="Normal 3 8 2 2" xfId="6824"/>
    <cellStyle name="Normal 3 8 2 2 2" xfId="14347"/>
    <cellStyle name="Normal 3 8 2 2 2 2" xfId="29391"/>
    <cellStyle name="Normal 3 8 2 2 2 3" xfId="44434"/>
    <cellStyle name="Normal 3 8 2 2 3" xfId="21870"/>
    <cellStyle name="Normal 3 8 2 2 4" xfId="36913"/>
    <cellStyle name="Normal 3 8 2 3" xfId="10598"/>
    <cellStyle name="Normal 3 8 2 3 2" xfId="25642"/>
    <cellStyle name="Normal 3 8 2 3 3" xfId="40685"/>
    <cellStyle name="Normal 3 8 2 4" xfId="18121"/>
    <cellStyle name="Normal 3 8 2 5" xfId="33164"/>
    <cellStyle name="Normal 3 8 3" xfId="4959"/>
    <cellStyle name="Normal 3 8 3 2" xfId="12482"/>
    <cellStyle name="Normal 3 8 3 2 2" xfId="27526"/>
    <cellStyle name="Normal 3 8 3 2 3" xfId="42569"/>
    <cellStyle name="Normal 3 8 3 3" xfId="20005"/>
    <cellStyle name="Normal 3 8 3 4" xfId="35048"/>
    <cellStyle name="Normal 3 8 4" xfId="8733"/>
    <cellStyle name="Normal 3 8 4 2" xfId="23777"/>
    <cellStyle name="Normal 3 8 4 3" xfId="38820"/>
    <cellStyle name="Normal 3 8 5" xfId="16256"/>
    <cellStyle name="Normal 3 8 6" xfId="31299"/>
    <cellStyle name="Normal 3 9" xfId="2096"/>
    <cellStyle name="Normal 3 9 2" xfId="5892"/>
    <cellStyle name="Normal 3 9 2 2" xfId="13415"/>
    <cellStyle name="Normal 3 9 2 2 2" xfId="28459"/>
    <cellStyle name="Normal 3 9 2 2 3" xfId="43502"/>
    <cellStyle name="Normal 3 9 2 3" xfId="20938"/>
    <cellStyle name="Normal 3 9 2 4" xfId="35981"/>
    <cellStyle name="Normal 3 9 3" xfId="9666"/>
    <cellStyle name="Normal 3 9 3 2" xfId="24710"/>
    <cellStyle name="Normal 3 9 3 3" xfId="39753"/>
    <cellStyle name="Normal 3 9 4" xfId="17189"/>
    <cellStyle name="Normal 3 9 5" xfId="32232"/>
    <cellStyle name="Normal 30" xfId="1139"/>
    <cellStyle name="Normal 30 2" xfId="2072"/>
    <cellStyle name="Normal 30 2 2" xfId="3943"/>
    <cellStyle name="Normal 30 2 2 2" xfId="7738"/>
    <cellStyle name="Normal 30 2 2 2 2" xfId="15261"/>
    <cellStyle name="Normal 30 2 2 2 2 2" xfId="30305"/>
    <cellStyle name="Normal 30 2 2 2 2 3" xfId="45348"/>
    <cellStyle name="Normal 30 2 2 2 3" xfId="22784"/>
    <cellStyle name="Normal 30 2 2 2 4" xfId="37827"/>
    <cellStyle name="Normal 30 2 2 3" xfId="11512"/>
    <cellStyle name="Normal 30 2 2 3 2" xfId="26556"/>
    <cellStyle name="Normal 30 2 2 3 3" xfId="41599"/>
    <cellStyle name="Normal 30 2 2 4" xfId="19035"/>
    <cellStyle name="Normal 30 2 2 5" xfId="34078"/>
    <cellStyle name="Normal 30 2 3" xfId="5873"/>
    <cellStyle name="Normal 30 2 3 2" xfId="13396"/>
    <cellStyle name="Normal 30 2 3 2 2" xfId="28440"/>
    <cellStyle name="Normal 30 2 3 2 3" xfId="43483"/>
    <cellStyle name="Normal 30 2 3 3" xfId="20919"/>
    <cellStyle name="Normal 30 2 3 4" xfId="35962"/>
    <cellStyle name="Normal 30 2 4" xfId="9647"/>
    <cellStyle name="Normal 30 2 4 2" xfId="24691"/>
    <cellStyle name="Normal 30 2 4 3" xfId="39734"/>
    <cellStyle name="Normal 30 2 5" xfId="17170"/>
    <cellStyle name="Normal 30 2 6" xfId="32213"/>
    <cellStyle name="Normal 30 3" xfId="3011"/>
    <cellStyle name="Normal 30 3 2" xfId="6806"/>
    <cellStyle name="Normal 30 3 2 2" xfId="14329"/>
    <cellStyle name="Normal 30 3 2 2 2" xfId="29373"/>
    <cellStyle name="Normal 30 3 2 2 3" xfId="44416"/>
    <cellStyle name="Normal 30 3 2 3" xfId="21852"/>
    <cellStyle name="Normal 30 3 2 4" xfId="36895"/>
    <cellStyle name="Normal 30 3 3" xfId="10580"/>
    <cellStyle name="Normal 30 3 3 2" xfId="25624"/>
    <cellStyle name="Normal 30 3 3 3" xfId="40667"/>
    <cellStyle name="Normal 30 3 4" xfId="18103"/>
    <cellStyle name="Normal 30 3 5" xfId="33146"/>
    <cellStyle name="Normal 30 4" xfId="4941"/>
    <cellStyle name="Normal 30 4 2" xfId="12464"/>
    <cellStyle name="Normal 30 4 2 2" xfId="27508"/>
    <cellStyle name="Normal 30 4 2 3" xfId="42551"/>
    <cellStyle name="Normal 30 4 3" xfId="19987"/>
    <cellStyle name="Normal 30 4 4" xfId="35030"/>
    <cellStyle name="Normal 30 5" xfId="8715"/>
    <cellStyle name="Normal 30 5 2" xfId="23759"/>
    <cellStyle name="Normal 30 5 3" xfId="38802"/>
    <cellStyle name="Normal 30 6" xfId="16238"/>
    <cellStyle name="Normal 30 7" xfId="31281"/>
    <cellStyle name="Normal 31" xfId="1141"/>
    <cellStyle name="Normal 31 2" xfId="2074"/>
    <cellStyle name="Normal 31 2 2" xfId="3944"/>
    <cellStyle name="Normal 31 2 2 2" xfId="7739"/>
    <cellStyle name="Normal 31 2 2 2 2" xfId="15262"/>
    <cellStyle name="Normal 31 2 2 2 2 2" xfId="30306"/>
    <cellStyle name="Normal 31 2 2 2 2 3" xfId="45349"/>
    <cellStyle name="Normal 31 2 2 2 3" xfId="22785"/>
    <cellStyle name="Normal 31 2 2 2 4" xfId="37828"/>
    <cellStyle name="Normal 31 2 2 3" xfId="11513"/>
    <cellStyle name="Normal 31 2 2 3 2" xfId="26557"/>
    <cellStyle name="Normal 31 2 2 3 3" xfId="41600"/>
    <cellStyle name="Normal 31 2 2 4" xfId="19036"/>
    <cellStyle name="Normal 31 2 2 5" xfId="34079"/>
    <cellStyle name="Normal 31 2 3" xfId="5874"/>
    <cellStyle name="Normal 31 2 3 2" xfId="13397"/>
    <cellStyle name="Normal 31 2 3 2 2" xfId="28441"/>
    <cellStyle name="Normal 31 2 3 2 3" xfId="43484"/>
    <cellStyle name="Normal 31 2 3 3" xfId="20920"/>
    <cellStyle name="Normal 31 2 3 4" xfId="35963"/>
    <cellStyle name="Normal 31 2 4" xfId="9648"/>
    <cellStyle name="Normal 31 2 4 2" xfId="24692"/>
    <cellStyle name="Normal 31 2 4 3" xfId="39735"/>
    <cellStyle name="Normal 31 2 5" xfId="17171"/>
    <cellStyle name="Normal 31 2 6" xfId="32214"/>
    <cellStyle name="Normal 31 3" xfId="3012"/>
    <cellStyle name="Normal 31 3 2" xfId="6807"/>
    <cellStyle name="Normal 31 3 2 2" xfId="14330"/>
    <cellStyle name="Normal 31 3 2 2 2" xfId="29374"/>
    <cellStyle name="Normal 31 3 2 2 3" xfId="44417"/>
    <cellStyle name="Normal 31 3 2 3" xfId="21853"/>
    <cellStyle name="Normal 31 3 2 4" xfId="36896"/>
    <cellStyle name="Normal 31 3 3" xfId="10581"/>
    <cellStyle name="Normal 31 3 3 2" xfId="25625"/>
    <cellStyle name="Normal 31 3 3 3" xfId="40668"/>
    <cellStyle name="Normal 31 3 4" xfId="18104"/>
    <cellStyle name="Normal 31 3 5" xfId="33147"/>
    <cellStyle name="Normal 31 4" xfId="4942"/>
    <cellStyle name="Normal 31 4 2" xfId="12465"/>
    <cellStyle name="Normal 31 4 2 2" xfId="27509"/>
    <cellStyle name="Normal 31 4 2 3" xfId="42552"/>
    <cellStyle name="Normal 31 4 3" xfId="19988"/>
    <cellStyle name="Normal 31 4 4" xfId="35031"/>
    <cellStyle name="Normal 31 5" xfId="8716"/>
    <cellStyle name="Normal 31 5 2" xfId="23760"/>
    <cellStyle name="Normal 31 5 3" xfId="38803"/>
    <cellStyle name="Normal 31 6" xfId="16239"/>
    <cellStyle name="Normal 31 7" xfId="31282"/>
    <cellStyle name="Normal 32" xfId="1142"/>
    <cellStyle name="Normal 32 2" xfId="2075"/>
    <cellStyle name="Normal 32 2 2" xfId="3945"/>
    <cellStyle name="Normal 32 2 2 2" xfId="7740"/>
    <cellStyle name="Normal 32 2 2 2 2" xfId="15263"/>
    <cellStyle name="Normal 32 2 2 2 2 2" xfId="30307"/>
    <cellStyle name="Normal 32 2 2 2 2 3" xfId="45350"/>
    <cellStyle name="Normal 32 2 2 2 3" xfId="22786"/>
    <cellStyle name="Normal 32 2 2 2 4" xfId="37829"/>
    <cellStyle name="Normal 32 2 2 3" xfId="11514"/>
    <cellStyle name="Normal 32 2 2 3 2" xfId="26558"/>
    <cellStyle name="Normal 32 2 2 3 3" xfId="41601"/>
    <cellStyle name="Normal 32 2 2 4" xfId="19037"/>
    <cellStyle name="Normal 32 2 2 5" xfId="34080"/>
    <cellStyle name="Normal 32 2 3" xfId="5875"/>
    <cellStyle name="Normal 32 2 3 2" xfId="13398"/>
    <cellStyle name="Normal 32 2 3 2 2" xfId="28442"/>
    <cellStyle name="Normal 32 2 3 2 3" xfId="43485"/>
    <cellStyle name="Normal 32 2 3 3" xfId="20921"/>
    <cellStyle name="Normal 32 2 3 4" xfId="35964"/>
    <cellStyle name="Normal 32 2 4" xfId="9649"/>
    <cellStyle name="Normal 32 2 4 2" xfId="24693"/>
    <cellStyle name="Normal 32 2 4 3" xfId="39736"/>
    <cellStyle name="Normal 32 2 5" xfId="17172"/>
    <cellStyle name="Normal 32 2 6" xfId="32215"/>
    <cellStyle name="Normal 32 3" xfId="3013"/>
    <cellStyle name="Normal 32 3 2" xfId="6808"/>
    <cellStyle name="Normal 32 3 2 2" xfId="14331"/>
    <cellStyle name="Normal 32 3 2 2 2" xfId="29375"/>
    <cellStyle name="Normal 32 3 2 2 3" xfId="44418"/>
    <cellStyle name="Normal 32 3 2 3" xfId="21854"/>
    <cellStyle name="Normal 32 3 2 4" xfId="36897"/>
    <cellStyle name="Normal 32 3 3" xfId="10582"/>
    <cellStyle name="Normal 32 3 3 2" xfId="25626"/>
    <cellStyle name="Normal 32 3 3 3" xfId="40669"/>
    <cellStyle name="Normal 32 3 4" xfId="18105"/>
    <cellStyle name="Normal 32 3 5" xfId="33148"/>
    <cellStyle name="Normal 32 4" xfId="4943"/>
    <cellStyle name="Normal 32 4 2" xfId="12466"/>
    <cellStyle name="Normal 32 4 2 2" xfId="27510"/>
    <cellStyle name="Normal 32 4 2 3" xfId="42553"/>
    <cellStyle name="Normal 32 4 3" xfId="19989"/>
    <cellStyle name="Normal 32 4 4" xfId="35032"/>
    <cellStyle name="Normal 32 5" xfId="8717"/>
    <cellStyle name="Normal 32 5 2" xfId="23761"/>
    <cellStyle name="Normal 32 5 3" xfId="38804"/>
    <cellStyle name="Normal 32 6" xfId="16240"/>
    <cellStyle name="Normal 32 7" xfId="31283"/>
    <cellStyle name="Normal 33" xfId="1138"/>
    <cellStyle name="Normal 34" xfId="1143"/>
    <cellStyle name="Normal 34 2" xfId="3014"/>
    <cellStyle name="Normal 34 2 2" xfId="6809"/>
    <cellStyle name="Normal 34 2 2 2" xfId="14332"/>
    <cellStyle name="Normal 34 2 2 2 2" xfId="29376"/>
    <cellStyle name="Normal 34 2 2 2 3" xfId="44419"/>
    <cellStyle name="Normal 34 2 2 3" xfId="21855"/>
    <cellStyle name="Normal 34 2 2 4" xfId="36898"/>
    <cellStyle name="Normal 34 2 3" xfId="10583"/>
    <cellStyle name="Normal 34 2 3 2" xfId="25627"/>
    <cellStyle name="Normal 34 2 3 3" xfId="40670"/>
    <cellStyle name="Normal 34 2 4" xfId="18106"/>
    <cellStyle name="Normal 34 2 5" xfId="33149"/>
    <cellStyle name="Normal 34 3" xfId="4944"/>
    <cellStyle name="Normal 34 3 2" xfId="12467"/>
    <cellStyle name="Normal 34 3 2 2" xfId="27511"/>
    <cellStyle name="Normal 34 3 2 3" xfId="42554"/>
    <cellStyle name="Normal 34 3 3" xfId="19990"/>
    <cellStyle name="Normal 34 3 4" xfId="35033"/>
    <cellStyle name="Normal 34 4" xfId="8718"/>
    <cellStyle name="Normal 34 4 2" xfId="23762"/>
    <cellStyle name="Normal 34 4 3" xfId="38805"/>
    <cellStyle name="Normal 34 5" xfId="16241"/>
    <cellStyle name="Normal 34 6" xfId="31284"/>
    <cellStyle name="Normal 35" xfId="2076"/>
    <cellStyle name="Normal 35 2" xfId="3946"/>
    <cellStyle name="Normal 35 2 2" xfId="7741"/>
    <cellStyle name="Normal 35 2 2 2" xfId="15264"/>
    <cellStyle name="Normal 35 2 2 2 2" xfId="30308"/>
    <cellStyle name="Normal 35 2 2 2 3" xfId="45351"/>
    <cellStyle name="Normal 35 2 2 3" xfId="22787"/>
    <cellStyle name="Normal 35 2 2 4" xfId="37830"/>
    <cellStyle name="Normal 35 2 3" xfId="11515"/>
    <cellStyle name="Normal 35 2 3 2" xfId="26559"/>
    <cellStyle name="Normal 35 2 3 3" xfId="41602"/>
    <cellStyle name="Normal 35 2 4" xfId="19038"/>
    <cellStyle name="Normal 35 2 5" xfId="34081"/>
    <cellStyle name="Normal 35 3" xfId="5876"/>
    <cellStyle name="Normal 35 3 2" xfId="13399"/>
    <cellStyle name="Normal 35 3 2 2" xfId="28443"/>
    <cellStyle name="Normal 35 3 2 3" xfId="43486"/>
    <cellStyle name="Normal 35 3 3" xfId="20922"/>
    <cellStyle name="Normal 35 3 4" xfId="35965"/>
    <cellStyle name="Normal 35 4" xfId="9650"/>
    <cellStyle name="Normal 35 4 2" xfId="24694"/>
    <cellStyle name="Normal 35 4 3" xfId="39737"/>
    <cellStyle name="Normal 35 5" xfId="17173"/>
    <cellStyle name="Normal 35 6" xfId="32216"/>
    <cellStyle name="Normal 36" xfId="2091"/>
    <cellStyle name="Normal 37" xfId="2077"/>
    <cellStyle name="Normal 37 2" xfId="5877"/>
    <cellStyle name="Normal 37 2 2" xfId="13400"/>
    <cellStyle name="Normal 37 2 2 2" xfId="28444"/>
    <cellStyle name="Normal 37 2 2 3" xfId="43487"/>
    <cellStyle name="Normal 37 2 3" xfId="20923"/>
    <cellStyle name="Normal 37 2 4" xfId="35966"/>
    <cellStyle name="Normal 37 3" xfId="9651"/>
    <cellStyle name="Normal 37 3 2" xfId="24695"/>
    <cellStyle name="Normal 37 3 3" xfId="39738"/>
    <cellStyle name="Normal 37 4" xfId="17174"/>
    <cellStyle name="Normal 37 5" xfId="32217"/>
    <cellStyle name="Normal 38" xfId="3948"/>
    <cellStyle name="Normal 38 2" xfId="7742"/>
    <cellStyle name="Normal 38 2 2" xfId="15265"/>
    <cellStyle name="Normal 38 2 2 2" xfId="30309"/>
    <cellStyle name="Normal 38 2 2 3" xfId="45352"/>
    <cellStyle name="Normal 38 2 3" xfId="22788"/>
    <cellStyle name="Normal 38 2 4" xfId="37831"/>
    <cellStyle name="Normal 38 3" xfId="11516"/>
    <cellStyle name="Normal 38 3 2" xfId="26560"/>
    <cellStyle name="Normal 38 3 3" xfId="41603"/>
    <cellStyle name="Normal 38 4" xfId="19039"/>
    <cellStyle name="Normal 38 5" xfId="34082"/>
    <cellStyle name="Normal 39" xfId="3949"/>
    <cellStyle name="Normal 39 2" xfId="7743"/>
    <cellStyle name="Normal 39 2 2" xfId="15266"/>
    <cellStyle name="Normal 39 2 2 2" xfId="30310"/>
    <cellStyle name="Normal 39 2 2 3" xfId="45353"/>
    <cellStyle name="Normal 39 2 3" xfId="22789"/>
    <cellStyle name="Normal 39 2 4" xfId="37832"/>
    <cellStyle name="Normal 39 3" xfId="11517"/>
    <cellStyle name="Normal 39 3 2" xfId="26561"/>
    <cellStyle name="Normal 39 3 3" xfId="41604"/>
    <cellStyle name="Normal 39 4" xfId="19040"/>
    <cellStyle name="Normal 39 5" xfId="34083"/>
    <cellStyle name="Normal 4" xfId="6"/>
    <cellStyle name="Normal 4 10" xfId="224"/>
    <cellStyle name="Normal 4 10 2" xfId="748"/>
    <cellStyle name="Normal 4 10 2 2" xfId="1707"/>
    <cellStyle name="Normal 4 10 2 2 2" xfId="3578"/>
    <cellStyle name="Normal 4 10 2 2 2 2" xfId="7373"/>
    <cellStyle name="Normal 4 10 2 2 2 2 2" xfId="14896"/>
    <cellStyle name="Normal 4 10 2 2 2 2 2 2" xfId="29940"/>
    <cellStyle name="Normal 4 10 2 2 2 2 2 3" xfId="44983"/>
    <cellStyle name="Normal 4 10 2 2 2 2 3" xfId="22419"/>
    <cellStyle name="Normal 4 10 2 2 2 2 4" xfId="37462"/>
    <cellStyle name="Normal 4 10 2 2 2 3" xfId="11147"/>
    <cellStyle name="Normal 4 10 2 2 2 3 2" xfId="26191"/>
    <cellStyle name="Normal 4 10 2 2 2 3 3" xfId="41234"/>
    <cellStyle name="Normal 4 10 2 2 2 4" xfId="18670"/>
    <cellStyle name="Normal 4 10 2 2 2 5" xfId="33713"/>
    <cellStyle name="Normal 4 10 2 2 3" xfId="5508"/>
    <cellStyle name="Normal 4 10 2 2 3 2" xfId="13031"/>
    <cellStyle name="Normal 4 10 2 2 3 2 2" xfId="28075"/>
    <cellStyle name="Normal 4 10 2 2 3 2 3" xfId="43118"/>
    <cellStyle name="Normal 4 10 2 2 3 3" xfId="20554"/>
    <cellStyle name="Normal 4 10 2 2 3 4" xfId="35597"/>
    <cellStyle name="Normal 4 10 2 2 4" xfId="9282"/>
    <cellStyle name="Normal 4 10 2 2 4 2" xfId="24326"/>
    <cellStyle name="Normal 4 10 2 2 4 3" xfId="39369"/>
    <cellStyle name="Normal 4 10 2 2 5" xfId="16805"/>
    <cellStyle name="Normal 4 10 2 2 6" xfId="31848"/>
    <cellStyle name="Normal 4 10 2 3" xfId="2646"/>
    <cellStyle name="Normal 4 10 2 3 2" xfId="6441"/>
    <cellStyle name="Normal 4 10 2 3 2 2" xfId="13964"/>
    <cellStyle name="Normal 4 10 2 3 2 2 2" xfId="29008"/>
    <cellStyle name="Normal 4 10 2 3 2 2 3" xfId="44051"/>
    <cellStyle name="Normal 4 10 2 3 2 3" xfId="21487"/>
    <cellStyle name="Normal 4 10 2 3 2 4" xfId="36530"/>
    <cellStyle name="Normal 4 10 2 3 3" xfId="10215"/>
    <cellStyle name="Normal 4 10 2 3 3 2" xfId="25259"/>
    <cellStyle name="Normal 4 10 2 3 3 3" xfId="40302"/>
    <cellStyle name="Normal 4 10 2 3 4" xfId="17738"/>
    <cellStyle name="Normal 4 10 2 3 5" xfId="32781"/>
    <cellStyle name="Normal 4 10 2 4" xfId="4576"/>
    <cellStyle name="Normal 4 10 2 4 2" xfId="12099"/>
    <cellStyle name="Normal 4 10 2 4 2 2" xfId="27143"/>
    <cellStyle name="Normal 4 10 2 4 2 3" xfId="42186"/>
    <cellStyle name="Normal 4 10 2 4 3" xfId="19622"/>
    <cellStyle name="Normal 4 10 2 4 4" xfId="34665"/>
    <cellStyle name="Normal 4 10 2 5" xfId="8350"/>
    <cellStyle name="Normal 4 10 2 5 2" xfId="23394"/>
    <cellStyle name="Normal 4 10 2 5 3" xfId="38437"/>
    <cellStyle name="Normal 4 10 2 6" xfId="15873"/>
    <cellStyle name="Normal 4 10 2 7" xfId="30916"/>
    <cellStyle name="Normal 4 10 3" xfId="1255"/>
    <cellStyle name="Normal 4 10 3 2" xfId="3126"/>
    <cellStyle name="Normal 4 10 3 2 2" xfId="6921"/>
    <cellStyle name="Normal 4 10 3 2 2 2" xfId="14444"/>
    <cellStyle name="Normal 4 10 3 2 2 2 2" xfId="29488"/>
    <cellStyle name="Normal 4 10 3 2 2 2 3" xfId="44531"/>
    <cellStyle name="Normal 4 10 3 2 2 3" xfId="21967"/>
    <cellStyle name="Normal 4 10 3 2 2 4" xfId="37010"/>
    <cellStyle name="Normal 4 10 3 2 3" xfId="10695"/>
    <cellStyle name="Normal 4 10 3 2 3 2" xfId="25739"/>
    <cellStyle name="Normal 4 10 3 2 3 3" xfId="40782"/>
    <cellStyle name="Normal 4 10 3 2 4" xfId="18218"/>
    <cellStyle name="Normal 4 10 3 2 5" xfId="33261"/>
    <cellStyle name="Normal 4 10 3 3" xfId="5056"/>
    <cellStyle name="Normal 4 10 3 3 2" xfId="12579"/>
    <cellStyle name="Normal 4 10 3 3 2 2" xfId="27623"/>
    <cellStyle name="Normal 4 10 3 3 2 3" xfId="42666"/>
    <cellStyle name="Normal 4 10 3 3 3" xfId="20102"/>
    <cellStyle name="Normal 4 10 3 3 4" xfId="35145"/>
    <cellStyle name="Normal 4 10 3 4" xfId="8830"/>
    <cellStyle name="Normal 4 10 3 4 2" xfId="23874"/>
    <cellStyle name="Normal 4 10 3 4 3" xfId="38917"/>
    <cellStyle name="Normal 4 10 3 5" xfId="16353"/>
    <cellStyle name="Normal 4 10 3 6" xfId="31396"/>
    <cellStyle name="Normal 4 10 4" xfId="2193"/>
    <cellStyle name="Normal 4 10 4 2" xfId="5989"/>
    <cellStyle name="Normal 4 10 4 2 2" xfId="13512"/>
    <cellStyle name="Normal 4 10 4 2 2 2" xfId="28556"/>
    <cellStyle name="Normal 4 10 4 2 2 3" xfId="43599"/>
    <cellStyle name="Normal 4 10 4 2 3" xfId="21035"/>
    <cellStyle name="Normal 4 10 4 2 4" xfId="36078"/>
    <cellStyle name="Normal 4 10 4 3" xfId="9763"/>
    <cellStyle name="Normal 4 10 4 3 2" xfId="24807"/>
    <cellStyle name="Normal 4 10 4 3 3" xfId="39850"/>
    <cellStyle name="Normal 4 10 4 4" xfId="17286"/>
    <cellStyle name="Normal 4 10 4 5" xfId="32329"/>
    <cellStyle name="Normal 4 10 5" xfId="4121"/>
    <cellStyle name="Normal 4 10 5 2" xfId="11645"/>
    <cellStyle name="Normal 4 10 5 2 2" xfId="26689"/>
    <cellStyle name="Normal 4 10 5 2 3" xfId="41732"/>
    <cellStyle name="Normal 4 10 5 3" xfId="19168"/>
    <cellStyle name="Normal 4 10 5 4" xfId="34211"/>
    <cellStyle name="Normal 4 10 6" xfId="7884"/>
    <cellStyle name="Normal 4 10 6 2" xfId="22928"/>
    <cellStyle name="Normal 4 10 6 3" xfId="37971"/>
    <cellStyle name="Normal 4 10 7" xfId="15407"/>
    <cellStyle name="Normal 4 10 8" xfId="30450"/>
    <cellStyle name="Normal 4 11" xfId="32"/>
    <cellStyle name="Normal 4 11 2" xfId="669"/>
    <cellStyle name="Normal 4 11 2 2" xfId="1628"/>
    <cellStyle name="Normal 4 11 2 2 2" xfId="3499"/>
    <cellStyle name="Normal 4 11 2 2 2 2" xfId="7294"/>
    <cellStyle name="Normal 4 11 2 2 2 2 2" xfId="14817"/>
    <cellStyle name="Normal 4 11 2 2 2 2 2 2" xfId="29861"/>
    <cellStyle name="Normal 4 11 2 2 2 2 2 3" xfId="44904"/>
    <cellStyle name="Normal 4 11 2 2 2 2 3" xfId="22340"/>
    <cellStyle name="Normal 4 11 2 2 2 2 4" xfId="37383"/>
    <cellStyle name="Normal 4 11 2 2 2 3" xfId="11068"/>
    <cellStyle name="Normal 4 11 2 2 2 3 2" xfId="26112"/>
    <cellStyle name="Normal 4 11 2 2 2 3 3" xfId="41155"/>
    <cellStyle name="Normal 4 11 2 2 2 4" xfId="18591"/>
    <cellStyle name="Normal 4 11 2 2 2 5" xfId="33634"/>
    <cellStyle name="Normal 4 11 2 2 3" xfId="5429"/>
    <cellStyle name="Normal 4 11 2 2 3 2" xfId="12952"/>
    <cellStyle name="Normal 4 11 2 2 3 2 2" xfId="27996"/>
    <cellStyle name="Normal 4 11 2 2 3 2 3" xfId="43039"/>
    <cellStyle name="Normal 4 11 2 2 3 3" xfId="20475"/>
    <cellStyle name="Normal 4 11 2 2 3 4" xfId="35518"/>
    <cellStyle name="Normal 4 11 2 2 4" xfId="9203"/>
    <cellStyle name="Normal 4 11 2 2 4 2" xfId="24247"/>
    <cellStyle name="Normal 4 11 2 2 4 3" xfId="39290"/>
    <cellStyle name="Normal 4 11 2 2 5" xfId="16726"/>
    <cellStyle name="Normal 4 11 2 2 6" xfId="31769"/>
    <cellStyle name="Normal 4 11 2 3" xfId="2567"/>
    <cellStyle name="Normal 4 11 2 3 2" xfId="6362"/>
    <cellStyle name="Normal 4 11 2 3 2 2" xfId="13885"/>
    <cellStyle name="Normal 4 11 2 3 2 2 2" xfId="28929"/>
    <cellStyle name="Normal 4 11 2 3 2 2 3" xfId="43972"/>
    <cellStyle name="Normal 4 11 2 3 2 3" xfId="21408"/>
    <cellStyle name="Normal 4 11 2 3 2 4" xfId="36451"/>
    <cellStyle name="Normal 4 11 2 3 3" xfId="10136"/>
    <cellStyle name="Normal 4 11 2 3 3 2" xfId="25180"/>
    <cellStyle name="Normal 4 11 2 3 3 3" xfId="40223"/>
    <cellStyle name="Normal 4 11 2 3 4" xfId="17659"/>
    <cellStyle name="Normal 4 11 2 3 5" xfId="32702"/>
    <cellStyle name="Normal 4 11 2 4" xfId="4497"/>
    <cellStyle name="Normal 4 11 2 4 2" xfId="12020"/>
    <cellStyle name="Normal 4 11 2 4 2 2" xfId="27064"/>
    <cellStyle name="Normal 4 11 2 4 2 3" xfId="42107"/>
    <cellStyle name="Normal 4 11 2 4 3" xfId="19543"/>
    <cellStyle name="Normal 4 11 2 4 4" xfId="34586"/>
    <cellStyle name="Normal 4 11 2 5" xfId="8271"/>
    <cellStyle name="Normal 4 11 2 5 2" xfId="23315"/>
    <cellStyle name="Normal 4 11 2 5 3" xfId="38358"/>
    <cellStyle name="Normal 4 11 2 6" xfId="15794"/>
    <cellStyle name="Normal 4 11 2 7" xfId="30837"/>
    <cellStyle name="Normal 4 11 3" xfId="1176"/>
    <cellStyle name="Normal 4 11 3 2" xfId="3047"/>
    <cellStyle name="Normal 4 11 3 2 2" xfId="6842"/>
    <cellStyle name="Normal 4 11 3 2 2 2" xfId="14365"/>
    <cellStyle name="Normal 4 11 3 2 2 2 2" xfId="29409"/>
    <cellStyle name="Normal 4 11 3 2 2 2 3" xfId="44452"/>
    <cellStyle name="Normal 4 11 3 2 2 3" xfId="21888"/>
    <cellStyle name="Normal 4 11 3 2 2 4" xfId="36931"/>
    <cellStyle name="Normal 4 11 3 2 3" xfId="10616"/>
    <cellStyle name="Normal 4 11 3 2 3 2" xfId="25660"/>
    <cellStyle name="Normal 4 11 3 2 3 3" xfId="40703"/>
    <cellStyle name="Normal 4 11 3 2 4" xfId="18139"/>
    <cellStyle name="Normal 4 11 3 2 5" xfId="33182"/>
    <cellStyle name="Normal 4 11 3 3" xfId="4977"/>
    <cellStyle name="Normal 4 11 3 3 2" xfId="12500"/>
    <cellStyle name="Normal 4 11 3 3 2 2" xfId="27544"/>
    <cellStyle name="Normal 4 11 3 3 2 3" xfId="42587"/>
    <cellStyle name="Normal 4 11 3 3 3" xfId="20023"/>
    <cellStyle name="Normal 4 11 3 3 4" xfId="35066"/>
    <cellStyle name="Normal 4 11 3 4" xfId="8751"/>
    <cellStyle name="Normal 4 11 3 4 2" xfId="23795"/>
    <cellStyle name="Normal 4 11 3 4 3" xfId="38838"/>
    <cellStyle name="Normal 4 11 3 5" xfId="16274"/>
    <cellStyle name="Normal 4 11 3 6" xfId="31317"/>
    <cellStyle name="Normal 4 11 4" xfId="2114"/>
    <cellStyle name="Normal 4 11 4 2" xfId="5910"/>
    <cellStyle name="Normal 4 11 4 2 2" xfId="13433"/>
    <cellStyle name="Normal 4 11 4 2 2 2" xfId="28477"/>
    <cellStyle name="Normal 4 11 4 2 2 3" xfId="43520"/>
    <cellStyle name="Normal 4 11 4 2 3" xfId="20956"/>
    <cellStyle name="Normal 4 11 4 2 4" xfId="35999"/>
    <cellStyle name="Normal 4 11 4 3" xfId="9684"/>
    <cellStyle name="Normal 4 11 4 3 2" xfId="24728"/>
    <cellStyle name="Normal 4 11 4 3 3" xfId="39771"/>
    <cellStyle name="Normal 4 11 4 4" xfId="17207"/>
    <cellStyle name="Normal 4 11 4 5" xfId="32250"/>
    <cellStyle name="Normal 4 11 5" xfId="4040"/>
    <cellStyle name="Normal 4 11 5 2" xfId="11564"/>
    <cellStyle name="Normal 4 11 5 2 2" xfId="26608"/>
    <cellStyle name="Normal 4 11 5 2 3" xfId="41651"/>
    <cellStyle name="Normal 4 11 5 3" xfId="19087"/>
    <cellStyle name="Normal 4 11 5 4" xfId="34130"/>
    <cellStyle name="Normal 4 11 6" xfId="7803"/>
    <cellStyle name="Normal 4 11 6 2" xfId="22847"/>
    <cellStyle name="Normal 4 11 6 3" xfId="37890"/>
    <cellStyle name="Normal 4 11 7" xfId="15326"/>
    <cellStyle name="Normal 4 11 8" xfId="30369"/>
    <cellStyle name="Normal 4 12" xfId="651"/>
    <cellStyle name="Normal 4 12 2" xfId="1611"/>
    <cellStyle name="Normal 4 12 2 2" xfId="3482"/>
    <cellStyle name="Normal 4 12 2 2 2" xfId="7277"/>
    <cellStyle name="Normal 4 12 2 2 2 2" xfId="14800"/>
    <cellStyle name="Normal 4 12 2 2 2 2 2" xfId="29844"/>
    <cellStyle name="Normal 4 12 2 2 2 2 3" xfId="44887"/>
    <cellStyle name="Normal 4 12 2 2 2 3" xfId="22323"/>
    <cellStyle name="Normal 4 12 2 2 2 4" xfId="37366"/>
    <cellStyle name="Normal 4 12 2 2 3" xfId="11051"/>
    <cellStyle name="Normal 4 12 2 2 3 2" xfId="26095"/>
    <cellStyle name="Normal 4 12 2 2 3 3" xfId="41138"/>
    <cellStyle name="Normal 4 12 2 2 4" xfId="18574"/>
    <cellStyle name="Normal 4 12 2 2 5" xfId="33617"/>
    <cellStyle name="Normal 4 12 2 3" xfId="5412"/>
    <cellStyle name="Normal 4 12 2 3 2" xfId="12935"/>
    <cellStyle name="Normal 4 12 2 3 2 2" xfId="27979"/>
    <cellStyle name="Normal 4 12 2 3 2 3" xfId="43022"/>
    <cellStyle name="Normal 4 12 2 3 3" xfId="20458"/>
    <cellStyle name="Normal 4 12 2 3 4" xfId="35501"/>
    <cellStyle name="Normal 4 12 2 4" xfId="9186"/>
    <cellStyle name="Normal 4 12 2 4 2" xfId="24230"/>
    <cellStyle name="Normal 4 12 2 4 3" xfId="39273"/>
    <cellStyle name="Normal 4 12 2 5" xfId="16709"/>
    <cellStyle name="Normal 4 12 2 6" xfId="31752"/>
    <cellStyle name="Normal 4 12 3" xfId="2550"/>
    <cellStyle name="Normal 4 12 3 2" xfId="6345"/>
    <cellStyle name="Normal 4 12 3 2 2" xfId="13868"/>
    <cellStyle name="Normal 4 12 3 2 2 2" xfId="28912"/>
    <cellStyle name="Normal 4 12 3 2 2 3" xfId="43955"/>
    <cellStyle name="Normal 4 12 3 2 3" xfId="21391"/>
    <cellStyle name="Normal 4 12 3 2 4" xfId="36434"/>
    <cellStyle name="Normal 4 12 3 3" xfId="10119"/>
    <cellStyle name="Normal 4 12 3 3 2" xfId="25163"/>
    <cellStyle name="Normal 4 12 3 3 3" xfId="40206"/>
    <cellStyle name="Normal 4 12 3 4" xfId="17642"/>
    <cellStyle name="Normal 4 12 3 5" xfId="32685"/>
    <cellStyle name="Normal 4 12 4" xfId="4480"/>
    <cellStyle name="Normal 4 12 4 2" xfId="12003"/>
    <cellStyle name="Normal 4 12 4 2 2" xfId="27047"/>
    <cellStyle name="Normal 4 12 4 2 3" xfId="42090"/>
    <cellStyle name="Normal 4 12 4 3" xfId="19526"/>
    <cellStyle name="Normal 4 12 4 4" xfId="34569"/>
    <cellStyle name="Normal 4 12 5" xfId="8254"/>
    <cellStyle name="Normal 4 12 5 2" xfId="23298"/>
    <cellStyle name="Normal 4 12 5 3" xfId="38341"/>
    <cellStyle name="Normal 4 12 6" xfId="15777"/>
    <cellStyle name="Normal 4 12 7" xfId="30820"/>
    <cellStyle name="Normal 4 13" xfId="1159"/>
    <cellStyle name="Normal 4 13 2" xfId="3030"/>
    <cellStyle name="Normal 4 13 2 2" xfId="6825"/>
    <cellStyle name="Normal 4 13 2 2 2" xfId="14348"/>
    <cellStyle name="Normal 4 13 2 2 2 2" xfId="29392"/>
    <cellStyle name="Normal 4 13 2 2 2 3" xfId="44435"/>
    <cellStyle name="Normal 4 13 2 2 3" xfId="21871"/>
    <cellStyle name="Normal 4 13 2 2 4" xfId="36914"/>
    <cellStyle name="Normal 4 13 2 3" xfId="10599"/>
    <cellStyle name="Normal 4 13 2 3 2" xfId="25643"/>
    <cellStyle name="Normal 4 13 2 3 3" xfId="40686"/>
    <cellStyle name="Normal 4 13 2 4" xfId="18122"/>
    <cellStyle name="Normal 4 13 2 5" xfId="33165"/>
    <cellStyle name="Normal 4 13 3" xfId="4960"/>
    <cellStyle name="Normal 4 13 3 2" xfId="12483"/>
    <cellStyle name="Normal 4 13 3 2 2" xfId="27527"/>
    <cellStyle name="Normal 4 13 3 2 3" xfId="42570"/>
    <cellStyle name="Normal 4 13 3 3" xfId="20006"/>
    <cellStyle name="Normal 4 13 3 4" xfId="35049"/>
    <cellStyle name="Normal 4 13 4" xfId="8734"/>
    <cellStyle name="Normal 4 13 4 2" xfId="23778"/>
    <cellStyle name="Normal 4 13 4 3" xfId="38821"/>
    <cellStyle name="Normal 4 13 5" xfId="16257"/>
    <cellStyle name="Normal 4 13 6" xfId="31300"/>
    <cellStyle name="Normal 4 14" xfId="2097"/>
    <cellStyle name="Normal 4 14 2" xfId="5893"/>
    <cellStyle name="Normal 4 14 2 2" xfId="13416"/>
    <cellStyle name="Normal 4 14 2 2 2" xfId="28460"/>
    <cellStyle name="Normal 4 14 2 2 3" xfId="43503"/>
    <cellStyle name="Normal 4 14 2 3" xfId="20939"/>
    <cellStyle name="Normal 4 14 2 4" xfId="35982"/>
    <cellStyle name="Normal 4 14 3" xfId="9667"/>
    <cellStyle name="Normal 4 14 3 2" xfId="24711"/>
    <cellStyle name="Normal 4 14 3 3" xfId="39754"/>
    <cellStyle name="Normal 4 14 4" xfId="17190"/>
    <cellStyle name="Normal 4 14 5" xfId="32233"/>
    <cellStyle name="Normal 4 15" xfId="4023"/>
    <cellStyle name="Normal 4 15 2" xfId="11547"/>
    <cellStyle name="Normal 4 15 2 2" xfId="26591"/>
    <cellStyle name="Normal 4 15 2 3" xfId="41634"/>
    <cellStyle name="Normal 4 15 3" xfId="19070"/>
    <cellStyle name="Normal 4 15 4" xfId="34113"/>
    <cellStyle name="Normal 4 16" xfId="7786"/>
    <cellStyle name="Normal 4 16 2" xfId="22830"/>
    <cellStyle name="Normal 4 16 3" xfId="37873"/>
    <cellStyle name="Normal 4 17" xfId="15309"/>
    <cellStyle name="Normal 4 18" xfId="30352"/>
    <cellStyle name="Normal 4 19" xfId="45404"/>
    <cellStyle name="Normal 4 2" xfId="22"/>
    <cellStyle name="Normal 4 2 10" xfId="661"/>
    <cellStyle name="Normal 4 2 10 2" xfId="1620"/>
    <cellStyle name="Normal 4 2 10 2 2" xfId="3491"/>
    <cellStyle name="Normal 4 2 10 2 2 2" xfId="7286"/>
    <cellStyle name="Normal 4 2 10 2 2 2 2" xfId="14809"/>
    <cellStyle name="Normal 4 2 10 2 2 2 2 2" xfId="29853"/>
    <cellStyle name="Normal 4 2 10 2 2 2 2 3" xfId="44896"/>
    <cellStyle name="Normal 4 2 10 2 2 2 3" xfId="22332"/>
    <cellStyle name="Normal 4 2 10 2 2 2 4" xfId="37375"/>
    <cellStyle name="Normal 4 2 10 2 2 3" xfId="11060"/>
    <cellStyle name="Normal 4 2 10 2 2 3 2" xfId="26104"/>
    <cellStyle name="Normal 4 2 10 2 2 3 3" xfId="41147"/>
    <cellStyle name="Normal 4 2 10 2 2 4" xfId="18583"/>
    <cellStyle name="Normal 4 2 10 2 2 5" xfId="33626"/>
    <cellStyle name="Normal 4 2 10 2 3" xfId="5421"/>
    <cellStyle name="Normal 4 2 10 2 3 2" xfId="12944"/>
    <cellStyle name="Normal 4 2 10 2 3 2 2" xfId="27988"/>
    <cellStyle name="Normal 4 2 10 2 3 2 3" xfId="43031"/>
    <cellStyle name="Normal 4 2 10 2 3 3" xfId="20467"/>
    <cellStyle name="Normal 4 2 10 2 3 4" xfId="35510"/>
    <cellStyle name="Normal 4 2 10 2 4" xfId="9195"/>
    <cellStyle name="Normal 4 2 10 2 4 2" xfId="24239"/>
    <cellStyle name="Normal 4 2 10 2 4 3" xfId="39282"/>
    <cellStyle name="Normal 4 2 10 2 5" xfId="16718"/>
    <cellStyle name="Normal 4 2 10 2 6" xfId="31761"/>
    <cellStyle name="Normal 4 2 10 3" xfId="2559"/>
    <cellStyle name="Normal 4 2 10 3 2" xfId="6354"/>
    <cellStyle name="Normal 4 2 10 3 2 2" xfId="13877"/>
    <cellStyle name="Normal 4 2 10 3 2 2 2" xfId="28921"/>
    <cellStyle name="Normal 4 2 10 3 2 2 3" xfId="43964"/>
    <cellStyle name="Normal 4 2 10 3 2 3" xfId="21400"/>
    <cellStyle name="Normal 4 2 10 3 2 4" xfId="36443"/>
    <cellStyle name="Normal 4 2 10 3 3" xfId="10128"/>
    <cellStyle name="Normal 4 2 10 3 3 2" xfId="25172"/>
    <cellStyle name="Normal 4 2 10 3 3 3" xfId="40215"/>
    <cellStyle name="Normal 4 2 10 3 4" xfId="17651"/>
    <cellStyle name="Normal 4 2 10 3 5" xfId="32694"/>
    <cellStyle name="Normal 4 2 10 4" xfId="4489"/>
    <cellStyle name="Normal 4 2 10 4 2" xfId="12012"/>
    <cellStyle name="Normal 4 2 10 4 2 2" xfId="27056"/>
    <cellStyle name="Normal 4 2 10 4 2 3" xfId="42099"/>
    <cellStyle name="Normal 4 2 10 4 3" xfId="19535"/>
    <cellStyle name="Normal 4 2 10 4 4" xfId="34578"/>
    <cellStyle name="Normal 4 2 10 5" xfId="8263"/>
    <cellStyle name="Normal 4 2 10 5 2" xfId="23307"/>
    <cellStyle name="Normal 4 2 10 5 3" xfId="38350"/>
    <cellStyle name="Normal 4 2 10 6" xfId="15786"/>
    <cellStyle name="Normal 4 2 10 7" xfId="30829"/>
    <cellStyle name="Normal 4 2 11" xfId="1168"/>
    <cellStyle name="Normal 4 2 11 2" xfId="3039"/>
    <cellStyle name="Normal 4 2 11 2 2" xfId="6834"/>
    <cellStyle name="Normal 4 2 11 2 2 2" xfId="14357"/>
    <cellStyle name="Normal 4 2 11 2 2 2 2" xfId="29401"/>
    <cellStyle name="Normal 4 2 11 2 2 2 3" xfId="44444"/>
    <cellStyle name="Normal 4 2 11 2 2 3" xfId="21880"/>
    <cellStyle name="Normal 4 2 11 2 2 4" xfId="36923"/>
    <cellStyle name="Normal 4 2 11 2 3" xfId="10608"/>
    <cellStyle name="Normal 4 2 11 2 3 2" xfId="25652"/>
    <cellStyle name="Normal 4 2 11 2 3 3" xfId="40695"/>
    <cellStyle name="Normal 4 2 11 2 4" xfId="18131"/>
    <cellStyle name="Normal 4 2 11 2 5" xfId="33174"/>
    <cellStyle name="Normal 4 2 11 3" xfId="4969"/>
    <cellStyle name="Normal 4 2 11 3 2" xfId="12492"/>
    <cellStyle name="Normal 4 2 11 3 2 2" xfId="27536"/>
    <cellStyle name="Normal 4 2 11 3 2 3" xfId="42579"/>
    <cellStyle name="Normal 4 2 11 3 3" xfId="20015"/>
    <cellStyle name="Normal 4 2 11 3 4" xfId="35058"/>
    <cellStyle name="Normal 4 2 11 4" xfId="8743"/>
    <cellStyle name="Normal 4 2 11 4 2" xfId="23787"/>
    <cellStyle name="Normal 4 2 11 4 3" xfId="38830"/>
    <cellStyle name="Normal 4 2 11 5" xfId="16266"/>
    <cellStyle name="Normal 4 2 11 6" xfId="31309"/>
    <cellStyle name="Normal 4 2 12" xfId="2106"/>
    <cellStyle name="Normal 4 2 12 2" xfId="5902"/>
    <cellStyle name="Normal 4 2 12 2 2" xfId="13425"/>
    <cellStyle name="Normal 4 2 12 2 2 2" xfId="28469"/>
    <cellStyle name="Normal 4 2 12 2 2 3" xfId="43512"/>
    <cellStyle name="Normal 4 2 12 2 3" xfId="20948"/>
    <cellStyle name="Normal 4 2 12 2 4" xfId="35991"/>
    <cellStyle name="Normal 4 2 12 3" xfId="9676"/>
    <cellStyle name="Normal 4 2 12 3 2" xfId="24720"/>
    <cellStyle name="Normal 4 2 12 3 3" xfId="39763"/>
    <cellStyle name="Normal 4 2 12 4" xfId="17199"/>
    <cellStyle name="Normal 4 2 12 5" xfId="32242"/>
    <cellStyle name="Normal 4 2 13" xfId="4032"/>
    <cellStyle name="Normal 4 2 13 2" xfId="11556"/>
    <cellStyle name="Normal 4 2 13 2 2" xfId="26600"/>
    <cellStyle name="Normal 4 2 13 2 3" xfId="41643"/>
    <cellStyle name="Normal 4 2 13 3" xfId="19079"/>
    <cellStyle name="Normal 4 2 13 4" xfId="34122"/>
    <cellStyle name="Normal 4 2 14" xfId="7795"/>
    <cellStyle name="Normal 4 2 14 2" xfId="22839"/>
    <cellStyle name="Normal 4 2 14 3" xfId="37882"/>
    <cellStyle name="Normal 4 2 15" xfId="15318"/>
    <cellStyle name="Normal 4 2 16" xfId="30361"/>
    <cellStyle name="Normal 4 2 2" xfId="225"/>
    <cellStyle name="Normal 4 2 2 10" xfId="2194"/>
    <cellStyle name="Normal 4 2 2 10 2" xfId="5990"/>
    <cellStyle name="Normal 4 2 2 10 2 2" xfId="13513"/>
    <cellStyle name="Normal 4 2 2 10 2 2 2" xfId="28557"/>
    <cellStyle name="Normal 4 2 2 10 2 2 3" xfId="43600"/>
    <cellStyle name="Normal 4 2 2 10 2 3" xfId="21036"/>
    <cellStyle name="Normal 4 2 2 10 2 4" xfId="36079"/>
    <cellStyle name="Normal 4 2 2 10 3" xfId="9764"/>
    <cellStyle name="Normal 4 2 2 10 3 2" xfId="24808"/>
    <cellStyle name="Normal 4 2 2 10 3 3" xfId="39851"/>
    <cellStyle name="Normal 4 2 2 10 4" xfId="17287"/>
    <cellStyle name="Normal 4 2 2 10 5" xfId="32330"/>
    <cellStyle name="Normal 4 2 2 11" xfId="4122"/>
    <cellStyle name="Normal 4 2 2 11 2" xfId="11646"/>
    <cellStyle name="Normal 4 2 2 11 2 2" xfId="26690"/>
    <cellStyle name="Normal 4 2 2 11 2 3" xfId="41733"/>
    <cellStyle name="Normal 4 2 2 11 3" xfId="19169"/>
    <cellStyle name="Normal 4 2 2 11 4" xfId="34212"/>
    <cellStyle name="Normal 4 2 2 12" xfId="7885"/>
    <cellStyle name="Normal 4 2 2 12 2" xfId="22929"/>
    <cellStyle name="Normal 4 2 2 12 3" xfId="37972"/>
    <cellStyle name="Normal 4 2 2 13" xfId="15408"/>
    <cellStyle name="Normal 4 2 2 14" xfId="30451"/>
    <cellStyle name="Normal 4 2 2 2" xfId="226"/>
    <cellStyle name="Normal 4 2 2 2 10" xfId="4123"/>
    <cellStyle name="Normal 4 2 2 2 10 2" xfId="11647"/>
    <cellStyle name="Normal 4 2 2 2 10 2 2" xfId="26691"/>
    <cellStyle name="Normal 4 2 2 2 10 2 3" xfId="41734"/>
    <cellStyle name="Normal 4 2 2 2 10 3" xfId="19170"/>
    <cellStyle name="Normal 4 2 2 2 10 4" xfId="34213"/>
    <cellStyle name="Normal 4 2 2 2 11" xfId="7886"/>
    <cellStyle name="Normal 4 2 2 2 11 2" xfId="22930"/>
    <cellStyle name="Normal 4 2 2 2 11 3" xfId="37973"/>
    <cellStyle name="Normal 4 2 2 2 12" xfId="15409"/>
    <cellStyle name="Normal 4 2 2 2 13" xfId="30452"/>
    <cellStyle name="Normal 4 2 2 2 2" xfId="227"/>
    <cellStyle name="Normal 4 2 2 2 2 10" xfId="7887"/>
    <cellStyle name="Normal 4 2 2 2 2 10 2" xfId="22931"/>
    <cellStyle name="Normal 4 2 2 2 2 10 3" xfId="37974"/>
    <cellStyle name="Normal 4 2 2 2 2 11" xfId="15410"/>
    <cellStyle name="Normal 4 2 2 2 2 12" xfId="30453"/>
    <cellStyle name="Normal 4 2 2 2 2 2" xfId="228"/>
    <cellStyle name="Normal 4 2 2 2 2 2 10" xfId="30454"/>
    <cellStyle name="Normal 4 2 2 2 2 2 2" xfId="229"/>
    <cellStyle name="Normal 4 2 2 2 2 2 2 2" xfId="230"/>
    <cellStyle name="Normal 4 2 2 2 2 2 2 2 2" xfId="754"/>
    <cellStyle name="Normal 4 2 2 2 2 2 2 2 2 2" xfId="1713"/>
    <cellStyle name="Normal 4 2 2 2 2 2 2 2 2 2 2" xfId="3584"/>
    <cellStyle name="Normal 4 2 2 2 2 2 2 2 2 2 2 2" xfId="7379"/>
    <cellStyle name="Normal 4 2 2 2 2 2 2 2 2 2 2 2 2" xfId="14902"/>
    <cellStyle name="Normal 4 2 2 2 2 2 2 2 2 2 2 2 2 2" xfId="29946"/>
    <cellStyle name="Normal 4 2 2 2 2 2 2 2 2 2 2 2 2 3" xfId="44989"/>
    <cellStyle name="Normal 4 2 2 2 2 2 2 2 2 2 2 2 3" xfId="22425"/>
    <cellStyle name="Normal 4 2 2 2 2 2 2 2 2 2 2 2 4" xfId="37468"/>
    <cellStyle name="Normal 4 2 2 2 2 2 2 2 2 2 2 3" xfId="11153"/>
    <cellStyle name="Normal 4 2 2 2 2 2 2 2 2 2 2 3 2" xfId="26197"/>
    <cellStyle name="Normal 4 2 2 2 2 2 2 2 2 2 2 3 3" xfId="41240"/>
    <cellStyle name="Normal 4 2 2 2 2 2 2 2 2 2 2 4" xfId="18676"/>
    <cellStyle name="Normal 4 2 2 2 2 2 2 2 2 2 2 5" xfId="33719"/>
    <cellStyle name="Normal 4 2 2 2 2 2 2 2 2 2 3" xfId="5514"/>
    <cellStyle name="Normal 4 2 2 2 2 2 2 2 2 2 3 2" xfId="13037"/>
    <cellStyle name="Normal 4 2 2 2 2 2 2 2 2 2 3 2 2" xfId="28081"/>
    <cellStyle name="Normal 4 2 2 2 2 2 2 2 2 2 3 2 3" xfId="43124"/>
    <cellStyle name="Normal 4 2 2 2 2 2 2 2 2 2 3 3" xfId="20560"/>
    <cellStyle name="Normal 4 2 2 2 2 2 2 2 2 2 3 4" xfId="35603"/>
    <cellStyle name="Normal 4 2 2 2 2 2 2 2 2 2 4" xfId="9288"/>
    <cellStyle name="Normal 4 2 2 2 2 2 2 2 2 2 4 2" xfId="24332"/>
    <cellStyle name="Normal 4 2 2 2 2 2 2 2 2 2 4 3" xfId="39375"/>
    <cellStyle name="Normal 4 2 2 2 2 2 2 2 2 2 5" xfId="16811"/>
    <cellStyle name="Normal 4 2 2 2 2 2 2 2 2 2 6" xfId="31854"/>
    <cellStyle name="Normal 4 2 2 2 2 2 2 2 2 3" xfId="2652"/>
    <cellStyle name="Normal 4 2 2 2 2 2 2 2 2 3 2" xfId="6447"/>
    <cellStyle name="Normal 4 2 2 2 2 2 2 2 2 3 2 2" xfId="13970"/>
    <cellStyle name="Normal 4 2 2 2 2 2 2 2 2 3 2 2 2" xfId="29014"/>
    <cellStyle name="Normal 4 2 2 2 2 2 2 2 2 3 2 2 3" xfId="44057"/>
    <cellStyle name="Normal 4 2 2 2 2 2 2 2 2 3 2 3" xfId="21493"/>
    <cellStyle name="Normal 4 2 2 2 2 2 2 2 2 3 2 4" xfId="36536"/>
    <cellStyle name="Normal 4 2 2 2 2 2 2 2 2 3 3" xfId="10221"/>
    <cellStyle name="Normal 4 2 2 2 2 2 2 2 2 3 3 2" xfId="25265"/>
    <cellStyle name="Normal 4 2 2 2 2 2 2 2 2 3 3 3" xfId="40308"/>
    <cellStyle name="Normal 4 2 2 2 2 2 2 2 2 3 4" xfId="17744"/>
    <cellStyle name="Normal 4 2 2 2 2 2 2 2 2 3 5" xfId="32787"/>
    <cellStyle name="Normal 4 2 2 2 2 2 2 2 2 4" xfId="4582"/>
    <cellStyle name="Normal 4 2 2 2 2 2 2 2 2 4 2" xfId="12105"/>
    <cellStyle name="Normal 4 2 2 2 2 2 2 2 2 4 2 2" xfId="27149"/>
    <cellStyle name="Normal 4 2 2 2 2 2 2 2 2 4 2 3" xfId="42192"/>
    <cellStyle name="Normal 4 2 2 2 2 2 2 2 2 4 3" xfId="19628"/>
    <cellStyle name="Normal 4 2 2 2 2 2 2 2 2 4 4" xfId="34671"/>
    <cellStyle name="Normal 4 2 2 2 2 2 2 2 2 5" xfId="8356"/>
    <cellStyle name="Normal 4 2 2 2 2 2 2 2 2 5 2" xfId="23400"/>
    <cellStyle name="Normal 4 2 2 2 2 2 2 2 2 5 3" xfId="38443"/>
    <cellStyle name="Normal 4 2 2 2 2 2 2 2 2 6" xfId="15879"/>
    <cellStyle name="Normal 4 2 2 2 2 2 2 2 2 7" xfId="30922"/>
    <cellStyle name="Normal 4 2 2 2 2 2 2 2 3" xfId="1261"/>
    <cellStyle name="Normal 4 2 2 2 2 2 2 2 3 2" xfId="3132"/>
    <cellStyle name="Normal 4 2 2 2 2 2 2 2 3 2 2" xfId="6927"/>
    <cellStyle name="Normal 4 2 2 2 2 2 2 2 3 2 2 2" xfId="14450"/>
    <cellStyle name="Normal 4 2 2 2 2 2 2 2 3 2 2 2 2" xfId="29494"/>
    <cellStyle name="Normal 4 2 2 2 2 2 2 2 3 2 2 2 3" xfId="44537"/>
    <cellStyle name="Normal 4 2 2 2 2 2 2 2 3 2 2 3" xfId="21973"/>
    <cellStyle name="Normal 4 2 2 2 2 2 2 2 3 2 2 4" xfId="37016"/>
    <cellStyle name="Normal 4 2 2 2 2 2 2 2 3 2 3" xfId="10701"/>
    <cellStyle name="Normal 4 2 2 2 2 2 2 2 3 2 3 2" xfId="25745"/>
    <cellStyle name="Normal 4 2 2 2 2 2 2 2 3 2 3 3" xfId="40788"/>
    <cellStyle name="Normal 4 2 2 2 2 2 2 2 3 2 4" xfId="18224"/>
    <cellStyle name="Normal 4 2 2 2 2 2 2 2 3 2 5" xfId="33267"/>
    <cellStyle name="Normal 4 2 2 2 2 2 2 2 3 3" xfId="5062"/>
    <cellStyle name="Normal 4 2 2 2 2 2 2 2 3 3 2" xfId="12585"/>
    <cellStyle name="Normal 4 2 2 2 2 2 2 2 3 3 2 2" xfId="27629"/>
    <cellStyle name="Normal 4 2 2 2 2 2 2 2 3 3 2 3" xfId="42672"/>
    <cellStyle name="Normal 4 2 2 2 2 2 2 2 3 3 3" xfId="20108"/>
    <cellStyle name="Normal 4 2 2 2 2 2 2 2 3 3 4" xfId="35151"/>
    <cellStyle name="Normal 4 2 2 2 2 2 2 2 3 4" xfId="8836"/>
    <cellStyle name="Normal 4 2 2 2 2 2 2 2 3 4 2" xfId="23880"/>
    <cellStyle name="Normal 4 2 2 2 2 2 2 2 3 4 3" xfId="38923"/>
    <cellStyle name="Normal 4 2 2 2 2 2 2 2 3 5" xfId="16359"/>
    <cellStyle name="Normal 4 2 2 2 2 2 2 2 3 6" xfId="31402"/>
    <cellStyle name="Normal 4 2 2 2 2 2 2 2 4" xfId="2199"/>
    <cellStyle name="Normal 4 2 2 2 2 2 2 2 4 2" xfId="5995"/>
    <cellStyle name="Normal 4 2 2 2 2 2 2 2 4 2 2" xfId="13518"/>
    <cellStyle name="Normal 4 2 2 2 2 2 2 2 4 2 2 2" xfId="28562"/>
    <cellStyle name="Normal 4 2 2 2 2 2 2 2 4 2 2 3" xfId="43605"/>
    <cellStyle name="Normal 4 2 2 2 2 2 2 2 4 2 3" xfId="21041"/>
    <cellStyle name="Normal 4 2 2 2 2 2 2 2 4 2 4" xfId="36084"/>
    <cellStyle name="Normal 4 2 2 2 2 2 2 2 4 3" xfId="9769"/>
    <cellStyle name="Normal 4 2 2 2 2 2 2 2 4 3 2" xfId="24813"/>
    <cellStyle name="Normal 4 2 2 2 2 2 2 2 4 3 3" xfId="39856"/>
    <cellStyle name="Normal 4 2 2 2 2 2 2 2 4 4" xfId="17292"/>
    <cellStyle name="Normal 4 2 2 2 2 2 2 2 4 5" xfId="32335"/>
    <cellStyle name="Normal 4 2 2 2 2 2 2 2 5" xfId="4127"/>
    <cellStyle name="Normal 4 2 2 2 2 2 2 2 5 2" xfId="11651"/>
    <cellStyle name="Normal 4 2 2 2 2 2 2 2 5 2 2" xfId="26695"/>
    <cellStyle name="Normal 4 2 2 2 2 2 2 2 5 2 3" xfId="41738"/>
    <cellStyle name="Normal 4 2 2 2 2 2 2 2 5 3" xfId="19174"/>
    <cellStyle name="Normal 4 2 2 2 2 2 2 2 5 4" xfId="34217"/>
    <cellStyle name="Normal 4 2 2 2 2 2 2 2 6" xfId="7890"/>
    <cellStyle name="Normal 4 2 2 2 2 2 2 2 6 2" xfId="22934"/>
    <cellStyle name="Normal 4 2 2 2 2 2 2 2 6 3" xfId="37977"/>
    <cellStyle name="Normal 4 2 2 2 2 2 2 2 7" xfId="15413"/>
    <cellStyle name="Normal 4 2 2 2 2 2 2 2 8" xfId="30456"/>
    <cellStyle name="Normal 4 2 2 2 2 2 2 3" xfId="753"/>
    <cellStyle name="Normal 4 2 2 2 2 2 2 3 2" xfId="1712"/>
    <cellStyle name="Normal 4 2 2 2 2 2 2 3 2 2" xfId="3583"/>
    <cellStyle name="Normal 4 2 2 2 2 2 2 3 2 2 2" xfId="7378"/>
    <cellStyle name="Normal 4 2 2 2 2 2 2 3 2 2 2 2" xfId="14901"/>
    <cellStyle name="Normal 4 2 2 2 2 2 2 3 2 2 2 2 2" xfId="29945"/>
    <cellStyle name="Normal 4 2 2 2 2 2 2 3 2 2 2 2 3" xfId="44988"/>
    <cellStyle name="Normal 4 2 2 2 2 2 2 3 2 2 2 3" xfId="22424"/>
    <cellStyle name="Normal 4 2 2 2 2 2 2 3 2 2 2 4" xfId="37467"/>
    <cellStyle name="Normal 4 2 2 2 2 2 2 3 2 2 3" xfId="11152"/>
    <cellStyle name="Normal 4 2 2 2 2 2 2 3 2 2 3 2" xfId="26196"/>
    <cellStyle name="Normal 4 2 2 2 2 2 2 3 2 2 3 3" xfId="41239"/>
    <cellStyle name="Normal 4 2 2 2 2 2 2 3 2 2 4" xfId="18675"/>
    <cellStyle name="Normal 4 2 2 2 2 2 2 3 2 2 5" xfId="33718"/>
    <cellStyle name="Normal 4 2 2 2 2 2 2 3 2 3" xfId="5513"/>
    <cellStyle name="Normal 4 2 2 2 2 2 2 3 2 3 2" xfId="13036"/>
    <cellStyle name="Normal 4 2 2 2 2 2 2 3 2 3 2 2" xfId="28080"/>
    <cellStyle name="Normal 4 2 2 2 2 2 2 3 2 3 2 3" xfId="43123"/>
    <cellStyle name="Normal 4 2 2 2 2 2 2 3 2 3 3" xfId="20559"/>
    <cellStyle name="Normal 4 2 2 2 2 2 2 3 2 3 4" xfId="35602"/>
    <cellStyle name="Normal 4 2 2 2 2 2 2 3 2 4" xfId="9287"/>
    <cellStyle name="Normal 4 2 2 2 2 2 2 3 2 4 2" xfId="24331"/>
    <cellStyle name="Normal 4 2 2 2 2 2 2 3 2 4 3" xfId="39374"/>
    <cellStyle name="Normal 4 2 2 2 2 2 2 3 2 5" xfId="16810"/>
    <cellStyle name="Normal 4 2 2 2 2 2 2 3 2 6" xfId="31853"/>
    <cellStyle name="Normal 4 2 2 2 2 2 2 3 3" xfId="2651"/>
    <cellStyle name="Normal 4 2 2 2 2 2 2 3 3 2" xfId="6446"/>
    <cellStyle name="Normal 4 2 2 2 2 2 2 3 3 2 2" xfId="13969"/>
    <cellStyle name="Normal 4 2 2 2 2 2 2 3 3 2 2 2" xfId="29013"/>
    <cellStyle name="Normal 4 2 2 2 2 2 2 3 3 2 2 3" xfId="44056"/>
    <cellStyle name="Normal 4 2 2 2 2 2 2 3 3 2 3" xfId="21492"/>
    <cellStyle name="Normal 4 2 2 2 2 2 2 3 3 2 4" xfId="36535"/>
    <cellStyle name="Normal 4 2 2 2 2 2 2 3 3 3" xfId="10220"/>
    <cellStyle name="Normal 4 2 2 2 2 2 2 3 3 3 2" xfId="25264"/>
    <cellStyle name="Normal 4 2 2 2 2 2 2 3 3 3 3" xfId="40307"/>
    <cellStyle name="Normal 4 2 2 2 2 2 2 3 3 4" xfId="17743"/>
    <cellStyle name="Normal 4 2 2 2 2 2 2 3 3 5" xfId="32786"/>
    <cellStyle name="Normal 4 2 2 2 2 2 2 3 4" xfId="4581"/>
    <cellStyle name="Normal 4 2 2 2 2 2 2 3 4 2" xfId="12104"/>
    <cellStyle name="Normal 4 2 2 2 2 2 2 3 4 2 2" xfId="27148"/>
    <cellStyle name="Normal 4 2 2 2 2 2 2 3 4 2 3" xfId="42191"/>
    <cellStyle name="Normal 4 2 2 2 2 2 2 3 4 3" xfId="19627"/>
    <cellStyle name="Normal 4 2 2 2 2 2 2 3 4 4" xfId="34670"/>
    <cellStyle name="Normal 4 2 2 2 2 2 2 3 5" xfId="8355"/>
    <cellStyle name="Normal 4 2 2 2 2 2 2 3 5 2" xfId="23399"/>
    <cellStyle name="Normal 4 2 2 2 2 2 2 3 5 3" xfId="38442"/>
    <cellStyle name="Normal 4 2 2 2 2 2 2 3 6" xfId="15878"/>
    <cellStyle name="Normal 4 2 2 2 2 2 2 3 7" xfId="30921"/>
    <cellStyle name="Normal 4 2 2 2 2 2 2 4" xfId="1260"/>
    <cellStyle name="Normal 4 2 2 2 2 2 2 4 2" xfId="3131"/>
    <cellStyle name="Normal 4 2 2 2 2 2 2 4 2 2" xfId="6926"/>
    <cellStyle name="Normal 4 2 2 2 2 2 2 4 2 2 2" xfId="14449"/>
    <cellStyle name="Normal 4 2 2 2 2 2 2 4 2 2 2 2" xfId="29493"/>
    <cellStyle name="Normal 4 2 2 2 2 2 2 4 2 2 2 3" xfId="44536"/>
    <cellStyle name="Normal 4 2 2 2 2 2 2 4 2 2 3" xfId="21972"/>
    <cellStyle name="Normal 4 2 2 2 2 2 2 4 2 2 4" xfId="37015"/>
    <cellStyle name="Normal 4 2 2 2 2 2 2 4 2 3" xfId="10700"/>
    <cellStyle name="Normal 4 2 2 2 2 2 2 4 2 3 2" xfId="25744"/>
    <cellStyle name="Normal 4 2 2 2 2 2 2 4 2 3 3" xfId="40787"/>
    <cellStyle name="Normal 4 2 2 2 2 2 2 4 2 4" xfId="18223"/>
    <cellStyle name="Normal 4 2 2 2 2 2 2 4 2 5" xfId="33266"/>
    <cellStyle name="Normal 4 2 2 2 2 2 2 4 3" xfId="5061"/>
    <cellStyle name="Normal 4 2 2 2 2 2 2 4 3 2" xfId="12584"/>
    <cellStyle name="Normal 4 2 2 2 2 2 2 4 3 2 2" xfId="27628"/>
    <cellStyle name="Normal 4 2 2 2 2 2 2 4 3 2 3" xfId="42671"/>
    <cellStyle name="Normal 4 2 2 2 2 2 2 4 3 3" xfId="20107"/>
    <cellStyle name="Normal 4 2 2 2 2 2 2 4 3 4" xfId="35150"/>
    <cellStyle name="Normal 4 2 2 2 2 2 2 4 4" xfId="8835"/>
    <cellStyle name="Normal 4 2 2 2 2 2 2 4 4 2" xfId="23879"/>
    <cellStyle name="Normal 4 2 2 2 2 2 2 4 4 3" xfId="38922"/>
    <cellStyle name="Normal 4 2 2 2 2 2 2 4 5" xfId="16358"/>
    <cellStyle name="Normal 4 2 2 2 2 2 2 4 6" xfId="31401"/>
    <cellStyle name="Normal 4 2 2 2 2 2 2 5" xfId="2198"/>
    <cellStyle name="Normal 4 2 2 2 2 2 2 5 2" xfId="5994"/>
    <cellStyle name="Normal 4 2 2 2 2 2 2 5 2 2" xfId="13517"/>
    <cellStyle name="Normal 4 2 2 2 2 2 2 5 2 2 2" xfId="28561"/>
    <cellStyle name="Normal 4 2 2 2 2 2 2 5 2 2 3" xfId="43604"/>
    <cellStyle name="Normal 4 2 2 2 2 2 2 5 2 3" xfId="21040"/>
    <cellStyle name="Normal 4 2 2 2 2 2 2 5 2 4" xfId="36083"/>
    <cellStyle name="Normal 4 2 2 2 2 2 2 5 3" xfId="9768"/>
    <cellStyle name="Normal 4 2 2 2 2 2 2 5 3 2" xfId="24812"/>
    <cellStyle name="Normal 4 2 2 2 2 2 2 5 3 3" xfId="39855"/>
    <cellStyle name="Normal 4 2 2 2 2 2 2 5 4" xfId="17291"/>
    <cellStyle name="Normal 4 2 2 2 2 2 2 5 5" xfId="32334"/>
    <cellStyle name="Normal 4 2 2 2 2 2 2 6" xfId="4126"/>
    <cellStyle name="Normal 4 2 2 2 2 2 2 6 2" xfId="11650"/>
    <cellStyle name="Normal 4 2 2 2 2 2 2 6 2 2" xfId="26694"/>
    <cellStyle name="Normal 4 2 2 2 2 2 2 6 2 3" xfId="41737"/>
    <cellStyle name="Normal 4 2 2 2 2 2 2 6 3" xfId="19173"/>
    <cellStyle name="Normal 4 2 2 2 2 2 2 6 4" xfId="34216"/>
    <cellStyle name="Normal 4 2 2 2 2 2 2 7" xfId="7889"/>
    <cellStyle name="Normal 4 2 2 2 2 2 2 7 2" xfId="22933"/>
    <cellStyle name="Normal 4 2 2 2 2 2 2 7 3" xfId="37976"/>
    <cellStyle name="Normal 4 2 2 2 2 2 2 8" xfId="15412"/>
    <cellStyle name="Normal 4 2 2 2 2 2 2 9" xfId="30455"/>
    <cellStyle name="Normal 4 2 2 2 2 2 3" xfId="231"/>
    <cellStyle name="Normal 4 2 2 2 2 2 3 2" xfId="755"/>
    <cellStyle name="Normal 4 2 2 2 2 2 3 2 2" xfId="1714"/>
    <cellStyle name="Normal 4 2 2 2 2 2 3 2 2 2" xfId="3585"/>
    <cellStyle name="Normal 4 2 2 2 2 2 3 2 2 2 2" xfId="7380"/>
    <cellStyle name="Normal 4 2 2 2 2 2 3 2 2 2 2 2" xfId="14903"/>
    <cellStyle name="Normal 4 2 2 2 2 2 3 2 2 2 2 2 2" xfId="29947"/>
    <cellStyle name="Normal 4 2 2 2 2 2 3 2 2 2 2 2 3" xfId="44990"/>
    <cellStyle name="Normal 4 2 2 2 2 2 3 2 2 2 2 3" xfId="22426"/>
    <cellStyle name="Normal 4 2 2 2 2 2 3 2 2 2 2 4" xfId="37469"/>
    <cellStyle name="Normal 4 2 2 2 2 2 3 2 2 2 3" xfId="11154"/>
    <cellStyle name="Normal 4 2 2 2 2 2 3 2 2 2 3 2" xfId="26198"/>
    <cellStyle name="Normal 4 2 2 2 2 2 3 2 2 2 3 3" xfId="41241"/>
    <cellStyle name="Normal 4 2 2 2 2 2 3 2 2 2 4" xfId="18677"/>
    <cellStyle name="Normal 4 2 2 2 2 2 3 2 2 2 5" xfId="33720"/>
    <cellStyle name="Normal 4 2 2 2 2 2 3 2 2 3" xfId="5515"/>
    <cellStyle name="Normal 4 2 2 2 2 2 3 2 2 3 2" xfId="13038"/>
    <cellStyle name="Normal 4 2 2 2 2 2 3 2 2 3 2 2" xfId="28082"/>
    <cellStyle name="Normal 4 2 2 2 2 2 3 2 2 3 2 3" xfId="43125"/>
    <cellStyle name="Normal 4 2 2 2 2 2 3 2 2 3 3" xfId="20561"/>
    <cellStyle name="Normal 4 2 2 2 2 2 3 2 2 3 4" xfId="35604"/>
    <cellStyle name="Normal 4 2 2 2 2 2 3 2 2 4" xfId="9289"/>
    <cellStyle name="Normal 4 2 2 2 2 2 3 2 2 4 2" xfId="24333"/>
    <cellStyle name="Normal 4 2 2 2 2 2 3 2 2 4 3" xfId="39376"/>
    <cellStyle name="Normal 4 2 2 2 2 2 3 2 2 5" xfId="16812"/>
    <cellStyle name="Normal 4 2 2 2 2 2 3 2 2 6" xfId="31855"/>
    <cellStyle name="Normal 4 2 2 2 2 2 3 2 3" xfId="2653"/>
    <cellStyle name="Normal 4 2 2 2 2 2 3 2 3 2" xfId="6448"/>
    <cellStyle name="Normal 4 2 2 2 2 2 3 2 3 2 2" xfId="13971"/>
    <cellStyle name="Normal 4 2 2 2 2 2 3 2 3 2 2 2" xfId="29015"/>
    <cellStyle name="Normal 4 2 2 2 2 2 3 2 3 2 2 3" xfId="44058"/>
    <cellStyle name="Normal 4 2 2 2 2 2 3 2 3 2 3" xfId="21494"/>
    <cellStyle name="Normal 4 2 2 2 2 2 3 2 3 2 4" xfId="36537"/>
    <cellStyle name="Normal 4 2 2 2 2 2 3 2 3 3" xfId="10222"/>
    <cellStyle name="Normal 4 2 2 2 2 2 3 2 3 3 2" xfId="25266"/>
    <cellStyle name="Normal 4 2 2 2 2 2 3 2 3 3 3" xfId="40309"/>
    <cellStyle name="Normal 4 2 2 2 2 2 3 2 3 4" xfId="17745"/>
    <cellStyle name="Normal 4 2 2 2 2 2 3 2 3 5" xfId="32788"/>
    <cellStyle name="Normal 4 2 2 2 2 2 3 2 4" xfId="4583"/>
    <cellStyle name="Normal 4 2 2 2 2 2 3 2 4 2" xfId="12106"/>
    <cellStyle name="Normal 4 2 2 2 2 2 3 2 4 2 2" xfId="27150"/>
    <cellStyle name="Normal 4 2 2 2 2 2 3 2 4 2 3" xfId="42193"/>
    <cellStyle name="Normal 4 2 2 2 2 2 3 2 4 3" xfId="19629"/>
    <cellStyle name="Normal 4 2 2 2 2 2 3 2 4 4" xfId="34672"/>
    <cellStyle name="Normal 4 2 2 2 2 2 3 2 5" xfId="8357"/>
    <cellStyle name="Normal 4 2 2 2 2 2 3 2 5 2" xfId="23401"/>
    <cellStyle name="Normal 4 2 2 2 2 2 3 2 5 3" xfId="38444"/>
    <cellStyle name="Normal 4 2 2 2 2 2 3 2 6" xfId="15880"/>
    <cellStyle name="Normal 4 2 2 2 2 2 3 2 7" xfId="30923"/>
    <cellStyle name="Normal 4 2 2 2 2 2 3 3" xfId="1262"/>
    <cellStyle name="Normal 4 2 2 2 2 2 3 3 2" xfId="3133"/>
    <cellStyle name="Normal 4 2 2 2 2 2 3 3 2 2" xfId="6928"/>
    <cellStyle name="Normal 4 2 2 2 2 2 3 3 2 2 2" xfId="14451"/>
    <cellStyle name="Normal 4 2 2 2 2 2 3 3 2 2 2 2" xfId="29495"/>
    <cellStyle name="Normal 4 2 2 2 2 2 3 3 2 2 2 3" xfId="44538"/>
    <cellStyle name="Normal 4 2 2 2 2 2 3 3 2 2 3" xfId="21974"/>
    <cellStyle name="Normal 4 2 2 2 2 2 3 3 2 2 4" xfId="37017"/>
    <cellStyle name="Normal 4 2 2 2 2 2 3 3 2 3" xfId="10702"/>
    <cellStyle name="Normal 4 2 2 2 2 2 3 3 2 3 2" xfId="25746"/>
    <cellStyle name="Normal 4 2 2 2 2 2 3 3 2 3 3" xfId="40789"/>
    <cellStyle name="Normal 4 2 2 2 2 2 3 3 2 4" xfId="18225"/>
    <cellStyle name="Normal 4 2 2 2 2 2 3 3 2 5" xfId="33268"/>
    <cellStyle name="Normal 4 2 2 2 2 2 3 3 3" xfId="5063"/>
    <cellStyle name="Normal 4 2 2 2 2 2 3 3 3 2" xfId="12586"/>
    <cellStyle name="Normal 4 2 2 2 2 2 3 3 3 2 2" xfId="27630"/>
    <cellStyle name="Normal 4 2 2 2 2 2 3 3 3 2 3" xfId="42673"/>
    <cellStyle name="Normal 4 2 2 2 2 2 3 3 3 3" xfId="20109"/>
    <cellStyle name="Normal 4 2 2 2 2 2 3 3 3 4" xfId="35152"/>
    <cellStyle name="Normal 4 2 2 2 2 2 3 3 4" xfId="8837"/>
    <cellStyle name="Normal 4 2 2 2 2 2 3 3 4 2" xfId="23881"/>
    <cellStyle name="Normal 4 2 2 2 2 2 3 3 4 3" xfId="38924"/>
    <cellStyle name="Normal 4 2 2 2 2 2 3 3 5" xfId="16360"/>
    <cellStyle name="Normal 4 2 2 2 2 2 3 3 6" xfId="31403"/>
    <cellStyle name="Normal 4 2 2 2 2 2 3 4" xfId="2200"/>
    <cellStyle name="Normal 4 2 2 2 2 2 3 4 2" xfId="5996"/>
    <cellStyle name="Normal 4 2 2 2 2 2 3 4 2 2" xfId="13519"/>
    <cellStyle name="Normal 4 2 2 2 2 2 3 4 2 2 2" xfId="28563"/>
    <cellStyle name="Normal 4 2 2 2 2 2 3 4 2 2 3" xfId="43606"/>
    <cellStyle name="Normal 4 2 2 2 2 2 3 4 2 3" xfId="21042"/>
    <cellStyle name="Normal 4 2 2 2 2 2 3 4 2 4" xfId="36085"/>
    <cellStyle name="Normal 4 2 2 2 2 2 3 4 3" xfId="9770"/>
    <cellStyle name="Normal 4 2 2 2 2 2 3 4 3 2" xfId="24814"/>
    <cellStyle name="Normal 4 2 2 2 2 2 3 4 3 3" xfId="39857"/>
    <cellStyle name="Normal 4 2 2 2 2 2 3 4 4" xfId="17293"/>
    <cellStyle name="Normal 4 2 2 2 2 2 3 4 5" xfId="32336"/>
    <cellStyle name="Normal 4 2 2 2 2 2 3 5" xfId="4128"/>
    <cellStyle name="Normal 4 2 2 2 2 2 3 5 2" xfId="11652"/>
    <cellStyle name="Normal 4 2 2 2 2 2 3 5 2 2" xfId="26696"/>
    <cellStyle name="Normal 4 2 2 2 2 2 3 5 2 3" xfId="41739"/>
    <cellStyle name="Normal 4 2 2 2 2 2 3 5 3" xfId="19175"/>
    <cellStyle name="Normal 4 2 2 2 2 2 3 5 4" xfId="34218"/>
    <cellStyle name="Normal 4 2 2 2 2 2 3 6" xfId="7891"/>
    <cellStyle name="Normal 4 2 2 2 2 2 3 6 2" xfId="22935"/>
    <cellStyle name="Normal 4 2 2 2 2 2 3 6 3" xfId="37978"/>
    <cellStyle name="Normal 4 2 2 2 2 2 3 7" xfId="15414"/>
    <cellStyle name="Normal 4 2 2 2 2 2 3 8" xfId="30457"/>
    <cellStyle name="Normal 4 2 2 2 2 2 4" xfId="752"/>
    <cellStyle name="Normal 4 2 2 2 2 2 4 2" xfId="1711"/>
    <cellStyle name="Normal 4 2 2 2 2 2 4 2 2" xfId="3582"/>
    <cellStyle name="Normal 4 2 2 2 2 2 4 2 2 2" xfId="7377"/>
    <cellStyle name="Normal 4 2 2 2 2 2 4 2 2 2 2" xfId="14900"/>
    <cellStyle name="Normal 4 2 2 2 2 2 4 2 2 2 2 2" xfId="29944"/>
    <cellStyle name="Normal 4 2 2 2 2 2 4 2 2 2 2 3" xfId="44987"/>
    <cellStyle name="Normal 4 2 2 2 2 2 4 2 2 2 3" xfId="22423"/>
    <cellStyle name="Normal 4 2 2 2 2 2 4 2 2 2 4" xfId="37466"/>
    <cellStyle name="Normal 4 2 2 2 2 2 4 2 2 3" xfId="11151"/>
    <cellStyle name="Normal 4 2 2 2 2 2 4 2 2 3 2" xfId="26195"/>
    <cellStyle name="Normal 4 2 2 2 2 2 4 2 2 3 3" xfId="41238"/>
    <cellStyle name="Normal 4 2 2 2 2 2 4 2 2 4" xfId="18674"/>
    <cellStyle name="Normal 4 2 2 2 2 2 4 2 2 5" xfId="33717"/>
    <cellStyle name="Normal 4 2 2 2 2 2 4 2 3" xfId="5512"/>
    <cellStyle name="Normal 4 2 2 2 2 2 4 2 3 2" xfId="13035"/>
    <cellStyle name="Normal 4 2 2 2 2 2 4 2 3 2 2" xfId="28079"/>
    <cellStyle name="Normal 4 2 2 2 2 2 4 2 3 2 3" xfId="43122"/>
    <cellStyle name="Normal 4 2 2 2 2 2 4 2 3 3" xfId="20558"/>
    <cellStyle name="Normal 4 2 2 2 2 2 4 2 3 4" xfId="35601"/>
    <cellStyle name="Normal 4 2 2 2 2 2 4 2 4" xfId="9286"/>
    <cellStyle name="Normal 4 2 2 2 2 2 4 2 4 2" xfId="24330"/>
    <cellStyle name="Normal 4 2 2 2 2 2 4 2 4 3" xfId="39373"/>
    <cellStyle name="Normal 4 2 2 2 2 2 4 2 5" xfId="16809"/>
    <cellStyle name="Normal 4 2 2 2 2 2 4 2 6" xfId="31852"/>
    <cellStyle name="Normal 4 2 2 2 2 2 4 3" xfId="2650"/>
    <cellStyle name="Normal 4 2 2 2 2 2 4 3 2" xfId="6445"/>
    <cellStyle name="Normal 4 2 2 2 2 2 4 3 2 2" xfId="13968"/>
    <cellStyle name="Normal 4 2 2 2 2 2 4 3 2 2 2" xfId="29012"/>
    <cellStyle name="Normal 4 2 2 2 2 2 4 3 2 2 3" xfId="44055"/>
    <cellStyle name="Normal 4 2 2 2 2 2 4 3 2 3" xfId="21491"/>
    <cellStyle name="Normal 4 2 2 2 2 2 4 3 2 4" xfId="36534"/>
    <cellStyle name="Normal 4 2 2 2 2 2 4 3 3" xfId="10219"/>
    <cellStyle name="Normal 4 2 2 2 2 2 4 3 3 2" xfId="25263"/>
    <cellStyle name="Normal 4 2 2 2 2 2 4 3 3 3" xfId="40306"/>
    <cellStyle name="Normal 4 2 2 2 2 2 4 3 4" xfId="17742"/>
    <cellStyle name="Normal 4 2 2 2 2 2 4 3 5" xfId="32785"/>
    <cellStyle name="Normal 4 2 2 2 2 2 4 4" xfId="4580"/>
    <cellStyle name="Normal 4 2 2 2 2 2 4 4 2" xfId="12103"/>
    <cellStyle name="Normal 4 2 2 2 2 2 4 4 2 2" xfId="27147"/>
    <cellStyle name="Normal 4 2 2 2 2 2 4 4 2 3" xfId="42190"/>
    <cellStyle name="Normal 4 2 2 2 2 2 4 4 3" xfId="19626"/>
    <cellStyle name="Normal 4 2 2 2 2 2 4 4 4" xfId="34669"/>
    <cellStyle name="Normal 4 2 2 2 2 2 4 5" xfId="8354"/>
    <cellStyle name="Normal 4 2 2 2 2 2 4 5 2" xfId="23398"/>
    <cellStyle name="Normal 4 2 2 2 2 2 4 5 3" xfId="38441"/>
    <cellStyle name="Normal 4 2 2 2 2 2 4 6" xfId="15877"/>
    <cellStyle name="Normal 4 2 2 2 2 2 4 7" xfId="30920"/>
    <cellStyle name="Normal 4 2 2 2 2 2 5" xfId="1259"/>
    <cellStyle name="Normal 4 2 2 2 2 2 5 2" xfId="3130"/>
    <cellStyle name="Normal 4 2 2 2 2 2 5 2 2" xfId="6925"/>
    <cellStyle name="Normal 4 2 2 2 2 2 5 2 2 2" xfId="14448"/>
    <cellStyle name="Normal 4 2 2 2 2 2 5 2 2 2 2" xfId="29492"/>
    <cellStyle name="Normal 4 2 2 2 2 2 5 2 2 2 3" xfId="44535"/>
    <cellStyle name="Normal 4 2 2 2 2 2 5 2 2 3" xfId="21971"/>
    <cellStyle name="Normal 4 2 2 2 2 2 5 2 2 4" xfId="37014"/>
    <cellStyle name="Normal 4 2 2 2 2 2 5 2 3" xfId="10699"/>
    <cellStyle name="Normal 4 2 2 2 2 2 5 2 3 2" xfId="25743"/>
    <cellStyle name="Normal 4 2 2 2 2 2 5 2 3 3" xfId="40786"/>
    <cellStyle name="Normal 4 2 2 2 2 2 5 2 4" xfId="18222"/>
    <cellStyle name="Normal 4 2 2 2 2 2 5 2 5" xfId="33265"/>
    <cellStyle name="Normal 4 2 2 2 2 2 5 3" xfId="5060"/>
    <cellStyle name="Normal 4 2 2 2 2 2 5 3 2" xfId="12583"/>
    <cellStyle name="Normal 4 2 2 2 2 2 5 3 2 2" xfId="27627"/>
    <cellStyle name="Normal 4 2 2 2 2 2 5 3 2 3" xfId="42670"/>
    <cellStyle name="Normal 4 2 2 2 2 2 5 3 3" xfId="20106"/>
    <cellStyle name="Normal 4 2 2 2 2 2 5 3 4" xfId="35149"/>
    <cellStyle name="Normal 4 2 2 2 2 2 5 4" xfId="8834"/>
    <cellStyle name="Normal 4 2 2 2 2 2 5 4 2" xfId="23878"/>
    <cellStyle name="Normal 4 2 2 2 2 2 5 4 3" xfId="38921"/>
    <cellStyle name="Normal 4 2 2 2 2 2 5 5" xfId="16357"/>
    <cellStyle name="Normal 4 2 2 2 2 2 5 6" xfId="31400"/>
    <cellStyle name="Normal 4 2 2 2 2 2 6" xfId="2197"/>
    <cellStyle name="Normal 4 2 2 2 2 2 6 2" xfId="5993"/>
    <cellStyle name="Normal 4 2 2 2 2 2 6 2 2" xfId="13516"/>
    <cellStyle name="Normal 4 2 2 2 2 2 6 2 2 2" xfId="28560"/>
    <cellStyle name="Normal 4 2 2 2 2 2 6 2 2 3" xfId="43603"/>
    <cellStyle name="Normal 4 2 2 2 2 2 6 2 3" xfId="21039"/>
    <cellStyle name="Normal 4 2 2 2 2 2 6 2 4" xfId="36082"/>
    <cellStyle name="Normal 4 2 2 2 2 2 6 3" xfId="9767"/>
    <cellStyle name="Normal 4 2 2 2 2 2 6 3 2" xfId="24811"/>
    <cellStyle name="Normal 4 2 2 2 2 2 6 3 3" xfId="39854"/>
    <cellStyle name="Normal 4 2 2 2 2 2 6 4" xfId="17290"/>
    <cellStyle name="Normal 4 2 2 2 2 2 6 5" xfId="32333"/>
    <cellStyle name="Normal 4 2 2 2 2 2 7" xfId="4125"/>
    <cellStyle name="Normal 4 2 2 2 2 2 7 2" xfId="11649"/>
    <cellStyle name="Normal 4 2 2 2 2 2 7 2 2" xfId="26693"/>
    <cellStyle name="Normal 4 2 2 2 2 2 7 2 3" xfId="41736"/>
    <cellStyle name="Normal 4 2 2 2 2 2 7 3" xfId="19172"/>
    <cellStyle name="Normal 4 2 2 2 2 2 7 4" xfId="34215"/>
    <cellStyle name="Normal 4 2 2 2 2 2 8" xfId="7888"/>
    <cellStyle name="Normal 4 2 2 2 2 2 8 2" xfId="22932"/>
    <cellStyle name="Normal 4 2 2 2 2 2 8 3" xfId="37975"/>
    <cellStyle name="Normal 4 2 2 2 2 2 9" xfId="15411"/>
    <cellStyle name="Normal 4 2 2 2 2 3" xfId="232"/>
    <cellStyle name="Normal 4 2 2 2 2 3 2" xfId="233"/>
    <cellStyle name="Normal 4 2 2 2 2 3 2 2" xfId="757"/>
    <cellStyle name="Normal 4 2 2 2 2 3 2 2 2" xfId="1716"/>
    <cellStyle name="Normal 4 2 2 2 2 3 2 2 2 2" xfId="3587"/>
    <cellStyle name="Normal 4 2 2 2 2 3 2 2 2 2 2" xfId="7382"/>
    <cellStyle name="Normal 4 2 2 2 2 3 2 2 2 2 2 2" xfId="14905"/>
    <cellStyle name="Normal 4 2 2 2 2 3 2 2 2 2 2 2 2" xfId="29949"/>
    <cellStyle name="Normal 4 2 2 2 2 3 2 2 2 2 2 2 3" xfId="44992"/>
    <cellStyle name="Normal 4 2 2 2 2 3 2 2 2 2 2 3" xfId="22428"/>
    <cellStyle name="Normal 4 2 2 2 2 3 2 2 2 2 2 4" xfId="37471"/>
    <cellStyle name="Normal 4 2 2 2 2 3 2 2 2 2 3" xfId="11156"/>
    <cellStyle name="Normal 4 2 2 2 2 3 2 2 2 2 3 2" xfId="26200"/>
    <cellStyle name="Normal 4 2 2 2 2 3 2 2 2 2 3 3" xfId="41243"/>
    <cellStyle name="Normal 4 2 2 2 2 3 2 2 2 2 4" xfId="18679"/>
    <cellStyle name="Normal 4 2 2 2 2 3 2 2 2 2 5" xfId="33722"/>
    <cellStyle name="Normal 4 2 2 2 2 3 2 2 2 3" xfId="5517"/>
    <cellStyle name="Normal 4 2 2 2 2 3 2 2 2 3 2" xfId="13040"/>
    <cellStyle name="Normal 4 2 2 2 2 3 2 2 2 3 2 2" xfId="28084"/>
    <cellStyle name="Normal 4 2 2 2 2 3 2 2 2 3 2 3" xfId="43127"/>
    <cellStyle name="Normal 4 2 2 2 2 3 2 2 2 3 3" xfId="20563"/>
    <cellStyle name="Normal 4 2 2 2 2 3 2 2 2 3 4" xfId="35606"/>
    <cellStyle name="Normal 4 2 2 2 2 3 2 2 2 4" xfId="9291"/>
    <cellStyle name="Normal 4 2 2 2 2 3 2 2 2 4 2" xfId="24335"/>
    <cellStyle name="Normal 4 2 2 2 2 3 2 2 2 4 3" xfId="39378"/>
    <cellStyle name="Normal 4 2 2 2 2 3 2 2 2 5" xfId="16814"/>
    <cellStyle name="Normal 4 2 2 2 2 3 2 2 2 6" xfId="31857"/>
    <cellStyle name="Normal 4 2 2 2 2 3 2 2 3" xfId="2655"/>
    <cellStyle name="Normal 4 2 2 2 2 3 2 2 3 2" xfId="6450"/>
    <cellStyle name="Normal 4 2 2 2 2 3 2 2 3 2 2" xfId="13973"/>
    <cellStyle name="Normal 4 2 2 2 2 3 2 2 3 2 2 2" xfId="29017"/>
    <cellStyle name="Normal 4 2 2 2 2 3 2 2 3 2 2 3" xfId="44060"/>
    <cellStyle name="Normal 4 2 2 2 2 3 2 2 3 2 3" xfId="21496"/>
    <cellStyle name="Normal 4 2 2 2 2 3 2 2 3 2 4" xfId="36539"/>
    <cellStyle name="Normal 4 2 2 2 2 3 2 2 3 3" xfId="10224"/>
    <cellStyle name="Normal 4 2 2 2 2 3 2 2 3 3 2" xfId="25268"/>
    <cellStyle name="Normal 4 2 2 2 2 3 2 2 3 3 3" xfId="40311"/>
    <cellStyle name="Normal 4 2 2 2 2 3 2 2 3 4" xfId="17747"/>
    <cellStyle name="Normal 4 2 2 2 2 3 2 2 3 5" xfId="32790"/>
    <cellStyle name="Normal 4 2 2 2 2 3 2 2 4" xfId="4585"/>
    <cellStyle name="Normal 4 2 2 2 2 3 2 2 4 2" xfId="12108"/>
    <cellStyle name="Normal 4 2 2 2 2 3 2 2 4 2 2" xfId="27152"/>
    <cellStyle name="Normal 4 2 2 2 2 3 2 2 4 2 3" xfId="42195"/>
    <cellStyle name="Normal 4 2 2 2 2 3 2 2 4 3" xfId="19631"/>
    <cellStyle name="Normal 4 2 2 2 2 3 2 2 4 4" xfId="34674"/>
    <cellStyle name="Normal 4 2 2 2 2 3 2 2 5" xfId="8359"/>
    <cellStyle name="Normal 4 2 2 2 2 3 2 2 5 2" xfId="23403"/>
    <cellStyle name="Normal 4 2 2 2 2 3 2 2 5 3" xfId="38446"/>
    <cellStyle name="Normal 4 2 2 2 2 3 2 2 6" xfId="15882"/>
    <cellStyle name="Normal 4 2 2 2 2 3 2 2 7" xfId="30925"/>
    <cellStyle name="Normal 4 2 2 2 2 3 2 3" xfId="1264"/>
    <cellStyle name="Normal 4 2 2 2 2 3 2 3 2" xfId="3135"/>
    <cellStyle name="Normal 4 2 2 2 2 3 2 3 2 2" xfId="6930"/>
    <cellStyle name="Normal 4 2 2 2 2 3 2 3 2 2 2" xfId="14453"/>
    <cellStyle name="Normal 4 2 2 2 2 3 2 3 2 2 2 2" xfId="29497"/>
    <cellStyle name="Normal 4 2 2 2 2 3 2 3 2 2 2 3" xfId="44540"/>
    <cellStyle name="Normal 4 2 2 2 2 3 2 3 2 2 3" xfId="21976"/>
    <cellStyle name="Normal 4 2 2 2 2 3 2 3 2 2 4" xfId="37019"/>
    <cellStyle name="Normal 4 2 2 2 2 3 2 3 2 3" xfId="10704"/>
    <cellStyle name="Normal 4 2 2 2 2 3 2 3 2 3 2" xfId="25748"/>
    <cellStyle name="Normal 4 2 2 2 2 3 2 3 2 3 3" xfId="40791"/>
    <cellStyle name="Normal 4 2 2 2 2 3 2 3 2 4" xfId="18227"/>
    <cellStyle name="Normal 4 2 2 2 2 3 2 3 2 5" xfId="33270"/>
    <cellStyle name="Normal 4 2 2 2 2 3 2 3 3" xfId="5065"/>
    <cellStyle name="Normal 4 2 2 2 2 3 2 3 3 2" xfId="12588"/>
    <cellStyle name="Normal 4 2 2 2 2 3 2 3 3 2 2" xfId="27632"/>
    <cellStyle name="Normal 4 2 2 2 2 3 2 3 3 2 3" xfId="42675"/>
    <cellStyle name="Normal 4 2 2 2 2 3 2 3 3 3" xfId="20111"/>
    <cellStyle name="Normal 4 2 2 2 2 3 2 3 3 4" xfId="35154"/>
    <cellStyle name="Normal 4 2 2 2 2 3 2 3 4" xfId="8839"/>
    <cellStyle name="Normal 4 2 2 2 2 3 2 3 4 2" xfId="23883"/>
    <cellStyle name="Normal 4 2 2 2 2 3 2 3 4 3" xfId="38926"/>
    <cellStyle name="Normal 4 2 2 2 2 3 2 3 5" xfId="16362"/>
    <cellStyle name="Normal 4 2 2 2 2 3 2 3 6" xfId="31405"/>
    <cellStyle name="Normal 4 2 2 2 2 3 2 4" xfId="2202"/>
    <cellStyle name="Normal 4 2 2 2 2 3 2 4 2" xfId="5998"/>
    <cellStyle name="Normal 4 2 2 2 2 3 2 4 2 2" xfId="13521"/>
    <cellStyle name="Normal 4 2 2 2 2 3 2 4 2 2 2" xfId="28565"/>
    <cellStyle name="Normal 4 2 2 2 2 3 2 4 2 2 3" xfId="43608"/>
    <cellStyle name="Normal 4 2 2 2 2 3 2 4 2 3" xfId="21044"/>
    <cellStyle name="Normal 4 2 2 2 2 3 2 4 2 4" xfId="36087"/>
    <cellStyle name="Normal 4 2 2 2 2 3 2 4 3" xfId="9772"/>
    <cellStyle name="Normal 4 2 2 2 2 3 2 4 3 2" xfId="24816"/>
    <cellStyle name="Normal 4 2 2 2 2 3 2 4 3 3" xfId="39859"/>
    <cellStyle name="Normal 4 2 2 2 2 3 2 4 4" xfId="17295"/>
    <cellStyle name="Normal 4 2 2 2 2 3 2 4 5" xfId="32338"/>
    <cellStyle name="Normal 4 2 2 2 2 3 2 5" xfId="4130"/>
    <cellStyle name="Normal 4 2 2 2 2 3 2 5 2" xfId="11654"/>
    <cellStyle name="Normal 4 2 2 2 2 3 2 5 2 2" xfId="26698"/>
    <cellStyle name="Normal 4 2 2 2 2 3 2 5 2 3" xfId="41741"/>
    <cellStyle name="Normal 4 2 2 2 2 3 2 5 3" xfId="19177"/>
    <cellStyle name="Normal 4 2 2 2 2 3 2 5 4" xfId="34220"/>
    <cellStyle name="Normal 4 2 2 2 2 3 2 6" xfId="7893"/>
    <cellStyle name="Normal 4 2 2 2 2 3 2 6 2" xfId="22937"/>
    <cellStyle name="Normal 4 2 2 2 2 3 2 6 3" xfId="37980"/>
    <cellStyle name="Normal 4 2 2 2 2 3 2 7" xfId="15416"/>
    <cellStyle name="Normal 4 2 2 2 2 3 2 8" xfId="30459"/>
    <cellStyle name="Normal 4 2 2 2 2 3 3" xfId="756"/>
    <cellStyle name="Normal 4 2 2 2 2 3 3 2" xfId="1715"/>
    <cellStyle name="Normal 4 2 2 2 2 3 3 2 2" xfId="3586"/>
    <cellStyle name="Normal 4 2 2 2 2 3 3 2 2 2" xfId="7381"/>
    <cellStyle name="Normal 4 2 2 2 2 3 3 2 2 2 2" xfId="14904"/>
    <cellStyle name="Normal 4 2 2 2 2 3 3 2 2 2 2 2" xfId="29948"/>
    <cellStyle name="Normal 4 2 2 2 2 3 3 2 2 2 2 3" xfId="44991"/>
    <cellStyle name="Normal 4 2 2 2 2 3 3 2 2 2 3" xfId="22427"/>
    <cellStyle name="Normal 4 2 2 2 2 3 3 2 2 2 4" xfId="37470"/>
    <cellStyle name="Normal 4 2 2 2 2 3 3 2 2 3" xfId="11155"/>
    <cellStyle name="Normal 4 2 2 2 2 3 3 2 2 3 2" xfId="26199"/>
    <cellStyle name="Normal 4 2 2 2 2 3 3 2 2 3 3" xfId="41242"/>
    <cellStyle name="Normal 4 2 2 2 2 3 3 2 2 4" xfId="18678"/>
    <cellStyle name="Normal 4 2 2 2 2 3 3 2 2 5" xfId="33721"/>
    <cellStyle name="Normal 4 2 2 2 2 3 3 2 3" xfId="5516"/>
    <cellStyle name="Normal 4 2 2 2 2 3 3 2 3 2" xfId="13039"/>
    <cellStyle name="Normal 4 2 2 2 2 3 3 2 3 2 2" xfId="28083"/>
    <cellStyle name="Normal 4 2 2 2 2 3 3 2 3 2 3" xfId="43126"/>
    <cellStyle name="Normal 4 2 2 2 2 3 3 2 3 3" xfId="20562"/>
    <cellStyle name="Normal 4 2 2 2 2 3 3 2 3 4" xfId="35605"/>
    <cellStyle name="Normal 4 2 2 2 2 3 3 2 4" xfId="9290"/>
    <cellStyle name="Normal 4 2 2 2 2 3 3 2 4 2" xfId="24334"/>
    <cellStyle name="Normal 4 2 2 2 2 3 3 2 4 3" xfId="39377"/>
    <cellStyle name="Normal 4 2 2 2 2 3 3 2 5" xfId="16813"/>
    <cellStyle name="Normal 4 2 2 2 2 3 3 2 6" xfId="31856"/>
    <cellStyle name="Normal 4 2 2 2 2 3 3 3" xfId="2654"/>
    <cellStyle name="Normal 4 2 2 2 2 3 3 3 2" xfId="6449"/>
    <cellStyle name="Normal 4 2 2 2 2 3 3 3 2 2" xfId="13972"/>
    <cellStyle name="Normal 4 2 2 2 2 3 3 3 2 2 2" xfId="29016"/>
    <cellStyle name="Normal 4 2 2 2 2 3 3 3 2 2 3" xfId="44059"/>
    <cellStyle name="Normal 4 2 2 2 2 3 3 3 2 3" xfId="21495"/>
    <cellStyle name="Normal 4 2 2 2 2 3 3 3 2 4" xfId="36538"/>
    <cellStyle name="Normal 4 2 2 2 2 3 3 3 3" xfId="10223"/>
    <cellStyle name="Normal 4 2 2 2 2 3 3 3 3 2" xfId="25267"/>
    <cellStyle name="Normal 4 2 2 2 2 3 3 3 3 3" xfId="40310"/>
    <cellStyle name="Normal 4 2 2 2 2 3 3 3 4" xfId="17746"/>
    <cellStyle name="Normal 4 2 2 2 2 3 3 3 5" xfId="32789"/>
    <cellStyle name="Normal 4 2 2 2 2 3 3 4" xfId="4584"/>
    <cellStyle name="Normal 4 2 2 2 2 3 3 4 2" xfId="12107"/>
    <cellStyle name="Normal 4 2 2 2 2 3 3 4 2 2" xfId="27151"/>
    <cellStyle name="Normal 4 2 2 2 2 3 3 4 2 3" xfId="42194"/>
    <cellStyle name="Normal 4 2 2 2 2 3 3 4 3" xfId="19630"/>
    <cellStyle name="Normal 4 2 2 2 2 3 3 4 4" xfId="34673"/>
    <cellStyle name="Normal 4 2 2 2 2 3 3 5" xfId="8358"/>
    <cellStyle name="Normal 4 2 2 2 2 3 3 5 2" xfId="23402"/>
    <cellStyle name="Normal 4 2 2 2 2 3 3 5 3" xfId="38445"/>
    <cellStyle name="Normal 4 2 2 2 2 3 3 6" xfId="15881"/>
    <cellStyle name="Normal 4 2 2 2 2 3 3 7" xfId="30924"/>
    <cellStyle name="Normal 4 2 2 2 2 3 4" xfId="1263"/>
    <cellStyle name="Normal 4 2 2 2 2 3 4 2" xfId="3134"/>
    <cellStyle name="Normal 4 2 2 2 2 3 4 2 2" xfId="6929"/>
    <cellStyle name="Normal 4 2 2 2 2 3 4 2 2 2" xfId="14452"/>
    <cellStyle name="Normal 4 2 2 2 2 3 4 2 2 2 2" xfId="29496"/>
    <cellStyle name="Normal 4 2 2 2 2 3 4 2 2 2 3" xfId="44539"/>
    <cellStyle name="Normal 4 2 2 2 2 3 4 2 2 3" xfId="21975"/>
    <cellStyle name="Normal 4 2 2 2 2 3 4 2 2 4" xfId="37018"/>
    <cellStyle name="Normal 4 2 2 2 2 3 4 2 3" xfId="10703"/>
    <cellStyle name="Normal 4 2 2 2 2 3 4 2 3 2" xfId="25747"/>
    <cellStyle name="Normal 4 2 2 2 2 3 4 2 3 3" xfId="40790"/>
    <cellStyle name="Normal 4 2 2 2 2 3 4 2 4" xfId="18226"/>
    <cellStyle name="Normal 4 2 2 2 2 3 4 2 5" xfId="33269"/>
    <cellStyle name="Normal 4 2 2 2 2 3 4 3" xfId="5064"/>
    <cellStyle name="Normal 4 2 2 2 2 3 4 3 2" xfId="12587"/>
    <cellStyle name="Normal 4 2 2 2 2 3 4 3 2 2" xfId="27631"/>
    <cellStyle name="Normal 4 2 2 2 2 3 4 3 2 3" xfId="42674"/>
    <cellStyle name="Normal 4 2 2 2 2 3 4 3 3" xfId="20110"/>
    <cellStyle name="Normal 4 2 2 2 2 3 4 3 4" xfId="35153"/>
    <cellStyle name="Normal 4 2 2 2 2 3 4 4" xfId="8838"/>
    <cellStyle name="Normal 4 2 2 2 2 3 4 4 2" xfId="23882"/>
    <cellStyle name="Normal 4 2 2 2 2 3 4 4 3" xfId="38925"/>
    <cellStyle name="Normal 4 2 2 2 2 3 4 5" xfId="16361"/>
    <cellStyle name="Normal 4 2 2 2 2 3 4 6" xfId="31404"/>
    <cellStyle name="Normal 4 2 2 2 2 3 5" xfId="2201"/>
    <cellStyle name="Normal 4 2 2 2 2 3 5 2" xfId="5997"/>
    <cellStyle name="Normal 4 2 2 2 2 3 5 2 2" xfId="13520"/>
    <cellStyle name="Normal 4 2 2 2 2 3 5 2 2 2" xfId="28564"/>
    <cellStyle name="Normal 4 2 2 2 2 3 5 2 2 3" xfId="43607"/>
    <cellStyle name="Normal 4 2 2 2 2 3 5 2 3" xfId="21043"/>
    <cellStyle name="Normal 4 2 2 2 2 3 5 2 4" xfId="36086"/>
    <cellStyle name="Normal 4 2 2 2 2 3 5 3" xfId="9771"/>
    <cellStyle name="Normal 4 2 2 2 2 3 5 3 2" xfId="24815"/>
    <cellStyle name="Normal 4 2 2 2 2 3 5 3 3" xfId="39858"/>
    <cellStyle name="Normal 4 2 2 2 2 3 5 4" xfId="17294"/>
    <cellStyle name="Normal 4 2 2 2 2 3 5 5" xfId="32337"/>
    <cellStyle name="Normal 4 2 2 2 2 3 6" xfId="4129"/>
    <cellStyle name="Normal 4 2 2 2 2 3 6 2" xfId="11653"/>
    <cellStyle name="Normal 4 2 2 2 2 3 6 2 2" xfId="26697"/>
    <cellStyle name="Normal 4 2 2 2 2 3 6 2 3" xfId="41740"/>
    <cellStyle name="Normal 4 2 2 2 2 3 6 3" xfId="19176"/>
    <cellStyle name="Normal 4 2 2 2 2 3 6 4" xfId="34219"/>
    <cellStyle name="Normal 4 2 2 2 2 3 7" xfId="7892"/>
    <cellStyle name="Normal 4 2 2 2 2 3 7 2" xfId="22936"/>
    <cellStyle name="Normal 4 2 2 2 2 3 7 3" xfId="37979"/>
    <cellStyle name="Normal 4 2 2 2 2 3 8" xfId="15415"/>
    <cellStyle name="Normal 4 2 2 2 2 3 9" xfId="30458"/>
    <cellStyle name="Normal 4 2 2 2 2 4" xfId="234"/>
    <cellStyle name="Normal 4 2 2 2 2 4 2" xfId="235"/>
    <cellStyle name="Normal 4 2 2 2 2 4 2 2" xfId="759"/>
    <cellStyle name="Normal 4 2 2 2 2 4 2 2 2" xfId="1718"/>
    <cellStyle name="Normal 4 2 2 2 2 4 2 2 2 2" xfId="3589"/>
    <cellStyle name="Normal 4 2 2 2 2 4 2 2 2 2 2" xfId="7384"/>
    <cellStyle name="Normal 4 2 2 2 2 4 2 2 2 2 2 2" xfId="14907"/>
    <cellStyle name="Normal 4 2 2 2 2 4 2 2 2 2 2 2 2" xfId="29951"/>
    <cellStyle name="Normal 4 2 2 2 2 4 2 2 2 2 2 2 3" xfId="44994"/>
    <cellStyle name="Normal 4 2 2 2 2 4 2 2 2 2 2 3" xfId="22430"/>
    <cellStyle name="Normal 4 2 2 2 2 4 2 2 2 2 2 4" xfId="37473"/>
    <cellStyle name="Normal 4 2 2 2 2 4 2 2 2 2 3" xfId="11158"/>
    <cellStyle name="Normal 4 2 2 2 2 4 2 2 2 2 3 2" xfId="26202"/>
    <cellStyle name="Normal 4 2 2 2 2 4 2 2 2 2 3 3" xfId="41245"/>
    <cellStyle name="Normal 4 2 2 2 2 4 2 2 2 2 4" xfId="18681"/>
    <cellStyle name="Normal 4 2 2 2 2 4 2 2 2 2 5" xfId="33724"/>
    <cellStyle name="Normal 4 2 2 2 2 4 2 2 2 3" xfId="5519"/>
    <cellStyle name="Normal 4 2 2 2 2 4 2 2 2 3 2" xfId="13042"/>
    <cellStyle name="Normal 4 2 2 2 2 4 2 2 2 3 2 2" xfId="28086"/>
    <cellStyle name="Normal 4 2 2 2 2 4 2 2 2 3 2 3" xfId="43129"/>
    <cellStyle name="Normal 4 2 2 2 2 4 2 2 2 3 3" xfId="20565"/>
    <cellStyle name="Normal 4 2 2 2 2 4 2 2 2 3 4" xfId="35608"/>
    <cellStyle name="Normal 4 2 2 2 2 4 2 2 2 4" xfId="9293"/>
    <cellStyle name="Normal 4 2 2 2 2 4 2 2 2 4 2" xfId="24337"/>
    <cellStyle name="Normal 4 2 2 2 2 4 2 2 2 4 3" xfId="39380"/>
    <cellStyle name="Normal 4 2 2 2 2 4 2 2 2 5" xfId="16816"/>
    <cellStyle name="Normal 4 2 2 2 2 4 2 2 2 6" xfId="31859"/>
    <cellStyle name="Normal 4 2 2 2 2 4 2 2 3" xfId="2657"/>
    <cellStyle name="Normal 4 2 2 2 2 4 2 2 3 2" xfId="6452"/>
    <cellStyle name="Normal 4 2 2 2 2 4 2 2 3 2 2" xfId="13975"/>
    <cellStyle name="Normal 4 2 2 2 2 4 2 2 3 2 2 2" xfId="29019"/>
    <cellStyle name="Normal 4 2 2 2 2 4 2 2 3 2 2 3" xfId="44062"/>
    <cellStyle name="Normal 4 2 2 2 2 4 2 2 3 2 3" xfId="21498"/>
    <cellStyle name="Normal 4 2 2 2 2 4 2 2 3 2 4" xfId="36541"/>
    <cellStyle name="Normal 4 2 2 2 2 4 2 2 3 3" xfId="10226"/>
    <cellStyle name="Normal 4 2 2 2 2 4 2 2 3 3 2" xfId="25270"/>
    <cellStyle name="Normal 4 2 2 2 2 4 2 2 3 3 3" xfId="40313"/>
    <cellStyle name="Normal 4 2 2 2 2 4 2 2 3 4" xfId="17749"/>
    <cellStyle name="Normal 4 2 2 2 2 4 2 2 3 5" xfId="32792"/>
    <cellStyle name="Normal 4 2 2 2 2 4 2 2 4" xfId="4587"/>
    <cellStyle name="Normal 4 2 2 2 2 4 2 2 4 2" xfId="12110"/>
    <cellStyle name="Normal 4 2 2 2 2 4 2 2 4 2 2" xfId="27154"/>
    <cellStyle name="Normal 4 2 2 2 2 4 2 2 4 2 3" xfId="42197"/>
    <cellStyle name="Normal 4 2 2 2 2 4 2 2 4 3" xfId="19633"/>
    <cellStyle name="Normal 4 2 2 2 2 4 2 2 4 4" xfId="34676"/>
    <cellStyle name="Normal 4 2 2 2 2 4 2 2 5" xfId="8361"/>
    <cellStyle name="Normal 4 2 2 2 2 4 2 2 5 2" xfId="23405"/>
    <cellStyle name="Normal 4 2 2 2 2 4 2 2 5 3" xfId="38448"/>
    <cellStyle name="Normal 4 2 2 2 2 4 2 2 6" xfId="15884"/>
    <cellStyle name="Normal 4 2 2 2 2 4 2 2 7" xfId="30927"/>
    <cellStyle name="Normal 4 2 2 2 2 4 2 3" xfId="1266"/>
    <cellStyle name="Normal 4 2 2 2 2 4 2 3 2" xfId="3137"/>
    <cellStyle name="Normal 4 2 2 2 2 4 2 3 2 2" xfId="6932"/>
    <cellStyle name="Normal 4 2 2 2 2 4 2 3 2 2 2" xfId="14455"/>
    <cellStyle name="Normal 4 2 2 2 2 4 2 3 2 2 2 2" xfId="29499"/>
    <cellStyle name="Normal 4 2 2 2 2 4 2 3 2 2 2 3" xfId="44542"/>
    <cellStyle name="Normal 4 2 2 2 2 4 2 3 2 2 3" xfId="21978"/>
    <cellStyle name="Normal 4 2 2 2 2 4 2 3 2 2 4" xfId="37021"/>
    <cellStyle name="Normal 4 2 2 2 2 4 2 3 2 3" xfId="10706"/>
    <cellStyle name="Normal 4 2 2 2 2 4 2 3 2 3 2" xfId="25750"/>
    <cellStyle name="Normal 4 2 2 2 2 4 2 3 2 3 3" xfId="40793"/>
    <cellStyle name="Normal 4 2 2 2 2 4 2 3 2 4" xfId="18229"/>
    <cellStyle name="Normal 4 2 2 2 2 4 2 3 2 5" xfId="33272"/>
    <cellStyle name="Normal 4 2 2 2 2 4 2 3 3" xfId="5067"/>
    <cellStyle name="Normal 4 2 2 2 2 4 2 3 3 2" xfId="12590"/>
    <cellStyle name="Normal 4 2 2 2 2 4 2 3 3 2 2" xfId="27634"/>
    <cellStyle name="Normal 4 2 2 2 2 4 2 3 3 2 3" xfId="42677"/>
    <cellStyle name="Normal 4 2 2 2 2 4 2 3 3 3" xfId="20113"/>
    <cellStyle name="Normal 4 2 2 2 2 4 2 3 3 4" xfId="35156"/>
    <cellStyle name="Normal 4 2 2 2 2 4 2 3 4" xfId="8841"/>
    <cellStyle name="Normal 4 2 2 2 2 4 2 3 4 2" xfId="23885"/>
    <cellStyle name="Normal 4 2 2 2 2 4 2 3 4 3" xfId="38928"/>
    <cellStyle name="Normal 4 2 2 2 2 4 2 3 5" xfId="16364"/>
    <cellStyle name="Normal 4 2 2 2 2 4 2 3 6" xfId="31407"/>
    <cellStyle name="Normal 4 2 2 2 2 4 2 4" xfId="2204"/>
    <cellStyle name="Normal 4 2 2 2 2 4 2 4 2" xfId="6000"/>
    <cellStyle name="Normal 4 2 2 2 2 4 2 4 2 2" xfId="13523"/>
    <cellStyle name="Normal 4 2 2 2 2 4 2 4 2 2 2" xfId="28567"/>
    <cellStyle name="Normal 4 2 2 2 2 4 2 4 2 2 3" xfId="43610"/>
    <cellStyle name="Normal 4 2 2 2 2 4 2 4 2 3" xfId="21046"/>
    <cellStyle name="Normal 4 2 2 2 2 4 2 4 2 4" xfId="36089"/>
    <cellStyle name="Normal 4 2 2 2 2 4 2 4 3" xfId="9774"/>
    <cellStyle name="Normal 4 2 2 2 2 4 2 4 3 2" xfId="24818"/>
    <cellStyle name="Normal 4 2 2 2 2 4 2 4 3 3" xfId="39861"/>
    <cellStyle name="Normal 4 2 2 2 2 4 2 4 4" xfId="17297"/>
    <cellStyle name="Normal 4 2 2 2 2 4 2 4 5" xfId="32340"/>
    <cellStyle name="Normal 4 2 2 2 2 4 2 5" xfId="4132"/>
    <cellStyle name="Normal 4 2 2 2 2 4 2 5 2" xfId="11656"/>
    <cellStyle name="Normal 4 2 2 2 2 4 2 5 2 2" xfId="26700"/>
    <cellStyle name="Normal 4 2 2 2 2 4 2 5 2 3" xfId="41743"/>
    <cellStyle name="Normal 4 2 2 2 2 4 2 5 3" xfId="19179"/>
    <cellStyle name="Normal 4 2 2 2 2 4 2 5 4" xfId="34222"/>
    <cellStyle name="Normal 4 2 2 2 2 4 2 6" xfId="7895"/>
    <cellStyle name="Normal 4 2 2 2 2 4 2 6 2" xfId="22939"/>
    <cellStyle name="Normal 4 2 2 2 2 4 2 6 3" xfId="37982"/>
    <cellStyle name="Normal 4 2 2 2 2 4 2 7" xfId="15418"/>
    <cellStyle name="Normal 4 2 2 2 2 4 2 8" xfId="30461"/>
    <cellStyle name="Normal 4 2 2 2 2 4 3" xfId="758"/>
    <cellStyle name="Normal 4 2 2 2 2 4 3 2" xfId="1717"/>
    <cellStyle name="Normal 4 2 2 2 2 4 3 2 2" xfId="3588"/>
    <cellStyle name="Normal 4 2 2 2 2 4 3 2 2 2" xfId="7383"/>
    <cellStyle name="Normal 4 2 2 2 2 4 3 2 2 2 2" xfId="14906"/>
    <cellStyle name="Normal 4 2 2 2 2 4 3 2 2 2 2 2" xfId="29950"/>
    <cellStyle name="Normal 4 2 2 2 2 4 3 2 2 2 2 3" xfId="44993"/>
    <cellStyle name="Normal 4 2 2 2 2 4 3 2 2 2 3" xfId="22429"/>
    <cellStyle name="Normal 4 2 2 2 2 4 3 2 2 2 4" xfId="37472"/>
    <cellStyle name="Normal 4 2 2 2 2 4 3 2 2 3" xfId="11157"/>
    <cellStyle name="Normal 4 2 2 2 2 4 3 2 2 3 2" xfId="26201"/>
    <cellStyle name="Normal 4 2 2 2 2 4 3 2 2 3 3" xfId="41244"/>
    <cellStyle name="Normal 4 2 2 2 2 4 3 2 2 4" xfId="18680"/>
    <cellStyle name="Normal 4 2 2 2 2 4 3 2 2 5" xfId="33723"/>
    <cellStyle name="Normal 4 2 2 2 2 4 3 2 3" xfId="5518"/>
    <cellStyle name="Normal 4 2 2 2 2 4 3 2 3 2" xfId="13041"/>
    <cellStyle name="Normal 4 2 2 2 2 4 3 2 3 2 2" xfId="28085"/>
    <cellStyle name="Normal 4 2 2 2 2 4 3 2 3 2 3" xfId="43128"/>
    <cellStyle name="Normal 4 2 2 2 2 4 3 2 3 3" xfId="20564"/>
    <cellStyle name="Normal 4 2 2 2 2 4 3 2 3 4" xfId="35607"/>
    <cellStyle name="Normal 4 2 2 2 2 4 3 2 4" xfId="9292"/>
    <cellStyle name="Normal 4 2 2 2 2 4 3 2 4 2" xfId="24336"/>
    <cellStyle name="Normal 4 2 2 2 2 4 3 2 4 3" xfId="39379"/>
    <cellStyle name="Normal 4 2 2 2 2 4 3 2 5" xfId="16815"/>
    <cellStyle name="Normal 4 2 2 2 2 4 3 2 6" xfId="31858"/>
    <cellStyle name="Normal 4 2 2 2 2 4 3 3" xfId="2656"/>
    <cellStyle name="Normal 4 2 2 2 2 4 3 3 2" xfId="6451"/>
    <cellStyle name="Normal 4 2 2 2 2 4 3 3 2 2" xfId="13974"/>
    <cellStyle name="Normal 4 2 2 2 2 4 3 3 2 2 2" xfId="29018"/>
    <cellStyle name="Normal 4 2 2 2 2 4 3 3 2 2 3" xfId="44061"/>
    <cellStyle name="Normal 4 2 2 2 2 4 3 3 2 3" xfId="21497"/>
    <cellStyle name="Normal 4 2 2 2 2 4 3 3 2 4" xfId="36540"/>
    <cellStyle name="Normal 4 2 2 2 2 4 3 3 3" xfId="10225"/>
    <cellStyle name="Normal 4 2 2 2 2 4 3 3 3 2" xfId="25269"/>
    <cellStyle name="Normal 4 2 2 2 2 4 3 3 3 3" xfId="40312"/>
    <cellStyle name="Normal 4 2 2 2 2 4 3 3 4" xfId="17748"/>
    <cellStyle name="Normal 4 2 2 2 2 4 3 3 5" xfId="32791"/>
    <cellStyle name="Normal 4 2 2 2 2 4 3 4" xfId="4586"/>
    <cellStyle name="Normal 4 2 2 2 2 4 3 4 2" xfId="12109"/>
    <cellStyle name="Normal 4 2 2 2 2 4 3 4 2 2" xfId="27153"/>
    <cellStyle name="Normal 4 2 2 2 2 4 3 4 2 3" xfId="42196"/>
    <cellStyle name="Normal 4 2 2 2 2 4 3 4 3" xfId="19632"/>
    <cellStyle name="Normal 4 2 2 2 2 4 3 4 4" xfId="34675"/>
    <cellStyle name="Normal 4 2 2 2 2 4 3 5" xfId="8360"/>
    <cellStyle name="Normal 4 2 2 2 2 4 3 5 2" xfId="23404"/>
    <cellStyle name="Normal 4 2 2 2 2 4 3 5 3" xfId="38447"/>
    <cellStyle name="Normal 4 2 2 2 2 4 3 6" xfId="15883"/>
    <cellStyle name="Normal 4 2 2 2 2 4 3 7" xfId="30926"/>
    <cellStyle name="Normal 4 2 2 2 2 4 4" xfId="1265"/>
    <cellStyle name="Normal 4 2 2 2 2 4 4 2" xfId="3136"/>
    <cellStyle name="Normal 4 2 2 2 2 4 4 2 2" xfId="6931"/>
    <cellStyle name="Normal 4 2 2 2 2 4 4 2 2 2" xfId="14454"/>
    <cellStyle name="Normal 4 2 2 2 2 4 4 2 2 2 2" xfId="29498"/>
    <cellStyle name="Normal 4 2 2 2 2 4 4 2 2 2 3" xfId="44541"/>
    <cellStyle name="Normal 4 2 2 2 2 4 4 2 2 3" xfId="21977"/>
    <cellStyle name="Normal 4 2 2 2 2 4 4 2 2 4" xfId="37020"/>
    <cellStyle name="Normal 4 2 2 2 2 4 4 2 3" xfId="10705"/>
    <cellStyle name="Normal 4 2 2 2 2 4 4 2 3 2" xfId="25749"/>
    <cellStyle name="Normal 4 2 2 2 2 4 4 2 3 3" xfId="40792"/>
    <cellStyle name="Normal 4 2 2 2 2 4 4 2 4" xfId="18228"/>
    <cellStyle name="Normal 4 2 2 2 2 4 4 2 5" xfId="33271"/>
    <cellStyle name="Normal 4 2 2 2 2 4 4 3" xfId="5066"/>
    <cellStyle name="Normal 4 2 2 2 2 4 4 3 2" xfId="12589"/>
    <cellStyle name="Normal 4 2 2 2 2 4 4 3 2 2" xfId="27633"/>
    <cellStyle name="Normal 4 2 2 2 2 4 4 3 2 3" xfId="42676"/>
    <cellStyle name="Normal 4 2 2 2 2 4 4 3 3" xfId="20112"/>
    <cellStyle name="Normal 4 2 2 2 2 4 4 3 4" xfId="35155"/>
    <cellStyle name="Normal 4 2 2 2 2 4 4 4" xfId="8840"/>
    <cellStyle name="Normal 4 2 2 2 2 4 4 4 2" xfId="23884"/>
    <cellStyle name="Normal 4 2 2 2 2 4 4 4 3" xfId="38927"/>
    <cellStyle name="Normal 4 2 2 2 2 4 4 5" xfId="16363"/>
    <cellStyle name="Normal 4 2 2 2 2 4 4 6" xfId="31406"/>
    <cellStyle name="Normal 4 2 2 2 2 4 5" xfId="2203"/>
    <cellStyle name="Normal 4 2 2 2 2 4 5 2" xfId="5999"/>
    <cellStyle name="Normal 4 2 2 2 2 4 5 2 2" xfId="13522"/>
    <cellStyle name="Normal 4 2 2 2 2 4 5 2 2 2" xfId="28566"/>
    <cellStyle name="Normal 4 2 2 2 2 4 5 2 2 3" xfId="43609"/>
    <cellStyle name="Normal 4 2 2 2 2 4 5 2 3" xfId="21045"/>
    <cellStyle name="Normal 4 2 2 2 2 4 5 2 4" xfId="36088"/>
    <cellStyle name="Normal 4 2 2 2 2 4 5 3" xfId="9773"/>
    <cellStyle name="Normal 4 2 2 2 2 4 5 3 2" xfId="24817"/>
    <cellStyle name="Normal 4 2 2 2 2 4 5 3 3" xfId="39860"/>
    <cellStyle name="Normal 4 2 2 2 2 4 5 4" xfId="17296"/>
    <cellStyle name="Normal 4 2 2 2 2 4 5 5" xfId="32339"/>
    <cellStyle name="Normal 4 2 2 2 2 4 6" xfId="4131"/>
    <cellStyle name="Normal 4 2 2 2 2 4 6 2" xfId="11655"/>
    <cellStyle name="Normal 4 2 2 2 2 4 6 2 2" xfId="26699"/>
    <cellStyle name="Normal 4 2 2 2 2 4 6 2 3" xfId="41742"/>
    <cellStyle name="Normal 4 2 2 2 2 4 6 3" xfId="19178"/>
    <cellStyle name="Normal 4 2 2 2 2 4 6 4" xfId="34221"/>
    <cellStyle name="Normal 4 2 2 2 2 4 7" xfId="7894"/>
    <cellStyle name="Normal 4 2 2 2 2 4 7 2" xfId="22938"/>
    <cellStyle name="Normal 4 2 2 2 2 4 7 3" xfId="37981"/>
    <cellStyle name="Normal 4 2 2 2 2 4 8" xfId="15417"/>
    <cellStyle name="Normal 4 2 2 2 2 4 9" xfId="30460"/>
    <cellStyle name="Normal 4 2 2 2 2 5" xfId="236"/>
    <cellStyle name="Normal 4 2 2 2 2 5 2" xfId="760"/>
    <cellStyle name="Normal 4 2 2 2 2 5 2 2" xfId="1719"/>
    <cellStyle name="Normal 4 2 2 2 2 5 2 2 2" xfId="3590"/>
    <cellStyle name="Normal 4 2 2 2 2 5 2 2 2 2" xfId="7385"/>
    <cellStyle name="Normal 4 2 2 2 2 5 2 2 2 2 2" xfId="14908"/>
    <cellStyle name="Normal 4 2 2 2 2 5 2 2 2 2 2 2" xfId="29952"/>
    <cellStyle name="Normal 4 2 2 2 2 5 2 2 2 2 2 3" xfId="44995"/>
    <cellStyle name="Normal 4 2 2 2 2 5 2 2 2 2 3" xfId="22431"/>
    <cellStyle name="Normal 4 2 2 2 2 5 2 2 2 2 4" xfId="37474"/>
    <cellStyle name="Normal 4 2 2 2 2 5 2 2 2 3" xfId="11159"/>
    <cellStyle name="Normal 4 2 2 2 2 5 2 2 2 3 2" xfId="26203"/>
    <cellStyle name="Normal 4 2 2 2 2 5 2 2 2 3 3" xfId="41246"/>
    <cellStyle name="Normal 4 2 2 2 2 5 2 2 2 4" xfId="18682"/>
    <cellStyle name="Normal 4 2 2 2 2 5 2 2 2 5" xfId="33725"/>
    <cellStyle name="Normal 4 2 2 2 2 5 2 2 3" xfId="5520"/>
    <cellStyle name="Normal 4 2 2 2 2 5 2 2 3 2" xfId="13043"/>
    <cellStyle name="Normal 4 2 2 2 2 5 2 2 3 2 2" xfId="28087"/>
    <cellStyle name="Normal 4 2 2 2 2 5 2 2 3 2 3" xfId="43130"/>
    <cellStyle name="Normal 4 2 2 2 2 5 2 2 3 3" xfId="20566"/>
    <cellStyle name="Normal 4 2 2 2 2 5 2 2 3 4" xfId="35609"/>
    <cellStyle name="Normal 4 2 2 2 2 5 2 2 4" xfId="9294"/>
    <cellStyle name="Normal 4 2 2 2 2 5 2 2 4 2" xfId="24338"/>
    <cellStyle name="Normal 4 2 2 2 2 5 2 2 4 3" xfId="39381"/>
    <cellStyle name="Normal 4 2 2 2 2 5 2 2 5" xfId="16817"/>
    <cellStyle name="Normal 4 2 2 2 2 5 2 2 6" xfId="31860"/>
    <cellStyle name="Normal 4 2 2 2 2 5 2 3" xfId="2658"/>
    <cellStyle name="Normal 4 2 2 2 2 5 2 3 2" xfId="6453"/>
    <cellStyle name="Normal 4 2 2 2 2 5 2 3 2 2" xfId="13976"/>
    <cellStyle name="Normal 4 2 2 2 2 5 2 3 2 2 2" xfId="29020"/>
    <cellStyle name="Normal 4 2 2 2 2 5 2 3 2 2 3" xfId="44063"/>
    <cellStyle name="Normal 4 2 2 2 2 5 2 3 2 3" xfId="21499"/>
    <cellStyle name="Normal 4 2 2 2 2 5 2 3 2 4" xfId="36542"/>
    <cellStyle name="Normal 4 2 2 2 2 5 2 3 3" xfId="10227"/>
    <cellStyle name="Normal 4 2 2 2 2 5 2 3 3 2" xfId="25271"/>
    <cellStyle name="Normal 4 2 2 2 2 5 2 3 3 3" xfId="40314"/>
    <cellStyle name="Normal 4 2 2 2 2 5 2 3 4" xfId="17750"/>
    <cellStyle name="Normal 4 2 2 2 2 5 2 3 5" xfId="32793"/>
    <cellStyle name="Normal 4 2 2 2 2 5 2 4" xfId="4588"/>
    <cellStyle name="Normal 4 2 2 2 2 5 2 4 2" xfId="12111"/>
    <cellStyle name="Normal 4 2 2 2 2 5 2 4 2 2" xfId="27155"/>
    <cellStyle name="Normal 4 2 2 2 2 5 2 4 2 3" xfId="42198"/>
    <cellStyle name="Normal 4 2 2 2 2 5 2 4 3" xfId="19634"/>
    <cellStyle name="Normal 4 2 2 2 2 5 2 4 4" xfId="34677"/>
    <cellStyle name="Normal 4 2 2 2 2 5 2 5" xfId="8362"/>
    <cellStyle name="Normal 4 2 2 2 2 5 2 5 2" xfId="23406"/>
    <cellStyle name="Normal 4 2 2 2 2 5 2 5 3" xfId="38449"/>
    <cellStyle name="Normal 4 2 2 2 2 5 2 6" xfId="15885"/>
    <cellStyle name="Normal 4 2 2 2 2 5 2 7" xfId="30928"/>
    <cellStyle name="Normal 4 2 2 2 2 5 3" xfId="1267"/>
    <cellStyle name="Normal 4 2 2 2 2 5 3 2" xfId="3138"/>
    <cellStyle name="Normal 4 2 2 2 2 5 3 2 2" xfId="6933"/>
    <cellStyle name="Normal 4 2 2 2 2 5 3 2 2 2" xfId="14456"/>
    <cellStyle name="Normal 4 2 2 2 2 5 3 2 2 2 2" xfId="29500"/>
    <cellStyle name="Normal 4 2 2 2 2 5 3 2 2 2 3" xfId="44543"/>
    <cellStyle name="Normal 4 2 2 2 2 5 3 2 2 3" xfId="21979"/>
    <cellStyle name="Normal 4 2 2 2 2 5 3 2 2 4" xfId="37022"/>
    <cellStyle name="Normal 4 2 2 2 2 5 3 2 3" xfId="10707"/>
    <cellStyle name="Normal 4 2 2 2 2 5 3 2 3 2" xfId="25751"/>
    <cellStyle name="Normal 4 2 2 2 2 5 3 2 3 3" xfId="40794"/>
    <cellStyle name="Normal 4 2 2 2 2 5 3 2 4" xfId="18230"/>
    <cellStyle name="Normal 4 2 2 2 2 5 3 2 5" xfId="33273"/>
    <cellStyle name="Normal 4 2 2 2 2 5 3 3" xfId="5068"/>
    <cellStyle name="Normal 4 2 2 2 2 5 3 3 2" xfId="12591"/>
    <cellStyle name="Normal 4 2 2 2 2 5 3 3 2 2" xfId="27635"/>
    <cellStyle name="Normal 4 2 2 2 2 5 3 3 2 3" xfId="42678"/>
    <cellStyle name="Normal 4 2 2 2 2 5 3 3 3" xfId="20114"/>
    <cellStyle name="Normal 4 2 2 2 2 5 3 3 4" xfId="35157"/>
    <cellStyle name="Normal 4 2 2 2 2 5 3 4" xfId="8842"/>
    <cellStyle name="Normal 4 2 2 2 2 5 3 4 2" xfId="23886"/>
    <cellStyle name="Normal 4 2 2 2 2 5 3 4 3" xfId="38929"/>
    <cellStyle name="Normal 4 2 2 2 2 5 3 5" xfId="16365"/>
    <cellStyle name="Normal 4 2 2 2 2 5 3 6" xfId="31408"/>
    <cellStyle name="Normal 4 2 2 2 2 5 4" xfId="2205"/>
    <cellStyle name="Normal 4 2 2 2 2 5 4 2" xfId="6001"/>
    <cellStyle name="Normal 4 2 2 2 2 5 4 2 2" xfId="13524"/>
    <cellStyle name="Normal 4 2 2 2 2 5 4 2 2 2" xfId="28568"/>
    <cellStyle name="Normal 4 2 2 2 2 5 4 2 2 3" xfId="43611"/>
    <cellStyle name="Normal 4 2 2 2 2 5 4 2 3" xfId="21047"/>
    <cellStyle name="Normal 4 2 2 2 2 5 4 2 4" xfId="36090"/>
    <cellStyle name="Normal 4 2 2 2 2 5 4 3" xfId="9775"/>
    <cellStyle name="Normal 4 2 2 2 2 5 4 3 2" xfId="24819"/>
    <cellStyle name="Normal 4 2 2 2 2 5 4 3 3" xfId="39862"/>
    <cellStyle name="Normal 4 2 2 2 2 5 4 4" xfId="17298"/>
    <cellStyle name="Normal 4 2 2 2 2 5 4 5" xfId="32341"/>
    <cellStyle name="Normal 4 2 2 2 2 5 5" xfId="4133"/>
    <cellStyle name="Normal 4 2 2 2 2 5 5 2" xfId="11657"/>
    <cellStyle name="Normal 4 2 2 2 2 5 5 2 2" xfId="26701"/>
    <cellStyle name="Normal 4 2 2 2 2 5 5 2 3" xfId="41744"/>
    <cellStyle name="Normal 4 2 2 2 2 5 5 3" xfId="19180"/>
    <cellStyle name="Normal 4 2 2 2 2 5 5 4" xfId="34223"/>
    <cellStyle name="Normal 4 2 2 2 2 5 6" xfId="7896"/>
    <cellStyle name="Normal 4 2 2 2 2 5 6 2" xfId="22940"/>
    <cellStyle name="Normal 4 2 2 2 2 5 6 3" xfId="37983"/>
    <cellStyle name="Normal 4 2 2 2 2 5 7" xfId="15419"/>
    <cellStyle name="Normal 4 2 2 2 2 5 8" xfId="30462"/>
    <cellStyle name="Normal 4 2 2 2 2 6" xfId="751"/>
    <cellStyle name="Normal 4 2 2 2 2 6 2" xfId="1710"/>
    <cellStyle name="Normal 4 2 2 2 2 6 2 2" xfId="3581"/>
    <cellStyle name="Normal 4 2 2 2 2 6 2 2 2" xfId="7376"/>
    <cellStyle name="Normal 4 2 2 2 2 6 2 2 2 2" xfId="14899"/>
    <cellStyle name="Normal 4 2 2 2 2 6 2 2 2 2 2" xfId="29943"/>
    <cellStyle name="Normal 4 2 2 2 2 6 2 2 2 2 3" xfId="44986"/>
    <cellStyle name="Normal 4 2 2 2 2 6 2 2 2 3" xfId="22422"/>
    <cellStyle name="Normal 4 2 2 2 2 6 2 2 2 4" xfId="37465"/>
    <cellStyle name="Normal 4 2 2 2 2 6 2 2 3" xfId="11150"/>
    <cellStyle name="Normal 4 2 2 2 2 6 2 2 3 2" xfId="26194"/>
    <cellStyle name="Normal 4 2 2 2 2 6 2 2 3 3" xfId="41237"/>
    <cellStyle name="Normal 4 2 2 2 2 6 2 2 4" xfId="18673"/>
    <cellStyle name="Normal 4 2 2 2 2 6 2 2 5" xfId="33716"/>
    <cellStyle name="Normal 4 2 2 2 2 6 2 3" xfId="5511"/>
    <cellStyle name="Normal 4 2 2 2 2 6 2 3 2" xfId="13034"/>
    <cellStyle name="Normal 4 2 2 2 2 6 2 3 2 2" xfId="28078"/>
    <cellStyle name="Normal 4 2 2 2 2 6 2 3 2 3" xfId="43121"/>
    <cellStyle name="Normal 4 2 2 2 2 6 2 3 3" xfId="20557"/>
    <cellStyle name="Normal 4 2 2 2 2 6 2 3 4" xfId="35600"/>
    <cellStyle name="Normal 4 2 2 2 2 6 2 4" xfId="9285"/>
    <cellStyle name="Normal 4 2 2 2 2 6 2 4 2" xfId="24329"/>
    <cellStyle name="Normal 4 2 2 2 2 6 2 4 3" xfId="39372"/>
    <cellStyle name="Normal 4 2 2 2 2 6 2 5" xfId="16808"/>
    <cellStyle name="Normal 4 2 2 2 2 6 2 6" xfId="31851"/>
    <cellStyle name="Normal 4 2 2 2 2 6 3" xfId="2649"/>
    <cellStyle name="Normal 4 2 2 2 2 6 3 2" xfId="6444"/>
    <cellStyle name="Normal 4 2 2 2 2 6 3 2 2" xfId="13967"/>
    <cellStyle name="Normal 4 2 2 2 2 6 3 2 2 2" xfId="29011"/>
    <cellStyle name="Normal 4 2 2 2 2 6 3 2 2 3" xfId="44054"/>
    <cellStyle name="Normal 4 2 2 2 2 6 3 2 3" xfId="21490"/>
    <cellStyle name="Normal 4 2 2 2 2 6 3 2 4" xfId="36533"/>
    <cellStyle name="Normal 4 2 2 2 2 6 3 3" xfId="10218"/>
    <cellStyle name="Normal 4 2 2 2 2 6 3 3 2" xfId="25262"/>
    <cellStyle name="Normal 4 2 2 2 2 6 3 3 3" xfId="40305"/>
    <cellStyle name="Normal 4 2 2 2 2 6 3 4" xfId="17741"/>
    <cellStyle name="Normal 4 2 2 2 2 6 3 5" xfId="32784"/>
    <cellStyle name="Normal 4 2 2 2 2 6 4" xfId="4579"/>
    <cellStyle name="Normal 4 2 2 2 2 6 4 2" xfId="12102"/>
    <cellStyle name="Normal 4 2 2 2 2 6 4 2 2" xfId="27146"/>
    <cellStyle name="Normal 4 2 2 2 2 6 4 2 3" xfId="42189"/>
    <cellStyle name="Normal 4 2 2 2 2 6 4 3" xfId="19625"/>
    <cellStyle name="Normal 4 2 2 2 2 6 4 4" xfId="34668"/>
    <cellStyle name="Normal 4 2 2 2 2 6 5" xfId="8353"/>
    <cellStyle name="Normal 4 2 2 2 2 6 5 2" xfId="23397"/>
    <cellStyle name="Normal 4 2 2 2 2 6 5 3" xfId="38440"/>
    <cellStyle name="Normal 4 2 2 2 2 6 6" xfId="15876"/>
    <cellStyle name="Normal 4 2 2 2 2 6 7" xfId="30919"/>
    <cellStyle name="Normal 4 2 2 2 2 7" xfId="1258"/>
    <cellStyle name="Normal 4 2 2 2 2 7 2" xfId="3129"/>
    <cellStyle name="Normal 4 2 2 2 2 7 2 2" xfId="6924"/>
    <cellStyle name="Normal 4 2 2 2 2 7 2 2 2" xfId="14447"/>
    <cellStyle name="Normal 4 2 2 2 2 7 2 2 2 2" xfId="29491"/>
    <cellStyle name="Normal 4 2 2 2 2 7 2 2 2 3" xfId="44534"/>
    <cellStyle name="Normal 4 2 2 2 2 7 2 2 3" xfId="21970"/>
    <cellStyle name="Normal 4 2 2 2 2 7 2 2 4" xfId="37013"/>
    <cellStyle name="Normal 4 2 2 2 2 7 2 3" xfId="10698"/>
    <cellStyle name="Normal 4 2 2 2 2 7 2 3 2" xfId="25742"/>
    <cellStyle name="Normal 4 2 2 2 2 7 2 3 3" xfId="40785"/>
    <cellStyle name="Normal 4 2 2 2 2 7 2 4" xfId="18221"/>
    <cellStyle name="Normal 4 2 2 2 2 7 2 5" xfId="33264"/>
    <cellStyle name="Normal 4 2 2 2 2 7 3" xfId="5059"/>
    <cellStyle name="Normal 4 2 2 2 2 7 3 2" xfId="12582"/>
    <cellStyle name="Normal 4 2 2 2 2 7 3 2 2" xfId="27626"/>
    <cellStyle name="Normal 4 2 2 2 2 7 3 2 3" xfId="42669"/>
    <cellStyle name="Normal 4 2 2 2 2 7 3 3" xfId="20105"/>
    <cellStyle name="Normal 4 2 2 2 2 7 3 4" xfId="35148"/>
    <cellStyle name="Normal 4 2 2 2 2 7 4" xfId="8833"/>
    <cellStyle name="Normal 4 2 2 2 2 7 4 2" xfId="23877"/>
    <cellStyle name="Normal 4 2 2 2 2 7 4 3" xfId="38920"/>
    <cellStyle name="Normal 4 2 2 2 2 7 5" xfId="16356"/>
    <cellStyle name="Normal 4 2 2 2 2 7 6" xfId="31399"/>
    <cellStyle name="Normal 4 2 2 2 2 8" xfId="2196"/>
    <cellStyle name="Normal 4 2 2 2 2 8 2" xfId="5992"/>
    <cellStyle name="Normal 4 2 2 2 2 8 2 2" xfId="13515"/>
    <cellStyle name="Normal 4 2 2 2 2 8 2 2 2" xfId="28559"/>
    <cellStyle name="Normal 4 2 2 2 2 8 2 2 3" xfId="43602"/>
    <cellStyle name="Normal 4 2 2 2 2 8 2 3" xfId="21038"/>
    <cellStyle name="Normal 4 2 2 2 2 8 2 4" xfId="36081"/>
    <cellStyle name="Normal 4 2 2 2 2 8 3" xfId="9766"/>
    <cellStyle name="Normal 4 2 2 2 2 8 3 2" xfId="24810"/>
    <cellStyle name="Normal 4 2 2 2 2 8 3 3" xfId="39853"/>
    <cellStyle name="Normal 4 2 2 2 2 8 4" xfId="17289"/>
    <cellStyle name="Normal 4 2 2 2 2 8 5" xfId="32332"/>
    <cellStyle name="Normal 4 2 2 2 2 9" xfId="4124"/>
    <cellStyle name="Normal 4 2 2 2 2 9 2" xfId="11648"/>
    <cellStyle name="Normal 4 2 2 2 2 9 2 2" xfId="26692"/>
    <cellStyle name="Normal 4 2 2 2 2 9 2 3" xfId="41735"/>
    <cellStyle name="Normal 4 2 2 2 2 9 3" xfId="19171"/>
    <cellStyle name="Normal 4 2 2 2 2 9 4" xfId="34214"/>
    <cellStyle name="Normal 4 2 2 2 3" xfId="237"/>
    <cellStyle name="Normal 4 2 2 2 3 10" xfId="15420"/>
    <cellStyle name="Normal 4 2 2 2 3 11" xfId="30463"/>
    <cellStyle name="Normal 4 2 2 2 3 2" xfId="238"/>
    <cellStyle name="Normal 4 2 2 2 3 2 2" xfId="239"/>
    <cellStyle name="Normal 4 2 2 2 3 2 2 2" xfId="763"/>
    <cellStyle name="Normal 4 2 2 2 3 2 2 2 2" xfId="1722"/>
    <cellStyle name="Normal 4 2 2 2 3 2 2 2 2 2" xfId="3593"/>
    <cellStyle name="Normal 4 2 2 2 3 2 2 2 2 2 2" xfId="7388"/>
    <cellStyle name="Normal 4 2 2 2 3 2 2 2 2 2 2 2" xfId="14911"/>
    <cellStyle name="Normal 4 2 2 2 3 2 2 2 2 2 2 2 2" xfId="29955"/>
    <cellStyle name="Normal 4 2 2 2 3 2 2 2 2 2 2 2 3" xfId="44998"/>
    <cellStyle name="Normal 4 2 2 2 3 2 2 2 2 2 2 3" xfId="22434"/>
    <cellStyle name="Normal 4 2 2 2 3 2 2 2 2 2 2 4" xfId="37477"/>
    <cellStyle name="Normal 4 2 2 2 3 2 2 2 2 2 3" xfId="11162"/>
    <cellStyle name="Normal 4 2 2 2 3 2 2 2 2 2 3 2" xfId="26206"/>
    <cellStyle name="Normal 4 2 2 2 3 2 2 2 2 2 3 3" xfId="41249"/>
    <cellStyle name="Normal 4 2 2 2 3 2 2 2 2 2 4" xfId="18685"/>
    <cellStyle name="Normal 4 2 2 2 3 2 2 2 2 2 5" xfId="33728"/>
    <cellStyle name="Normal 4 2 2 2 3 2 2 2 2 3" xfId="5523"/>
    <cellStyle name="Normal 4 2 2 2 3 2 2 2 2 3 2" xfId="13046"/>
    <cellStyle name="Normal 4 2 2 2 3 2 2 2 2 3 2 2" xfId="28090"/>
    <cellStyle name="Normal 4 2 2 2 3 2 2 2 2 3 2 3" xfId="43133"/>
    <cellStyle name="Normal 4 2 2 2 3 2 2 2 2 3 3" xfId="20569"/>
    <cellStyle name="Normal 4 2 2 2 3 2 2 2 2 3 4" xfId="35612"/>
    <cellStyle name="Normal 4 2 2 2 3 2 2 2 2 4" xfId="9297"/>
    <cellStyle name="Normal 4 2 2 2 3 2 2 2 2 4 2" xfId="24341"/>
    <cellStyle name="Normal 4 2 2 2 3 2 2 2 2 4 3" xfId="39384"/>
    <cellStyle name="Normal 4 2 2 2 3 2 2 2 2 5" xfId="16820"/>
    <cellStyle name="Normal 4 2 2 2 3 2 2 2 2 6" xfId="31863"/>
    <cellStyle name="Normal 4 2 2 2 3 2 2 2 3" xfId="2661"/>
    <cellStyle name="Normal 4 2 2 2 3 2 2 2 3 2" xfId="6456"/>
    <cellStyle name="Normal 4 2 2 2 3 2 2 2 3 2 2" xfId="13979"/>
    <cellStyle name="Normal 4 2 2 2 3 2 2 2 3 2 2 2" xfId="29023"/>
    <cellStyle name="Normal 4 2 2 2 3 2 2 2 3 2 2 3" xfId="44066"/>
    <cellStyle name="Normal 4 2 2 2 3 2 2 2 3 2 3" xfId="21502"/>
    <cellStyle name="Normal 4 2 2 2 3 2 2 2 3 2 4" xfId="36545"/>
    <cellStyle name="Normal 4 2 2 2 3 2 2 2 3 3" xfId="10230"/>
    <cellStyle name="Normal 4 2 2 2 3 2 2 2 3 3 2" xfId="25274"/>
    <cellStyle name="Normal 4 2 2 2 3 2 2 2 3 3 3" xfId="40317"/>
    <cellStyle name="Normal 4 2 2 2 3 2 2 2 3 4" xfId="17753"/>
    <cellStyle name="Normal 4 2 2 2 3 2 2 2 3 5" xfId="32796"/>
    <cellStyle name="Normal 4 2 2 2 3 2 2 2 4" xfId="4591"/>
    <cellStyle name="Normal 4 2 2 2 3 2 2 2 4 2" xfId="12114"/>
    <cellStyle name="Normal 4 2 2 2 3 2 2 2 4 2 2" xfId="27158"/>
    <cellStyle name="Normal 4 2 2 2 3 2 2 2 4 2 3" xfId="42201"/>
    <cellStyle name="Normal 4 2 2 2 3 2 2 2 4 3" xfId="19637"/>
    <cellStyle name="Normal 4 2 2 2 3 2 2 2 4 4" xfId="34680"/>
    <cellStyle name="Normal 4 2 2 2 3 2 2 2 5" xfId="8365"/>
    <cellStyle name="Normal 4 2 2 2 3 2 2 2 5 2" xfId="23409"/>
    <cellStyle name="Normal 4 2 2 2 3 2 2 2 5 3" xfId="38452"/>
    <cellStyle name="Normal 4 2 2 2 3 2 2 2 6" xfId="15888"/>
    <cellStyle name="Normal 4 2 2 2 3 2 2 2 7" xfId="30931"/>
    <cellStyle name="Normal 4 2 2 2 3 2 2 3" xfId="1270"/>
    <cellStyle name="Normal 4 2 2 2 3 2 2 3 2" xfId="3141"/>
    <cellStyle name="Normal 4 2 2 2 3 2 2 3 2 2" xfId="6936"/>
    <cellStyle name="Normal 4 2 2 2 3 2 2 3 2 2 2" xfId="14459"/>
    <cellStyle name="Normal 4 2 2 2 3 2 2 3 2 2 2 2" xfId="29503"/>
    <cellStyle name="Normal 4 2 2 2 3 2 2 3 2 2 2 3" xfId="44546"/>
    <cellStyle name="Normal 4 2 2 2 3 2 2 3 2 2 3" xfId="21982"/>
    <cellStyle name="Normal 4 2 2 2 3 2 2 3 2 2 4" xfId="37025"/>
    <cellStyle name="Normal 4 2 2 2 3 2 2 3 2 3" xfId="10710"/>
    <cellStyle name="Normal 4 2 2 2 3 2 2 3 2 3 2" xfId="25754"/>
    <cellStyle name="Normal 4 2 2 2 3 2 2 3 2 3 3" xfId="40797"/>
    <cellStyle name="Normal 4 2 2 2 3 2 2 3 2 4" xfId="18233"/>
    <cellStyle name="Normal 4 2 2 2 3 2 2 3 2 5" xfId="33276"/>
    <cellStyle name="Normal 4 2 2 2 3 2 2 3 3" xfId="5071"/>
    <cellStyle name="Normal 4 2 2 2 3 2 2 3 3 2" xfId="12594"/>
    <cellStyle name="Normal 4 2 2 2 3 2 2 3 3 2 2" xfId="27638"/>
    <cellStyle name="Normal 4 2 2 2 3 2 2 3 3 2 3" xfId="42681"/>
    <cellStyle name="Normal 4 2 2 2 3 2 2 3 3 3" xfId="20117"/>
    <cellStyle name="Normal 4 2 2 2 3 2 2 3 3 4" xfId="35160"/>
    <cellStyle name="Normal 4 2 2 2 3 2 2 3 4" xfId="8845"/>
    <cellStyle name="Normal 4 2 2 2 3 2 2 3 4 2" xfId="23889"/>
    <cellStyle name="Normal 4 2 2 2 3 2 2 3 4 3" xfId="38932"/>
    <cellStyle name="Normal 4 2 2 2 3 2 2 3 5" xfId="16368"/>
    <cellStyle name="Normal 4 2 2 2 3 2 2 3 6" xfId="31411"/>
    <cellStyle name="Normal 4 2 2 2 3 2 2 4" xfId="2208"/>
    <cellStyle name="Normal 4 2 2 2 3 2 2 4 2" xfId="6004"/>
    <cellStyle name="Normal 4 2 2 2 3 2 2 4 2 2" xfId="13527"/>
    <cellStyle name="Normal 4 2 2 2 3 2 2 4 2 2 2" xfId="28571"/>
    <cellStyle name="Normal 4 2 2 2 3 2 2 4 2 2 3" xfId="43614"/>
    <cellStyle name="Normal 4 2 2 2 3 2 2 4 2 3" xfId="21050"/>
    <cellStyle name="Normal 4 2 2 2 3 2 2 4 2 4" xfId="36093"/>
    <cellStyle name="Normal 4 2 2 2 3 2 2 4 3" xfId="9778"/>
    <cellStyle name="Normal 4 2 2 2 3 2 2 4 3 2" xfId="24822"/>
    <cellStyle name="Normal 4 2 2 2 3 2 2 4 3 3" xfId="39865"/>
    <cellStyle name="Normal 4 2 2 2 3 2 2 4 4" xfId="17301"/>
    <cellStyle name="Normal 4 2 2 2 3 2 2 4 5" xfId="32344"/>
    <cellStyle name="Normal 4 2 2 2 3 2 2 5" xfId="4136"/>
    <cellStyle name="Normal 4 2 2 2 3 2 2 5 2" xfId="11660"/>
    <cellStyle name="Normal 4 2 2 2 3 2 2 5 2 2" xfId="26704"/>
    <cellStyle name="Normal 4 2 2 2 3 2 2 5 2 3" xfId="41747"/>
    <cellStyle name="Normal 4 2 2 2 3 2 2 5 3" xfId="19183"/>
    <cellStyle name="Normal 4 2 2 2 3 2 2 5 4" xfId="34226"/>
    <cellStyle name="Normal 4 2 2 2 3 2 2 6" xfId="7899"/>
    <cellStyle name="Normal 4 2 2 2 3 2 2 6 2" xfId="22943"/>
    <cellStyle name="Normal 4 2 2 2 3 2 2 6 3" xfId="37986"/>
    <cellStyle name="Normal 4 2 2 2 3 2 2 7" xfId="15422"/>
    <cellStyle name="Normal 4 2 2 2 3 2 2 8" xfId="30465"/>
    <cellStyle name="Normal 4 2 2 2 3 2 3" xfId="762"/>
    <cellStyle name="Normal 4 2 2 2 3 2 3 2" xfId="1721"/>
    <cellStyle name="Normal 4 2 2 2 3 2 3 2 2" xfId="3592"/>
    <cellStyle name="Normal 4 2 2 2 3 2 3 2 2 2" xfId="7387"/>
    <cellStyle name="Normal 4 2 2 2 3 2 3 2 2 2 2" xfId="14910"/>
    <cellStyle name="Normal 4 2 2 2 3 2 3 2 2 2 2 2" xfId="29954"/>
    <cellStyle name="Normal 4 2 2 2 3 2 3 2 2 2 2 3" xfId="44997"/>
    <cellStyle name="Normal 4 2 2 2 3 2 3 2 2 2 3" xfId="22433"/>
    <cellStyle name="Normal 4 2 2 2 3 2 3 2 2 2 4" xfId="37476"/>
    <cellStyle name="Normal 4 2 2 2 3 2 3 2 2 3" xfId="11161"/>
    <cellStyle name="Normal 4 2 2 2 3 2 3 2 2 3 2" xfId="26205"/>
    <cellStyle name="Normal 4 2 2 2 3 2 3 2 2 3 3" xfId="41248"/>
    <cellStyle name="Normal 4 2 2 2 3 2 3 2 2 4" xfId="18684"/>
    <cellStyle name="Normal 4 2 2 2 3 2 3 2 2 5" xfId="33727"/>
    <cellStyle name="Normal 4 2 2 2 3 2 3 2 3" xfId="5522"/>
    <cellStyle name="Normal 4 2 2 2 3 2 3 2 3 2" xfId="13045"/>
    <cellStyle name="Normal 4 2 2 2 3 2 3 2 3 2 2" xfId="28089"/>
    <cellStyle name="Normal 4 2 2 2 3 2 3 2 3 2 3" xfId="43132"/>
    <cellStyle name="Normal 4 2 2 2 3 2 3 2 3 3" xfId="20568"/>
    <cellStyle name="Normal 4 2 2 2 3 2 3 2 3 4" xfId="35611"/>
    <cellStyle name="Normal 4 2 2 2 3 2 3 2 4" xfId="9296"/>
    <cellStyle name="Normal 4 2 2 2 3 2 3 2 4 2" xfId="24340"/>
    <cellStyle name="Normal 4 2 2 2 3 2 3 2 4 3" xfId="39383"/>
    <cellStyle name="Normal 4 2 2 2 3 2 3 2 5" xfId="16819"/>
    <cellStyle name="Normal 4 2 2 2 3 2 3 2 6" xfId="31862"/>
    <cellStyle name="Normal 4 2 2 2 3 2 3 3" xfId="2660"/>
    <cellStyle name="Normal 4 2 2 2 3 2 3 3 2" xfId="6455"/>
    <cellStyle name="Normal 4 2 2 2 3 2 3 3 2 2" xfId="13978"/>
    <cellStyle name="Normal 4 2 2 2 3 2 3 3 2 2 2" xfId="29022"/>
    <cellStyle name="Normal 4 2 2 2 3 2 3 3 2 2 3" xfId="44065"/>
    <cellStyle name="Normal 4 2 2 2 3 2 3 3 2 3" xfId="21501"/>
    <cellStyle name="Normal 4 2 2 2 3 2 3 3 2 4" xfId="36544"/>
    <cellStyle name="Normal 4 2 2 2 3 2 3 3 3" xfId="10229"/>
    <cellStyle name="Normal 4 2 2 2 3 2 3 3 3 2" xfId="25273"/>
    <cellStyle name="Normal 4 2 2 2 3 2 3 3 3 3" xfId="40316"/>
    <cellStyle name="Normal 4 2 2 2 3 2 3 3 4" xfId="17752"/>
    <cellStyle name="Normal 4 2 2 2 3 2 3 3 5" xfId="32795"/>
    <cellStyle name="Normal 4 2 2 2 3 2 3 4" xfId="4590"/>
    <cellStyle name="Normal 4 2 2 2 3 2 3 4 2" xfId="12113"/>
    <cellStyle name="Normal 4 2 2 2 3 2 3 4 2 2" xfId="27157"/>
    <cellStyle name="Normal 4 2 2 2 3 2 3 4 2 3" xfId="42200"/>
    <cellStyle name="Normal 4 2 2 2 3 2 3 4 3" xfId="19636"/>
    <cellStyle name="Normal 4 2 2 2 3 2 3 4 4" xfId="34679"/>
    <cellStyle name="Normal 4 2 2 2 3 2 3 5" xfId="8364"/>
    <cellStyle name="Normal 4 2 2 2 3 2 3 5 2" xfId="23408"/>
    <cellStyle name="Normal 4 2 2 2 3 2 3 5 3" xfId="38451"/>
    <cellStyle name="Normal 4 2 2 2 3 2 3 6" xfId="15887"/>
    <cellStyle name="Normal 4 2 2 2 3 2 3 7" xfId="30930"/>
    <cellStyle name="Normal 4 2 2 2 3 2 4" xfId="1269"/>
    <cellStyle name="Normal 4 2 2 2 3 2 4 2" xfId="3140"/>
    <cellStyle name="Normal 4 2 2 2 3 2 4 2 2" xfId="6935"/>
    <cellStyle name="Normal 4 2 2 2 3 2 4 2 2 2" xfId="14458"/>
    <cellStyle name="Normal 4 2 2 2 3 2 4 2 2 2 2" xfId="29502"/>
    <cellStyle name="Normal 4 2 2 2 3 2 4 2 2 2 3" xfId="44545"/>
    <cellStyle name="Normal 4 2 2 2 3 2 4 2 2 3" xfId="21981"/>
    <cellStyle name="Normal 4 2 2 2 3 2 4 2 2 4" xfId="37024"/>
    <cellStyle name="Normal 4 2 2 2 3 2 4 2 3" xfId="10709"/>
    <cellStyle name="Normal 4 2 2 2 3 2 4 2 3 2" xfId="25753"/>
    <cellStyle name="Normal 4 2 2 2 3 2 4 2 3 3" xfId="40796"/>
    <cellStyle name="Normal 4 2 2 2 3 2 4 2 4" xfId="18232"/>
    <cellStyle name="Normal 4 2 2 2 3 2 4 2 5" xfId="33275"/>
    <cellStyle name="Normal 4 2 2 2 3 2 4 3" xfId="5070"/>
    <cellStyle name="Normal 4 2 2 2 3 2 4 3 2" xfId="12593"/>
    <cellStyle name="Normal 4 2 2 2 3 2 4 3 2 2" xfId="27637"/>
    <cellStyle name="Normal 4 2 2 2 3 2 4 3 2 3" xfId="42680"/>
    <cellStyle name="Normal 4 2 2 2 3 2 4 3 3" xfId="20116"/>
    <cellStyle name="Normal 4 2 2 2 3 2 4 3 4" xfId="35159"/>
    <cellStyle name="Normal 4 2 2 2 3 2 4 4" xfId="8844"/>
    <cellStyle name="Normal 4 2 2 2 3 2 4 4 2" xfId="23888"/>
    <cellStyle name="Normal 4 2 2 2 3 2 4 4 3" xfId="38931"/>
    <cellStyle name="Normal 4 2 2 2 3 2 4 5" xfId="16367"/>
    <cellStyle name="Normal 4 2 2 2 3 2 4 6" xfId="31410"/>
    <cellStyle name="Normal 4 2 2 2 3 2 5" xfId="2207"/>
    <cellStyle name="Normal 4 2 2 2 3 2 5 2" xfId="6003"/>
    <cellStyle name="Normal 4 2 2 2 3 2 5 2 2" xfId="13526"/>
    <cellStyle name="Normal 4 2 2 2 3 2 5 2 2 2" xfId="28570"/>
    <cellStyle name="Normal 4 2 2 2 3 2 5 2 2 3" xfId="43613"/>
    <cellStyle name="Normal 4 2 2 2 3 2 5 2 3" xfId="21049"/>
    <cellStyle name="Normal 4 2 2 2 3 2 5 2 4" xfId="36092"/>
    <cellStyle name="Normal 4 2 2 2 3 2 5 3" xfId="9777"/>
    <cellStyle name="Normal 4 2 2 2 3 2 5 3 2" xfId="24821"/>
    <cellStyle name="Normal 4 2 2 2 3 2 5 3 3" xfId="39864"/>
    <cellStyle name="Normal 4 2 2 2 3 2 5 4" xfId="17300"/>
    <cellStyle name="Normal 4 2 2 2 3 2 5 5" xfId="32343"/>
    <cellStyle name="Normal 4 2 2 2 3 2 6" xfId="4135"/>
    <cellStyle name="Normal 4 2 2 2 3 2 6 2" xfId="11659"/>
    <cellStyle name="Normal 4 2 2 2 3 2 6 2 2" xfId="26703"/>
    <cellStyle name="Normal 4 2 2 2 3 2 6 2 3" xfId="41746"/>
    <cellStyle name="Normal 4 2 2 2 3 2 6 3" xfId="19182"/>
    <cellStyle name="Normal 4 2 2 2 3 2 6 4" xfId="34225"/>
    <cellStyle name="Normal 4 2 2 2 3 2 7" xfId="7898"/>
    <cellStyle name="Normal 4 2 2 2 3 2 7 2" xfId="22942"/>
    <cellStyle name="Normal 4 2 2 2 3 2 7 3" xfId="37985"/>
    <cellStyle name="Normal 4 2 2 2 3 2 8" xfId="15421"/>
    <cellStyle name="Normal 4 2 2 2 3 2 9" xfId="30464"/>
    <cellStyle name="Normal 4 2 2 2 3 3" xfId="240"/>
    <cellStyle name="Normal 4 2 2 2 3 3 2" xfId="241"/>
    <cellStyle name="Normal 4 2 2 2 3 3 2 2" xfId="765"/>
    <cellStyle name="Normal 4 2 2 2 3 3 2 2 2" xfId="1724"/>
    <cellStyle name="Normal 4 2 2 2 3 3 2 2 2 2" xfId="3595"/>
    <cellStyle name="Normal 4 2 2 2 3 3 2 2 2 2 2" xfId="7390"/>
    <cellStyle name="Normal 4 2 2 2 3 3 2 2 2 2 2 2" xfId="14913"/>
    <cellStyle name="Normal 4 2 2 2 3 3 2 2 2 2 2 2 2" xfId="29957"/>
    <cellStyle name="Normal 4 2 2 2 3 3 2 2 2 2 2 2 3" xfId="45000"/>
    <cellStyle name="Normal 4 2 2 2 3 3 2 2 2 2 2 3" xfId="22436"/>
    <cellStyle name="Normal 4 2 2 2 3 3 2 2 2 2 2 4" xfId="37479"/>
    <cellStyle name="Normal 4 2 2 2 3 3 2 2 2 2 3" xfId="11164"/>
    <cellStyle name="Normal 4 2 2 2 3 3 2 2 2 2 3 2" xfId="26208"/>
    <cellStyle name="Normal 4 2 2 2 3 3 2 2 2 2 3 3" xfId="41251"/>
    <cellStyle name="Normal 4 2 2 2 3 3 2 2 2 2 4" xfId="18687"/>
    <cellStyle name="Normal 4 2 2 2 3 3 2 2 2 2 5" xfId="33730"/>
    <cellStyle name="Normal 4 2 2 2 3 3 2 2 2 3" xfId="5525"/>
    <cellStyle name="Normal 4 2 2 2 3 3 2 2 2 3 2" xfId="13048"/>
    <cellStyle name="Normal 4 2 2 2 3 3 2 2 2 3 2 2" xfId="28092"/>
    <cellStyle name="Normal 4 2 2 2 3 3 2 2 2 3 2 3" xfId="43135"/>
    <cellStyle name="Normal 4 2 2 2 3 3 2 2 2 3 3" xfId="20571"/>
    <cellStyle name="Normal 4 2 2 2 3 3 2 2 2 3 4" xfId="35614"/>
    <cellStyle name="Normal 4 2 2 2 3 3 2 2 2 4" xfId="9299"/>
    <cellStyle name="Normal 4 2 2 2 3 3 2 2 2 4 2" xfId="24343"/>
    <cellStyle name="Normal 4 2 2 2 3 3 2 2 2 4 3" xfId="39386"/>
    <cellStyle name="Normal 4 2 2 2 3 3 2 2 2 5" xfId="16822"/>
    <cellStyle name="Normal 4 2 2 2 3 3 2 2 2 6" xfId="31865"/>
    <cellStyle name="Normal 4 2 2 2 3 3 2 2 3" xfId="2663"/>
    <cellStyle name="Normal 4 2 2 2 3 3 2 2 3 2" xfId="6458"/>
    <cellStyle name="Normal 4 2 2 2 3 3 2 2 3 2 2" xfId="13981"/>
    <cellStyle name="Normal 4 2 2 2 3 3 2 2 3 2 2 2" xfId="29025"/>
    <cellStyle name="Normal 4 2 2 2 3 3 2 2 3 2 2 3" xfId="44068"/>
    <cellStyle name="Normal 4 2 2 2 3 3 2 2 3 2 3" xfId="21504"/>
    <cellStyle name="Normal 4 2 2 2 3 3 2 2 3 2 4" xfId="36547"/>
    <cellStyle name="Normal 4 2 2 2 3 3 2 2 3 3" xfId="10232"/>
    <cellStyle name="Normal 4 2 2 2 3 3 2 2 3 3 2" xfId="25276"/>
    <cellStyle name="Normal 4 2 2 2 3 3 2 2 3 3 3" xfId="40319"/>
    <cellStyle name="Normal 4 2 2 2 3 3 2 2 3 4" xfId="17755"/>
    <cellStyle name="Normal 4 2 2 2 3 3 2 2 3 5" xfId="32798"/>
    <cellStyle name="Normal 4 2 2 2 3 3 2 2 4" xfId="4593"/>
    <cellStyle name="Normal 4 2 2 2 3 3 2 2 4 2" xfId="12116"/>
    <cellStyle name="Normal 4 2 2 2 3 3 2 2 4 2 2" xfId="27160"/>
    <cellStyle name="Normal 4 2 2 2 3 3 2 2 4 2 3" xfId="42203"/>
    <cellStyle name="Normal 4 2 2 2 3 3 2 2 4 3" xfId="19639"/>
    <cellStyle name="Normal 4 2 2 2 3 3 2 2 4 4" xfId="34682"/>
    <cellStyle name="Normal 4 2 2 2 3 3 2 2 5" xfId="8367"/>
    <cellStyle name="Normal 4 2 2 2 3 3 2 2 5 2" xfId="23411"/>
    <cellStyle name="Normal 4 2 2 2 3 3 2 2 5 3" xfId="38454"/>
    <cellStyle name="Normal 4 2 2 2 3 3 2 2 6" xfId="15890"/>
    <cellStyle name="Normal 4 2 2 2 3 3 2 2 7" xfId="30933"/>
    <cellStyle name="Normal 4 2 2 2 3 3 2 3" xfId="1272"/>
    <cellStyle name="Normal 4 2 2 2 3 3 2 3 2" xfId="3143"/>
    <cellStyle name="Normal 4 2 2 2 3 3 2 3 2 2" xfId="6938"/>
    <cellStyle name="Normal 4 2 2 2 3 3 2 3 2 2 2" xfId="14461"/>
    <cellStyle name="Normal 4 2 2 2 3 3 2 3 2 2 2 2" xfId="29505"/>
    <cellStyle name="Normal 4 2 2 2 3 3 2 3 2 2 2 3" xfId="44548"/>
    <cellStyle name="Normal 4 2 2 2 3 3 2 3 2 2 3" xfId="21984"/>
    <cellStyle name="Normal 4 2 2 2 3 3 2 3 2 2 4" xfId="37027"/>
    <cellStyle name="Normal 4 2 2 2 3 3 2 3 2 3" xfId="10712"/>
    <cellStyle name="Normal 4 2 2 2 3 3 2 3 2 3 2" xfId="25756"/>
    <cellStyle name="Normal 4 2 2 2 3 3 2 3 2 3 3" xfId="40799"/>
    <cellStyle name="Normal 4 2 2 2 3 3 2 3 2 4" xfId="18235"/>
    <cellStyle name="Normal 4 2 2 2 3 3 2 3 2 5" xfId="33278"/>
    <cellStyle name="Normal 4 2 2 2 3 3 2 3 3" xfId="5073"/>
    <cellStyle name="Normal 4 2 2 2 3 3 2 3 3 2" xfId="12596"/>
    <cellStyle name="Normal 4 2 2 2 3 3 2 3 3 2 2" xfId="27640"/>
    <cellStyle name="Normal 4 2 2 2 3 3 2 3 3 2 3" xfId="42683"/>
    <cellStyle name="Normal 4 2 2 2 3 3 2 3 3 3" xfId="20119"/>
    <cellStyle name="Normal 4 2 2 2 3 3 2 3 3 4" xfId="35162"/>
    <cellStyle name="Normal 4 2 2 2 3 3 2 3 4" xfId="8847"/>
    <cellStyle name="Normal 4 2 2 2 3 3 2 3 4 2" xfId="23891"/>
    <cellStyle name="Normal 4 2 2 2 3 3 2 3 4 3" xfId="38934"/>
    <cellStyle name="Normal 4 2 2 2 3 3 2 3 5" xfId="16370"/>
    <cellStyle name="Normal 4 2 2 2 3 3 2 3 6" xfId="31413"/>
    <cellStyle name="Normal 4 2 2 2 3 3 2 4" xfId="2210"/>
    <cellStyle name="Normal 4 2 2 2 3 3 2 4 2" xfId="6006"/>
    <cellStyle name="Normal 4 2 2 2 3 3 2 4 2 2" xfId="13529"/>
    <cellStyle name="Normal 4 2 2 2 3 3 2 4 2 2 2" xfId="28573"/>
    <cellStyle name="Normal 4 2 2 2 3 3 2 4 2 2 3" xfId="43616"/>
    <cellStyle name="Normal 4 2 2 2 3 3 2 4 2 3" xfId="21052"/>
    <cellStyle name="Normal 4 2 2 2 3 3 2 4 2 4" xfId="36095"/>
    <cellStyle name="Normal 4 2 2 2 3 3 2 4 3" xfId="9780"/>
    <cellStyle name="Normal 4 2 2 2 3 3 2 4 3 2" xfId="24824"/>
    <cellStyle name="Normal 4 2 2 2 3 3 2 4 3 3" xfId="39867"/>
    <cellStyle name="Normal 4 2 2 2 3 3 2 4 4" xfId="17303"/>
    <cellStyle name="Normal 4 2 2 2 3 3 2 4 5" xfId="32346"/>
    <cellStyle name="Normal 4 2 2 2 3 3 2 5" xfId="4138"/>
    <cellStyle name="Normal 4 2 2 2 3 3 2 5 2" xfId="11662"/>
    <cellStyle name="Normal 4 2 2 2 3 3 2 5 2 2" xfId="26706"/>
    <cellStyle name="Normal 4 2 2 2 3 3 2 5 2 3" xfId="41749"/>
    <cellStyle name="Normal 4 2 2 2 3 3 2 5 3" xfId="19185"/>
    <cellStyle name="Normal 4 2 2 2 3 3 2 5 4" xfId="34228"/>
    <cellStyle name="Normal 4 2 2 2 3 3 2 6" xfId="7901"/>
    <cellStyle name="Normal 4 2 2 2 3 3 2 6 2" xfId="22945"/>
    <cellStyle name="Normal 4 2 2 2 3 3 2 6 3" xfId="37988"/>
    <cellStyle name="Normal 4 2 2 2 3 3 2 7" xfId="15424"/>
    <cellStyle name="Normal 4 2 2 2 3 3 2 8" xfId="30467"/>
    <cellStyle name="Normal 4 2 2 2 3 3 3" xfId="764"/>
    <cellStyle name="Normal 4 2 2 2 3 3 3 2" xfId="1723"/>
    <cellStyle name="Normal 4 2 2 2 3 3 3 2 2" xfId="3594"/>
    <cellStyle name="Normal 4 2 2 2 3 3 3 2 2 2" xfId="7389"/>
    <cellStyle name="Normal 4 2 2 2 3 3 3 2 2 2 2" xfId="14912"/>
    <cellStyle name="Normal 4 2 2 2 3 3 3 2 2 2 2 2" xfId="29956"/>
    <cellStyle name="Normal 4 2 2 2 3 3 3 2 2 2 2 3" xfId="44999"/>
    <cellStyle name="Normal 4 2 2 2 3 3 3 2 2 2 3" xfId="22435"/>
    <cellStyle name="Normal 4 2 2 2 3 3 3 2 2 2 4" xfId="37478"/>
    <cellStyle name="Normal 4 2 2 2 3 3 3 2 2 3" xfId="11163"/>
    <cellStyle name="Normal 4 2 2 2 3 3 3 2 2 3 2" xfId="26207"/>
    <cellStyle name="Normal 4 2 2 2 3 3 3 2 2 3 3" xfId="41250"/>
    <cellStyle name="Normal 4 2 2 2 3 3 3 2 2 4" xfId="18686"/>
    <cellStyle name="Normal 4 2 2 2 3 3 3 2 2 5" xfId="33729"/>
    <cellStyle name="Normal 4 2 2 2 3 3 3 2 3" xfId="5524"/>
    <cellStyle name="Normal 4 2 2 2 3 3 3 2 3 2" xfId="13047"/>
    <cellStyle name="Normal 4 2 2 2 3 3 3 2 3 2 2" xfId="28091"/>
    <cellStyle name="Normal 4 2 2 2 3 3 3 2 3 2 3" xfId="43134"/>
    <cellStyle name="Normal 4 2 2 2 3 3 3 2 3 3" xfId="20570"/>
    <cellStyle name="Normal 4 2 2 2 3 3 3 2 3 4" xfId="35613"/>
    <cellStyle name="Normal 4 2 2 2 3 3 3 2 4" xfId="9298"/>
    <cellStyle name="Normal 4 2 2 2 3 3 3 2 4 2" xfId="24342"/>
    <cellStyle name="Normal 4 2 2 2 3 3 3 2 4 3" xfId="39385"/>
    <cellStyle name="Normal 4 2 2 2 3 3 3 2 5" xfId="16821"/>
    <cellStyle name="Normal 4 2 2 2 3 3 3 2 6" xfId="31864"/>
    <cellStyle name="Normal 4 2 2 2 3 3 3 3" xfId="2662"/>
    <cellStyle name="Normal 4 2 2 2 3 3 3 3 2" xfId="6457"/>
    <cellStyle name="Normal 4 2 2 2 3 3 3 3 2 2" xfId="13980"/>
    <cellStyle name="Normal 4 2 2 2 3 3 3 3 2 2 2" xfId="29024"/>
    <cellStyle name="Normal 4 2 2 2 3 3 3 3 2 2 3" xfId="44067"/>
    <cellStyle name="Normal 4 2 2 2 3 3 3 3 2 3" xfId="21503"/>
    <cellStyle name="Normal 4 2 2 2 3 3 3 3 2 4" xfId="36546"/>
    <cellStyle name="Normal 4 2 2 2 3 3 3 3 3" xfId="10231"/>
    <cellStyle name="Normal 4 2 2 2 3 3 3 3 3 2" xfId="25275"/>
    <cellStyle name="Normal 4 2 2 2 3 3 3 3 3 3" xfId="40318"/>
    <cellStyle name="Normal 4 2 2 2 3 3 3 3 4" xfId="17754"/>
    <cellStyle name="Normal 4 2 2 2 3 3 3 3 5" xfId="32797"/>
    <cellStyle name="Normal 4 2 2 2 3 3 3 4" xfId="4592"/>
    <cellStyle name="Normal 4 2 2 2 3 3 3 4 2" xfId="12115"/>
    <cellStyle name="Normal 4 2 2 2 3 3 3 4 2 2" xfId="27159"/>
    <cellStyle name="Normal 4 2 2 2 3 3 3 4 2 3" xfId="42202"/>
    <cellStyle name="Normal 4 2 2 2 3 3 3 4 3" xfId="19638"/>
    <cellStyle name="Normal 4 2 2 2 3 3 3 4 4" xfId="34681"/>
    <cellStyle name="Normal 4 2 2 2 3 3 3 5" xfId="8366"/>
    <cellStyle name="Normal 4 2 2 2 3 3 3 5 2" xfId="23410"/>
    <cellStyle name="Normal 4 2 2 2 3 3 3 5 3" xfId="38453"/>
    <cellStyle name="Normal 4 2 2 2 3 3 3 6" xfId="15889"/>
    <cellStyle name="Normal 4 2 2 2 3 3 3 7" xfId="30932"/>
    <cellStyle name="Normal 4 2 2 2 3 3 4" xfId="1271"/>
    <cellStyle name="Normal 4 2 2 2 3 3 4 2" xfId="3142"/>
    <cellStyle name="Normal 4 2 2 2 3 3 4 2 2" xfId="6937"/>
    <cellStyle name="Normal 4 2 2 2 3 3 4 2 2 2" xfId="14460"/>
    <cellStyle name="Normal 4 2 2 2 3 3 4 2 2 2 2" xfId="29504"/>
    <cellStyle name="Normal 4 2 2 2 3 3 4 2 2 2 3" xfId="44547"/>
    <cellStyle name="Normal 4 2 2 2 3 3 4 2 2 3" xfId="21983"/>
    <cellStyle name="Normal 4 2 2 2 3 3 4 2 2 4" xfId="37026"/>
    <cellStyle name="Normal 4 2 2 2 3 3 4 2 3" xfId="10711"/>
    <cellStyle name="Normal 4 2 2 2 3 3 4 2 3 2" xfId="25755"/>
    <cellStyle name="Normal 4 2 2 2 3 3 4 2 3 3" xfId="40798"/>
    <cellStyle name="Normal 4 2 2 2 3 3 4 2 4" xfId="18234"/>
    <cellStyle name="Normal 4 2 2 2 3 3 4 2 5" xfId="33277"/>
    <cellStyle name="Normal 4 2 2 2 3 3 4 3" xfId="5072"/>
    <cellStyle name="Normal 4 2 2 2 3 3 4 3 2" xfId="12595"/>
    <cellStyle name="Normal 4 2 2 2 3 3 4 3 2 2" xfId="27639"/>
    <cellStyle name="Normal 4 2 2 2 3 3 4 3 2 3" xfId="42682"/>
    <cellStyle name="Normal 4 2 2 2 3 3 4 3 3" xfId="20118"/>
    <cellStyle name="Normal 4 2 2 2 3 3 4 3 4" xfId="35161"/>
    <cellStyle name="Normal 4 2 2 2 3 3 4 4" xfId="8846"/>
    <cellStyle name="Normal 4 2 2 2 3 3 4 4 2" xfId="23890"/>
    <cellStyle name="Normal 4 2 2 2 3 3 4 4 3" xfId="38933"/>
    <cellStyle name="Normal 4 2 2 2 3 3 4 5" xfId="16369"/>
    <cellStyle name="Normal 4 2 2 2 3 3 4 6" xfId="31412"/>
    <cellStyle name="Normal 4 2 2 2 3 3 5" xfId="2209"/>
    <cellStyle name="Normal 4 2 2 2 3 3 5 2" xfId="6005"/>
    <cellStyle name="Normal 4 2 2 2 3 3 5 2 2" xfId="13528"/>
    <cellStyle name="Normal 4 2 2 2 3 3 5 2 2 2" xfId="28572"/>
    <cellStyle name="Normal 4 2 2 2 3 3 5 2 2 3" xfId="43615"/>
    <cellStyle name="Normal 4 2 2 2 3 3 5 2 3" xfId="21051"/>
    <cellStyle name="Normal 4 2 2 2 3 3 5 2 4" xfId="36094"/>
    <cellStyle name="Normal 4 2 2 2 3 3 5 3" xfId="9779"/>
    <cellStyle name="Normal 4 2 2 2 3 3 5 3 2" xfId="24823"/>
    <cellStyle name="Normal 4 2 2 2 3 3 5 3 3" xfId="39866"/>
    <cellStyle name="Normal 4 2 2 2 3 3 5 4" xfId="17302"/>
    <cellStyle name="Normal 4 2 2 2 3 3 5 5" xfId="32345"/>
    <cellStyle name="Normal 4 2 2 2 3 3 6" xfId="4137"/>
    <cellStyle name="Normal 4 2 2 2 3 3 6 2" xfId="11661"/>
    <cellStyle name="Normal 4 2 2 2 3 3 6 2 2" xfId="26705"/>
    <cellStyle name="Normal 4 2 2 2 3 3 6 2 3" xfId="41748"/>
    <cellStyle name="Normal 4 2 2 2 3 3 6 3" xfId="19184"/>
    <cellStyle name="Normal 4 2 2 2 3 3 6 4" xfId="34227"/>
    <cellStyle name="Normal 4 2 2 2 3 3 7" xfId="7900"/>
    <cellStyle name="Normal 4 2 2 2 3 3 7 2" xfId="22944"/>
    <cellStyle name="Normal 4 2 2 2 3 3 7 3" xfId="37987"/>
    <cellStyle name="Normal 4 2 2 2 3 3 8" xfId="15423"/>
    <cellStyle name="Normal 4 2 2 2 3 3 9" xfId="30466"/>
    <cellStyle name="Normal 4 2 2 2 3 4" xfId="242"/>
    <cellStyle name="Normal 4 2 2 2 3 4 2" xfId="766"/>
    <cellStyle name="Normal 4 2 2 2 3 4 2 2" xfId="1725"/>
    <cellStyle name="Normal 4 2 2 2 3 4 2 2 2" xfId="3596"/>
    <cellStyle name="Normal 4 2 2 2 3 4 2 2 2 2" xfId="7391"/>
    <cellStyle name="Normal 4 2 2 2 3 4 2 2 2 2 2" xfId="14914"/>
    <cellStyle name="Normal 4 2 2 2 3 4 2 2 2 2 2 2" xfId="29958"/>
    <cellStyle name="Normal 4 2 2 2 3 4 2 2 2 2 2 3" xfId="45001"/>
    <cellStyle name="Normal 4 2 2 2 3 4 2 2 2 2 3" xfId="22437"/>
    <cellStyle name="Normal 4 2 2 2 3 4 2 2 2 2 4" xfId="37480"/>
    <cellStyle name="Normal 4 2 2 2 3 4 2 2 2 3" xfId="11165"/>
    <cellStyle name="Normal 4 2 2 2 3 4 2 2 2 3 2" xfId="26209"/>
    <cellStyle name="Normal 4 2 2 2 3 4 2 2 2 3 3" xfId="41252"/>
    <cellStyle name="Normal 4 2 2 2 3 4 2 2 2 4" xfId="18688"/>
    <cellStyle name="Normal 4 2 2 2 3 4 2 2 2 5" xfId="33731"/>
    <cellStyle name="Normal 4 2 2 2 3 4 2 2 3" xfId="5526"/>
    <cellStyle name="Normal 4 2 2 2 3 4 2 2 3 2" xfId="13049"/>
    <cellStyle name="Normal 4 2 2 2 3 4 2 2 3 2 2" xfId="28093"/>
    <cellStyle name="Normal 4 2 2 2 3 4 2 2 3 2 3" xfId="43136"/>
    <cellStyle name="Normal 4 2 2 2 3 4 2 2 3 3" xfId="20572"/>
    <cellStyle name="Normal 4 2 2 2 3 4 2 2 3 4" xfId="35615"/>
    <cellStyle name="Normal 4 2 2 2 3 4 2 2 4" xfId="9300"/>
    <cellStyle name="Normal 4 2 2 2 3 4 2 2 4 2" xfId="24344"/>
    <cellStyle name="Normal 4 2 2 2 3 4 2 2 4 3" xfId="39387"/>
    <cellStyle name="Normal 4 2 2 2 3 4 2 2 5" xfId="16823"/>
    <cellStyle name="Normal 4 2 2 2 3 4 2 2 6" xfId="31866"/>
    <cellStyle name="Normal 4 2 2 2 3 4 2 3" xfId="2664"/>
    <cellStyle name="Normal 4 2 2 2 3 4 2 3 2" xfId="6459"/>
    <cellStyle name="Normal 4 2 2 2 3 4 2 3 2 2" xfId="13982"/>
    <cellStyle name="Normal 4 2 2 2 3 4 2 3 2 2 2" xfId="29026"/>
    <cellStyle name="Normal 4 2 2 2 3 4 2 3 2 2 3" xfId="44069"/>
    <cellStyle name="Normal 4 2 2 2 3 4 2 3 2 3" xfId="21505"/>
    <cellStyle name="Normal 4 2 2 2 3 4 2 3 2 4" xfId="36548"/>
    <cellStyle name="Normal 4 2 2 2 3 4 2 3 3" xfId="10233"/>
    <cellStyle name="Normal 4 2 2 2 3 4 2 3 3 2" xfId="25277"/>
    <cellStyle name="Normal 4 2 2 2 3 4 2 3 3 3" xfId="40320"/>
    <cellStyle name="Normal 4 2 2 2 3 4 2 3 4" xfId="17756"/>
    <cellStyle name="Normal 4 2 2 2 3 4 2 3 5" xfId="32799"/>
    <cellStyle name="Normal 4 2 2 2 3 4 2 4" xfId="4594"/>
    <cellStyle name="Normal 4 2 2 2 3 4 2 4 2" xfId="12117"/>
    <cellStyle name="Normal 4 2 2 2 3 4 2 4 2 2" xfId="27161"/>
    <cellStyle name="Normal 4 2 2 2 3 4 2 4 2 3" xfId="42204"/>
    <cellStyle name="Normal 4 2 2 2 3 4 2 4 3" xfId="19640"/>
    <cellStyle name="Normal 4 2 2 2 3 4 2 4 4" xfId="34683"/>
    <cellStyle name="Normal 4 2 2 2 3 4 2 5" xfId="8368"/>
    <cellStyle name="Normal 4 2 2 2 3 4 2 5 2" xfId="23412"/>
    <cellStyle name="Normal 4 2 2 2 3 4 2 5 3" xfId="38455"/>
    <cellStyle name="Normal 4 2 2 2 3 4 2 6" xfId="15891"/>
    <cellStyle name="Normal 4 2 2 2 3 4 2 7" xfId="30934"/>
    <cellStyle name="Normal 4 2 2 2 3 4 3" xfId="1273"/>
    <cellStyle name="Normal 4 2 2 2 3 4 3 2" xfId="3144"/>
    <cellStyle name="Normal 4 2 2 2 3 4 3 2 2" xfId="6939"/>
    <cellStyle name="Normal 4 2 2 2 3 4 3 2 2 2" xfId="14462"/>
    <cellStyle name="Normal 4 2 2 2 3 4 3 2 2 2 2" xfId="29506"/>
    <cellStyle name="Normal 4 2 2 2 3 4 3 2 2 2 3" xfId="44549"/>
    <cellStyle name="Normal 4 2 2 2 3 4 3 2 2 3" xfId="21985"/>
    <cellStyle name="Normal 4 2 2 2 3 4 3 2 2 4" xfId="37028"/>
    <cellStyle name="Normal 4 2 2 2 3 4 3 2 3" xfId="10713"/>
    <cellStyle name="Normal 4 2 2 2 3 4 3 2 3 2" xfId="25757"/>
    <cellStyle name="Normal 4 2 2 2 3 4 3 2 3 3" xfId="40800"/>
    <cellStyle name="Normal 4 2 2 2 3 4 3 2 4" xfId="18236"/>
    <cellStyle name="Normal 4 2 2 2 3 4 3 2 5" xfId="33279"/>
    <cellStyle name="Normal 4 2 2 2 3 4 3 3" xfId="5074"/>
    <cellStyle name="Normal 4 2 2 2 3 4 3 3 2" xfId="12597"/>
    <cellStyle name="Normal 4 2 2 2 3 4 3 3 2 2" xfId="27641"/>
    <cellStyle name="Normal 4 2 2 2 3 4 3 3 2 3" xfId="42684"/>
    <cellStyle name="Normal 4 2 2 2 3 4 3 3 3" xfId="20120"/>
    <cellStyle name="Normal 4 2 2 2 3 4 3 3 4" xfId="35163"/>
    <cellStyle name="Normal 4 2 2 2 3 4 3 4" xfId="8848"/>
    <cellStyle name="Normal 4 2 2 2 3 4 3 4 2" xfId="23892"/>
    <cellStyle name="Normal 4 2 2 2 3 4 3 4 3" xfId="38935"/>
    <cellStyle name="Normal 4 2 2 2 3 4 3 5" xfId="16371"/>
    <cellStyle name="Normal 4 2 2 2 3 4 3 6" xfId="31414"/>
    <cellStyle name="Normal 4 2 2 2 3 4 4" xfId="2211"/>
    <cellStyle name="Normal 4 2 2 2 3 4 4 2" xfId="6007"/>
    <cellStyle name="Normal 4 2 2 2 3 4 4 2 2" xfId="13530"/>
    <cellStyle name="Normal 4 2 2 2 3 4 4 2 2 2" xfId="28574"/>
    <cellStyle name="Normal 4 2 2 2 3 4 4 2 2 3" xfId="43617"/>
    <cellStyle name="Normal 4 2 2 2 3 4 4 2 3" xfId="21053"/>
    <cellStyle name="Normal 4 2 2 2 3 4 4 2 4" xfId="36096"/>
    <cellStyle name="Normal 4 2 2 2 3 4 4 3" xfId="9781"/>
    <cellStyle name="Normal 4 2 2 2 3 4 4 3 2" xfId="24825"/>
    <cellStyle name="Normal 4 2 2 2 3 4 4 3 3" xfId="39868"/>
    <cellStyle name="Normal 4 2 2 2 3 4 4 4" xfId="17304"/>
    <cellStyle name="Normal 4 2 2 2 3 4 4 5" xfId="32347"/>
    <cellStyle name="Normal 4 2 2 2 3 4 5" xfId="4139"/>
    <cellStyle name="Normal 4 2 2 2 3 4 5 2" xfId="11663"/>
    <cellStyle name="Normal 4 2 2 2 3 4 5 2 2" xfId="26707"/>
    <cellStyle name="Normal 4 2 2 2 3 4 5 2 3" xfId="41750"/>
    <cellStyle name="Normal 4 2 2 2 3 4 5 3" xfId="19186"/>
    <cellStyle name="Normal 4 2 2 2 3 4 5 4" xfId="34229"/>
    <cellStyle name="Normal 4 2 2 2 3 4 6" xfId="7902"/>
    <cellStyle name="Normal 4 2 2 2 3 4 6 2" xfId="22946"/>
    <cellStyle name="Normal 4 2 2 2 3 4 6 3" xfId="37989"/>
    <cellStyle name="Normal 4 2 2 2 3 4 7" xfId="15425"/>
    <cellStyle name="Normal 4 2 2 2 3 4 8" xfId="30468"/>
    <cellStyle name="Normal 4 2 2 2 3 5" xfId="761"/>
    <cellStyle name="Normal 4 2 2 2 3 5 2" xfId="1720"/>
    <cellStyle name="Normal 4 2 2 2 3 5 2 2" xfId="3591"/>
    <cellStyle name="Normal 4 2 2 2 3 5 2 2 2" xfId="7386"/>
    <cellStyle name="Normal 4 2 2 2 3 5 2 2 2 2" xfId="14909"/>
    <cellStyle name="Normal 4 2 2 2 3 5 2 2 2 2 2" xfId="29953"/>
    <cellStyle name="Normal 4 2 2 2 3 5 2 2 2 2 3" xfId="44996"/>
    <cellStyle name="Normal 4 2 2 2 3 5 2 2 2 3" xfId="22432"/>
    <cellStyle name="Normal 4 2 2 2 3 5 2 2 2 4" xfId="37475"/>
    <cellStyle name="Normal 4 2 2 2 3 5 2 2 3" xfId="11160"/>
    <cellStyle name="Normal 4 2 2 2 3 5 2 2 3 2" xfId="26204"/>
    <cellStyle name="Normal 4 2 2 2 3 5 2 2 3 3" xfId="41247"/>
    <cellStyle name="Normal 4 2 2 2 3 5 2 2 4" xfId="18683"/>
    <cellStyle name="Normal 4 2 2 2 3 5 2 2 5" xfId="33726"/>
    <cellStyle name="Normal 4 2 2 2 3 5 2 3" xfId="5521"/>
    <cellStyle name="Normal 4 2 2 2 3 5 2 3 2" xfId="13044"/>
    <cellStyle name="Normal 4 2 2 2 3 5 2 3 2 2" xfId="28088"/>
    <cellStyle name="Normal 4 2 2 2 3 5 2 3 2 3" xfId="43131"/>
    <cellStyle name="Normal 4 2 2 2 3 5 2 3 3" xfId="20567"/>
    <cellStyle name="Normal 4 2 2 2 3 5 2 3 4" xfId="35610"/>
    <cellStyle name="Normal 4 2 2 2 3 5 2 4" xfId="9295"/>
    <cellStyle name="Normal 4 2 2 2 3 5 2 4 2" xfId="24339"/>
    <cellStyle name="Normal 4 2 2 2 3 5 2 4 3" xfId="39382"/>
    <cellStyle name="Normal 4 2 2 2 3 5 2 5" xfId="16818"/>
    <cellStyle name="Normal 4 2 2 2 3 5 2 6" xfId="31861"/>
    <cellStyle name="Normal 4 2 2 2 3 5 3" xfId="2659"/>
    <cellStyle name="Normal 4 2 2 2 3 5 3 2" xfId="6454"/>
    <cellStyle name="Normal 4 2 2 2 3 5 3 2 2" xfId="13977"/>
    <cellStyle name="Normal 4 2 2 2 3 5 3 2 2 2" xfId="29021"/>
    <cellStyle name="Normal 4 2 2 2 3 5 3 2 2 3" xfId="44064"/>
    <cellStyle name="Normal 4 2 2 2 3 5 3 2 3" xfId="21500"/>
    <cellStyle name="Normal 4 2 2 2 3 5 3 2 4" xfId="36543"/>
    <cellStyle name="Normal 4 2 2 2 3 5 3 3" xfId="10228"/>
    <cellStyle name="Normal 4 2 2 2 3 5 3 3 2" xfId="25272"/>
    <cellStyle name="Normal 4 2 2 2 3 5 3 3 3" xfId="40315"/>
    <cellStyle name="Normal 4 2 2 2 3 5 3 4" xfId="17751"/>
    <cellStyle name="Normal 4 2 2 2 3 5 3 5" xfId="32794"/>
    <cellStyle name="Normal 4 2 2 2 3 5 4" xfId="4589"/>
    <cellStyle name="Normal 4 2 2 2 3 5 4 2" xfId="12112"/>
    <cellStyle name="Normal 4 2 2 2 3 5 4 2 2" xfId="27156"/>
    <cellStyle name="Normal 4 2 2 2 3 5 4 2 3" xfId="42199"/>
    <cellStyle name="Normal 4 2 2 2 3 5 4 3" xfId="19635"/>
    <cellStyle name="Normal 4 2 2 2 3 5 4 4" xfId="34678"/>
    <cellStyle name="Normal 4 2 2 2 3 5 5" xfId="8363"/>
    <cellStyle name="Normal 4 2 2 2 3 5 5 2" xfId="23407"/>
    <cellStyle name="Normal 4 2 2 2 3 5 5 3" xfId="38450"/>
    <cellStyle name="Normal 4 2 2 2 3 5 6" xfId="15886"/>
    <cellStyle name="Normal 4 2 2 2 3 5 7" xfId="30929"/>
    <cellStyle name="Normal 4 2 2 2 3 6" xfId="1268"/>
    <cellStyle name="Normal 4 2 2 2 3 6 2" xfId="3139"/>
    <cellStyle name="Normal 4 2 2 2 3 6 2 2" xfId="6934"/>
    <cellStyle name="Normal 4 2 2 2 3 6 2 2 2" xfId="14457"/>
    <cellStyle name="Normal 4 2 2 2 3 6 2 2 2 2" xfId="29501"/>
    <cellStyle name="Normal 4 2 2 2 3 6 2 2 2 3" xfId="44544"/>
    <cellStyle name="Normal 4 2 2 2 3 6 2 2 3" xfId="21980"/>
    <cellStyle name="Normal 4 2 2 2 3 6 2 2 4" xfId="37023"/>
    <cellStyle name="Normal 4 2 2 2 3 6 2 3" xfId="10708"/>
    <cellStyle name="Normal 4 2 2 2 3 6 2 3 2" xfId="25752"/>
    <cellStyle name="Normal 4 2 2 2 3 6 2 3 3" xfId="40795"/>
    <cellStyle name="Normal 4 2 2 2 3 6 2 4" xfId="18231"/>
    <cellStyle name="Normal 4 2 2 2 3 6 2 5" xfId="33274"/>
    <cellStyle name="Normal 4 2 2 2 3 6 3" xfId="5069"/>
    <cellStyle name="Normal 4 2 2 2 3 6 3 2" xfId="12592"/>
    <cellStyle name="Normal 4 2 2 2 3 6 3 2 2" xfId="27636"/>
    <cellStyle name="Normal 4 2 2 2 3 6 3 2 3" xfId="42679"/>
    <cellStyle name="Normal 4 2 2 2 3 6 3 3" xfId="20115"/>
    <cellStyle name="Normal 4 2 2 2 3 6 3 4" xfId="35158"/>
    <cellStyle name="Normal 4 2 2 2 3 6 4" xfId="8843"/>
    <cellStyle name="Normal 4 2 2 2 3 6 4 2" xfId="23887"/>
    <cellStyle name="Normal 4 2 2 2 3 6 4 3" xfId="38930"/>
    <cellStyle name="Normal 4 2 2 2 3 6 5" xfId="16366"/>
    <cellStyle name="Normal 4 2 2 2 3 6 6" xfId="31409"/>
    <cellStyle name="Normal 4 2 2 2 3 7" xfId="2206"/>
    <cellStyle name="Normal 4 2 2 2 3 7 2" xfId="6002"/>
    <cellStyle name="Normal 4 2 2 2 3 7 2 2" xfId="13525"/>
    <cellStyle name="Normal 4 2 2 2 3 7 2 2 2" xfId="28569"/>
    <cellStyle name="Normal 4 2 2 2 3 7 2 2 3" xfId="43612"/>
    <cellStyle name="Normal 4 2 2 2 3 7 2 3" xfId="21048"/>
    <cellStyle name="Normal 4 2 2 2 3 7 2 4" xfId="36091"/>
    <cellStyle name="Normal 4 2 2 2 3 7 3" xfId="9776"/>
    <cellStyle name="Normal 4 2 2 2 3 7 3 2" xfId="24820"/>
    <cellStyle name="Normal 4 2 2 2 3 7 3 3" xfId="39863"/>
    <cellStyle name="Normal 4 2 2 2 3 7 4" xfId="17299"/>
    <cellStyle name="Normal 4 2 2 2 3 7 5" xfId="32342"/>
    <cellStyle name="Normal 4 2 2 2 3 8" xfId="4134"/>
    <cellStyle name="Normal 4 2 2 2 3 8 2" xfId="11658"/>
    <cellStyle name="Normal 4 2 2 2 3 8 2 2" xfId="26702"/>
    <cellStyle name="Normal 4 2 2 2 3 8 2 3" xfId="41745"/>
    <cellStyle name="Normal 4 2 2 2 3 8 3" xfId="19181"/>
    <cellStyle name="Normal 4 2 2 2 3 8 4" xfId="34224"/>
    <cellStyle name="Normal 4 2 2 2 3 9" xfId="7897"/>
    <cellStyle name="Normal 4 2 2 2 3 9 2" xfId="22941"/>
    <cellStyle name="Normal 4 2 2 2 3 9 3" xfId="37984"/>
    <cellStyle name="Normal 4 2 2 2 4" xfId="243"/>
    <cellStyle name="Normal 4 2 2 2 4 2" xfId="244"/>
    <cellStyle name="Normal 4 2 2 2 4 2 2" xfId="768"/>
    <cellStyle name="Normal 4 2 2 2 4 2 2 2" xfId="1727"/>
    <cellStyle name="Normal 4 2 2 2 4 2 2 2 2" xfId="3598"/>
    <cellStyle name="Normal 4 2 2 2 4 2 2 2 2 2" xfId="7393"/>
    <cellStyle name="Normal 4 2 2 2 4 2 2 2 2 2 2" xfId="14916"/>
    <cellStyle name="Normal 4 2 2 2 4 2 2 2 2 2 2 2" xfId="29960"/>
    <cellStyle name="Normal 4 2 2 2 4 2 2 2 2 2 2 3" xfId="45003"/>
    <cellStyle name="Normal 4 2 2 2 4 2 2 2 2 2 3" xfId="22439"/>
    <cellStyle name="Normal 4 2 2 2 4 2 2 2 2 2 4" xfId="37482"/>
    <cellStyle name="Normal 4 2 2 2 4 2 2 2 2 3" xfId="11167"/>
    <cellStyle name="Normal 4 2 2 2 4 2 2 2 2 3 2" xfId="26211"/>
    <cellStyle name="Normal 4 2 2 2 4 2 2 2 2 3 3" xfId="41254"/>
    <cellStyle name="Normal 4 2 2 2 4 2 2 2 2 4" xfId="18690"/>
    <cellStyle name="Normal 4 2 2 2 4 2 2 2 2 5" xfId="33733"/>
    <cellStyle name="Normal 4 2 2 2 4 2 2 2 3" xfId="5528"/>
    <cellStyle name="Normal 4 2 2 2 4 2 2 2 3 2" xfId="13051"/>
    <cellStyle name="Normal 4 2 2 2 4 2 2 2 3 2 2" xfId="28095"/>
    <cellStyle name="Normal 4 2 2 2 4 2 2 2 3 2 3" xfId="43138"/>
    <cellStyle name="Normal 4 2 2 2 4 2 2 2 3 3" xfId="20574"/>
    <cellStyle name="Normal 4 2 2 2 4 2 2 2 3 4" xfId="35617"/>
    <cellStyle name="Normal 4 2 2 2 4 2 2 2 4" xfId="9302"/>
    <cellStyle name="Normal 4 2 2 2 4 2 2 2 4 2" xfId="24346"/>
    <cellStyle name="Normal 4 2 2 2 4 2 2 2 4 3" xfId="39389"/>
    <cellStyle name="Normal 4 2 2 2 4 2 2 2 5" xfId="16825"/>
    <cellStyle name="Normal 4 2 2 2 4 2 2 2 6" xfId="31868"/>
    <cellStyle name="Normal 4 2 2 2 4 2 2 3" xfId="2666"/>
    <cellStyle name="Normal 4 2 2 2 4 2 2 3 2" xfId="6461"/>
    <cellStyle name="Normal 4 2 2 2 4 2 2 3 2 2" xfId="13984"/>
    <cellStyle name="Normal 4 2 2 2 4 2 2 3 2 2 2" xfId="29028"/>
    <cellStyle name="Normal 4 2 2 2 4 2 2 3 2 2 3" xfId="44071"/>
    <cellStyle name="Normal 4 2 2 2 4 2 2 3 2 3" xfId="21507"/>
    <cellStyle name="Normal 4 2 2 2 4 2 2 3 2 4" xfId="36550"/>
    <cellStyle name="Normal 4 2 2 2 4 2 2 3 3" xfId="10235"/>
    <cellStyle name="Normal 4 2 2 2 4 2 2 3 3 2" xfId="25279"/>
    <cellStyle name="Normal 4 2 2 2 4 2 2 3 3 3" xfId="40322"/>
    <cellStyle name="Normal 4 2 2 2 4 2 2 3 4" xfId="17758"/>
    <cellStyle name="Normal 4 2 2 2 4 2 2 3 5" xfId="32801"/>
    <cellStyle name="Normal 4 2 2 2 4 2 2 4" xfId="4596"/>
    <cellStyle name="Normal 4 2 2 2 4 2 2 4 2" xfId="12119"/>
    <cellStyle name="Normal 4 2 2 2 4 2 2 4 2 2" xfId="27163"/>
    <cellStyle name="Normal 4 2 2 2 4 2 2 4 2 3" xfId="42206"/>
    <cellStyle name="Normal 4 2 2 2 4 2 2 4 3" xfId="19642"/>
    <cellStyle name="Normal 4 2 2 2 4 2 2 4 4" xfId="34685"/>
    <cellStyle name="Normal 4 2 2 2 4 2 2 5" xfId="8370"/>
    <cellStyle name="Normal 4 2 2 2 4 2 2 5 2" xfId="23414"/>
    <cellStyle name="Normal 4 2 2 2 4 2 2 5 3" xfId="38457"/>
    <cellStyle name="Normal 4 2 2 2 4 2 2 6" xfId="15893"/>
    <cellStyle name="Normal 4 2 2 2 4 2 2 7" xfId="30936"/>
    <cellStyle name="Normal 4 2 2 2 4 2 3" xfId="1275"/>
    <cellStyle name="Normal 4 2 2 2 4 2 3 2" xfId="3146"/>
    <cellStyle name="Normal 4 2 2 2 4 2 3 2 2" xfId="6941"/>
    <cellStyle name="Normal 4 2 2 2 4 2 3 2 2 2" xfId="14464"/>
    <cellStyle name="Normal 4 2 2 2 4 2 3 2 2 2 2" xfId="29508"/>
    <cellStyle name="Normal 4 2 2 2 4 2 3 2 2 2 3" xfId="44551"/>
    <cellStyle name="Normal 4 2 2 2 4 2 3 2 2 3" xfId="21987"/>
    <cellStyle name="Normal 4 2 2 2 4 2 3 2 2 4" xfId="37030"/>
    <cellStyle name="Normal 4 2 2 2 4 2 3 2 3" xfId="10715"/>
    <cellStyle name="Normal 4 2 2 2 4 2 3 2 3 2" xfId="25759"/>
    <cellStyle name="Normal 4 2 2 2 4 2 3 2 3 3" xfId="40802"/>
    <cellStyle name="Normal 4 2 2 2 4 2 3 2 4" xfId="18238"/>
    <cellStyle name="Normal 4 2 2 2 4 2 3 2 5" xfId="33281"/>
    <cellStyle name="Normal 4 2 2 2 4 2 3 3" xfId="5076"/>
    <cellStyle name="Normal 4 2 2 2 4 2 3 3 2" xfId="12599"/>
    <cellStyle name="Normal 4 2 2 2 4 2 3 3 2 2" xfId="27643"/>
    <cellStyle name="Normal 4 2 2 2 4 2 3 3 2 3" xfId="42686"/>
    <cellStyle name="Normal 4 2 2 2 4 2 3 3 3" xfId="20122"/>
    <cellStyle name="Normal 4 2 2 2 4 2 3 3 4" xfId="35165"/>
    <cellStyle name="Normal 4 2 2 2 4 2 3 4" xfId="8850"/>
    <cellStyle name="Normal 4 2 2 2 4 2 3 4 2" xfId="23894"/>
    <cellStyle name="Normal 4 2 2 2 4 2 3 4 3" xfId="38937"/>
    <cellStyle name="Normal 4 2 2 2 4 2 3 5" xfId="16373"/>
    <cellStyle name="Normal 4 2 2 2 4 2 3 6" xfId="31416"/>
    <cellStyle name="Normal 4 2 2 2 4 2 4" xfId="2213"/>
    <cellStyle name="Normal 4 2 2 2 4 2 4 2" xfId="6009"/>
    <cellStyle name="Normal 4 2 2 2 4 2 4 2 2" xfId="13532"/>
    <cellStyle name="Normal 4 2 2 2 4 2 4 2 2 2" xfId="28576"/>
    <cellStyle name="Normal 4 2 2 2 4 2 4 2 2 3" xfId="43619"/>
    <cellStyle name="Normal 4 2 2 2 4 2 4 2 3" xfId="21055"/>
    <cellStyle name="Normal 4 2 2 2 4 2 4 2 4" xfId="36098"/>
    <cellStyle name="Normal 4 2 2 2 4 2 4 3" xfId="9783"/>
    <cellStyle name="Normal 4 2 2 2 4 2 4 3 2" xfId="24827"/>
    <cellStyle name="Normal 4 2 2 2 4 2 4 3 3" xfId="39870"/>
    <cellStyle name="Normal 4 2 2 2 4 2 4 4" xfId="17306"/>
    <cellStyle name="Normal 4 2 2 2 4 2 4 5" xfId="32349"/>
    <cellStyle name="Normal 4 2 2 2 4 2 5" xfId="4141"/>
    <cellStyle name="Normal 4 2 2 2 4 2 5 2" xfId="11665"/>
    <cellStyle name="Normal 4 2 2 2 4 2 5 2 2" xfId="26709"/>
    <cellStyle name="Normal 4 2 2 2 4 2 5 2 3" xfId="41752"/>
    <cellStyle name="Normal 4 2 2 2 4 2 5 3" xfId="19188"/>
    <cellStyle name="Normal 4 2 2 2 4 2 5 4" xfId="34231"/>
    <cellStyle name="Normal 4 2 2 2 4 2 6" xfId="7904"/>
    <cellStyle name="Normal 4 2 2 2 4 2 6 2" xfId="22948"/>
    <cellStyle name="Normal 4 2 2 2 4 2 6 3" xfId="37991"/>
    <cellStyle name="Normal 4 2 2 2 4 2 7" xfId="15427"/>
    <cellStyle name="Normal 4 2 2 2 4 2 8" xfId="30470"/>
    <cellStyle name="Normal 4 2 2 2 4 3" xfId="767"/>
    <cellStyle name="Normal 4 2 2 2 4 3 2" xfId="1726"/>
    <cellStyle name="Normal 4 2 2 2 4 3 2 2" xfId="3597"/>
    <cellStyle name="Normal 4 2 2 2 4 3 2 2 2" xfId="7392"/>
    <cellStyle name="Normal 4 2 2 2 4 3 2 2 2 2" xfId="14915"/>
    <cellStyle name="Normal 4 2 2 2 4 3 2 2 2 2 2" xfId="29959"/>
    <cellStyle name="Normal 4 2 2 2 4 3 2 2 2 2 3" xfId="45002"/>
    <cellStyle name="Normal 4 2 2 2 4 3 2 2 2 3" xfId="22438"/>
    <cellStyle name="Normal 4 2 2 2 4 3 2 2 2 4" xfId="37481"/>
    <cellStyle name="Normal 4 2 2 2 4 3 2 2 3" xfId="11166"/>
    <cellStyle name="Normal 4 2 2 2 4 3 2 2 3 2" xfId="26210"/>
    <cellStyle name="Normal 4 2 2 2 4 3 2 2 3 3" xfId="41253"/>
    <cellStyle name="Normal 4 2 2 2 4 3 2 2 4" xfId="18689"/>
    <cellStyle name="Normal 4 2 2 2 4 3 2 2 5" xfId="33732"/>
    <cellStyle name="Normal 4 2 2 2 4 3 2 3" xfId="5527"/>
    <cellStyle name="Normal 4 2 2 2 4 3 2 3 2" xfId="13050"/>
    <cellStyle name="Normal 4 2 2 2 4 3 2 3 2 2" xfId="28094"/>
    <cellStyle name="Normal 4 2 2 2 4 3 2 3 2 3" xfId="43137"/>
    <cellStyle name="Normal 4 2 2 2 4 3 2 3 3" xfId="20573"/>
    <cellStyle name="Normal 4 2 2 2 4 3 2 3 4" xfId="35616"/>
    <cellStyle name="Normal 4 2 2 2 4 3 2 4" xfId="9301"/>
    <cellStyle name="Normal 4 2 2 2 4 3 2 4 2" xfId="24345"/>
    <cellStyle name="Normal 4 2 2 2 4 3 2 4 3" xfId="39388"/>
    <cellStyle name="Normal 4 2 2 2 4 3 2 5" xfId="16824"/>
    <cellStyle name="Normal 4 2 2 2 4 3 2 6" xfId="31867"/>
    <cellStyle name="Normal 4 2 2 2 4 3 3" xfId="2665"/>
    <cellStyle name="Normal 4 2 2 2 4 3 3 2" xfId="6460"/>
    <cellStyle name="Normal 4 2 2 2 4 3 3 2 2" xfId="13983"/>
    <cellStyle name="Normal 4 2 2 2 4 3 3 2 2 2" xfId="29027"/>
    <cellStyle name="Normal 4 2 2 2 4 3 3 2 2 3" xfId="44070"/>
    <cellStyle name="Normal 4 2 2 2 4 3 3 2 3" xfId="21506"/>
    <cellStyle name="Normal 4 2 2 2 4 3 3 2 4" xfId="36549"/>
    <cellStyle name="Normal 4 2 2 2 4 3 3 3" xfId="10234"/>
    <cellStyle name="Normal 4 2 2 2 4 3 3 3 2" xfId="25278"/>
    <cellStyle name="Normal 4 2 2 2 4 3 3 3 3" xfId="40321"/>
    <cellStyle name="Normal 4 2 2 2 4 3 3 4" xfId="17757"/>
    <cellStyle name="Normal 4 2 2 2 4 3 3 5" xfId="32800"/>
    <cellStyle name="Normal 4 2 2 2 4 3 4" xfId="4595"/>
    <cellStyle name="Normal 4 2 2 2 4 3 4 2" xfId="12118"/>
    <cellStyle name="Normal 4 2 2 2 4 3 4 2 2" xfId="27162"/>
    <cellStyle name="Normal 4 2 2 2 4 3 4 2 3" xfId="42205"/>
    <cellStyle name="Normal 4 2 2 2 4 3 4 3" xfId="19641"/>
    <cellStyle name="Normal 4 2 2 2 4 3 4 4" xfId="34684"/>
    <cellStyle name="Normal 4 2 2 2 4 3 5" xfId="8369"/>
    <cellStyle name="Normal 4 2 2 2 4 3 5 2" xfId="23413"/>
    <cellStyle name="Normal 4 2 2 2 4 3 5 3" xfId="38456"/>
    <cellStyle name="Normal 4 2 2 2 4 3 6" xfId="15892"/>
    <cellStyle name="Normal 4 2 2 2 4 3 7" xfId="30935"/>
    <cellStyle name="Normal 4 2 2 2 4 4" xfId="1274"/>
    <cellStyle name="Normal 4 2 2 2 4 4 2" xfId="3145"/>
    <cellStyle name="Normal 4 2 2 2 4 4 2 2" xfId="6940"/>
    <cellStyle name="Normal 4 2 2 2 4 4 2 2 2" xfId="14463"/>
    <cellStyle name="Normal 4 2 2 2 4 4 2 2 2 2" xfId="29507"/>
    <cellStyle name="Normal 4 2 2 2 4 4 2 2 2 3" xfId="44550"/>
    <cellStyle name="Normal 4 2 2 2 4 4 2 2 3" xfId="21986"/>
    <cellStyle name="Normal 4 2 2 2 4 4 2 2 4" xfId="37029"/>
    <cellStyle name="Normal 4 2 2 2 4 4 2 3" xfId="10714"/>
    <cellStyle name="Normal 4 2 2 2 4 4 2 3 2" xfId="25758"/>
    <cellStyle name="Normal 4 2 2 2 4 4 2 3 3" xfId="40801"/>
    <cellStyle name="Normal 4 2 2 2 4 4 2 4" xfId="18237"/>
    <cellStyle name="Normal 4 2 2 2 4 4 2 5" xfId="33280"/>
    <cellStyle name="Normal 4 2 2 2 4 4 3" xfId="5075"/>
    <cellStyle name="Normal 4 2 2 2 4 4 3 2" xfId="12598"/>
    <cellStyle name="Normal 4 2 2 2 4 4 3 2 2" xfId="27642"/>
    <cellStyle name="Normal 4 2 2 2 4 4 3 2 3" xfId="42685"/>
    <cellStyle name="Normal 4 2 2 2 4 4 3 3" xfId="20121"/>
    <cellStyle name="Normal 4 2 2 2 4 4 3 4" xfId="35164"/>
    <cellStyle name="Normal 4 2 2 2 4 4 4" xfId="8849"/>
    <cellStyle name="Normal 4 2 2 2 4 4 4 2" xfId="23893"/>
    <cellStyle name="Normal 4 2 2 2 4 4 4 3" xfId="38936"/>
    <cellStyle name="Normal 4 2 2 2 4 4 5" xfId="16372"/>
    <cellStyle name="Normal 4 2 2 2 4 4 6" xfId="31415"/>
    <cellStyle name="Normal 4 2 2 2 4 5" xfId="2212"/>
    <cellStyle name="Normal 4 2 2 2 4 5 2" xfId="6008"/>
    <cellStyle name="Normal 4 2 2 2 4 5 2 2" xfId="13531"/>
    <cellStyle name="Normal 4 2 2 2 4 5 2 2 2" xfId="28575"/>
    <cellStyle name="Normal 4 2 2 2 4 5 2 2 3" xfId="43618"/>
    <cellStyle name="Normal 4 2 2 2 4 5 2 3" xfId="21054"/>
    <cellStyle name="Normal 4 2 2 2 4 5 2 4" xfId="36097"/>
    <cellStyle name="Normal 4 2 2 2 4 5 3" xfId="9782"/>
    <cellStyle name="Normal 4 2 2 2 4 5 3 2" xfId="24826"/>
    <cellStyle name="Normal 4 2 2 2 4 5 3 3" xfId="39869"/>
    <cellStyle name="Normal 4 2 2 2 4 5 4" xfId="17305"/>
    <cellStyle name="Normal 4 2 2 2 4 5 5" xfId="32348"/>
    <cellStyle name="Normal 4 2 2 2 4 6" xfId="4140"/>
    <cellStyle name="Normal 4 2 2 2 4 6 2" xfId="11664"/>
    <cellStyle name="Normal 4 2 2 2 4 6 2 2" xfId="26708"/>
    <cellStyle name="Normal 4 2 2 2 4 6 2 3" xfId="41751"/>
    <cellStyle name="Normal 4 2 2 2 4 6 3" xfId="19187"/>
    <cellStyle name="Normal 4 2 2 2 4 6 4" xfId="34230"/>
    <cellStyle name="Normal 4 2 2 2 4 7" xfId="7903"/>
    <cellStyle name="Normal 4 2 2 2 4 7 2" xfId="22947"/>
    <cellStyle name="Normal 4 2 2 2 4 7 3" xfId="37990"/>
    <cellStyle name="Normal 4 2 2 2 4 8" xfId="15426"/>
    <cellStyle name="Normal 4 2 2 2 4 9" xfId="30469"/>
    <cellStyle name="Normal 4 2 2 2 5" xfId="245"/>
    <cellStyle name="Normal 4 2 2 2 5 2" xfId="246"/>
    <cellStyle name="Normal 4 2 2 2 5 2 2" xfId="770"/>
    <cellStyle name="Normal 4 2 2 2 5 2 2 2" xfId="1729"/>
    <cellStyle name="Normal 4 2 2 2 5 2 2 2 2" xfId="3600"/>
    <cellStyle name="Normal 4 2 2 2 5 2 2 2 2 2" xfId="7395"/>
    <cellStyle name="Normal 4 2 2 2 5 2 2 2 2 2 2" xfId="14918"/>
    <cellStyle name="Normal 4 2 2 2 5 2 2 2 2 2 2 2" xfId="29962"/>
    <cellStyle name="Normal 4 2 2 2 5 2 2 2 2 2 2 3" xfId="45005"/>
    <cellStyle name="Normal 4 2 2 2 5 2 2 2 2 2 3" xfId="22441"/>
    <cellStyle name="Normal 4 2 2 2 5 2 2 2 2 2 4" xfId="37484"/>
    <cellStyle name="Normal 4 2 2 2 5 2 2 2 2 3" xfId="11169"/>
    <cellStyle name="Normal 4 2 2 2 5 2 2 2 2 3 2" xfId="26213"/>
    <cellStyle name="Normal 4 2 2 2 5 2 2 2 2 3 3" xfId="41256"/>
    <cellStyle name="Normal 4 2 2 2 5 2 2 2 2 4" xfId="18692"/>
    <cellStyle name="Normal 4 2 2 2 5 2 2 2 2 5" xfId="33735"/>
    <cellStyle name="Normal 4 2 2 2 5 2 2 2 3" xfId="5530"/>
    <cellStyle name="Normal 4 2 2 2 5 2 2 2 3 2" xfId="13053"/>
    <cellStyle name="Normal 4 2 2 2 5 2 2 2 3 2 2" xfId="28097"/>
    <cellStyle name="Normal 4 2 2 2 5 2 2 2 3 2 3" xfId="43140"/>
    <cellStyle name="Normal 4 2 2 2 5 2 2 2 3 3" xfId="20576"/>
    <cellStyle name="Normal 4 2 2 2 5 2 2 2 3 4" xfId="35619"/>
    <cellStyle name="Normal 4 2 2 2 5 2 2 2 4" xfId="9304"/>
    <cellStyle name="Normal 4 2 2 2 5 2 2 2 4 2" xfId="24348"/>
    <cellStyle name="Normal 4 2 2 2 5 2 2 2 4 3" xfId="39391"/>
    <cellStyle name="Normal 4 2 2 2 5 2 2 2 5" xfId="16827"/>
    <cellStyle name="Normal 4 2 2 2 5 2 2 2 6" xfId="31870"/>
    <cellStyle name="Normal 4 2 2 2 5 2 2 3" xfId="2668"/>
    <cellStyle name="Normal 4 2 2 2 5 2 2 3 2" xfId="6463"/>
    <cellStyle name="Normal 4 2 2 2 5 2 2 3 2 2" xfId="13986"/>
    <cellStyle name="Normal 4 2 2 2 5 2 2 3 2 2 2" xfId="29030"/>
    <cellStyle name="Normal 4 2 2 2 5 2 2 3 2 2 3" xfId="44073"/>
    <cellStyle name="Normal 4 2 2 2 5 2 2 3 2 3" xfId="21509"/>
    <cellStyle name="Normal 4 2 2 2 5 2 2 3 2 4" xfId="36552"/>
    <cellStyle name="Normal 4 2 2 2 5 2 2 3 3" xfId="10237"/>
    <cellStyle name="Normal 4 2 2 2 5 2 2 3 3 2" xfId="25281"/>
    <cellStyle name="Normal 4 2 2 2 5 2 2 3 3 3" xfId="40324"/>
    <cellStyle name="Normal 4 2 2 2 5 2 2 3 4" xfId="17760"/>
    <cellStyle name="Normal 4 2 2 2 5 2 2 3 5" xfId="32803"/>
    <cellStyle name="Normal 4 2 2 2 5 2 2 4" xfId="4598"/>
    <cellStyle name="Normal 4 2 2 2 5 2 2 4 2" xfId="12121"/>
    <cellStyle name="Normal 4 2 2 2 5 2 2 4 2 2" xfId="27165"/>
    <cellStyle name="Normal 4 2 2 2 5 2 2 4 2 3" xfId="42208"/>
    <cellStyle name="Normal 4 2 2 2 5 2 2 4 3" xfId="19644"/>
    <cellStyle name="Normal 4 2 2 2 5 2 2 4 4" xfId="34687"/>
    <cellStyle name="Normal 4 2 2 2 5 2 2 5" xfId="8372"/>
    <cellStyle name="Normal 4 2 2 2 5 2 2 5 2" xfId="23416"/>
    <cellStyle name="Normal 4 2 2 2 5 2 2 5 3" xfId="38459"/>
    <cellStyle name="Normal 4 2 2 2 5 2 2 6" xfId="15895"/>
    <cellStyle name="Normal 4 2 2 2 5 2 2 7" xfId="30938"/>
    <cellStyle name="Normal 4 2 2 2 5 2 3" xfId="1277"/>
    <cellStyle name="Normal 4 2 2 2 5 2 3 2" xfId="3148"/>
    <cellStyle name="Normal 4 2 2 2 5 2 3 2 2" xfId="6943"/>
    <cellStyle name="Normal 4 2 2 2 5 2 3 2 2 2" xfId="14466"/>
    <cellStyle name="Normal 4 2 2 2 5 2 3 2 2 2 2" xfId="29510"/>
    <cellStyle name="Normal 4 2 2 2 5 2 3 2 2 2 3" xfId="44553"/>
    <cellStyle name="Normal 4 2 2 2 5 2 3 2 2 3" xfId="21989"/>
    <cellStyle name="Normal 4 2 2 2 5 2 3 2 2 4" xfId="37032"/>
    <cellStyle name="Normal 4 2 2 2 5 2 3 2 3" xfId="10717"/>
    <cellStyle name="Normal 4 2 2 2 5 2 3 2 3 2" xfId="25761"/>
    <cellStyle name="Normal 4 2 2 2 5 2 3 2 3 3" xfId="40804"/>
    <cellStyle name="Normal 4 2 2 2 5 2 3 2 4" xfId="18240"/>
    <cellStyle name="Normal 4 2 2 2 5 2 3 2 5" xfId="33283"/>
    <cellStyle name="Normal 4 2 2 2 5 2 3 3" xfId="5078"/>
    <cellStyle name="Normal 4 2 2 2 5 2 3 3 2" xfId="12601"/>
    <cellStyle name="Normal 4 2 2 2 5 2 3 3 2 2" xfId="27645"/>
    <cellStyle name="Normal 4 2 2 2 5 2 3 3 2 3" xfId="42688"/>
    <cellStyle name="Normal 4 2 2 2 5 2 3 3 3" xfId="20124"/>
    <cellStyle name="Normal 4 2 2 2 5 2 3 3 4" xfId="35167"/>
    <cellStyle name="Normal 4 2 2 2 5 2 3 4" xfId="8852"/>
    <cellStyle name="Normal 4 2 2 2 5 2 3 4 2" xfId="23896"/>
    <cellStyle name="Normal 4 2 2 2 5 2 3 4 3" xfId="38939"/>
    <cellStyle name="Normal 4 2 2 2 5 2 3 5" xfId="16375"/>
    <cellStyle name="Normal 4 2 2 2 5 2 3 6" xfId="31418"/>
    <cellStyle name="Normal 4 2 2 2 5 2 4" xfId="2215"/>
    <cellStyle name="Normal 4 2 2 2 5 2 4 2" xfId="6011"/>
    <cellStyle name="Normal 4 2 2 2 5 2 4 2 2" xfId="13534"/>
    <cellStyle name="Normal 4 2 2 2 5 2 4 2 2 2" xfId="28578"/>
    <cellStyle name="Normal 4 2 2 2 5 2 4 2 2 3" xfId="43621"/>
    <cellStyle name="Normal 4 2 2 2 5 2 4 2 3" xfId="21057"/>
    <cellStyle name="Normal 4 2 2 2 5 2 4 2 4" xfId="36100"/>
    <cellStyle name="Normal 4 2 2 2 5 2 4 3" xfId="9785"/>
    <cellStyle name="Normal 4 2 2 2 5 2 4 3 2" xfId="24829"/>
    <cellStyle name="Normal 4 2 2 2 5 2 4 3 3" xfId="39872"/>
    <cellStyle name="Normal 4 2 2 2 5 2 4 4" xfId="17308"/>
    <cellStyle name="Normal 4 2 2 2 5 2 4 5" xfId="32351"/>
    <cellStyle name="Normal 4 2 2 2 5 2 5" xfId="4143"/>
    <cellStyle name="Normal 4 2 2 2 5 2 5 2" xfId="11667"/>
    <cellStyle name="Normal 4 2 2 2 5 2 5 2 2" xfId="26711"/>
    <cellStyle name="Normal 4 2 2 2 5 2 5 2 3" xfId="41754"/>
    <cellStyle name="Normal 4 2 2 2 5 2 5 3" xfId="19190"/>
    <cellStyle name="Normal 4 2 2 2 5 2 5 4" xfId="34233"/>
    <cellStyle name="Normal 4 2 2 2 5 2 6" xfId="7906"/>
    <cellStyle name="Normal 4 2 2 2 5 2 6 2" xfId="22950"/>
    <cellStyle name="Normal 4 2 2 2 5 2 6 3" xfId="37993"/>
    <cellStyle name="Normal 4 2 2 2 5 2 7" xfId="15429"/>
    <cellStyle name="Normal 4 2 2 2 5 2 8" xfId="30472"/>
    <cellStyle name="Normal 4 2 2 2 5 3" xfId="769"/>
    <cellStyle name="Normal 4 2 2 2 5 3 2" xfId="1728"/>
    <cellStyle name="Normal 4 2 2 2 5 3 2 2" xfId="3599"/>
    <cellStyle name="Normal 4 2 2 2 5 3 2 2 2" xfId="7394"/>
    <cellStyle name="Normal 4 2 2 2 5 3 2 2 2 2" xfId="14917"/>
    <cellStyle name="Normal 4 2 2 2 5 3 2 2 2 2 2" xfId="29961"/>
    <cellStyle name="Normal 4 2 2 2 5 3 2 2 2 2 3" xfId="45004"/>
    <cellStyle name="Normal 4 2 2 2 5 3 2 2 2 3" xfId="22440"/>
    <cellStyle name="Normal 4 2 2 2 5 3 2 2 2 4" xfId="37483"/>
    <cellStyle name="Normal 4 2 2 2 5 3 2 2 3" xfId="11168"/>
    <cellStyle name="Normal 4 2 2 2 5 3 2 2 3 2" xfId="26212"/>
    <cellStyle name="Normal 4 2 2 2 5 3 2 2 3 3" xfId="41255"/>
    <cellStyle name="Normal 4 2 2 2 5 3 2 2 4" xfId="18691"/>
    <cellStyle name="Normal 4 2 2 2 5 3 2 2 5" xfId="33734"/>
    <cellStyle name="Normal 4 2 2 2 5 3 2 3" xfId="5529"/>
    <cellStyle name="Normal 4 2 2 2 5 3 2 3 2" xfId="13052"/>
    <cellStyle name="Normal 4 2 2 2 5 3 2 3 2 2" xfId="28096"/>
    <cellStyle name="Normal 4 2 2 2 5 3 2 3 2 3" xfId="43139"/>
    <cellStyle name="Normal 4 2 2 2 5 3 2 3 3" xfId="20575"/>
    <cellStyle name="Normal 4 2 2 2 5 3 2 3 4" xfId="35618"/>
    <cellStyle name="Normal 4 2 2 2 5 3 2 4" xfId="9303"/>
    <cellStyle name="Normal 4 2 2 2 5 3 2 4 2" xfId="24347"/>
    <cellStyle name="Normal 4 2 2 2 5 3 2 4 3" xfId="39390"/>
    <cellStyle name="Normal 4 2 2 2 5 3 2 5" xfId="16826"/>
    <cellStyle name="Normal 4 2 2 2 5 3 2 6" xfId="31869"/>
    <cellStyle name="Normal 4 2 2 2 5 3 3" xfId="2667"/>
    <cellStyle name="Normal 4 2 2 2 5 3 3 2" xfId="6462"/>
    <cellStyle name="Normal 4 2 2 2 5 3 3 2 2" xfId="13985"/>
    <cellStyle name="Normal 4 2 2 2 5 3 3 2 2 2" xfId="29029"/>
    <cellStyle name="Normal 4 2 2 2 5 3 3 2 2 3" xfId="44072"/>
    <cellStyle name="Normal 4 2 2 2 5 3 3 2 3" xfId="21508"/>
    <cellStyle name="Normal 4 2 2 2 5 3 3 2 4" xfId="36551"/>
    <cellStyle name="Normal 4 2 2 2 5 3 3 3" xfId="10236"/>
    <cellStyle name="Normal 4 2 2 2 5 3 3 3 2" xfId="25280"/>
    <cellStyle name="Normal 4 2 2 2 5 3 3 3 3" xfId="40323"/>
    <cellStyle name="Normal 4 2 2 2 5 3 3 4" xfId="17759"/>
    <cellStyle name="Normal 4 2 2 2 5 3 3 5" xfId="32802"/>
    <cellStyle name="Normal 4 2 2 2 5 3 4" xfId="4597"/>
    <cellStyle name="Normal 4 2 2 2 5 3 4 2" xfId="12120"/>
    <cellStyle name="Normal 4 2 2 2 5 3 4 2 2" xfId="27164"/>
    <cellStyle name="Normal 4 2 2 2 5 3 4 2 3" xfId="42207"/>
    <cellStyle name="Normal 4 2 2 2 5 3 4 3" xfId="19643"/>
    <cellStyle name="Normal 4 2 2 2 5 3 4 4" xfId="34686"/>
    <cellStyle name="Normal 4 2 2 2 5 3 5" xfId="8371"/>
    <cellStyle name="Normal 4 2 2 2 5 3 5 2" xfId="23415"/>
    <cellStyle name="Normal 4 2 2 2 5 3 5 3" xfId="38458"/>
    <cellStyle name="Normal 4 2 2 2 5 3 6" xfId="15894"/>
    <cellStyle name="Normal 4 2 2 2 5 3 7" xfId="30937"/>
    <cellStyle name="Normal 4 2 2 2 5 4" xfId="1276"/>
    <cellStyle name="Normal 4 2 2 2 5 4 2" xfId="3147"/>
    <cellStyle name="Normal 4 2 2 2 5 4 2 2" xfId="6942"/>
    <cellStyle name="Normal 4 2 2 2 5 4 2 2 2" xfId="14465"/>
    <cellStyle name="Normal 4 2 2 2 5 4 2 2 2 2" xfId="29509"/>
    <cellStyle name="Normal 4 2 2 2 5 4 2 2 2 3" xfId="44552"/>
    <cellStyle name="Normal 4 2 2 2 5 4 2 2 3" xfId="21988"/>
    <cellStyle name="Normal 4 2 2 2 5 4 2 2 4" xfId="37031"/>
    <cellStyle name="Normal 4 2 2 2 5 4 2 3" xfId="10716"/>
    <cellStyle name="Normal 4 2 2 2 5 4 2 3 2" xfId="25760"/>
    <cellStyle name="Normal 4 2 2 2 5 4 2 3 3" xfId="40803"/>
    <cellStyle name="Normal 4 2 2 2 5 4 2 4" xfId="18239"/>
    <cellStyle name="Normal 4 2 2 2 5 4 2 5" xfId="33282"/>
    <cellStyle name="Normal 4 2 2 2 5 4 3" xfId="5077"/>
    <cellStyle name="Normal 4 2 2 2 5 4 3 2" xfId="12600"/>
    <cellStyle name="Normal 4 2 2 2 5 4 3 2 2" xfId="27644"/>
    <cellStyle name="Normal 4 2 2 2 5 4 3 2 3" xfId="42687"/>
    <cellStyle name="Normal 4 2 2 2 5 4 3 3" xfId="20123"/>
    <cellStyle name="Normal 4 2 2 2 5 4 3 4" xfId="35166"/>
    <cellStyle name="Normal 4 2 2 2 5 4 4" xfId="8851"/>
    <cellStyle name="Normal 4 2 2 2 5 4 4 2" xfId="23895"/>
    <cellStyle name="Normal 4 2 2 2 5 4 4 3" xfId="38938"/>
    <cellStyle name="Normal 4 2 2 2 5 4 5" xfId="16374"/>
    <cellStyle name="Normal 4 2 2 2 5 4 6" xfId="31417"/>
    <cellStyle name="Normal 4 2 2 2 5 5" xfId="2214"/>
    <cellStyle name="Normal 4 2 2 2 5 5 2" xfId="6010"/>
    <cellStyle name="Normal 4 2 2 2 5 5 2 2" xfId="13533"/>
    <cellStyle name="Normal 4 2 2 2 5 5 2 2 2" xfId="28577"/>
    <cellStyle name="Normal 4 2 2 2 5 5 2 2 3" xfId="43620"/>
    <cellStyle name="Normal 4 2 2 2 5 5 2 3" xfId="21056"/>
    <cellStyle name="Normal 4 2 2 2 5 5 2 4" xfId="36099"/>
    <cellStyle name="Normal 4 2 2 2 5 5 3" xfId="9784"/>
    <cellStyle name="Normal 4 2 2 2 5 5 3 2" xfId="24828"/>
    <cellStyle name="Normal 4 2 2 2 5 5 3 3" xfId="39871"/>
    <cellStyle name="Normal 4 2 2 2 5 5 4" xfId="17307"/>
    <cellStyle name="Normal 4 2 2 2 5 5 5" xfId="32350"/>
    <cellStyle name="Normal 4 2 2 2 5 6" xfId="4142"/>
    <cellStyle name="Normal 4 2 2 2 5 6 2" xfId="11666"/>
    <cellStyle name="Normal 4 2 2 2 5 6 2 2" xfId="26710"/>
    <cellStyle name="Normal 4 2 2 2 5 6 2 3" xfId="41753"/>
    <cellStyle name="Normal 4 2 2 2 5 6 3" xfId="19189"/>
    <cellStyle name="Normal 4 2 2 2 5 6 4" xfId="34232"/>
    <cellStyle name="Normal 4 2 2 2 5 7" xfId="7905"/>
    <cellStyle name="Normal 4 2 2 2 5 7 2" xfId="22949"/>
    <cellStyle name="Normal 4 2 2 2 5 7 3" xfId="37992"/>
    <cellStyle name="Normal 4 2 2 2 5 8" xfId="15428"/>
    <cellStyle name="Normal 4 2 2 2 5 9" xfId="30471"/>
    <cellStyle name="Normal 4 2 2 2 6" xfId="247"/>
    <cellStyle name="Normal 4 2 2 2 6 2" xfId="771"/>
    <cellStyle name="Normal 4 2 2 2 6 2 2" xfId="1730"/>
    <cellStyle name="Normal 4 2 2 2 6 2 2 2" xfId="3601"/>
    <cellStyle name="Normal 4 2 2 2 6 2 2 2 2" xfId="7396"/>
    <cellStyle name="Normal 4 2 2 2 6 2 2 2 2 2" xfId="14919"/>
    <cellStyle name="Normal 4 2 2 2 6 2 2 2 2 2 2" xfId="29963"/>
    <cellStyle name="Normal 4 2 2 2 6 2 2 2 2 2 3" xfId="45006"/>
    <cellStyle name="Normal 4 2 2 2 6 2 2 2 2 3" xfId="22442"/>
    <cellStyle name="Normal 4 2 2 2 6 2 2 2 2 4" xfId="37485"/>
    <cellStyle name="Normal 4 2 2 2 6 2 2 2 3" xfId="11170"/>
    <cellStyle name="Normal 4 2 2 2 6 2 2 2 3 2" xfId="26214"/>
    <cellStyle name="Normal 4 2 2 2 6 2 2 2 3 3" xfId="41257"/>
    <cellStyle name="Normal 4 2 2 2 6 2 2 2 4" xfId="18693"/>
    <cellStyle name="Normal 4 2 2 2 6 2 2 2 5" xfId="33736"/>
    <cellStyle name="Normal 4 2 2 2 6 2 2 3" xfId="5531"/>
    <cellStyle name="Normal 4 2 2 2 6 2 2 3 2" xfId="13054"/>
    <cellStyle name="Normal 4 2 2 2 6 2 2 3 2 2" xfId="28098"/>
    <cellStyle name="Normal 4 2 2 2 6 2 2 3 2 3" xfId="43141"/>
    <cellStyle name="Normal 4 2 2 2 6 2 2 3 3" xfId="20577"/>
    <cellStyle name="Normal 4 2 2 2 6 2 2 3 4" xfId="35620"/>
    <cellStyle name="Normal 4 2 2 2 6 2 2 4" xfId="9305"/>
    <cellStyle name="Normal 4 2 2 2 6 2 2 4 2" xfId="24349"/>
    <cellStyle name="Normal 4 2 2 2 6 2 2 4 3" xfId="39392"/>
    <cellStyle name="Normal 4 2 2 2 6 2 2 5" xfId="16828"/>
    <cellStyle name="Normal 4 2 2 2 6 2 2 6" xfId="31871"/>
    <cellStyle name="Normal 4 2 2 2 6 2 3" xfId="2669"/>
    <cellStyle name="Normal 4 2 2 2 6 2 3 2" xfId="6464"/>
    <cellStyle name="Normal 4 2 2 2 6 2 3 2 2" xfId="13987"/>
    <cellStyle name="Normal 4 2 2 2 6 2 3 2 2 2" xfId="29031"/>
    <cellStyle name="Normal 4 2 2 2 6 2 3 2 2 3" xfId="44074"/>
    <cellStyle name="Normal 4 2 2 2 6 2 3 2 3" xfId="21510"/>
    <cellStyle name="Normal 4 2 2 2 6 2 3 2 4" xfId="36553"/>
    <cellStyle name="Normal 4 2 2 2 6 2 3 3" xfId="10238"/>
    <cellStyle name="Normal 4 2 2 2 6 2 3 3 2" xfId="25282"/>
    <cellStyle name="Normal 4 2 2 2 6 2 3 3 3" xfId="40325"/>
    <cellStyle name="Normal 4 2 2 2 6 2 3 4" xfId="17761"/>
    <cellStyle name="Normal 4 2 2 2 6 2 3 5" xfId="32804"/>
    <cellStyle name="Normal 4 2 2 2 6 2 4" xfId="4599"/>
    <cellStyle name="Normal 4 2 2 2 6 2 4 2" xfId="12122"/>
    <cellStyle name="Normal 4 2 2 2 6 2 4 2 2" xfId="27166"/>
    <cellStyle name="Normal 4 2 2 2 6 2 4 2 3" xfId="42209"/>
    <cellStyle name="Normal 4 2 2 2 6 2 4 3" xfId="19645"/>
    <cellStyle name="Normal 4 2 2 2 6 2 4 4" xfId="34688"/>
    <cellStyle name="Normal 4 2 2 2 6 2 5" xfId="8373"/>
    <cellStyle name="Normal 4 2 2 2 6 2 5 2" xfId="23417"/>
    <cellStyle name="Normal 4 2 2 2 6 2 5 3" xfId="38460"/>
    <cellStyle name="Normal 4 2 2 2 6 2 6" xfId="15896"/>
    <cellStyle name="Normal 4 2 2 2 6 2 7" xfId="30939"/>
    <cellStyle name="Normal 4 2 2 2 6 3" xfId="1278"/>
    <cellStyle name="Normal 4 2 2 2 6 3 2" xfId="3149"/>
    <cellStyle name="Normal 4 2 2 2 6 3 2 2" xfId="6944"/>
    <cellStyle name="Normal 4 2 2 2 6 3 2 2 2" xfId="14467"/>
    <cellStyle name="Normal 4 2 2 2 6 3 2 2 2 2" xfId="29511"/>
    <cellStyle name="Normal 4 2 2 2 6 3 2 2 2 3" xfId="44554"/>
    <cellStyle name="Normal 4 2 2 2 6 3 2 2 3" xfId="21990"/>
    <cellStyle name="Normal 4 2 2 2 6 3 2 2 4" xfId="37033"/>
    <cellStyle name="Normal 4 2 2 2 6 3 2 3" xfId="10718"/>
    <cellStyle name="Normal 4 2 2 2 6 3 2 3 2" xfId="25762"/>
    <cellStyle name="Normal 4 2 2 2 6 3 2 3 3" xfId="40805"/>
    <cellStyle name="Normal 4 2 2 2 6 3 2 4" xfId="18241"/>
    <cellStyle name="Normal 4 2 2 2 6 3 2 5" xfId="33284"/>
    <cellStyle name="Normal 4 2 2 2 6 3 3" xfId="5079"/>
    <cellStyle name="Normal 4 2 2 2 6 3 3 2" xfId="12602"/>
    <cellStyle name="Normal 4 2 2 2 6 3 3 2 2" xfId="27646"/>
    <cellStyle name="Normal 4 2 2 2 6 3 3 2 3" xfId="42689"/>
    <cellStyle name="Normal 4 2 2 2 6 3 3 3" xfId="20125"/>
    <cellStyle name="Normal 4 2 2 2 6 3 3 4" xfId="35168"/>
    <cellStyle name="Normal 4 2 2 2 6 3 4" xfId="8853"/>
    <cellStyle name="Normal 4 2 2 2 6 3 4 2" xfId="23897"/>
    <cellStyle name="Normal 4 2 2 2 6 3 4 3" xfId="38940"/>
    <cellStyle name="Normal 4 2 2 2 6 3 5" xfId="16376"/>
    <cellStyle name="Normal 4 2 2 2 6 3 6" xfId="31419"/>
    <cellStyle name="Normal 4 2 2 2 6 4" xfId="2216"/>
    <cellStyle name="Normal 4 2 2 2 6 4 2" xfId="6012"/>
    <cellStyle name="Normal 4 2 2 2 6 4 2 2" xfId="13535"/>
    <cellStyle name="Normal 4 2 2 2 6 4 2 2 2" xfId="28579"/>
    <cellStyle name="Normal 4 2 2 2 6 4 2 2 3" xfId="43622"/>
    <cellStyle name="Normal 4 2 2 2 6 4 2 3" xfId="21058"/>
    <cellStyle name="Normal 4 2 2 2 6 4 2 4" xfId="36101"/>
    <cellStyle name="Normal 4 2 2 2 6 4 3" xfId="9786"/>
    <cellStyle name="Normal 4 2 2 2 6 4 3 2" xfId="24830"/>
    <cellStyle name="Normal 4 2 2 2 6 4 3 3" xfId="39873"/>
    <cellStyle name="Normal 4 2 2 2 6 4 4" xfId="17309"/>
    <cellStyle name="Normal 4 2 2 2 6 4 5" xfId="32352"/>
    <cellStyle name="Normal 4 2 2 2 6 5" xfId="4144"/>
    <cellStyle name="Normal 4 2 2 2 6 5 2" xfId="11668"/>
    <cellStyle name="Normal 4 2 2 2 6 5 2 2" xfId="26712"/>
    <cellStyle name="Normal 4 2 2 2 6 5 2 3" xfId="41755"/>
    <cellStyle name="Normal 4 2 2 2 6 5 3" xfId="19191"/>
    <cellStyle name="Normal 4 2 2 2 6 5 4" xfId="34234"/>
    <cellStyle name="Normal 4 2 2 2 6 6" xfId="7907"/>
    <cellStyle name="Normal 4 2 2 2 6 6 2" xfId="22951"/>
    <cellStyle name="Normal 4 2 2 2 6 6 3" xfId="37994"/>
    <cellStyle name="Normal 4 2 2 2 6 7" xfId="15430"/>
    <cellStyle name="Normal 4 2 2 2 6 8" xfId="30473"/>
    <cellStyle name="Normal 4 2 2 2 7" xfId="750"/>
    <cellStyle name="Normal 4 2 2 2 7 2" xfId="1709"/>
    <cellStyle name="Normal 4 2 2 2 7 2 2" xfId="3580"/>
    <cellStyle name="Normal 4 2 2 2 7 2 2 2" xfId="7375"/>
    <cellStyle name="Normal 4 2 2 2 7 2 2 2 2" xfId="14898"/>
    <cellStyle name="Normal 4 2 2 2 7 2 2 2 2 2" xfId="29942"/>
    <cellStyle name="Normal 4 2 2 2 7 2 2 2 2 3" xfId="44985"/>
    <cellStyle name="Normal 4 2 2 2 7 2 2 2 3" xfId="22421"/>
    <cellStyle name="Normal 4 2 2 2 7 2 2 2 4" xfId="37464"/>
    <cellStyle name="Normal 4 2 2 2 7 2 2 3" xfId="11149"/>
    <cellStyle name="Normal 4 2 2 2 7 2 2 3 2" xfId="26193"/>
    <cellStyle name="Normal 4 2 2 2 7 2 2 3 3" xfId="41236"/>
    <cellStyle name="Normal 4 2 2 2 7 2 2 4" xfId="18672"/>
    <cellStyle name="Normal 4 2 2 2 7 2 2 5" xfId="33715"/>
    <cellStyle name="Normal 4 2 2 2 7 2 3" xfId="5510"/>
    <cellStyle name="Normal 4 2 2 2 7 2 3 2" xfId="13033"/>
    <cellStyle name="Normal 4 2 2 2 7 2 3 2 2" xfId="28077"/>
    <cellStyle name="Normal 4 2 2 2 7 2 3 2 3" xfId="43120"/>
    <cellStyle name="Normal 4 2 2 2 7 2 3 3" xfId="20556"/>
    <cellStyle name="Normal 4 2 2 2 7 2 3 4" xfId="35599"/>
    <cellStyle name="Normal 4 2 2 2 7 2 4" xfId="9284"/>
    <cellStyle name="Normal 4 2 2 2 7 2 4 2" xfId="24328"/>
    <cellStyle name="Normal 4 2 2 2 7 2 4 3" xfId="39371"/>
    <cellStyle name="Normal 4 2 2 2 7 2 5" xfId="16807"/>
    <cellStyle name="Normal 4 2 2 2 7 2 6" xfId="31850"/>
    <cellStyle name="Normal 4 2 2 2 7 3" xfId="2648"/>
    <cellStyle name="Normal 4 2 2 2 7 3 2" xfId="6443"/>
    <cellStyle name="Normal 4 2 2 2 7 3 2 2" xfId="13966"/>
    <cellStyle name="Normal 4 2 2 2 7 3 2 2 2" xfId="29010"/>
    <cellStyle name="Normal 4 2 2 2 7 3 2 2 3" xfId="44053"/>
    <cellStyle name="Normal 4 2 2 2 7 3 2 3" xfId="21489"/>
    <cellStyle name="Normal 4 2 2 2 7 3 2 4" xfId="36532"/>
    <cellStyle name="Normal 4 2 2 2 7 3 3" xfId="10217"/>
    <cellStyle name="Normal 4 2 2 2 7 3 3 2" xfId="25261"/>
    <cellStyle name="Normal 4 2 2 2 7 3 3 3" xfId="40304"/>
    <cellStyle name="Normal 4 2 2 2 7 3 4" xfId="17740"/>
    <cellStyle name="Normal 4 2 2 2 7 3 5" xfId="32783"/>
    <cellStyle name="Normal 4 2 2 2 7 4" xfId="4578"/>
    <cellStyle name="Normal 4 2 2 2 7 4 2" xfId="12101"/>
    <cellStyle name="Normal 4 2 2 2 7 4 2 2" xfId="27145"/>
    <cellStyle name="Normal 4 2 2 2 7 4 2 3" xfId="42188"/>
    <cellStyle name="Normal 4 2 2 2 7 4 3" xfId="19624"/>
    <cellStyle name="Normal 4 2 2 2 7 4 4" xfId="34667"/>
    <cellStyle name="Normal 4 2 2 2 7 5" xfId="8352"/>
    <cellStyle name="Normal 4 2 2 2 7 5 2" xfId="23396"/>
    <cellStyle name="Normal 4 2 2 2 7 5 3" xfId="38439"/>
    <cellStyle name="Normal 4 2 2 2 7 6" xfId="15875"/>
    <cellStyle name="Normal 4 2 2 2 7 7" xfId="30918"/>
    <cellStyle name="Normal 4 2 2 2 8" xfId="1257"/>
    <cellStyle name="Normal 4 2 2 2 8 2" xfId="3128"/>
    <cellStyle name="Normal 4 2 2 2 8 2 2" xfId="6923"/>
    <cellStyle name="Normal 4 2 2 2 8 2 2 2" xfId="14446"/>
    <cellStyle name="Normal 4 2 2 2 8 2 2 2 2" xfId="29490"/>
    <cellStyle name="Normal 4 2 2 2 8 2 2 2 3" xfId="44533"/>
    <cellStyle name="Normal 4 2 2 2 8 2 2 3" xfId="21969"/>
    <cellStyle name="Normal 4 2 2 2 8 2 2 4" xfId="37012"/>
    <cellStyle name="Normal 4 2 2 2 8 2 3" xfId="10697"/>
    <cellStyle name="Normal 4 2 2 2 8 2 3 2" xfId="25741"/>
    <cellStyle name="Normal 4 2 2 2 8 2 3 3" xfId="40784"/>
    <cellStyle name="Normal 4 2 2 2 8 2 4" xfId="18220"/>
    <cellStyle name="Normal 4 2 2 2 8 2 5" xfId="33263"/>
    <cellStyle name="Normal 4 2 2 2 8 3" xfId="5058"/>
    <cellStyle name="Normal 4 2 2 2 8 3 2" xfId="12581"/>
    <cellStyle name="Normal 4 2 2 2 8 3 2 2" xfId="27625"/>
    <cellStyle name="Normal 4 2 2 2 8 3 2 3" xfId="42668"/>
    <cellStyle name="Normal 4 2 2 2 8 3 3" xfId="20104"/>
    <cellStyle name="Normal 4 2 2 2 8 3 4" xfId="35147"/>
    <cellStyle name="Normal 4 2 2 2 8 4" xfId="8832"/>
    <cellStyle name="Normal 4 2 2 2 8 4 2" xfId="23876"/>
    <cellStyle name="Normal 4 2 2 2 8 4 3" xfId="38919"/>
    <cellStyle name="Normal 4 2 2 2 8 5" xfId="16355"/>
    <cellStyle name="Normal 4 2 2 2 8 6" xfId="31398"/>
    <cellStyle name="Normal 4 2 2 2 9" xfId="2195"/>
    <cellStyle name="Normal 4 2 2 2 9 2" xfId="5991"/>
    <cellStyle name="Normal 4 2 2 2 9 2 2" xfId="13514"/>
    <cellStyle name="Normal 4 2 2 2 9 2 2 2" xfId="28558"/>
    <cellStyle name="Normal 4 2 2 2 9 2 2 3" xfId="43601"/>
    <cellStyle name="Normal 4 2 2 2 9 2 3" xfId="21037"/>
    <cellStyle name="Normal 4 2 2 2 9 2 4" xfId="36080"/>
    <cellStyle name="Normal 4 2 2 2 9 3" xfId="9765"/>
    <cellStyle name="Normal 4 2 2 2 9 3 2" xfId="24809"/>
    <cellStyle name="Normal 4 2 2 2 9 3 3" xfId="39852"/>
    <cellStyle name="Normal 4 2 2 2 9 4" xfId="17288"/>
    <cellStyle name="Normal 4 2 2 2 9 5" xfId="32331"/>
    <cellStyle name="Normal 4 2 2 3" xfId="248"/>
    <cellStyle name="Normal 4 2 2 3 10" xfId="7908"/>
    <cellStyle name="Normal 4 2 2 3 10 2" xfId="22952"/>
    <cellStyle name="Normal 4 2 2 3 10 3" xfId="37995"/>
    <cellStyle name="Normal 4 2 2 3 11" xfId="15431"/>
    <cellStyle name="Normal 4 2 2 3 12" xfId="30474"/>
    <cellStyle name="Normal 4 2 2 3 2" xfId="249"/>
    <cellStyle name="Normal 4 2 2 3 2 10" xfId="30475"/>
    <cellStyle name="Normal 4 2 2 3 2 2" xfId="250"/>
    <cellStyle name="Normal 4 2 2 3 2 2 2" xfId="251"/>
    <cellStyle name="Normal 4 2 2 3 2 2 2 2" xfId="775"/>
    <cellStyle name="Normal 4 2 2 3 2 2 2 2 2" xfId="1734"/>
    <cellStyle name="Normal 4 2 2 3 2 2 2 2 2 2" xfId="3605"/>
    <cellStyle name="Normal 4 2 2 3 2 2 2 2 2 2 2" xfId="7400"/>
    <cellStyle name="Normal 4 2 2 3 2 2 2 2 2 2 2 2" xfId="14923"/>
    <cellStyle name="Normal 4 2 2 3 2 2 2 2 2 2 2 2 2" xfId="29967"/>
    <cellStyle name="Normal 4 2 2 3 2 2 2 2 2 2 2 2 3" xfId="45010"/>
    <cellStyle name="Normal 4 2 2 3 2 2 2 2 2 2 2 3" xfId="22446"/>
    <cellStyle name="Normal 4 2 2 3 2 2 2 2 2 2 2 4" xfId="37489"/>
    <cellStyle name="Normal 4 2 2 3 2 2 2 2 2 2 3" xfId="11174"/>
    <cellStyle name="Normal 4 2 2 3 2 2 2 2 2 2 3 2" xfId="26218"/>
    <cellStyle name="Normal 4 2 2 3 2 2 2 2 2 2 3 3" xfId="41261"/>
    <cellStyle name="Normal 4 2 2 3 2 2 2 2 2 2 4" xfId="18697"/>
    <cellStyle name="Normal 4 2 2 3 2 2 2 2 2 2 5" xfId="33740"/>
    <cellStyle name="Normal 4 2 2 3 2 2 2 2 2 3" xfId="5535"/>
    <cellStyle name="Normal 4 2 2 3 2 2 2 2 2 3 2" xfId="13058"/>
    <cellStyle name="Normal 4 2 2 3 2 2 2 2 2 3 2 2" xfId="28102"/>
    <cellStyle name="Normal 4 2 2 3 2 2 2 2 2 3 2 3" xfId="43145"/>
    <cellStyle name="Normal 4 2 2 3 2 2 2 2 2 3 3" xfId="20581"/>
    <cellStyle name="Normal 4 2 2 3 2 2 2 2 2 3 4" xfId="35624"/>
    <cellStyle name="Normal 4 2 2 3 2 2 2 2 2 4" xfId="9309"/>
    <cellStyle name="Normal 4 2 2 3 2 2 2 2 2 4 2" xfId="24353"/>
    <cellStyle name="Normal 4 2 2 3 2 2 2 2 2 4 3" xfId="39396"/>
    <cellStyle name="Normal 4 2 2 3 2 2 2 2 2 5" xfId="16832"/>
    <cellStyle name="Normal 4 2 2 3 2 2 2 2 2 6" xfId="31875"/>
    <cellStyle name="Normal 4 2 2 3 2 2 2 2 3" xfId="2673"/>
    <cellStyle name="Normal 4 2 2 3 2 2 2 2 3 2" xfId="6468"/>
    <cellStyle name="Normal 4 2 2 3 2 2 2 2 3 2 2" xfId="13991"/>
    <cellStyle name="Normal 4 2 2 3 2 2 2 2 3 2 2 2" xfId="29035"/>
    <cellStyle name="Normal 4 2 2 3 2 2 2 2 3 2 2 3" xfId="44078"/>
    <cellStyle name="Normal 4 2 2 3 2 2 2 2 3 2 3" xfId="21514"/>
    <cellStyle name="Normal 4 2 2 3 2 2 2 2 3 2 4" xfId="36557"/>
    <cellStyle name="Normal 4 2 2 3 2 2 2 2 3 3" xfId="10242"/>
    <cellStyle name="Normal 4 2 2 3 2 2 2 2 3 3 2" xfId="25286"/>
    <cellStyle name="Normal 4 2 2 3 2 2 2 2 3 3 3" xfId="40329"/>
    <cellStyle name="Normal 4 2 2 3 2 2 2 2 3 4" xfId="17765"/>
    <cellStyle name="Normal 4 2 2 3 2 2 2 2 3 5" xfId="32808"/>
    <cellStyle name="Normal 4 2 2 3 2 2 2 2 4" xfId="4603"/>
    <cellStyle name="Normal 4 2 2 3 2 2 2 2 4 2" xfId="12126"/>
    <cellStyle name="Normal 4 2 2 3 2 2 2 2 4 2 2" xfId="27170"/>
    <cellStyle name="Normal 4 2 2 3 2 2 2 2 4 2 3" xfId="42213"/>
    <cellStyle name="Normal 4 2 2 3 2 2 2 2 4 3" xfId="19649"/>
    <cellStyle name="Normal 4 2 2 3 2 2 2 2 4 4" xfId="34692"/>
    <cellStyle name="Normal 4 2 2 3 2 2 2 2 5" xfId="8377"/>
    <cellStyle name="Normal 4 2 2 3 2 2 2 2 5 2" xfId="23421"/>
    <cellStyle name="Normal 4 2 2 3 2 2 2 2 5 3" xfId="38464"/>
    <cellStyle name="Normal 4 2 2 3 2 2 2 2 6" xfId="15900"/>
    <cellStyle name="Normal 4 2 2 3 2 2 2 2 7" xfId="30943"/>
    <cellStyle name="Normal 4 2 2 3 2 2 2 3" xfId="1282"/>
    <cellStyle name="Normal 4 2 2 3 2 2 2 3 2" xfId="3153"/>
    <cellStyle name="Normal 4 2 2 3 2 2 2 3 2 2" xfId="6948"/>
    <cellStyle name="Normal 4 2 2 3 2 2 2 3 2 2 2" xfId="14471"/>
    <cellStyle name="Normal 4 2 2 3 2 2 2 3 2 2 2 2" xfId="29515"/>
    <cellStyle name="Normal 4 2 2 3 2 2 2 3 2 2 2 3" xfId="44558"/>
    <cellStyle name="Normal 4 2 2 3 2 2 2 3 2 2 3" xfId="21994"/>
    <cellStyle name="Normal 4 2 2 3 2 2 2 3 2 2 4" xfId="37037"/>
    <cellStyle name="Normal 4 2 2 3 2 2 2 3 2 3" xfId="10722"/>
    <cellStyle name="Normal 4 2 2 3 2 2 2 3 2 3 2" xfId="25766"/>
    <cellStyle name="Normal 4 2 2 3 2 2 2 3 2 3 3" xfId="40809"/>
    <cellStyle name="Normal 4 2 2 3 2 2 2 3 2 4" xfId="18245"/>
    <cellStyle name="Normal 4 2 2 3 2 2 2 3 2 5" xfId="33288"/>
    <cellStyle name="Normal 4 2 2 3 2 2 2 3 3" xfId="5083"/>
    <cellStyle name="Normal 4 2 2 3 2 2 2 3 3 2" xfId="12606"/>
    <cellStyle name="Normal 4 2 2 3 2 2 2 3 3 2 2" xfId="27650"/>
    <cellStyle name="Normal 4 2 2 3 2 2 2 3 3 2 3" xfId="42693"/>
    <cellStyle name="Normal 4 2 2 3 2 2 2 3 3 3" xfId="20129"/>
    <cellStyle name="Normal 4 2 2 3 2 2 2 3 3 4" xfId="35172"/>
    <cellStyle name="Normal 4 2 2 3 2 2 2 3 4" xfId="8857"/>
    <cellStyle name="Normal 4 2 2 3 2 2 2 3 4 2" xfId="23901"/>
    <cellStyle name="Normal 4 2 2 3 2 2 2 3 4 3" xfId="38944"/>
    <cellStyle name="Normal 4 2 2 3 2 2 2 3 5" xfId="16380"/>
    <cellStyle name="Normal 4 2 2 3 2 2 2 3 6" xfId="31423"/>
    <cellStyle name="Normal 4 2 2 3 2 2 2 4" xfId="2220"/>
    <cellStyle name="Normal 4 2 2 3 2 2 2 4 2" xfId="6016"/>
    <cellStyle name="Normal 4 2 2 3 2 2 2 4 2 2" xfId="13539"/>
    <cellStyle name="Normal 4 2 2 3 2 2 2 4 2 2 2" xfId="28583"/>
    <cellStyle name="Normal 4 2 2 3 2 2 2 4 2 2 3" xfId="43626"/>
    <cellStyle name="Normal 4 2 2 3 2 2 2 4 2 3" xfId="21062"/>
    <cellStyle name="Normal 4 2 2 3 2 2 2 4 2 4" xfId="36105"/>
    <cellStyle name="Normal 4 2 2 3 2 2 2 4 3" xfId="9790"/>
    <cellStyle name="Normal 4 2 2 3 2 2 2 4 3 2" xfId="24834"/>
    <cellStyle name="Normal 4 2 2 3 2 2 2 4 3 3" xfId="39877"/>
    <cellStyle name="Normal 4 2 2 3 2 2 2 4 4" xfId="17313"/>
    <cellStyle name="Normal 4 2 2 3 2 2 2 4 5" xfId="32356"/>
    <cellStyle name="Normal 4 2 2 3 2 2 2 5" xfId="4148"/>
    <cellStyle name="Normal 4 2 2 3 2 2 2 5 2" xfId="11672"/>
    <cellStyle name="Normal 4 2 2 3 2 2 2 5 2 2" xfId="26716"/>
    <cellStyle name="Normal 4 2 2 3 2 2 2 5 2 3" xfId="41759"/>
    <cellStyle name="Normal 4 2 2 3 2 2 2 5 3" xfId="19195"/>
    <cellStyle name="Normal 4 2 2 3 2 2 2 5 4" xfId="34238"/>
    <cellStyle name="Normal 4 2 2 3 2 2 2 6" xfId="7911"/>
    <cellStyle name="Normal 4 2 2 3 2 2 2 6 2" xfId="22955"/>
    <cellStyle name="Normal 4 2 2 3 2 2 2 6 3" xfId="37998"/>
    <cellStyle name="Normal 4 2 2 3 2 2 2 7" xfId="15434"/>
    <cellStyle name="Normal 4 2 2 3 2 2 2 8" xfId="30477"/>
    <cellStyle name="Normal 4 2 2 3 2 2 3" xfId="774"/>
    <cellStyle name="Normal 4 2 2 3 2 2 3 2" xfId="1733"/>
    <cellStyle name="Normal 4 2 2 3 2 2 3 2 2" xfId="3604"/>
    <cellStyle name="Normal 4 2 2 3 2 2 3 2 2 2" xfId="7399"/>
    <cellStyle name="Normal 4 2 2 3 2 2 3 2 2 2 2" xfId="14922"/>
    <cellStyle name="Normal 4 2 2 3 2 2 3 2 2 2 2 2" xfId="29966"/>
    <cellStyle name="Normal 4 2 2 3 2 2 3 2 2 2 2 3" xfId="45009"/>
    <cellStyle name="Normal 4 2 2 3 2 2 3 2 2 2 3" xfId="22445"/>
    <cellStyle name="Normal 4 2 2 3 2 2 3 2 2 2 4" xfId="37488"/>
    <cellStyle name="Normal 4 2 2 3 2 2 3 2 2 3" xfId="11173"/>
    <cellStyle name="Normal 4 2 2 3 2 2 3 2 2 3 2" xfId="26217"/>
    <cellStyle name="Normal 4 2 2 3 2 2 3 2 2 3 3" xfId="41260"/>
    <cellStyle name="Normal 4 2 2 3 2 2 3 2 2 4" xfId="18696"/>
    <cellStyle name="Normal 4 2 2 3 2 2 3 2 2 5" xfId="33739"/>
    <cellStyle name="Normal 4 2 2 3 2 2 3 2 3" xfId="5534"/>
    <cellStyle name="Normal 4 2 2 3 2 2 3 2 3 2" xfId="13057"/>
    <cellStyle name="Normal 4 2 2 3 2 2 3 2 3 2 2" xfId="28101"/>
    <cellStyle name="Normal 4 2 2 3 2 2 3 2 3 2 3" xfId="43144"/>
    <cellStyle name="Normal 4 2 2 3 2 2 3 2 3 3" xfId="20580"/>
    <cellStyle name="Normal 4 2 2 3 2 2 3 2 3 4" xfId="35623"/>
    <cellStyle name="Normal 4 2 2 3 2 2 3 2 4" xfId="9308"/>
    <cellStyle name="Normal 4 2 2 3 2 2 3 2 4 2" xfId="24352"/>
    <cellStyle name="Normal 4 2 2 3 2 2 3 2 4 3" xfId="39395"/>
    <cellStyle name="Normal 4 2 2 3 2 2 3 2 5" xfId="16831"/>
    <cellStyle name="Normal 4 2 2 3 2 2 3 2 6" xfId="31874"/>
    <cellStyle name="Normal 4 2 2 3 2 2 3 3" xfId="2672"/>
    <cellStyle name="Normal 4 2 2 3 2 2 3 3 2" xfId="6467"/>
    <cellStyle name="Normal 4 2 2 3 2 2 3 3 2 2" xfId="13990"/>
    <cellStyle name="Normal 4 2 2 3 2 2 3 3 2 2 2" xfId="29034"/>
    <cellStyle name="Normal 4 2 2 3 2 2 3 3 2 2 3" xfId="44077"/>
    <cellStyle name="Normal 4 2 2 3 2 2 3 3 2 3" xfId="21513"/>
    <cellStyle name="Normal 4 2 2 3 2 2 3 3 2 4" xfId="36556"/>
    <cellStyle name="Normal 4 2 2 3 2 2 3 3 3" xfId="10241"/>
    <cellStyle name="Normal 4 2 2 3 2 2 3 3 3 2" xfId="25285"/>
    <cellStyle name="Normal 4 2 2 3 2 2 3 3 3 3" xfId="40328"/>
    <cellStyle name="Normal 4 2 2 3 2 2 3 3 4" xfId="17764"/>
    <cellStyle name="Normal 4 2 2 3 2 2 3 3 5" xfId="32807"/>
    <cellStyle name="Normal 4 2 2 3 2 2 3 4" xfId="4602"/>
    <cellStyle name="Normal 4 2 2 3 2 2 3 4 2" xfId="12125"/>
    <cellStyle name="Normal 4 2 2 3 2 2 3 4 2 2" xfId="27169"/>
    <cellStyle name="Normal 4 2 2 3 2 2 3 4 2 3" xfId="42212"/>
    <cellStyle name="Normal 4 2 2 3 2 2 3 4 3" xfId="19648"/>
    <cellStyle name="Normal 4 2 2 3 2 2 3 4 4" xfId="34691"/>
    <cellStyle name="Normal 4 2 2 3 2 2 3 5" xfId="8376"/>
    <cellStyle name="Normal 4 2 2 3 2 2 3 5 2" xfId="23420"/>
    <cellStyle name="Normal 4 2 2 3 2 2 3 5 3" xfId="38463"/>
    <cellStyle name="Normal 4 2 2 3 2 2 3 6" xfId="15899"/>
    <cellStyle name="Normal 4 2 2 3 2 2 3 7" xfId="30942"/>
    <cellStyle name="Normal 4 2 2 3 2 2 4" xfId="1281"/>
    <cellStyle name="Normal 4 2 2 3 2 2 4 2" xfId="3152"/>
    <cellStyle name="Normal 4 2 2 3 2 2 4 2 2" xfId="6947"/>
    <cellStyle name="Normal 4 2 2 3 2 2 4 2 2 2" xfId="14470"/>
    <cellStyle name="Normal 4 2 2 3 2 2 4 2 2 2 2" xfId="29514"/>
    <cellStyle name="Normal 4 2 2 3 2 2 4 2 2 2 3" xfId="44557"/>
    <cellStyle name="Normal 4 2 2 3 2 2 4 2 2 3" xfId="21993"/>
    <cellStyle name="Normal 4 2 2 3 2 2 4 2 2 4" xfId="37036"/>
    <cellStyle name="Normal 4 2 2 3 2 2 4 2 3" xfId="10721"/>
    <cellStyle name="Normal 4 2 2 3 2 2 4 2 3 2" xfId="25765"/>
    <cellStyle name="Normal 4 2 2 3 2 2 4 2 3 3" xfId="40808"/>
    <cellStyle name="Normal 4 2 2 3 2 2 4 2 4" xfId="18244"/>
    <cellStyle name="Normal 4 2 2 3 2 2 4 2 5" xfId="33287"/>
    <cellStyle name="Normal 4 2 2 3 2 2 4 3" xfId="5082"/>
    <cellStyle name="Normal 4 2 2 3 2 2 4 3 2" xfId="12605"/>
    <cellStyle name="Normal 4 2 2 3 2 2 4 3 2 2" xfId="27649"/>
    <cellStyle name="Normal 4 2 2 3 2 2 4 3 2 3" xfId="42692"/>
    <cellStyle name="Normal 4 2 2 3 2 2 4 3 3" xfId="20128"/>
    <cellStyle name="Normal 4 2 2 3 2 2 4 3 4" xfId="35171"/>
    <cellStyle name="Normal 4 2 2 3 2 2 4 4" xfId="8856"/>
    <cellStyle name="Normal 4 2 2 3 2 2 4 4 2" xfId="23900"/>
    <cellStyle name="Normal 4 2 2 3 2 2 4 4 3" xfId="38943"/>
    <cellStyle name="Normal 4 2 2 3 2 2 4 5" xfId="16379"/>
    <cellStyle name="Normal 4 2 2 3 2 2 4 6" xfId="31422"/>
    <cellStyle name="Normal 4 2 2 3 2 2 5" xfId="2219"/>
    <cellStyle name="Normal 4 2 2 3 2 2 5 2" xfId="6015"/>
    <cellStyle name="Normal 4 2 2 3 2 2 5 2 2" xfId="13538"/>
    <cellStyle name="Normal 4 2 2 3 2 2 5 2 2 2" xfId="28582"/>
    <cellStyle name="Normal 4 2 2 3 2 2 5 2 2 3" xfId="43625"/>
    <cellStyle name="Normal 4 2 2 3 2 2 5 2 3" xfId="21061"/>
    <cellStyle name="Normal 4 2 2 3 2 2 5 2 4" xfId="36104"/>
    <cellStyle name="Normal 4 2 2 3 2 2 5 3" xfId="9789"/>
    <cellStyle name="Normal 4 2 2 3 2 2 5 3 2" xfId="24833"/>
    <cellStyle name="Normal 4 2 2 3 2 2 5 3 3" xfId="39876"/>
    <cellStyle name="Normal 4 2 2 3 2 2 5 4" xfId="17312"/>
    <cellStyle name="Normal 4 2 2 3 2 2 5 5" xfId="32355"/>
    <cellStyle name="Normal 4 2 2 3 2 2 6" xfId="4147"/>
    <cellStyle name="Normal 4 2 2 3 2 2 6 2" xfId="11671"/>
    <cellStyle name="Normal 4 2 2 3 2 2 6 2 2" xfId="26715"/>
    <cellStyle name="Normal 4 2 2 3 2 2 6 2 3" xfId="41758"/>
    <cellStyle name="Normal 4 2 2 3 2 2 6 3" xfId="19194"/>
    <cellStyle name="Normal 4 2 2 3 2 2 6 4" xfId="34237"/>
    <cellStyle name="Normal 4 2 2 3 2 2 7" xfId="7910"/>
    <cellStyle name="Normal 4 2 2 3 2 2 7 2" xfId="22954"/>
    <cellStyle name="Normal 4 2 2 3 2 2 7 3" xfId="37997"/>
    <cellStyle name="Normal 4 2 2 3 2 2 8" xfId="15433"/>
    <cellStyle name="Normal 4 2 2 3 2 2 9" xfId="30476"/>
    <cellStyle name="Normal 4 2 2 3 2 3" xfId="252"/>
    <cellStyle name="Normal 4 2 2 3 2 3 2" xfId="776"/>
    <cellStyle name="Normal 4 2 2 3 2 3 2 2" xfId="1735"/>
    <cellStyle name="Normal 4 2 2 3 2 3 2 2 2" xfId="3606"/>
    <cellStyle name="Normal 4 2 2 3 2 3 2 2 2 2" xfId="7401"/>
    <cellStyle name="Normal 4 2 2 3 2 3 2 2 2 2 2" xfId="14924"/>
    <cellStyle name="Normal 4 2 2 3 2 3 2 2 2 2 2 2" xfId="29968"/>
    <cellStyle name="Normal 4 2 2 3 2 3 2 2 2 2 2 3" xfId="45011"/>
    <cellStyle name="Normal 4 2 2 3 2 3 2 2 2 2 3" xfId="22447"/>
    <cellStyle name="Normal 4 2 2 3 2 3 2 2 2 2 4" xfId="37490"/>
    <cellStyle name="Normal 4 2 2 3 2 3 2 2 2 3" xfId="11175"/>
    <cellStyle name="Normal 4 2 2 3 2 3 2 2 2 3 2" xfId="26219"/>
    <cellStyle name="Normal 4 2 2 3 2 3 2 2 2 3 3" xfId="41262"/>
    <cellStyle name="Normal 4 2 2 3 2 3 2 2 2 4" xfId="18698"/>
    <cellStyle name="Normal 4 2 2 3 2 3 2 2 2 5" xfId="33741"/>
    <cellStyle name="Normal 4 2 2 3 2 3 2 2 3" xfId="5536"/>
    <cellStyle name="Normal 4 2 2 3 2 3 2 2 3 2" xfId="13059"/>
    <cellStyle name="Normal 4 2 2 3 2 3 2 2 3 2 2" xfId="28103"/>
    <cellStyle name="Normal 4 2 2 3 2 3 2 2 3 2 3" xfId="43146"/>
    <cellStyle name="Normal 4 2 2 3 2 3 2 2 3 3" xfId="20582"/>
    <cellStyle name="Normal 4 2 2 3 2 3 2 2 3 4" xfId="35625"/>
    <cellStyle name="Normal 4 2 2 3 2 3 2 2 4" xfId="9310"/>
    <cellStyle name="Normal 4 2 2 3 2 3 2 2 4 2" xfId="24354"/>
    <cellStyle name="Normal 4 2 2 3 2 3 2 2 4 3" xfId="39397"/>
    <cellStyle name="Normal 4 2 2 3 2 3 2 2 5" xfId="16833"/>
    <cellStyle name="Normal 4 2 2 3 2 3 2 2 6" xfId="31876"/>
    <cellStyle name="Normal 4 2 2 3 2 3 2 3" xfId="2674"/>
    <cellStyle name="Normal 4 2 2 3 2 3 2 3 2" xfId="6469"/>
    <cellStyle name="Normal 4 2 2 3 2 3 2 3 2 2" xfId="13992"/>
    <cellStyle name="Normal 4 2 2 3 2 3 2 3 2 2 2" xfId="29036"/>
    <cellStyle name="Normal 4 2 2 3 2 3 2 3 2 2 3" xfId="44079"/>
    <cellStyle name="Normal 4 2 2 3 2 3 2 3 2 3" xfId="21515"/>
    <cellStyle name="Normal 4 2 2 3 2 3 2 3 2 4" xfId="36558"/>
    <cellStyle name="Normal 4 2 2 3 2 3 2 3 3" xfId="10243"/>
    <cellStyle name="Normal 4 2 2 3 2 3 2 3 3 2" xfId="25287"/>
    <cellStyle name="Normal 4 2 2 3 2 3 2 3 3 3" xfId="40330"/>
    <cellStyle name="Normal 4 2 2 3 2 3 2 3 4" xfId="17766"/>
    <cellStyle name="Normal 4 2 2 3 2 3 2 3 5" xfId="32809"/>
    <cellStyle name="Normal 4 2 2 3 2 3 2 4" xfId="4604"/>
    <cellStyle name="Normal 4 2 2 3 2 3 2 4 2" xfId="12127"/>
    <cellStyle name="Normal 4 2 2 3 2 3 2 4 2 2" xfId="27171"/>
    <cellStyle name="Normal 4 2 2 3 2 3 2 4 2 3" xfId="42214"/>
    <cellStyle name="Normal 4 2 2 3 2 3 2 4 3" xfId="19650"/>
    <cellStyle name="Normal 4 2 2 3 2 3 2 4 4" xfId="34693"/>
    <cellStyle name="Normal 4 2 2 3 2 3 2 5" xfId="8378"/>
    <cellStyle name="Normal 4 2 2 3 2 3 2 5 2" xfId="23422"/>
    <cellStyle name="Normal 4 2 2 3 2 3 2 5 3" xfId="38465"/>
    <cellStyle name="Normal 4 2 2 3 2 3 2 6" xfId="15901"/>
    <cellStyle name="Normal 4 2 2 3 2 3 2 7" xfId="30944"/>
    <cellStyle name="Normal 4 2 2 3 2 3 3" xfId="1283"/>
    <cellStyle name="Normal 4 2 2 3 2 3 3 2" xfId="3154"/>
    <cellStyle name="Normal 4 2 2 3 2 3 3 2 2" xfId="6949"/>
    <cellStyle name="Normal 4 2 2 3 2 3 3 2 2 2" xfId="14472"/>
    <cellStyle name="Normal 4 2 2 3 2 3 3 2 2 2 2" xfId="29516"/>
    <cellStyle name="Normal 4 2 2 3 2 3 3 2 2 2 3" xfId="44559"/>
    <cellStyle name="Normal 4 2 2 3 2 3 3 2 2 3" xfId="21995"/>
    <cellStyle name="Normal 4 2 2 3 2 3 3 2 2 4" xfId="37038"/>
    <cellStyle name="Normal 4 2 2 3 2 3 3 2 3" xfId="10723"/>
    <cellStyle name="Normal 4 2 2 3 2 3 3 2 3 2" xfId="25767"/>
    <cellStyle name="Normal 4 2 2 3 2 3 3 2 3 3" xfId="40810"/>
    <cellStyle name="Normal 4 2 2 3 2 3 3 2 4" xfId="18246"/>
    <cellStyle name="Normal 4 2 2 3 2 3 3 2 5" xfId="33289"/>
    <cellStyle name="Normal 4 2 2 3 2 3 3 3" xfId="5084"/>
    <cellStyle name="Normal 4 2 2 3 2 3 3 3 2" xfId="12607"/>
    <cellStyle name="Normal 4 2 2 3 2 3 3 3 2 2" xfId="27651"/>
    <cellStyle name="Normal 4 2 2 3 2 3 3 3 2 3" xfId="42694"/>
    <cellStyle name="Normal 4 2 2 3 2 3 3 3 3" xfId="20130"/>
    <cellStyle name="Normal 4 2 2 3 2 3 3 3 4" xfId="35173"/>
    <cellStyle name="Normal 4 2 2 3 2 3 3 4" xfId="8858"/>
    <cellStyle name="Normal 4 2 2 3 2 3 3 4 2" xfId="23902"/>
    <cellStyle name="Normal 4 2 2 3 2 3 3 4 3" xfId="38945"/>
    <cellStyle name="Normal 4 2 2 3 2 3 3 5" xfId="16381"/>
    <cellStyle name="Normal 4 2 2 3 2 3 3 6" xfId="31424"/>
    <cellStyle name="Normal 4 2 2 3 2 3 4" xfId="2221"/>
    <cellStyle name="Normal 4 2 2 3 2 3 4 2" xfId="6017"/>
    <cellStyle name="Normal 4 2 2 3 2 3 4 2 2" xfId="13540"/>
    <cellStyle name="Normal 4 2 2 3 2 3 4 2 2 2" xfId="28584"/>
    <cellStyle name="Normal 4 2 2 3 2 3 4 2 2 3" xfId="43627"/>
    <cellStyle name="Normal 4 2 2 3 2 3 4 2 3" xfId="21063"/>
    <cellStyle name="Normal 4 2 2 3 2 3 4 2 4" xfId="36106"/>
    <cellStyle name="Normal 4 2 2 3 2 3 4 3" xfId="9791"/>
    <cellStyle name="Normal 4 2 2 3 2 3 4 3 2" xfId="24835"/>
    <cellStyle name="Normal 4 2 2 3 2 3 4 3 3" xfId="39878"/>
    <cellStyle name="Normal 4 2 2 3 2 3 4 4" xfId="17314"/>
    <cellStyle name="Normal 4 2 2 3 2 3 4 5" xfId="32357"/>
    <cellStyle name="Normal 4 2 2 3 2 3 5" xfId="4149"/>
    <cellStyle name="Normal 4 2 2 3 2 3 5 2" xfId="11673"/>
    <cellStyle name="Normal 4 2 2 3 2 3 5 2 2" xfId="26717"/>
    <cellStyle name="Normal 4 2 2 3 2 3 5 2 3" xfId="41760"/>
    <cellStyle name="Normal 4 2 2 3 2 3 5 3" xfId="19196"/>
    <cellStyle name="Normal 4 2 2 3 2 3 5 4" xfId="34239"/>
    <cellStyle name="Normal 4 2 2 3 2 3 6" xfId="7912"/>
    <cellStyle name="Normal 4 2 2 3 2 3 6 2" xfId="22956"/>
    <cellStyle name="Normal 4 2 2 3 2 3 6 3" xfId="37999"/>
    <cellStyle name="Normal 4 2 2 3 2 3 7" xfId="15435"/>
    <cellStyle name="Normal 4 2 2 3 2 3 8" xfId="30478"/>
    <cellStyle name="Normal 4 2 2 3 2 4" xfId="773"/>
    <cellStyle name="Normal 4 2 2 3 2 4 2" xfId="1732"/>
    <cellStyle name="Normal 4 2 2 3 2 4 2 2" xfId="3603"/>
    <cellStyle name="Normal 4 2 2 3 2 4 2 2 2" xfId="7398"/>
    <cellStyle name="Normal 4 2 2 3 2 4 2 2 2 2" xfId="14921"/>
    <cellStyle name="Normal 4 2 2 3 2 4 2 2 2 2 2" xfId="29965"/>
    <cellStyle name="Normal 4 2 2 3 2 4 2 2 2 2 3" xfId="45008"/>
    <cellStyle name="Normal 4 2 2 3 2 4 2 2 2 3" xfId="22444"/>
    <cellStyle name="Normal 4 2 2 3 2 4 2 2 2 4" xfId="37487"/>
    <cellStyle name="Normal 4 2 2 3 2 4 2 2 3" xfId="11172"/>
    <cellStyle name="Normal 4 2 2 3 2 4 2 2 3 2" xfId="26216"/>
    <cellStyle name="Normal 4 2 2 3 2 4 2 2 3 3" xfId="41259"/>
    <cellStyle name="Normal 4 2 2 3 2 4 2 2 4" xfId="18695"/>
    <cellStyle name="Normal 4 2 2 3 2 4 2 2 5" xfId="33738"/>
    <cellStyle name="Normal 4 2 2 3 2 4 2 3" xfId="5533"/>
    <cellStyle name="Normal 4 2 2 3 2 4 2 3 2" xfId="13056"/>
    <cellStyle name="Normal 4 2 2 3 2 4 2 3 2 2" xfId="28100"/>
    <cellStyle name="Normal 4 2 2 3 2 4 2 3 2 3" xfId="43143"/>
    <cellStyle name="Normal 4 2 2 3 2 4 2 3 3" xfId="20579"/>
    <cellStyle name="Normal 4 2 2 3 2 4 2 3 4" xfId="35622"/>
    <cellStyle name="Normal 4 2 2 3 2 4 2 4" xfId="9307"/>
    <cellStyle name="Normal 4 2 2 3 2 4 2 4 2" xfId="24351"/>
    <cellStyle name="Normal 4 2 2 3 2 4 2 4 3" xfId="39394"/>
    <cellStyle name="Normal 4 2 2 3 2 4 2 5" xfId="16830"/>
    <cellStyle name="Normal 4 2 2 3 2 4 2 6" xfId="31873"/>
    <cellStyle name="Normal 4 2 2 3 2 4 3" xfId="2671"/>
    <cellStyle name="Normal 4 2 2 3 2 4 3 2" xfId="6466"/>
    <cellStyle name="Normal 4 2 2 3 2 4 3 2 2" xfId="13989"/>
    <cellStyle name="Normal 4 2 2 3 2 4 3 2 2 2" xfId="29033"/>
    <cellStyle name="Normal 4 2 2 3 2 4 3 2 2 3" xfId="44076"/>
    <cellStyle name="Normal 4 2 2 3 2 4 3 2 3" xfId="21512"/>
    <cellStyle name="Normal 4 2 2 3 2 4 3 2 4" xfId="36555"/>
    <cellStyle name="Normal 4 2 2 3 2 4 3 3" xfId="10240"/>
    <cellStyle name="Normal 4 2 2 3 2 4 3 3 2" xfId="25284"/>
    <cellStyle name="Normal 4 2 2 3 2 4 3 3 3" xfId="40327"/>
    <cellStyle name="Normal 4 2 2 3 2 4 3 4" xfId="17763"/>
    <cellStyle name="Normal 4 2 2 3 2 4 3 5" xfId="32806"/>
    <cellStyle name="Normal 4 2 2 3 2 4 4" xfId="4601"/>
    <cellStyle name="Normal 4 2 2 3 2 4 4 2" xfId="12124"/>
    <cellStyle name="Normal 4 2 2 3 2 4 4 2 2" xfId="27168"/>
    <cellStyle name="Normal 4 2 2 3 2 4 4 2 3" xfId="42211"/>
    <cellStyle name="Normal 4 2 2 3 2 4 4 3" xfId="19647"/>
    <cellStyle name="Normal 4 2 2 3 2 4 4 4" xfId="34690"/>
    <cellStyle name="Normal 4 2 2 3 2 4 5" xfId="8375"/>
    <cellStyle name="Normal 4 2 2 3 2 4 5 2" xfId="23419"/>
    <cellStyle name="Normal 4 2 2 3 2 4 5 3" xfId="38462"/>
    <cellStyle name="Normal 4 2 2 3 2 4 6" xfId="15898"/>
    <cellStyle name="Normal 4 2 2 3 2 4 7" xfId="30941"/>
    <cellStyle name="Normal 4 2 2 3 2 5" xfId="1280"/>
    <cellStyle name="Normal 4 2 2 3 2 5 2" xfId="3151"/>
    <cellStyle name="Normal 4 2 2 3 2 5 2 2" xfId="6946"/>
    <cellStyle name="Normal 4 2 2 3 2 5 2 2 2" xfId="14469"/>
    <cellStyle name="Normal 4 2 2 3 2 5 2 2 2 2" xfId="29513"/>
    <cellStyle name="Normal 4 2 2 3 2 5 2 2 2 3" xfId="44556"/>
    <cellStyle name="Normal 4 2 2 3 2 5 2 2 3" xfId="21992"/>
    <cellStyle name="Normal 4 2 2 3 2 5 2 2 4" xfId="37035"/>
    <cellStyle name="Normal 4 2 2 3 2 5 2 3" xfId="10720"/>
    <cellStyle name="Normal 4 2 2 3 2 5 2 3 2" xfId="25764"/>
    <cellStyle name="Normal 4 2 2 3 2 5 2 3 3" xfId="40807"/>
    <cellStyle name="Normal 4 2 2 3 2 5 2 4" xfId="18243"/>
    <cellStyle name="Normal 4 2 2 3 2 5 2 5" xfId="33286"/>
    <cellStyle name="Normal 4 2 2 3 2 5 3" xfId="5081"/>
    <cellStyle name="Normal 4 2 2 3 2 5 3 2" xfId="12604"/>
    <cellStyle name="Normal 4 2 2 3 2 5 3 2 2" xfId="27648"/>
    <cellStyle name="Normal 4 2 2 3 2 5 3 2 3" xfId="42691"/>
    <cellStyle name="Normal 4 2 2 3 2 5 3 3" xfId="20127"/>
    <cellStyle name="Normal 4 2 2 3 2 5 3 4" xfId="35170"/>
    <cellStyle name="Normal 4 2 2 3 2 5 4" xfId="8855"/>
    <cellStyle name="Normal 4 2 2 3 2 5 4 2" xfId="23899"/>
    <cellStyle name="Normal 4 2 2 3 2 5 4 3" xfId="38942"/>
    <cellStyle name="Normal 4 2 2 3 2 5 5" xfId="16378"/>
    <cellStyle name="Normal 4 2 2 3 2 5 6" xfId="31421"/>
    <cellStyle name="Normal 4 2 2 3 2 6" xfId="2218"/>
    <cellStyle name="Normal 4 2 2 3 2 6 2" xfId="6014"/>
    <cellStyle name="Normal 4 2 2 3 2 6 2 2" xfId="13537"/>
    <cellStyle name="Normal 4 2 2 3 2 6 2 2 2" xfId="28581"/>
    <cellStyle name="Normal 4 2 2 3 2 6 2 2 3" xfId="43624"/>
    <cellStyle name="Normal 4 2 2 3 2 6 2 3" xfId="21060"/>
    <cellStyle name="Normal 4 2 2 3 2 6 2 4" xfId="36103"/>
    <cellStyle name="Normal 4 2 2 3 2 6 3" xfId="9788"/>
    <cellStyle name="Normal 4 2 2 3 2 6 3 2" xfId="24832"/>
    <cellStyle name="Normal 4 2 2 3 2 6 3 3" xfId="39875"/>
    <cellStyle name="Normal 4 2 2 3 2 6 4" xfId="17311"/>
    <cellStyle name="Normal 4 2 2 3 2 6 5" xfId="32354"/>
    <cellStyle name="Normal 4 2 2 3 2 7" xfId="4146"/>
    <cellStyle name="Normal 4 2 2 3 2 7 2" xfId="11670"/>
    <cellStyle name="Normal 4 2 2 3 2 7 2 2" xfId="26714"/>
    <cellStyle name="Normal 4 2 2 3 2 7 2 3" xfId="41757"/>
    <cellStyle name="Normal 4 2 2 3 2 7 3" xfId="19193"/>
    <cellStyle name="Normal 4 2 2 3 2 7 4" xfId="34236"/>
    <cellStyle name="Normal 4 2 2 3 2 8" xfId="7909"/>
    <cellStyle name="Normal 4 2 2 3 2 8 2" xfId="22953"/>
    <cellStyle name="Normal 4 2 2 3 2 8 3" xfId="37996"/>
    <cellStyle name="Normal 4 2 2 3 2 9" xfId="15432"/>
    <cellStyle name="Normal 4 2 2 3 3" xfId="253"/>
    <cellStyle name="Normal 4 2 2 3 3 2" xfId="254"/>
    <cellStyle name="Normal 4 2 2 3 3 2 2" xfId="778"/>
    <cellStyle name="Normal 4 2 2 3 3 2 2 2" xfId="1737"/>
    <cellStyle name="Normal 4 2 2 3 3 2 2 2 2" xfId="3608"/>
    <cellStyle name="Normal 4 2 2 3 3 2 2 2 2 2" xfId="7403"/>
    <cellStyle name="Normal 4 2 2 3 3 2 2 2 2 2 2" xfId="14926"/>
    <cellStyle name="Normal 4 2 2 3 3 2 2 2 2 2 2 2" xfId="29970"/>
    <cellStyle name="Normal 4 2 2 3 3 2 2 2 2 2 2 3" xfId="45013"/>
    <cellStyle name="Normal 4 2 2 3 3 2 2 2 2 2 3" xfId="22449"/>
    <cellStyle name="Normal 4 2 2 3 3 2 2 2 2 2 4" xfId="37492"/>
    <cellStyle name="Normal 4 2 2 3 3 2 2 2 2 3" xfId="11177"/>
    <cellStyle name="Normal 4 2 2 3 3 2 2 2 2 3 2" xfId="26221"/>
    <cellStyle name="Normal 4 2 2 3 3 2 2 2 2 3 3" xfId="41264"/>
    <cellStyle name="Normal 4 2 2 3 3 2 2 2 2 4" xfId="18700"/>
    <cellStyle name="Normal 4 2 2 3 3 2 2 2 2 5" xfId="33743"/>
    <cellStyle name="Normal 4 2 2 3 3 2 2 2 3" xfId="5538"/>
    <cellStyle name="Normal 4 2 2 3 3 2 2 2 3 2" xfId="13061"/>
    <cellStyle name="Normal 4 2 2 3 3 2 2 2 3 2 2" xfId="28105"/>
    <cellStyle name="Normal 4 2 2 3 3 2 2 2 3 2 3" xfId="43148"/>
    <cellStyle name="Normal 4 2 2 3 3 2 2 2 3 3" xfId="20584"/>
    <cellStyle name="Normal 4 2 2 3 3 2 2 2 3 4" xfId="35627"/>
    <cellStyle name="Normal 4 2 2 3 3 2 2 2 4" xfId="9312"/>
    <cellStyle name="Normal 4 2 2 3 3 2 2 2 4 2" xfId="24356"/>
    <cellStyle name="Normal 4 2 2 3 3 2 2 2 4 3" xfId="39399"/>
    <cellStyle name="Normal 4 2 2 3 3 2 2 2 5" xfId="16835"/>
    <cellStyle name="Normal 4 2 2 3 3 2 2 2 6" xfId="31878"/>
    <cellStyle name="Normal 4 2 2 3 3 2 2 3" xfId="2676"/>
    <cellStyle name="Normal 4 2 2 3 3 2 2 3 2" xfId="6471"/>
    <cellStyle name="Normal 4 2 2 3 3 2 2 3 2 2" xfId="13994"/>
    <cellStyle name="Normal 4 2 2 3 3 2 2 3 2 2 2" xfId="29038"/>
    <cellStyle name="Normal 4 2 2 3 3 2 2 3 2 2 3" xfId="44081"/>
    <cellStyle name="Normal 4 2 2 3 3 2 2 3 2 3" xfId="21517"/>
    <cellStyle name="Normal 4 2 2 3 3 2 2 3 2 4" xfId="36560"/>
    <cellStyle name="Normal 4 2 2 3 3 2 2 3 3" xfId="10245"/>
    <cellStyle name="Normal 4 2 2 3 3 2 2 3 3 2" xfId="25289"/>
    <cellStyle name="Normal 4 2 2 3 3 2 2 3 3 3" xfId="40332"/>
    <cellStyle name="Normal 4 2 2 3 3 2 2 3 4" xfId="17768"/>
    <cellStyle name="Normal 4 2 2 3 3 2 2 3 5" xfId="32811"/>
    <cellStyle name="Normal 4 2 2 3 3 2 2 4" xfId="4606"/>
    <cellStyle name="Normal 4 2 2 3 3 2 2 4 2" xfId="12129"/>
    <cellStyle name="Normal 4 2 2 3 3 2 2 4 2 2" xfId="27173"/>
    <cellStyle name="Normal 4 2 2 3 3 2 2 4 2 3" xfId="42216"/>
    <cellStyle name="Normal 4 2 2 3 3 2 2 4 3" xfId="19652"/>
    <cellStyle name="Normal 4 2 2 3 3 2 2 4 4" xfId="34695"/>
    <cellStyle name="Normal 4 2 2 3 3 2 2 5" xfId="8380"/>
    <cellStyle name="Normal 4 2 2 3 3 2 2 5 2" xfId="23424"/>
    <cellStyle name="Normal 4 2 2 3 3 2 2 5 3" xfId="38467"/>
    <cellStyle name="Normal 4 2 2 3 3 2 2 6" xfId="15903"/>
    <cellStyle name="Normal 4 2 2 3 3 2 2 7" xfId="30946"/>
    <cellStyle name="Normal 4 2 2 3 3 2 3" xfId="1285"/>
    <cellStyle name="Normal 4 2 2 3 3 2 3 2" xfId="3156"/>
    <cellStyle name="Normal 4 2 2 3 3 2 3 2 2" xfId="6951"/>
    <cellStyle name="Normal 4 2 2 3 3 2 3 2 2 2" xfId="14474"/>
    <cellStyle name="Normal 4 2 2 3 3 2 3 2 2 2 2" xfId="29518"/>
    <cellStyle name="Normal 4 2 2 3 3 2 3 2 2 2 3" xfId="44561"/>
    <cellStyle name="Normal 4 2 2 3 3 2 3 2 2 3" xfId="21997"/>
    <cellStyle name="Normal 4 2 2 3 3 2 3 2 2 4" xfId="37040"/>
    <cellStyle name="Normal 4 2 2 3 3 2 3 2 3" xfId="10725"/>
    <cellStyle name="Normal 4 2 2 3 3 2 3 2 3 2" xfId="25769"/>
    <cellStyle name="Normal 4 2 2 3 3 2 3 2 3 3" xfId="40812"/>
    <cellStyle name="Normal 4 2 2 3 3 2 3 2 4" xfId="18248"/>
    <cellStyle name="Normal 4 2 2 3 3 2 3 2 5" xfId="33291"/>
    <cellStyle name="Normal 4 2 2 3 3 2 3 3" xfId="5086"/>
    <cellStyle name="Normal 4 2 2 3 3 2 3 3 2" xfId="12609"/>
    <cellStyle name="Normal 4 2 2 3 3 2 3 3 2 2" xfId="27653"/>
    <cellStyle name="Normal 4 2 2 3 3 2 3 3 2 3" xfId="42696"/>
    <cellStyle name="Normal 4 2 2 3 3 2 3 3 3" xfId="20132"/>
    <cellStyle name="Normal 4 2 2 3 3 2 3 3 4" xfId="35175"/>
    <cellStyle name="Normal 4 2 2 3 3 2 3 4" xfId="8860"/>
    <cellStyle name="Normal 4 2 2 3 3 2 3 4 2" xfId="23904"/>
    <cellStyle name="Normal 4 2 2 3 3 2 3 4 3" xfId="38947"/>
    <cellStyle name="Normal 4 2 2 3 3 2 3 5" xfId="16383"/>
    <cellStyle name="Normal 4 2 2 3 3 2 3 6" xfId="31426"/>
    <cellStyle name="Normal 4 2 2 3 3 2 4" xfId="2223"/>
    <cellStyle name="Normal 4 2 2 3 3 2 4 2" xfId="6019"/>
    <cellStyle name="Normal 4 2 2 3 3 2 4 2 2" xfId="13542"/>
    <cellStyle name="Normal 4 2 2 3 3 2 4 2 2 2" xfId="28586"/>
    <cellStyle name="Normal 4 2 2 3 3 2 4 2 2 3" xfId="43629"/>
    <cellStyle name="Normal 4 2 2 3 3 2 4 2 3" xfId="21065"/>
    <cellStyle name="Normal 4 2 2 3 3 2 4 2 4" xfId="36108"/>
    <cellStyle name="Normal 4 2 2 3 3 2 4 3" xfId="9793"/>
    <cellStyle name="Normal 4 2 2 3 3 2 4 3 2" xfId="24837"/>
    <cellStyle name="Normal 4 2 2 3 3 2 4 3 3" xfId="39880"/>
    <cellStyle name="Normal 4 2 2 3 3 2 4 4" xfId="17316"/>
    <cellStyle name="Normal 4 2 2 3 3 2 4 5" xfId="32359"/>
    <cellStyle name="Normal 4 2 2 3 3 2 5" xfId="4151"/>
    <cellStyle name="Normal 4 2 2 3 3 2 5 2" xfId="11675"/>
    <cellStyle name="Normal 4 2 2 3 3 2 5 2 2" xfId="26719"/>
    <cellStyle name="Normal 4 2 2 3 3 2 5 2 3" xfId="41762"/>
    <cellStyle name="Normal 4 2 2 3 3 2 5 3" xfId="19198"/>
    <cellStyle name="Normal 4 2 2 3 3 2 5 4" xfId="34241"/>
    <cellStyle name="Normal 4 2 2 3 3 2 6" xfId="7914"/>
    <cellStyle name="Normal 4 2 2 3 3 2 6 2" xfId="22958"/>
    <cellStyle name="Normal 4 2 2 3 3 2 6 3" xfId="38001"/>
    <cellStyle name="Normal 4 2 2 3 3 2 7" xfId="15437"/>
    <cellStyle name="Normal 4 2 2 3 3 2 8" xfId="30480"/>
    <cellStyle name="Normal 4 2 2 3 3 3" xfId="777"/>
    <cellStyle name="Normal 4 2 2 3 3 3 2" xfId="1736"/>
    <cellStyle name="Normal 4 2 2 3 3 3 2 2" xfId="3607"/>
    <cellStyle name="Normal 4 2 2 3 3 3 2 2 2" xfId="7402"/>
    <cellStyle name="Normal 4 2 2 3 3 3 2 2 2 2" xfId="14925"/>
    <cellStyle name="Normal 4 2 2 3 3 3 2 2 2 2 2" xfId="29969"/>
    <cellStyle name="Normal 4 2 2 3 3 3 2 2 2 2 3" xfId="45012"/>
    <cellStyle name="Normal 4 2 2 3 3 3 2 2 2 3" xfId="22448"/>
    <cellStyle name="Normal 4 2 2 3 3 3 2 2 2 4" xfId="37491"/>
    <cellStyle name="Normal 4 2 2 3 3 3 2 2 3" xfId="11176"/>
    <cellStyle name="Normal 4 2 2 3 3 3 2 2 3 2" xfId="26220"/>
    <cellStyle name="Normal 4 2 2 3 3 3 2 2 3 3" xfId="41263"/>
    <cellStyle name="Normal 4 2 2 3 3 3 2 2 4" xfId="18699"/>
    <cellStyle name="Normal 4 2 2 3 3 3 2 2 5" xfId="33742"/>
    <cellStyle name="Normal 4 2 2 3 3 3 2 3" xfId="5537"/>
    <cellStyle name="Normal 4 2 2 3 3 3 2 3 2" xfId="13060"/>
    <cellStyle name="Normal 4 2 2 3 3 3 2 3 2 2" xfId="28104"/>
    <cellStyle name="Normal 4 2 2 3 3 3 2 3 2 3" xfId="43147"/>
    <cellStyle name="Normal 4 2 2 3 3 3 2 3 3" xfId="20583"/>
    <cellStyle name="Normal 4 2 2 3 3 3 2 3 4" xfId="35626"/>
    <cellStyle name="Normal 4 2 2 3 3 3 2 4" xfId="9311"/>
    <cellStyle name="Normal 4 2 2 3 3 3 2 4 2" xfId="24355"/>
    <cellStyle name="Normal 4 2 2 3 3 3 2 4 3" xfId="39398"/>
    <cellStyle name="Normal 4 2 2 3 3 3 2 5" xfId="16834"/>
    <cellStyle name="Normal 4 2 2 3 3 3 2 6" xfId="31877"/>
    <cellStyle name="Normal 4 2 2 3 3 3 3" xfId="2675"/>
    <cellStyle name="Normal 4 2 2 3 3 3 3 2" xfId="6470"/>
    <cellStyle name="Normal 4 2 2 3 3 3 3 2 2" xfId="13993"/>
    <cellStyle name="Normal 4 2 2 3 3 3 3 2 2 2" xfId="29037"/>
    <cellStyle name="Normal 4 2 2 3 3 3 3 2 2 3" xfId="44080"/>
    <cellStyle name="Normal 4 2 2 3 3 3 3 2 3" xfId="21516"/>
    <cellStyle name="Normal 4 2 2 3 3 3 3 2 4" xfId="36559"/>
    <cellStyle name="Normal 4 2 2 3 3 3 3 3" xfId="10244"/>
    <cellStyle name="Normal 4 2 2 3 3 3 3 3 2" xfId="25288"/>
    <cellStyle name="Normal 4 2 2 3 3 3 3 3 3" xfId="40331"/>
    <cellStyle name="Normal 4 2 2 3 3 3 3 4" xfId="17767"/>
    <cellStyle name="Normal 4 2 2 3 3 3 3 5" xfId="32810"/>
    <cellStyle name="Normal 4 2 2 3 3 3 4" xfId="4605"/>
    <cellStyle name="Normal 4 2 2 3 3 3 4 2" xfId="12128"/>
    <cellStyle name="Normal 4 2 2 3 3 3 4 2 2" xfId="27172"/>
    <cellStyle name="Normal 4 2 2 3 3 3 4 2 3" xfId="42215"/>
    <cellStyle name="Normal 4 2 2 3 3 3 4 3" xfId="19651"/>
    <cellStyle name="Normal 4 2 2 3 3 3 4 4" xfId="34694"/>
    <cellStyle name="Normal 4 2 2 3 3 3 5" xfId="8379"/>
    <cellStyle name="Normal 4 2 2 3 3 3 5 2" xfId="23423"/>
    <cellStyle name="Normal 4 2 2 3 3 3 5 3" xfId="38466"/>
    <cellStyle name="Normal 4 2 2 3 3 3 6" xfId="15902"/>
    <cellStyle name="Normal 4 2 2 3 3 3 7" xfId="30945"/>
    <cellStyle name="Normal 4 2 2 3 3 4" xfId="1284"/>
    <cellStyle name="Normal 4 2 2 3 3 4 2" xfId="3155"/>
    <cellStyle name="Normal 4 2 2 3 3 4 2 2" xfId="6950"/>
    <cellStyle name="Normal 4 2 2 3 3 4 2 2 2" xfId="14473"/>
    <cellStyle name="Normal 4 2 2 3 3 4 2 2 2 2" xfId="29517"/>
    <cellStyle name="Normal 4 2 2 3 3 4 2 2 2 3" xfId="44560"/>
    <cellStyle name="Normal 4 2 2 3 3 4 2 2 3" xfId="21996"/>
    <cellStyle name="Normal 4 2 2 3 3 4 2 2 4" xfId="37039"/>
    <cellStyle name="Normal 4 2 2 3 3 4 2 3" xfId="10724"/>
    <cellStyle name="Normal 4 2 2 3 3 4 2 3 2" xfId="25768"/>
    <cellStyle name="Normal 4 2 2 3 3 4 2 3 3" xfId="40811"/>
    <cellStyle name="Normal 4 2 2 3 3 4 2 4" xfId="18247"/>
    <cellStyle name="Normal 4 2 2 3 3 4 2 5" xfId="33290"/>
    <cellStyle name="Normal 4 2 2 3 3 4 3" xfId="5085"/>
    <cellStyle name="Normal 4 2 2 3 3 4 3 2" xfId="12608"/>
    <cellStyle name="Normal 4 2 2 3 3 4 3 2 2" xfId="27652"/>
    <cellStyle name="Normal 4 2 2 3 3 4 3 2 3" xfId="42695"/>
    <cellStyle name="Normal 4 2 2 3 3 4 3 3" xfId="20131"/>
    <cellStyle name="Normal 4 2 2 3 3 4 3 4" xfId="35174"/>
    <cellStyle name="Normal 4 2 2 3 3 4 4" xfId="8859"/>
    <cellStyle name="Normal 4 2 2 3 3 4 4 2" xfId="23903"/>
    <cellStyle name="Normal 4 2 2 3 3 4 4 3" xfId="38946"/>
    <cellStyle name="Normal 4 2 2 3 3 4 5" xfId="16382"/>
    <cellStyle name="Normal 4 2 2 3 3 4 6" xfId="31425"/>
    <cellStyle name="Normal 4 2 2 3 3 5" xfId="2222"/>
    <cellStyle name="Normal 4 2 2 3 3 5 2" xfId="6018"/>
    <cellStyle name="Normal 4 2 2 3 3 5 2 2" xfId="13541"/>
    <cellStyle name="Normal 4 2 2 3 3 5 2 2 2" xfId="28585"/>
    <cellStyle name="Normal 4 2 2 3 3 5 2 2 3" xfId="43628"/>
    <cellStyle name="Normal 4 2 2 3 3 5 2 3" xfId="21064"/>
    <cellStyle name="Normal 4 2 2 3 3 5 2 4" xfId="36107"/>
    <cellStyle name="Normal 4 2 2 3 3 5 3" xfId="9792"/>
    <cellStyle name="Normal 4 2 2 3 3 5 3 2" xfId="24836"/>
    <cellStyle name="Normal 4 2 2 3 3 5 3 3" xfId="39879"/>
    <cellStyle name="Normal 4 2 2 3 3 5 4" xfId="17315"/>
    <cellStyle name="Normal 4 2 2 3 3 5 5" xfId="32358"/>
    <cellStyle name="Normal 4 2 2 3 3 6" xfId="4150"/>
    <cellStyle name="Normal 4 2 2 3 3 6 2" xfId="11674"/>
    <cellStyle name="Normal 4 2 2 3 3 6 2 2" xfId="26718"/>
    <cellStyle name="Normal 4 2 2 3 3 6 2 3" xfId="41761"/>
    <cellStyle name="Normal 4 2 2 3 3 6 3" xfId="19197"/>
    <cellStyle name="Normal 4 2 2 3 3 6 4" xfId="34240"/>
    <cellStyle name="Normal 4 2 2 3 3 7" xfId="7913"/>
    <cellStyle name="Normal 4 2 2 3 3 7 2" xfId="22957"/>
    <cellStyle name="Normal 4 2 2 3 3 7 3" xfId="38000"/>
    <cellStyle name="Normal 4 2 2 3 3 8" xfId="15436"/>
    <cellStyle name="Normal 4 2 2 3 3 9" xfId="30479"/>
    <cellStyle name="Normal 4 2 2 3 4" xfId="255"/>
    <cellStyle name="Normal 4 2 2 3 4 2" xfId="256"/>
    <cellStyle name="Normal 4 2 2 3 4 2 2" xfId="780"/>
    <cellStyle name="Normal 4 2 2 3 4 2 2 2" xfId="1739"/>
    <cellStyle name="Normal 4 2 2 3 4 2 2 2 2" xfId="3610"/>
    <cellStyle name="Normal 4 2 2 3 4 2 2 2 2 2" xfId="7405"/>
    <cellStyle name="Normal 4 2 2 3 4 2 2 2 2 2 2" xfId="14928"/>
    <cellStyle name="Normal 4 2 2 3 4 2 2 2 2 2 2 2" xfId="29972"/>
    <cellStyle name="Normal 4 2 2 3 4 2 2 2 2 2 2 3" xfId="45015"/>
    <cellStyle name="Normal 4 2 2 3 4 2 2 2 2 2 3" xfId="22451"/>
    <cellStyle name="Normal 4 2 2 3 4 2 2 2 2 2 4" xfId="37494"/>
    <cellStyle name="Normal 4 2 2 3 4 2 2 2 2 3" xfId="11179"/>
    <cellStyle name="Normal 4 2 2 3 4 2 2 2 2 3 2" xfId="26223"/>
    <cellStyle name="Normal 4 2 2 3 4 2 2 2 2 3 3" xfId="41266"/>
    <cellStyle name="Normal 4 2 2 3 4 2 2 2 2 4" xfId="18702"/>
    <cellStyle name="Normal 4 2 2 3 4 2 2 2 2 5" xfId="33745"/>
    <cellStyle name="Normal 4 2 2 3 4 2 2 2 3" xfId="5540"/>
    <cellStyle name="Normal 4 2 2 3 4 2 2 2 3 2" xfId="13063"/>
    <cellStyle name="Normal 4 2 2 3 4 2 2 2 3 2 2" xfId="28107"/>
    <cellStyle name="Normal 4 2 2 3 4 2 2 2 3 2 3" xfId="43150"/>
    <cellStyle name="Normal 4 2 2 3 4 2 2 2 3 3" xfId="20586"/>
    <cellStyle name="Normal 4 2 2 3 4 2 2 2 3 4" xfId="35629"/>
    <cellStyle name="Normal 4 2 2 3 4 2 2 2 4" xfId="9314"/>
    <cellStyle name="Normal 4 2 2 3 4 2 2 2 4 2" xfId="24358"/>
    <cellStyle name="Normal 4 2 2 3 4 2 2 2 4 3" xfId="39401"/>
    <cellStyle name="Normal 4 2 2 3 4 2 2 2 5" xfId="16837"/>
    <cellStyle name="Normal 4 2 2 3 4 2 2 2 6" xfId="31880"/>
    <cellStyle name="Normal 4 2 2 3 4 2 2 3" xfId="2678"/>
    <cellStyle name="Normal 4 2 2 3 4 2 2 3 2" xfId="6473"/>
    <cellStyle name="Normal 4 2 2 3 4 2 2 3 2 2" xfId="13996"/>
    <cellStyle name="Normal 4 2 2 3 4 2 2 3 2 2 2" xfId="29040"/>
    <cellStyle name="Normal 4 2 2 3 4 2 2 3 2 2 3" xfId="44083"/>
    <cellStyle name="Normal 4 2 2 3 4 2 2 3 2 3" xfId="21519"/>
    <cellStyle name="Normal 4 2 2 3 4 2 2 3 2 4" xfId="36562"/>
    <cellStyle name="Normal 4 2 2 3 4 2 2 3 3" xfId="10247"/>
    <cellStyle name="Normal 4 2 2 3 4 2 2 3 3 2" xfId="25291"/>
    <cellStyle name="Normal 4 2 2 3 4 2 2 3 3 3" xfId="40334"/>
    <cellStyle name="Normal 4 2 2 3 4 2 2 3 4" xfId="17770"/>
    <cellStyle name="Normal 4 2 2 3 4 2 2 3 5" xfId="32813"/>
    <cellStyle name="Normal 4 2 2 3 4 2 2 4" xfId="4608"/>
    <cellStyle name="Normal 4 2 2 3 4 2 2 4 2" xfId="12131"/>
    <cellStyle name="Normal 4 2 2 3 4 2 2 4 2 2" xfId="27175"/>
    <cellStyle name="Normal 4 2 2 3 4 2 2 4 2 3" xfId="42218"/>
    <cellStyle name="Normal 4 2 2 3 4 2 2 4 3" xfId="19654"/>
    <cellStyle name="Normal 4 2 2 3 4 2 2 4 4" xfId="34697"/>
    <cellStyle name="Normal 4 2 2 3 4 2 2 5" xfId="8382"/>
    <cellStyle name="Normal 4 2 2 3 4 2 2 5 2" xfId="23426"/>
    <cellStyle name="Normal 4 2 2 3 4 2 2 5 3" xfId="38469"/>
    <cellStyle name="Normal 4 2 2 3 4 2 2 6" xfId="15905"/>
    <cellStyle name="Normal 4 2 2 3 4 2 2 7" xfId="30948"/>
    <cellStyle name="Normal 4 2 2 3 4 2 3" xfId="1287"/>
    <cellStyle name="Normal 4 2 2 3 4 2 3 2" xfId="3158"/>
    <cellStyle name="Normal 4 2 2 3 4 2 3 2 2" xfId="6953"/>
    <cellStyle name="Normal 4 2 2 3 4 2 3 2 2 2" xfId="14476"/>
    <cellStyle name="Normal 4 2 2 3 4 2 3 2 2 2 2" xfId="29520"/>
    <cellStyle name="Normal 4 2 2 3 4 2 3 2 2 2 3" xfId="44563"/>
    <cellStyle name="Normal 4 2 2 3 4 2 3 2 2 3" xfId="21999"/>
    <cellStyle name="Normal 4 2 2 3 4 2 3 2 2 4" xfId="37042"/>
    <cellStyle name="Normal 4 2 2 3 4 2 3 2 3" xfId="10727"/>
    <cellStyle name="Normal 4 2 2 3 4 2 3 2 3 2" xfId="25771"/>
    <cellStyle name="Normal 4 2 2 3 4 2 3 2 3 3" xfId="40814"/>
    <cellStyle name="Normal 4 2 2 3 4 2 3 2 4" xfId="18250"/>
    <cellStyle name="Normal 4 2 2 3 4 2 3 2 5" xfId="33293"/>
    <cellStyle name="Normal 4 2 2 3 4 2 3 3" xfId="5088"/>
    <cellStyle name="Normal 4 2 2 3 4 2 3 3 2" xfId="12611"/>
    <cellStyle name="Normal 4 2 2 3 4 2 3 3 2 2" xfId="27655"/>
    <cellStyle name="Normal 4 2 2 3 4 2 3 3 2 3" xfId="42698"/>
    <cellStyle name="Normal 4 2 2 3 4 2 3 3 3" xfId="20134"/>
    <cellStyle name="Normal 4 2 2 3 4 2 3 3 4" xfId="35177"/>
    <cellStyle name="Normal 4 2 2 3 4 2 3 4" xfId="8862"/>
    <cellStyle name="Normal 4 2 2 3 4 2 3 4 2" xfId="23906"/>
    <cellStyle name="Normal 4 2 2 3 4 2 3 4 3" xfId="38949"/>
    <cellStyle name="Normal 4 2 2 3 4 2 3 5" xfId="16385"/>
    <cellStyle name="Normal 4 2 2 3 4 2 3 6" xfId="31428"/>
    <cellStyle name="Normal 4 2 2 3 4 2 4" xfId="2225"/>
    <cellStyle name="Normal 4 2 2 3 4 2 4 2" xfId="6021"/>
    <cellStyle name="Normal 4 2 2 3 4 2 4 2 2" xfId="13544"/>
    <cellStyle name="Normal 4 2 2 3 4 2 4 2 2 2" xfId="28588"/>
    <cellStyle name="Normal 4 2 2 3 4 2 4 2 2 3" xfId="43631"/>
    <cellStyle name="Normal 4 2 2 3 4 2 4 2 3" xfId="21067"/>
    <cellStyle name="Normal 4 2 2 3 4 2 4 2 4" xfId="36110"/>
    <cellStyle name="Normal 4 2 2 3 4 2 4 3" xfId="9795"/>
    <cellStyle name="Normal 4 2 2 3 4 2 4 3 2" xfId="24839"/>
    <cellStyle name="Normal 4 2 2 3 4 2 4 3 3" xfId="39882"/>
    <cellStyle name="Normal 4 2 2 3 4 2 4 4" xfId="17318"/>
    <cellStyle name="Normal 4 2 2 3 4 2 4 5" xfId="32361"/>
    <cellStyle name="Normal 4 2 2 3 4 2 5" xfId="4153"/>
    <cellStyle name="Normal 4 2 2 3 4 2 5 2" xfId="11677"/>
    <cellStyle name="Normal 4 2 2 3 4 2 5 2 2" xfId="26721"/>
    <cellStyle name="Normal 4 2 2 3 4 2 5 2 3" xfId="41764"/>
    <cellStyle name="Normal 4 2 2 3 4 2 5 3" xfId="19200"/>
    <cellStyle name="Normal 4 2 2 3 4 2 5 4" xfId="34243"/>
    <cellStyle name="Normal 4 2 2 3 4 2 6" xfId="7916"/>
    <cellStyle name="Normal 4 2 2 3 4 2 6 2" xfId="22960"/>
    <cellStyle name="Normal 4 2 2 3 4 2 6 3" xfId="38003"/>
    <cellStyle name="Normal 4 2 2 3 4 2 7" xfId="15439"/>
    <cellStyle name="Normal 4 2 2 3 4 2 8" xfId="30482"/>
    <cellStyle name="Normal 4 2 2 3 4 3" xfId="779"/>
    <cellStyle name="Normal 4 2 2 3 4 3 2" xfId="1738"/>
    <cellStyle name="Normal 4 2 2 3 4 3 2 2" xfId="3609"/>
    <cellStyle name="Normal 4 2 2 3 4 3 2 2 2" xfId="7404"/>
    <cellStyle name="Normal 4 2 2 3 4 3 2 2 2 2" xfId="14927"/>
    <cellStyle name="Normal 4 2 2 3 4 3 2 2 2 2 2" xfId="29971"/>
    <cellStyle name="Normal 4 2 2 3 4 3 2 2 2 2 3" xfId="45014"/>
    <cellStyle name="Normal 4 2 2 3 4 3 2 2 2 3" xfId="22450"/>
    <cellStyle name="Normal 4 2 2 3 4 3 2 2 2 4" xfId="37493"/>
    <cellStyle name="Normal 4 2 2 3 4 3 2 2 3" xfId="11178"/>
    <cellStyle name="Normal 4 2 2 3 4 3 2 2 3 2" xfId="26222"/>
    <cellStyle name="Normal 4 2 2 3 4 3 2 2 3 3" xfId="41265"/>
    <cellStyle name="Normal 4 2 2 3 4 3 2 2 4" xfId="18701"/>
    <cellStyle name="Normal 4 2 2 3 4 3 2 2 5" xfId="33744"/>
    <cellStyle name="Normal 4 2 2 3 4 3 2 3" xfId="5539"/>
    <cellStyle name="Normal 4 2 2 3 4 3 2 3 2" xfId="13062"/>
    <cellStyle name="Normal 4 2 2 3 4 3 2 3 2 2" xfId="28106"/>
    <cellStyle name="Normal 4 2 2 3 4 3 2 3 2 3" xfId="43149"/>
    <cellStyle name="Normal 4 2 2 3 4 3 2 3 3" xfId="20585"/>
    <cellStyle name="Normal 4 2 2 3 4 3 2 3 4" xfId="35628"/>
    <cellStyle name="Normal 4 2 2 3 4 3 2 4" xfId="9313"/>
    <cellStyle name="Normal 4 2 2 3 4 3 2 4 2" xfId="24357"/>
    <cellStyle name="Normal 4 2 2 3 4 3 2 4 3" xfId="39400"/>
    <cellStyle name="Normal 4 2 2 3 4 3 2 5" xfId="16836"/>
    <cellStyle name="Normal 4 2 2 3 4 3 2 6" xfId="31879"/>
    <cellStyle name="Normal 4 2 2 3 4 3 3" xfId="2677"/>
    <cellStyle name="Normal 4 2 2 3 4 3 3 2" xfId="6472"/>
    <cellStyle name="Normal 4 2 2 3 4 3 3 2 2" xfId="13995"/>
    <cellStyle name="Normal 4 2 2 3 4 3 3 2 2 2" xfId="29039"/>
    <cellStyle name="Normal 4 2 2 3 4 3 3 2 2 3" xfId="44082"/>
    <cellStyle name="Normal 4 2 2 3 4 3 3 2 3" xfId="21518"/>
    <cellStyle name="Normal 4 2 2 3 4 3 3 2 4" xfId="36561"/>
    <cellStyle name="Normal 4 2 2 3 4 3 3 3" xfId="10246"/>
    <cellStyle name="Normal 4 2 2 3 4 3 3 3 2" xfId="25290"/>
    <cellStyle name="Normal 4 2 2 3 4 3 3 3 3" xfId="40333"/>
    <cellStyle name="Normal 4 2 2 3 4 3 3 4" xfId="17769"/>
    <cellStyle name="Normal 4 2 2 3 4 3 3 5" xfId="32812"/>
    <cellStyle name="Normal 4 2 2 3 4 3 4" xfId="4607"/>
    <cellStyle name="Normal 4 2 2 3 4 3 4 2" xfId="12130"/>
    <cellStyle name="Normal 4 2 2 3 4 3 4 2 2" xfId="27174"/>
    <cellStyle name="Normal 4 2 2 3 4 3 4 2 3" xfId="42217"/>
    <cellStyle name="Normal 4 2 2 3 4 3 4 3" xfId="19653"/>
    <cellStyle name="Normal 4 2 2 3 4 3 4 4" xfId="34696"/>
    <cellStyle name="Normal 4 2 2 3 4 3 5" xfId="8381"/>
    <cellStyle name="Normal 4 2 2 3 4 3 5 2" xfId="23425"/>
    <cellStyle name="Normal 4 2 2 3 4 3 5 3" xfId="38468"/>
    <cellStyle name="Normal 4 2 2 3 4 3 6" xfId="15904"/>
    <cellStyle name="Normal 4 2 2 3 4 3 7" xfId="30947"/>
    <cellStyle name="Normal 4 2 2 3 4 4" xfId="1286"/>
    <cellStyle name="Normal 4 2 2 3 4 4 2" xfId="3157"/>
    <cellStyle name="Normal 4 2 2 3 4 4 2 2" xfId="6952"/>
    <cellStyle name="Normal 4 2 2 3 4 4 2 2 2" xfId="14475"/>
    <cellStyle name="Normal 4 2 2 3 4 4 2 2 2 2" xfId="29519"/>
    <cellStyle name="Normal 4 2 2 3 4 4 2 2 2 3" xfId="44562"/>
    <cellStyle name="Normal 4 2 2 3 4 4 2 2 3" xfId="21998"/>
    <cellStyle name="Normal 4 2 2 3 4 4 2 2 4" xfId="37041"/>
    <cellStyle name="Normal 4 2 2 3 4 4 2 3" xfId="10726"/>
    <cellStyle name="Normal 4 2 2 3 4 4 2 3 2" xfId="25770"/>
    <cellStyle name="Normal 4 2 2 3 4 4 2 3 3" xfId="40813"/>
    <cellStyle name="Normal 4 2 2 3 4 4 2 4" xfId="18249"/>
    <cellStyle name="Normal 4 2 2 3 4 4 2 5" xfId="33292"/>
    <cellStyle name="Normal 4 2 2 3 4 4 3" xfId="5087"/>
    <cellStyle name="Normal 4 2 2 3 4 4 3 2" xfId="12610"/>
    <cellStyle name="Normal 4 2 2 3 4 4 3 2 2" xfId="27654"/>
    <cellStyle name="Normal 4 2 2 3 4 4 3 2 3" xfId="42697"/>
    <cellStyle name="Normal 4 2 2 3 4 4 3 3" xfId="20133"/>
    <cellStyle name="Normal 4 2 2 3 4 4 3 4" xfId="35176"/>
    <cellStyle name="Normal 4 2 2 3 4 4 4" xfId="8861"/>
    <cellStyle name="Normal 4 2 2 3 4 4 4 2" xfId="23905"/>
    <cellStyle name="Normal 4 2 2 3 4 4 4 3" xfId="38948"/>
    <cellStyle name="Normal 4 2 2 3 4 4 5" xfId="16384"/>
    <cellStyle name="Normal 4 2 2 3 4 4 6" xfId="31427"/>
    <cellStyle name="Normal 4 2 2 3 4 5" xfId="2224"/>
    <cellStyle name="Normal 4 2 2 3 4 5 2" xfId="6020"/>
    <cellStyle name="Normal 4 2 2 3 4 5 2 2" xfId="13543"/>
    <cellStyle name="Normal 4 2 2 3 4 5 2 2 2" xfId="28587"/>
    <cellStyle name="Normal 4 2 2 3 4 5 2 2 3" xfId="43630"/>
    <cellStyle name="Normal 4 2 2 3 4 5 2 3" xfId="21066"/>
    <cellStyle name="Normal 4 2 2 3 4 5 2 4" xfId="36109"/>
    <cellStyle name="Normal 4 2 2 3 4 5 3" xfId="9794"/>
    <cellStyle name="Normal 4 2 2 3 4 5 3 2" xfId="24838"/>
    <cellStyle name="Normal 4 2 2 3 4 5 3 3" xfId="39881"/>
    <cellStyle name="Normal 4 2 2 3 4 5 4" xfId="17317"/>
    <cellStyle name="Normal 4 2 2 3 4 5 5" xfId="32360"/>
    <cellStyle name="Normal 4 2 2 3 4 6" xfId="4152"/>
    <cellStyle name="Normal 4 2 2 3 4 6 2" xfId="11676"/>
    <cellStyle name="Normal 4 2 2 3 4 6 2 2" xfId="26720"/>
    <cellStyle name="Normal 4 2 2 3 4 6 2 3" xfId="41763"/>
    <cellStyle name="Normal 4 2 2 3 4 6 3" xfId="19199"/>
    <cellStyle name="Normal 4 2 2 3 4 6 4" xfId="34242"/>
    <cellStyle name="Normal 4 2 2 3 4 7" xfId="7915"/>
    <cellStyle name="Normal 4 2 2 3 4 7 2" xfId="22959"/>
    <cellStyle name="Normal 4 2 2 3 4 7 3" xfId="38002"/>
    <cellStyle name="Normal 4 2 2 3 4 8" xfId="15438"/>
    <cellStyle name="Normal 4 2 2 3 4 9" xfId="30481"/>
    <cellStyle name="Normal 4 2 2 3 5" xfId="257"/>
    <cellStyle name="Normal 4 2 2 3 5 2" xfId="781"/>
    <cellStyle name="Normal 4 2 2 3 5 2 2" xfId="1740"/>
    <cellStyle name="Normal 4 2 2 3 5 2 2 2" xfId="3611"/>
    <cellStyle name="Normal 4 2 2 3 5 2 2 2 2" xfId="7406"/>
    <cellStyle name="Normal 4 2 2 3 5 2 2 2 2 2" xfId="14929"/>
    <cellStyle name="Normal 4 2 2 3 5 2 2 2 2 2 2" xfId="29973"/>
    <cellStyle name="Normal 4 2 2 3 5 2 2 2 2 2 3" xfId="45016"/>
    <cellStyle name="Normal 4 2 2 3 5 2 2 2 2 3" xfId="22452"/>
    <cellStyle name="Normal 4 2 2 3 5 2 2 2 2 4" xfId="37495"/>
    <cellStyle name="Normal 4 2 2 3 5 2 2 2 3" xfId="11180"/>
    <cellStyle name="Normal 4 2 2 3 5 2 2 2 3 2" xfId="26224"/>
    <cellStyle name="Normal 4 2 2 3 5 2 2 2 3 3" xfId="41267"/>
    <cellStyle name="Normal 4 2 2 3 5 2 2 2 4" xfId="18703"/>
    <cellStyle name="Normal 4 2 2 3 5 2 2 2 5" xfId="33746"/>
    <cellStyle name="Normal 4 2 2 3 5 2 2 3" xfId="5541"/>
    <cellStyle name="Normal 4 2 2 3 5 2 2 3 2" xfId="13064"/>
    <cellStyle name="Normal 4 2 2 3 5 2 2 3 2 2" xfId="28108"/>
    <cellStyle name="Normal 4 2 2 3 5 2 2 3 2 3" xfId="43151"/>
    <cellStyle name="Normal 4 2 2 3 5 2 2 3 3" xfId="20587"/>
    <cellStyle name="Normal 4 2 2 3 5 2 2 3 4" xfId="35630"/>
    <cellStyle name="Normal 4 2 2 3 5 2 2 4" xfId="9315"/>
    <cellStyle name="Normal 4 2 2 3 5 2 2 4 2" xfId="24359"/>
    <cellStyle name="Normal 4 2 2 3 5 2 2 4 3" xfId="39402"/>
    <cellStyle name="Normal 4 2 2 3 5 2 2 5" xfId="16838"/>
    <cellStyle name="Normal 4 2 2 3 5 2 2 6" xfId="31881"/>
    <cellStyle name="Normal 4 2 2 3 5 2 3" xfId="2679"/>
    <cellStyle name="Normal 4 2 2 3 5 2 3 2" xfId="6474"/>
    <cellStyle name="Normal 4 2 2 3 5 2 3 2 2" xfId="13997"/>
    <cellStyle name="Normal 4 2 2 3 5 2 3 2 2 2" xfId="29041"/>
    <cellStyle name="Normal 4 2 2 3 5 2 3 2 2 3" xfId="44084"/>
    <cellStyle name="Normal 4 2 2 3 5 2 3 2 3" xfId="21520"/>
    <cellStyle name="Normal 4 2 2 3 5 2 3 2 4" xfId="36563"/>
    <cellStyle name="Normal 4 2 2 3 5 2 3 3" xfId="10248"/>
    <cellStyle name="Normal 4 2 2 3 5 2 3 3 2" xfId="25292"/>
    <cellStyle name="Normal 4 2 2 3 5 2 3 3 3" xfId="40335"/>
    <cellStyle name="Normal 4 2 2 3 5 2 3 4" xfId="17771"/>
    <cellStyle name="Normal 4 2 2 3 5 2 3 5" xfId="32814"/>
    <cellStyle name="Normal 4 2 2 3 5 2 4" xfId="4609"/>
    <cellStyle name="Normal 4 2 2 3 5 2 4 2" xfId="12132"/>
    <cellStyle name="Normal 4 2 2 3 5 2 4 2 2" xfId="27176"/>
    <cellStyle name="Normal 4 2 2 3 5 2 4 2 3" xfId="42219"/>
    <cellStyle name="Normal 4 2 2 3 5 2 4 3" xfId="19655"/>
    <cellStyle name="Normal 4 2 2 3 5 2 4 4" xfId="34698"/>
    <cellStyle name="Normal 4 2 2 3 5 2 5" xfId="8383"/>
    <cellStyle name="Normal 4 2 2 3 5 2 5 2" xfId="23427"/>
    <cellStyle name="Normal 4 2 2 3 5 2 5 3" xfId="38470"/>
    <cellStyle name="Normal 4 2 2 3 5 2 6" xfId="15906"/>
    <cellStyle name="Normal 4 2 2 3 5 2 7" xfId="30949"/>
    <cellStyle name="Normal 4 2 2 3 5 3" xfId="1288"/>
    <cellStyle name="Normal 4 2 2 3 5 3 2" xfId="3159"/>
    <cellStyle name="Normal 4 2 2 3 5 3 2 2" xfId="6954"/>
    <cellStyle name="Normal 4 2 2 3 5 3 2 2 2" xfId="14477"/>
    <cellStyle name="Normal 4 2 2 3 5 3 2 2 2 2" xfId="29521"/>
    <cellStyle name="Normal 4 2 2 3 5 3 2 2 2 3" xfId="44564"/>
    <cellStyle name="Normal 4 2 2 3 5 3 2 2 3" xfId="22000"/>
    <cellStyle name="Normal 4 2 2 3 5 3 2 2 4" xfId="37043"/>
    <cellStyle name="Normal 4 2 2 3 5 3 2 3" xfId="10728"/>
    <cellStyle name="Normal 4 2 2 3 5 3 2 3 2" xfId="25772"/>
    <cellStyle name="Normal 4 2 2 3 5 3 2 3 3" xfId="40815"/>
    <cellStyle name="Normal 4 2 2 3 5 3 2 4" xfId="18251"/>
    <cellStyle name="Normal 4 2 2 3 5 3 2 5" xfId="33294"/>
    <cellStyle name="Normal 4 2 2 3 5 3 3" xfId="5089"/>
    <cellStyle name="Normal 4 2 2 3 5 3 3 2" xfId="12612"/>
    <cellStyle name="Normal 4 2 2 3 5 3 3 2 2" xfId="27656"/>
    <cellStyle name="Normal 4 2 2 3 5 3 3 2 3" xfId="42699"/>
    <cellStyle name="Normal 4 2 2 3 5 3 3 3" xfId="20135"/>
    <cellStyle name="Normal 4 2 2 3 5 3 3 4" xfId="35178"/>
    <cellStyle name="Normal 4 2 2 3 5 3 4" xfId="8863"/>
    <cellStyle name="Normal 4 2 2 3 5 3 4 2" xfId="23907"/>
    <cellStyle name="Normal 4 2 2 3 5 3 4 3" xfId="38950"/>
    <cellStyle name="Normal 4 2 2 3 5 3 5" xfId="16386"/>
    <cellStyle name="Normal 4 2 2 3 5 3 6" xfId="31429"/>
    <cellStyle name="Normal 4 2 2 3 5 4" xfId="2226"/>
    <cellStyle name="Normal 4 2 2 3 5 4 2" xfId="6022"/>
    <cellStyle name="Normal 4 2 2 3 5 4 2 2" xfId="13545"/>
    <cellStyle name="Normal 4 2 2 3 5 4 2 2 2" xfId="28589"/>
    <cellStyle name="Normal 4 2 2 3 5 4 2 2 3" xfId="43632"/>
    <cellStyle name="Normal 4 2 2 3 5 4 2 3" xfId="21068"/>
    <cellStyle name="Normal 4 2 2 3 5 4 2 4" xfId="36111"/>
    <cellStyle name="Normal 4 2 2 3 5 4 3" xfId="9796"/>
    <cellStyle name="Normal 4 2 2 3 5 4 3 2" xfId="24840"/>
    <cellStyle name="Normal 4 2 2 3 5 4 3 3" xfId="39883"/>
    <cellStyle name="Normal 4 2 2 3 5 4 4" xfId="17319"/>
    <cellStyle name="Normal 4 2 2 3 5 4 5" xfId="32362"/>
    <cellStyle name="Normal 4 2 2 3 5 5" xfId="4154"/>
    <cellStyle name="Normal 4 2 2 3 5 5 2" xfId="11678"/>
    <cellStyle name="Normal 4 2 2 3 5 5 2 2" xfId="26722"/>
    <cellStyle name="Normal 4 2 2 3 5 5 2 3" xfId="41765"/>
    <cellStyle name="Normal 4 2 2 3 5 5 3" xfId="19201"/>
    <cellStyle name="Normal 4 2 2 3 5 5 4" xfId="34244"/>
    <cellStyle name="Normal 4 2 2 3 5 6" xfId="7917"/>
    <cellStyle name="Normal 4 2 2 3 5 6 2" xfId="22961"/>
    <cellStyle name="Normal 4 2 2 3 5 6 3" xfId="38004"/>
    <cellStyle name="Normal 4 2 2 3 5 7" xfId="15440"/>
    <cellStyle name="Normal 4 2 2 3 5 8" xfId="30483"/>
    <cellStyle name="Normal 4 2 2 3 6" xfId="772"/>
    <cellStyle name="Normal 4 2 2 3 6 2" xfId="1731"/>
    <cellStyle name="Normal 4 2 2 3 6 2 2" xfId="3602"/>
    <cellStyle name="Normal 4 2 2 3 6 2 2 2" xfId="7397"/>
    <cellStyle name="Normal 4 2 2 3 6 2 2 2 2" xfId="14920"/>
    <cellStyle name="Normal 4 2 2 3 6 2 2 2 2 2" xfId="29964"/>
    <cellStyle name="Normal 4 2 2 3 6 2 2 2 2 3" xfId="45007"/>
    <cellStyle name="Normal 4 2 2 3 6 2 2 2 3" xfId="22443"/>
    <cellStyle name="Normal 4 2 2 3 6 2 2 2 4" xfId="37486"/>
    <cellStyle name="Normal 4 2 2 3 6 2 2 3" xfId="11171"/>
    <cellStyle name="Normal 4 2 2 3 6 2 2 3 2" xfId="26215"/>
    <cellStyle name="Normal 4 2 2 3 6 2 2 3 3" xfId="41258"/>
    <cellStyle name="Normal 4 2 2 3 6 2 2 4" xfId="18694"/>
    <cellStyle name="Normal 4 2 2 3 6 2 2 5" xfId="33737"/>
    <cellStyle name="Normal 4 2 2 3 6 2 3" xfId="5532"/>
    <cellStyle name="Normal 4 2 2 3 6 2 3 2" xfId="13055"/>
    <cellStyle name="Normal 4 2 2 3 6 2 3 2 2" xfId="28099"/>
    <cellStyle name="Normal 4 2 2 3 6 2 3 2 3" xfId="43142"/>
    <cellStyle name="Normal 4 2 2 3 6 2 3 3" xfId="20578"/>
    <cellStyle name="Normal 4 2 2 3 6 2 3 4" xfId="35621"/>
    <cellStyle name="Normal 4 2 2 3 6 2 4" xfId="9306"/>
    <cellStyle name="Normal 4 2 2 3 6 2 4 2" xfId="24350"/>
    <cellStyle name="Normal 4 2 2 3 6 2 4 3" xfId="39393"/>
    <cellStyle name="Normal 4 2 2 3 6 2 5" xfId="16829"/>
    <cellStyle name="Normal 4 2 2 3 6 2 6" xfId="31872"/>
    <cellStyle name="Normal 4 2 2 3 6 3" xfId="2670"/>
    <cellStyle name="Normal 4 2 2 3 6 3 2" xfId="6465"/>
    <cellStyle name="Normal 4 2 2 3 6 3 2 2" xfId="13988"/>
    <cellStyle name="Normal 4 2 2 3 6 3 2 2 2" xfId="29032"/>
    <cellStyle name="Normal 4 2 2 3 6 3 2 2 3" xfId="44075"/>
    <cellStyle name="Normal 4 2 2 3 6 3 2 3" xfId="21511"/>
    <cellStyle name="Normal 4 2 2 3 6 3 2 4" xfId="36554"/>
    <cellStyle name="Normal 4 2 2 3 6 3 3" xfId="10239"/>
    <cellStyle name="Normal 4 2 2 3 6 3 3 2" xfId="25283"/>
    <cellStyle name="Normal 4 2 2 3 6 3 3 3" xfId="40326"/>
    <cellStyle name="Normal 4 2 2 3 6 3 4" xfId="17762"/>
    <cellStyle name="Normal 4 2 2 3 6 3 5" xfId="32805"/>
    <cellStyle name="Normal 4 2 2 3 6 4" xfId="4600"/>
    <cellStyle name="Normal 4 2 2 3 6 4 2" xfId="12123"/>
    <cellStyle name="Normal 4 2 2 3 6 4 2 2" xfId="27167"/>
    <cellStyle name="Normal 4 2 2 3 6 4 2 3" xfId="42210"/>
    <cellStyle name="Normal 4 2 2 3 6 4 3" xfId="19646"/>
    <cellStyle name="Normal 4 2 2 3 6 4 4" xfId="34689"/>
    <cellStyle name="Normal 4 2 2 3 6 5" xfId="8374"/>
    <cellStyle name="Normal 4 2 2 3 6 5 2" xfId="23418"/>
    <cellStyle name="Normal 4 2 2 3 6 5 3" xfId="38461"/>
    <cellStyle name="Normal 4 2 2 3 6 6" xfId="15897"/>
    <cellStyle name="Normal 4 2 2 3 6 7" xfId="30940"/>
    <cellStyle name="Normal 4 2 2 3 7" xfId="1279"/>
    <cellStyle name="Normal 4 2 2 3 7 2" xfId="3150"/>
    <cellStyle name="Normal 4 2 2 3 7 2 2" xfId="6945"/>
    <cellStyle name="Normal 4 2 2 3 7 2 2 2" xfId="14468"/>
    <cellStyle name="Normal 4 2 2 3 7 2 2 2 2" xfId="29512"/>
    <cellStyle name="Normal 4 2 2 3 7 2 2 2 3" xfId="44555"/>
    <cellStyle name="Normal 4 2 2 3 7 2 2 3" xfId="21991"/>
    <cellStyle name="Normal 4 2 2 3 7 2 2 4" xfId="37034"/>
    <cellStyle name="Normal 4 2 2 3 7 2 3" xfId="10719"/>
    <cellStyle name="Normal 4 2 2 3 7 2 3 2" xfId="25763"/>
    <cellStyle name="Normal 4 2 2 3 7 2 3 3" xfId="40806"/>
    <cellStyle name="Normal 4 2 2 3 7 2 4" xfId="18242"/>
    <cellStyle name="Normal 4 2 2 3 7 2 5" xfId="33285"/>
    <cellStyle name="Normal 4 2 2 3 7 3" xfId="5080"/>
    <cellStyle name="Normal 4 2 2 3 7 3 2" xfId="12603"/>
    <cellStyle name="Normal 4 2 2 3 7 3 2 2" xfId="27647"/>
    <cellStyle name="Normal 4 2 2 3 7 3 2 3" xfId="42690"/>
    <cellStyle name="Normal 4 2 2 3 7 3 3" xfId="20126"/>
    <cellStyle name="Normal 4 2 2 3 7 3 4" xfId="35169"/>
    <cellStyle name="Normal 4 2 2 3 7 4" xfId="8854"/>
    <cellStyle name="Normal 4 2 2 3 7 4 2" xfId="23898"/>
    <cellStyle name="Normal 4 2 2 3 7 4 3" xfId="38941"/>
    <cellStyle name="Normal 4 2 2 3 7 5" xfId="16377"/>
    <cellStyle name="Normal 4 2 2 3 7 6" xfId="31420"/>
    <cellStyle name="Normal 4 2 2 3 8" xfId="2217"/>
    <cellStyle name="Normal 4 2 2 3 8 2" xfId="6013"/>
    <cellStyle name="Normal 4 2 2 3 8 2 2" xfId="13536"/>
    <cellStyle name="Normal 4 2 2 3 8 2 2 2" xfId="28580"/>
    <cellStyle name="Normal 4 2 2 3 8 2 2 3" xfId="43623"/>
    <cellStyle name="Normal 4 2 2 3 8 2 3" xfId="21059"/>
    <cellStyle name="Normal 4 2 2 3 8 2 4" xfId="36102"/>
    <cellStyle name="Normal 4 2 2 3 8 3" xfId="9787"/>
    <cellStyle name="Normal 4 2 2 3 8 3 2" xfId="24831"/>
    <cellStyle name="Normal 4 2 2 3 8 3 3" xfId="39874"/>
    <cellStyle name="Normal 4 2 2 3 8 4" xfId="17310"/>
    <cellStyle name="Normal 4 2 2 3 8 5" xfId="32353"/>
    <cellStyle name="Normal 4 2 2 3 9" xfId="4145"/>
    <cellStyle name="Normal 4 2 2 3 9 2" xfId="11669"/>
    <cellStyle name="Normal 4 2 2 3 9 2 2" xfId="26713"/>
    <cellStyle name="Normal 4 2 2 3 9 2 3" xfId="41756"/>
    <cellStyle name="Normal 4 2 2 3 9 3" xfId="19192"/>
    <cellStyle name="Normal 4 2 2 3 9 4" xfId="34235"/>
    <cellStyle name="Normal 4 2 2 4" xfId="258"/>
    <cellStyle name="Normal 4 2 2 4 10" xfId="15441"/>
    <cellStyle name="Normal 4 2 2 4 11" xfId="30484"/>
    <cellStyle name="Normal 4 2 2 4 2" xfId="259"/>
    <cellStyle name="Normal 4 2 2 4 2 2" xfId="260"/>
    <cellStyle name="Normal 4 2 2 4 2 2 2" xfId="784"/>
    <cellStyle name="Normal 4 2 2 4 2 2 2 2" xfId="1743"/>
    <cellStyle name="Normal 4 2 2 4 2 2 2 2 2" xfId="3614"/>
    <cellStyle name="Normal 4 2 2 4 2 2 2 2 2 2" xfId="7409"/>
    <cellStyle name="Normal 4 2 2 4 2 2 2 2 2 2 2" xfId="14932"/>
    <cellStyle name="Normal 4 2 2 4 2 2 2 2 2 2 2 2" xfId="29976"/>
    <cellStyle name="Normal 4 2 2 4 2 2 2 2 2 2 2 3" xfId="45019"/>
    <cellStyle name="Normal 4 2 2 4 2 2 2 2 2 2 3" xfId="22455"/>
    <cellStyle name="Normal 4 2 2 4 2 2 2 2 2 2 4" xfId="37498"/>
    <cellStyle name="Normal 4 2 2 4 2 2 2 2 2 3" xfId="11183"/>
    <cellStyle name="Normal 4 2 2 4 2 2 2 2 2 3 2" xfId="26227"/>
    <cellStyle name="Normal 4 2 2 4 2 2 2 2 2 3 3" xfId="41270"/>
    <cellStyle name="Normal 4 2 2 4 2 2 2 2 2 4" xfId="18706"/>
    <cellStyle name="Normal 4 2 2 4 2 2 2 2 2 5" xfId="33749"/>
    <cellStyle name="Normal 4 2 2 4 2 2 2 2 3" xfId="5544"/>
    <cellStyle name="Normal 4 2 2 4 2 2 2 2 3 2" xfId="13067"/>
    <cellStyle name="Normal 4 2 2 4 2 2 2 2 3 2 2" xfId="28111"/>
    <cellStyle name="Normal 4 2 2 4 2 2 2 2 3 2 3" xfId="43154"/>
    <cellStyle name="Normal 4 2 2 4 2 2 2 2 3 3" xfId="20590"/>
    <cellStyle name="Normal 4 2 2 4 2 2 2 2 3 4" xfId="35633"/>
    <cellStyle name="Normal 4 2 2 4 2 2 2 2 4" xfId="9318"/>
    <cellStyle name="Normal 4 2 2 4 2 2 2 2 4 2" xfId="24362"/>
    <cellStyle name="Normal 4 2 2 4 2 2 2 2 4 3" xfId="39405"/>
    <cellStyle name="Normal 4 2 2 4 2 2 2 2 5" xfId="16841"/>
    <cellStyle name="Normal 4 2 2 4 2 2 2 2 6" xfId="31884"/>
    <cellStyle name="Normal 4 2 2 4 2 2 2 3" xfId="2682"/>
    <cellStyle name="Normal 4 2 2 4 2 2 2 3 2" xfId="6477"/>
    <cellStyle name="Normal 4 2 2 4 2 2 2 3 2 2" xfId="14000"/>
    <cellStyle name="Normal 4 2 2 4 2 2 2 3 2 2 2" xfId="29044"/>
    <cellStyle name="Normal 4 2 2 4 2 2 2 3 2 2 3" xfId="44087"/>
    <cellStyle name="Normal 4 2 2 4 2 2 2 3 2 3" xfId="21523"/>
    <cellStyle name="Normal 4 2 2 4 2 2 2 3 2 4" xfId="36566"/>
    <cellStyle name="Normal 4 2 2 4 2 2 2 3 3" xfId="10251"/>
    <cellStyle name="Normal 4 2 2 4 2 2 2 3 3 2" xfId="25295"/>
    <cellStyle name="Normal 4 2 2 4 2 2 2 3 3 3" xfId="40338"/>
    <cellStyle name="Normal 4 2 2 4 2 2 2 3 4" xfId="17774"/>
    <cellStyle name="Normal 4 2 2 4 2 2 2 3 5" xfId="32817"/>
    <cellStyle name="Normal 4 2 2 4 2 2 2 4" xfId="4612"/>
    <cellStyle name="Normal 4 2 2 4 2 2 2 4 2" xfId="12135"/>
    <cellStyle name="Normal 4 2 2 4 2 2 2 4 2 2" xfId="27179"/>
    <cellStyle name="Normal 4 2 2 4 2 2 2 4 2 3" xfId="42222"/>
    <cellStyle name="Normal 4 2 2 4 2 2 2 4 3" xfId="19658"/>
    <cellStyle name="Normal 4 2 2 4 2 2 2 4 4" xfId="34701"/>
    <cellStyle name="Normal 4 2 2 4 2 2 2 5" xfId="8386"/>
    <cellStyle name="Normal 4 2 2 4 2 2 2 5 2" xfId="23430"/>
    <cellStyle name="Normal 4 2 2 4 2 2 2 5 3" xfId="38473"/>
    <cellStyle name="Normal 4 2 2 4 2 2 2 6" xfId="15909"/>
    <cellStyle name="Normal 4 2 2 4 2 2 2 7" xfId="30952"/>
    <cellStyle name="Normal 4 2 2 4 2 2 3" xfId="1291"/>
    <cellStyle name="Normal 4 2 2 4 2 2 3 2" xfId="3162"/>
    <cellStyle name="Normal 4 2 2 4 2 2 3 2 2" xfId="6957"/>
    <cellStyle name="Normal 4 2 2 4 2 2 3 2 2 2" xfId="14480"/>
    <cellStyle name="Normal 4 2 2 4 2 2 3 2 2 2 2" xfId="29524"/>
    <cellStyle name="Normal 4 2 2 4 2 2 3 2 2 2 3" xfId="44567"/>
    <cellStyle name="Normal 4 2 2 4 2 2 3 2 2 3" xfId="22003"/>
    <cellStyle name="Normal 4 2 2 4 2 2 3 2 2 4" xfId="37046"/>
    <cellStyle name="Normal 4 2 2 4 2 2 3 2 3" xfId="10731"/>
    <cellStyle name="Normal 4 2 2 4 2 2 3 2 3 2" xfId="25775"/>
    <cellStyle name="Normal 4 2 2 4 2 2 3 2 3 3" xfId="40818"/>
    <cellStyle name="Normal 4 2 2 4 2 2 3 2 4" xfId="18254"/>
    <cellStyle name="Normal 4 2 2 4 2 2 3 2 5" xfId="33297"/>
    <cellStyle name="Normal 4 2 2 4 2 2 3 3" xfId="5092"/>
    <cellStyle name="Normal 4 2 2 4 2 2 3 3 2" xfId="12615"/>
    <cellStyle name="Normal 4 2 2 4 2 2 3 3 2 2" xfId="27659"/>
    <cellStyle name="Normal 4 2 2 4 2 2 3 3 2 3" xfId="42702"/>
    <cellStyle name="Normal 4 2 2 4 2 2 3 3 3" xfId="20138"/>
    <cellStyle name="Normal 4 2 2 4 2 2 3 3 4" xfId="35181"/>
    <cellStyle name="Normal 4 2 2 4 2 2 3 4" xfId="8866"/>
    <cellStyle name="Normal 4 2 2 4 2 2 3 4 2" xfId="23910"/>
    <cellStyle name="Normal 4 2 2 4 2 2 3 4 3" xfId="38953"/>
    <cellStyle name="Normal 4 2 2 4 2 2 3 5" xfId="16389"/>
    <cellStyle name="Normal 4 2 2 4 2 2 3 6" xfId="31432"/>
    <cellStyle name="Normal 4 2 2 4 2 2 4" xfId="2229"/>
    <cellStyle name="Normal 4 2 2 4 2 2 4 2" xfId="6025"/>
    <cellStyle name="Normal 4 2 2 4 2 2 4 2 2" xfId="13548"/>
    <cellStyle name="Normal 4 2 2 4 2 2 4 2 2 2" xfId="28592"/>
    <cellStyle name="Normal 4 2 2 4 2 2 4 2 2 3" xfId="43635"/>
    <cellStyle name="Normal 4 2 2 4 2 2 4 2 3" xfId="21071"/>
    <cellStyle name="Normal 4 2 2 4 2 2 4 2 4" xfId="36114"/>
    <cellStyle name="Normal 4 2 2 4 2 2 4 3" xfId="9799"/>
    <cellStyle name="Normal 4 2 2 4 2 2 4 3 2" xfId="24843"/>
    <cellStyle name="Normal 4 2 2 4 2 2 4 3 3" xfId="39886"/>
    <cellStyle name="Normal 4 2 2 4 2 2 4 4" xfId="17322"/>
    <cellStyle name="Normal 4 2 2 4 2 2 4 5" xfId="32365"/>
    <cellStyle name="Normal 4 2 2 4 2 2 5" xfId="4157"/>
    <cellStyle name="Normal 4 2 2 4 2 2 5 2" xfId="11681"/>
    <cellStyle name="Normal 4 2 2 4 2 2 5 2 2" xfId="26725"/>
    <cellStyle name="Normal 4 2 2 4 2 2 5 2 3" xfId="41768"/>
    <cellStyle name="Normal 4 2 2 4 2 2 5 3" xfId="19204"/>
    <cellStyle name="Normal 4 2 2 4 2 2 5 4" xfId="34247"/>
    <cellStyle name="Normal 4 2 2 4 2 2 6" xfId="7920"/>
    <cellStyle name="Normal 4 2 2 4 2 2 6 2" xfId="22964"/>
    <cellStyle name="Normal 4 2 2 4 2 2 6 3" xfId="38007"/>
    <cellStyle name="Normal 4 2 2 4 2 2 7" xfId="15443"/>
    <cellStyle name="Normal 4 2 2 4 2 2 8" xfId="30486"/>
    <cellStyle name="Normal 4 2 2 4 2 3" xfId="783"/>
    <cellStyle name="Normal 4 2 2 4 2 3 2" xfId="1742"/>
    <cellStyle name="Normal 4 2 2 4 2 3 2 2" xfId="3613"/>
    <cellStyle name="Normal 4 2 2 4 2 3 2 2 2" xfId="7408"/>
    <cellStyle name="Normal 4 2 2 4 2 3 2 2 2 2" xfId="14931"/>
    <cellStyle name="Normal 4 2 2 4 2 3 2 2 2 2 2" xfId="29975"/>
    <cellStyle name="Normal 4 2 2 4 2 3 2 2 2 2 3" xfId="45018"/>
    <cellStyle name="Normal 4 2 2 4 2 3 2 2 2 3" xfId="22454"/>
    <cellStyle name="Normal 4 2 2 4 2 3 2 2 2 4" xfId="37497"/>
    <cellStyle name="Normal 4 2 2 4 2 3 2 2 3" xfId="11182"/>
    <cellStyle name="Normal 4 2 2 4 2 3 2 2 3 2" xfId="26226"/>
    <cellStyle name="Normal 4 2 2 4 2 3 2 2 3 3" xfId="41269"/>
    <cellStyle name="Normal 4 2 2 4 2 3 2 2 4" xfId="18705"/>
    <cellStyle name="Normal 4 2 2 4 2 3 2 2 5" xfId="33748"/>
    <cellStyle name="Normal 4 2 2 4 2 3 2 3" xfId="5543"/>
    <cellStyle name="Normal 4 2 2 4 2 3 2 3 2" xfId="13066"/>
    <cellStyle name="Normal 4 2 2 4 2 3 2 3 2 2" xfId="28110"/>
    <cellStyle name="Normal 4 2 2 4 2 3 2 3 2 3" xfId="43153"/>
    <cellStyle name="Normal 4 2 2 4 2 3 2 3 3" xfId="20589"/>
    <cellStyle name="Normal 4 2 2 4 2 3 2 3 4" xfId="35632"/>
    <cellStyle name="Normal 4 2 2 4 2 3 2 4" xfId="9317"/>
    <cellStyle name="Normal 4 2 2 4 2 3 2 4 2" xfId="24361"/>
    <cellStyle name="Normal 4 2 2 4 2 3 2 4 3" xfId="39404"/>
    <cellStyle name="Normal 4 2 2 4 2 3 2 5" xfId="16840"/>
    <cellStyle name="Normal 4 2 2 4 2 3 2 6" xfId="31883"/>
    <cellStyle name="Normal 4 2 2 4 2 3 3" xfId="2681"/>
    <cellStyle name="Normal 4 2 2 4 2 3 3 2" xfId="6476"/>
    <cellStyle name="Normal 4 2 2 4 2 3 3 2 2" xfId="13999"/>
    <cellStyle name="Normal 4 2 2 4 2 3 3 2 2 2" xfId="29043"/>
    <cellStyle name="Normal 4 2 2 4 2 3 3 2 2 3" xfId="44086"/>
    <cellStyle name="Normal 4 2 2 4 2 3 3 2 3" xfId="21522"/>
    <cellStyle name="Normal 4 2 2 4 2 3 3 2 4" xfId="36565"/>
    <cellStyle name="Normal 4 2 2 4 2 3 3 3" xfId="10250"/>
    <cellStyle name="Normal 4 2 2 4 2 3 3 3 2" xfId="25294"/>
    <cellStyle name="Normal 4 2 2 4 2 3 3 3 3" xfId="40337"/>
    <cellStyle name="Normal 4 2 2 4 2 3 3 4" xfId="17773"/>
    <cellStyle name="Normal 4 2 2 4 2 3 3 5" xfId="32816"/>
    <cellStyle name="Normal 4 2 2 4 2 3 4" xfId="4611"/>
    <cellStyle name="Normal 4 2 2 4 2 3 4 2" xfId="12134"/>
    <cellStyle name="Normal 4 2 2 4 2 3 4 2 2" xfId="27178"/>
    <cellStyle name="Normal 4 2 2 4 2 3 4 2 3" xfId="42221"/>
    <cellStyle name="Normal 4 2 2 4 2 3 4 3" xfId="19657"/>
    <cellStyle name="Normal 4 2 2 4 2 3 4 4" xfId="34700"/>
    <cellStyle name="Normal 4 2 2 4 2 3 5" xfId="8385"/>
    <cellStyle name="Normal 4 2 2 4 2 3 5 2" xfId="23429"/>
    <cellStyle name="Normal 4 2 2 4 2 3 5 3" xfId="38472"/>
    <cellStyle name="Normal 4 2 2 4 2 3 6" xfId="15908"/>
    <cellStyle name="Normal 4 2 2 4 2 3 7" xfId="30951"/>
    <cellStyle name="Normal 4 2 2 4 2 4" xfId="1290"/>
    <cellStyle name="Normal 4 2 2 4 2 4 2" xfId="3161"/>
    <cellStyle name="Normal 4 2 2 4 2 4 2 2" xfId="6956"/>
    <cellStyle name="Normal 4 2 2 4 2 4 2 2 2" xfId="14479"/>
    <cellStyle name="Normal 4 2 2 4 2 4 2 2 2 2" xfId="29523"/>
    <cellStyle name="Normal 4 2 2 4 2 4 2 2 2 3" xfId="44566"/>
    <cellStyle name="Normal 4 2 2 4 2 4 2 2 3" xfId="22002"/>
    <cellStyle name="Normal 4 2 2 4 2 4 2 2 4" xfId="37045"/>
    <cellStyle name="Normal 4 2 2 4 2 4 2 3" xfId="10730"/>
    <cellStyle name="Normal 4 2 2 4 2 4 2 3 2" xfId="25774"/>
    <cellStyle name="Normal 4 2 2 4 2 4 2 3 3" xfId="40817"/>
    <cellStyle name="Normal 4 2 2 4 2 4 2 4" xfId="18253"/>
    <cellStyle name="Normal 4 2 2 4 2 4 2 5" xfId="33296"/>
    <cellStyle name="Normal 4 2 2 4 2 4 3" xfId="5091"/>
    <cellStyle name="Normal 4 2 2 4 2 4 3 2" xfId="12614"/>
    <cellStyle name="Normal 4 2 2 4 2 4 3 2 2" xfId="27658"/>
    <cellStyle name="Normal 4 2 2 4 2 4 3 2 3" xfId="42701"/>
    <cellStyle name="Normal 4 2 2 4 2 4 3 3" xfId="20137"/>
    <cellStyle name="Normal 4 2 2 4 2 4 3 4" xfId="35180"/>
    <cellStyle name="Normal 4 2 2 4 2 4 4" xfId="8865"/>
    <cellStyle name="Normal 4 2 2 4 2 4 4 2" xfId="23909"/>
    <cellStyle name="Normal 4 2 2 4 2 4 4 3" xfId="38952"/>
    <cellStyle name="Normal 4 2 2 4 2 4 5" xfId="16388"/>
    <cellStyle name="Normal 4 2 2 4 2 4 6" xfId="31431"/>
    <cellStyle name="Normal 4 2 2 4 2 5" xfId="2228"/>
    <cellStyle name="Normal 4 2 2 4 2 5 2" xfId="6024"/>
    <cellStyle name="Normal 4 2 2 4 2 5 2 2" xfId="13547"/>
    <cellStyle name="Normal 4 2 2 4 2 5 2 2 2" xfId="28591"/>
    <cellStyle name="Normal 4 2 2 4 2 5 2 2 3" xfId="43634"/>
    <cellStyle name="Normal 4 2 2 4 2 5 2 3" xfId="21070"/>
    <cellStyle name="Normal 4 2 2 4 2 5 2 4" xfId="36113"/>
    <cellStyle name="Normal 4 2 2 4 2 5 3" xfId="9798"/>
    <cellStyle name="Normal 4 2 2 4 2 5 3 2" xfId="24842"/>
    <cellStyle name="Normal 4 2 2 4 2 5 3 3" xfId="39885"/>
    <cellStyle name="Normal 4 2 2 4 2 5 4" xfId="17321"/>
    <cellStyle name="Normal 4 2 2 4 2 5 5" xfId="32364"/>
    <cellStyle name="Normal 4 2 2 4 2 6" xfId="4156"/>
    <cellStyle name="Normal 4 2 2 4 2 6 2" xfId="11680"/>
    <cellStyle name="Normal 4 2 2 4 2 6 2 2" xfId="26724"/>
    <cellStyle name="Normal 4 2 2 4 2 6 2 3" xfId="41767"/>
    <cellStyle name="Normal 4 2 2 4 2 6 3" xfId="19203"/>
    <cellStyle name="Normal 4 2 2 4 2 6 4" xfId="34246"/>
    <cellStyle name="Normal 4 2 2 4 2 7" xfId="7919"/>
    <cellStyle name="Normal 4 2 2 4 2 7 2" xfId="22963"/>
    <cellStyle name="Normal 4 2 2 4 2 7 3" xfId="38006"/>
    <cellStyle name="Normal 4 2 2 4 2 8" xfId="15442"/>
    <cellStyle name="Normal 4 2 2 4 2 9" xfId="30485"/>
    <cellStyle name="Normal 4 2 2 4 3" xfId="261"/>
    <cellStyle name="Normal 4 2 2 4 3 2" xfId="262"/>
    <cellStyle name="Normal 4 2 2 4 3 2 2" xfId="786"/>
    <cellStyle name="Normal 4 2 2 4 3 2 2 2" xfId="1745"/>
    <cellStyle name="Normal 4 2 2 4 3 2 2 2 2" xfId="3616"/>
    <cellStyle name="Normal 4 2 2 4 3 2 2 2 2 2" xfId="7411"/>
    <cellStyle name="Normal 4 2 2 4 3 2 2 2 2 2 2" xfId="14934"/>
    <cellStyle name="Normal 4 2 2 4 3 2 2 2 2 2 2 2" xfId="29978"/>
    <cellStyle name="Normal 4 2 2 4 3 2 2 2 2 2 2 3" xfId="45021"/>
    <cellStyle name="Normal 4 2 2 4 3 2 2 2 2 2 3" xfId="22457"/>
    <cellStyle name="Normal 4 2 2 4 3 2 2 2 2 2 4" xfId="37500"/>
    <cellStyle name="Normal 4 2 2 4 3 2 2 2 2 3" xfId="11185"/>
    <cellStyle name="Normal 4 2 2 4 3 2 2 2 2 3 2" xfId="26229"/>
    <cellStyle name="Normal 4 2 2 4 3 2 2 2 2 3 3" xfId="41272"/>
    <cellStyle name="Normal 4 2 2 4 3 2 2 2 2 4" xfId="18708"/>
    <cellStyle name="Normal 4 2 2 4 3 2 2 2 2 5" xfId="33751"/>
    <cellStyle name="Normal 4 2 2 4 3 2 2 2 3" xfId="5546"/>
    <cellStyle name="Normal 4 2 2 4 3 2 2 2 3 2" xfId="13069"/>
    <cellStyle name="Normal 4 2 2 4 3 2 2 2 3 2 2" xfId="28113"/>
    <cellStyle name="Normal 4 2 2 4 3 2 2 2 3 2 3" xfId="43156"/>
    <cellStyle name="Normal 4 2 2 4 3 2 2 2 3 3" xfId="20592"/>
    <cellStyle name="Normal 4 2 2 4 3 2 2 2 3 4" xfId="35635"/>
    <cellStyle name="Normal 4 2 2 4 3 2 2 2 4" xfId="9320"/>
    <cellStyle name="Normal 4 2 2 4 3 2 2 2 4 2" xfId="24364"/>
    <cellStyle name="Normal 4 2 2 4 3 2 2 2 4 3" xfId="39407"/>
    <cellStyle name="Normal 4 2 2 4 3 2 2 2 5" xfId="16843"/>
    <cellStyle name="Normal 4 2 2 4 3 2 2 2 6" xfId="31886"/>
    <cellStyle name="Normal 4 2 2 4 3 2 2 3" xfId="2684"/>
    <cellStyle name="Normal 4 2 2 4 3 2 2 3 2" xfId="6479"/>
    <cellStyle name="Normal 4 2 2 4 3 2 2 3 2 2" xfId="14002"/>
    <cellStyle name="Normal 4 2 2 4 3 2 2 3 2 2 2" xfId="29046"/>
    <cellStyle name="Normal 4 2 2 4 3 2 2 3 2 2 3" xfId="44089"/>
    <cellStyle name="Normal 4 2 2 4 3 2 2 3 2 3" xfId="21525"/>
    <cellStyle name="Normal 4 2 2 4 3 2 2 3 2 4" xfId="36568"/>
    <cellStyle name="Normal 4 2 2 4 3 2 2 3 3" xfId="10253"/>
    <cellStyle name="Normal 4 2 2 4 3 2 2 3 3 2" xfId="25297"/>
    <cellStyle name="Normal 4 2 2 4 3 2 2 3 3 3" xfId="40340"/>
    <cellStyle name="Normal 4 2 2 4 3 2 2 3 4" xfId="17776"/>
    <cellStyle name="Normal 4 2 2 4 3 2 2 3 5" xfId="32819"/>
    <cellStyle name="Normal 4 2 2 4 3 2 2 4" xfId="4614"/>
    <cellStyle name="Normal 4 2 2 4 3 2 2 4 2" xfId="12137"/>
    <cellStyle name="Normal 4 2 2 4 3 2 2 4 2 2" xfId="27181"/>
    <cellStyle name="Normal 4 2 2 4 3 2 2 4 2 3" xfId="42224"/>
    <cellStyle name="Normal 4 2 2 4 3 2 2 4 3" xfId="19660"/>
    <cellStyle name="Normal 4 2 2 4 3 2 2 4 4" xfId="34703"/>
    <cellStyle name="Normal 4 2 2 4 3 2 2 5" xfId="8388"/>
    <cellStyle name="Normal 4 2 2 4 3 2 2 5 2" xfId="23432"/>
    <cellStyle name="Normal 4 2 2 4 3 2 2 5 3" xfId="38475"/>
    <cellStyle name="Normal 4 2 2 4 3 2 2 6" xfId="15911"/>
    <cellStyle name="Normal 4 2 2 4 3 2 2 7" xfId="30954"/>
    <cellStyle name="Normal 4 2 2 4 3 2 3" xfId="1293"/>
    <cellStyle name="Normal 4 2 2 4 3 2 3 2" xfId="3164"/>
    <cellStyle name="Normal 4 2 2 4 3 2 3 2 2" xfId="6959"/>
    <cellStyle name="Normal 4 2 2 4 3 2 3 2 2 2" xfId="14482"/>
    <cellStyle name="Normal 4 2 2 4 3 2 3 2 2 2 2" xfId="29526"/>
    <cellStyle name="Normal 4 2 2 4 3 2 3 2 2 2 3" xfId="44569"/>
    <cellStyle name="Normal 4 2 2 4 3 2 3 2 2 3" xfId="22005"/>
    <cellStyle name="Normal 4 2 2 4 3 2 3 2 2 4" xfId="37048"/>
    <cellStyle name="Normal 4 2 2 4 3 2 3 2 3" xfId="10733"/>
    <cellStyle name="Normal 4 2 2 4 3 2 3 2 3 2" xfId="25777"/>
    <cellStyle name="Normal 4 2 2 4 3 2 3 2 3 3" xfId="40820"/>
    <cellStyle name="Normal 4 2 2 4 3 2 3 2 4" xfId="18256"/>
    <cellStyle name="Normal 4 2 2 4 3 2 3 2 5" xfId="33299"/>
    <cellStyle name="Normal 4 2 2 4 3 2 3 3" xfId="5094"/>
    <cellStyle name="Normal 4 2 2 4 3 2 3 3 2" xfId="12617"/>
    <cellStyle name="Normal 4 2 2 4 3 2 3 3 2 2" xfId="27661"/>
    <cellStyle name="Normal 4 2 2 4 3 2 3 3 2 3" xfId="42704"/>
    <cellStyle name="Normal 4 2 2 4 3 2 3 3 3" xfId="20140"/>
    <cellStyle name="Normal 4 2 2 4 3 2 3 3 4" xfId="35183"/>
    <cellStyle name="Normal 4 2 2 4 3 2 3 4" xfId="8868"/>
    <cellStyle name="Normal 4 2 2 4 3 2 3 4 2" xfId="23912"/>
    <cellStyle name="Normal 4 2 2 4 3 2 3 4 3" xfId="38955"/>
    <cellStyle name="Normal 4 2 2 4 3 2 3 5" xfId="16391"/>
    <cellStyle name="Normal 4 2 2 4 3 2 3 6" xfId="31434"/>
    <cellStyle name="Normal 4 2 2 4 3 2 4" xfId="2231"/>
    <cellStyle name="Normal 4 2 2 4 3 2 4 2" xfId="6027"/>
    <cellStyle name="Normal 4 2 2 4 3 2 4 2 2" xfId="13550"/>
    <cellStyle name="Normal 4 2 2 4 3 2 4 2 2 2" xfId="28594"/>
    <cellStyle name="Normal 4 2 2 4 3 2 4 2 2 3" xfId="43637"/>
    <cellStyle name="Normal 4 2 2 4 3 2 4 2 3" xfId="21073"/>
    <cellStyle name="Normal 4 2 2 4 3 2 4 2 4" xfId="36116"/>
    <cellStyle name="Normal 4 2 2 4 3 2 4 3" xfId="9801"/>
    <cellStyle name="Normal 4 2 2 4 3 2 4 3 2" xfId="24845"/>
    <cellStyle name="Normal 4 2 2 4 3 2 4 3 3" xfId="39888"/>
    <cellStyle name="Normal 4 2 2 4 3 2 4 4" xfId="17324"/>
    <cellStyle name="Normal 4 2 2 4 3 2 4 5" xfId="32367"/>
    <cellStyle name="Normal 4 2 2 4 3 2 5" xfId="4159"/>
    <cellStyle name="Normal 4 2 2 4 3 2 5 2" xfId="11683"/>
    <cellStyle name="Normal 4 2 2 4 3 2 5 2 2" xfId="26727"/>
    <cellStyle name="Normal 4 2 2 4 3 2 5 2 3" xfId="41770"/>
    <cellStyle name="Normal 4 2 2 4 3 2 5 3" xfId="19206"/>
    <cellStyle name="Normal 4 2 2 4 3 2 5 4" xfId="34249"/>
    <cellStyle name="Normal 4 2 2 4 3 2 6" xfId="7922"/>
    <cellStyle name="Normal 4 2 2 4 3 2 6 2" xfId="22966"/>
    <cellStyle name="Normal 4 2 2 4 3 2 6 3" xfId="38009"/>
    <cellStyle name="Normal 4 2 2 4 3 2 7" xfId="15445"/>
    <cellStyle name="Normal 4 2 2 4 3 2 8" xfId="30488"/>
    <cellStyle name="Normal 4 2 2 4 3 3" xfId="785"/>
    <cellStyle name="Normal 4 2 2 4 3 3 2" xfId="1744"/>
    <cellStyle name="Normal 4 2 2 4 3 3 2 2" xfId="3615"/>
    <cellStyle name="Normal 4 2 2 4 3 3 2 2 2" xfId="7410"/>
    <cellStyle name="Normal 4 2 2 4 3 3 2 2 2 2" xfId="14933"/>
    <cellStyle name="Normal 4 2 2 4 3 3 2 2 2 2 2" xfId="29977"/>
    <cellStyle name="Normal 4 2 2 4 3 3 2 2 2 2 3" xfId="45020"/>
    <cellStyle name="Normal 4 2 2 4 3 3 2 2 2 3" xfId="22456"/>
    <cellStyle name="Normal 4 2 2 4 3 3 2 2 2 4" xfId="37499"/>
    <cellStyle name="Normal 4 2 2 4 3 3 2 2 3" xfId="11184"/>
    <cellStyle name="Normal 4 2 2 4 3 3 2 2 3 2" xfId="26228"/>
    <cellStyle name="Normal 4 2 2 4 3 3 2 2 3 3" xfId="41271"/>
    <cellStyle name="Normal 4 2 2 4 3 3 2 2 4" xfId="18707"/>
    <cellStyle name="Normal 4 2 2 4 3 3 2 2 5" xfId="33750"/>
    <cellStyle name="Normal 4 2 2 4 3 3 2 3" xfId="5545"/>
    <cellStyle name="Normal 4 2 2 4 3 3 2 3 2" xfId="13068"/>
    <cellStyle name="Normal 4 2 2 4 3 3 2 3 2 2" xfId="28112"/>
    <cellStyle name="Normal 4 2 2 4 3 3 2 3 2 3" xfId="43155"/>
    <cellStyle name="Normal 4 2 2 4 3 3 2 3 3" xfId="20591"/>
    <cellStyle name="Normal 4 2 2 4 3 3 2 3 4" xfId="35634"/>
    <cellStyle name="Normal 4 2 2 4 3 3 2 4" xfId="9319"/>
    <cellStyle name="Normal 4 2 2 4 3 3 2 4 2" xfId="24363"/>
    <cellStyle name="Normal 4 2 2 4 3 3 2 4 3" xfId="39406"/>
    <cellStyle name="Normal 4 2 2 4 3 3 2 5" xfId="16842"/>
    <cellStyle name="Normal 4 2 2 4 3 3 2 6" xfId="31885"/>
    <cellStyle name="Normal 4 2 2 4 3 3 3" xfId="2683"/>
    <cellStyle name="Normal 4 2 2 4 3 3 3 2" xfId="6478"/>
    <cellStyle name="Normal 4 2 2 4 3 3 3 2 2" xfId="14001"/>
    <cellStyle name="Normal 4 2 2 4 3 3 3 2 2 2" xfId="29045"/>
    <cellStyle name="Normal 4 2 2 4 3 3 3 2 2 3" xfId="44088"/>
    <cellStyle name="Normal 4 2 2 4 3 3 3 2 3" xfId="21524"/>
    <cellStyle name="Normal 4 2 2 4 3 3 3 2 4" xfId="36567"/>
    <cellStyle name="Normal 4 2 2 4 3 3 3 3" xfId="10252"/>
    <cellStyle name="Normal 4 2 2 4 3 3 3 3 2" xfId="25296"/>
    <cellStyle name="Normal 4 2 2 4 3 3 3 3 3" xfId="40339"/>
    <cellStyle name="Normal 4 2 2 4 3 3 3 4" xfId="17775"/>
    <cellStyle name="Normal 4 2 2 4 3 3 3 5" xfId="32818"/>
    <cellStyle name="Normal 4 2 2 4 3 3 4" xfId="4613"/>
    <cellStyle name="Normal 4 2 2 4 3 3 4 2" xfId="12136"/>
    <cellStyle name="Normal 4 2 2 4 3 3 4 2 2" xfId="27180"/>
    <cellStyle name="Normal 4 2 2 4 3 3 4 2 3" xfId="42223"/>
    <cellStyle name="Normal 4 2 2 4 3 3 4 3" xfId="19659"/>
    <cellStyle name="Normal 4 2 2 4 3 3 4 4" xfId="34702"/>
    <cellStyle name="Normal 4 2 2 4 3 3 5" xfId="8387"/>
    <cellStyle name="Normal 4 2 2 4 3 3 5 2" xfId="23431"/>
    <cellStyle name="Normal 4 2 2 4 3 3 5 3" xfId="38474"/>
    <cellStyle name="Normal 4 2 2 4 3 3 6" xfId="15910"/>
    <cellStyle name="Normal 4 2 2 4 3 3 7" xfId="30953"/>
    <cellStyle name="Normal 4 2 2 4 3 4" xfId="1292"/>
    <cellStyle name="Normal 4 2 2 4 3 4 2" xfId="3163"/>
    <cellStyle name="Normal 4 2 2 4 3 4 2 2" xfId="6958"/>
    <cellStyle name="Normal 4 2 2 4 3 4 2 2 2" xfId="14481"/>
    <cellStyle name="Normal 4 2 2 4 3 4 2 2 2 2" xfId="29525"/>
    <cellStyle name="Normal 4 2 2 4 3 4 2 2 2 3" xfId="44568"/>
    <cellStyle name="Normal 4 2 2 4 3 4 2 2 3" xfId="22004"/>
    <cellStyle name="Normal 4 2 2 4 3 4 2 2 4" xfId="37047"/>
    <cellStyle name="Normal 4 2 2 4 3 4 2 3" xfId="10732"/>
    <cellStyle name="Normal 4 2 2 4 3 4 2 3 2" xfId="25776"/>
    <cellStyle name="Normal 4 2 2 4 3 4 2 3 3" xfId="40819"/>
    <cellStyle name="Normal 4 2 2 4 3 4 2 4" xfId="18255"/>
    <cellStyle name="Normal 4 2 2 4 3 4 2 5" xfId="33298"/>
    <cellStyle name="Normal 4 2 2 4 3 4 3" xfId="5093"/>
    <cellStyle name="Normal 4 2 2 4 3 4 3 2" xfId="12616"/>
    <cellStyle name="Normal 4 2 2 4 3 4 3 2 2" xfId="27660"/>
    <cellStyle name="Normal 4 2 2 4 3 4 3 2 3" xfId="42703"/>
    <cellStyle name="Normal 4 2 2 4 3 4 3 3" xfId="20139"/>
    <cellStyle name="Normal 4 2 2 4 3 4 3 4" xfId="35182"/>
    <cellStyle name="Normal 4 2 2 4 3 4 4" xfId="8867"/>
    <cellStyle name="Normal 4 2 2 4 3 4 4 2" xfId="23911"/>
    <cellStyle name="Normal 4 2 2 4 3 4 4 3" xfId="38954"/>
    <cellStyle name="Normal 4 2 2 4 3 4 5" xfId="16390"/>
    <cellStyle name="Normal 4 2 2 4 3 4 6" xfId="31433"/>
    <cellStyle name="Normal 4 2 2 4 3 5" xfId="2230"/>
    <cellStyle name="Normal 4 2 2 4 3 5 2" xfId="6026"/>
    <cellStyle name="Normal 4 2 2 4 3 5 2 2" xfId="13549"/>
    <cellStyle name="Normal 4 2 2 4 3 5 2 2 2" xfId="28593"/>
    <cellStyle name="Normal 4 2 2 4 3 5 2 2 3" xfId="43636"/>
    <cellStyle name="Normal 4 2 2 4 3 5 2 3" xfId="21072"/>
    <cellStyle name="Normal 4 2 2 4 3 5 2 4" xfId="36115"/>
    <cellStyle name="Normal 4 2 2 4 3 5 3" xfId="9800"/>
    <cellStyle name="Normal 4 2 2 4 3 5 3 2" xfId="24844"/>
    <cellStyle name="Normal 4 2 2 4 3 5 3 3" xfId="39887"/>
    <cellStyle name="Normal 4 2 2 4 3 5 4" xfId="17323"/>
    <cellStyle name="Normal 4 2 2 4 3 5 5" xfId="32366"/>
    <cellStyle name="Normal 4 2 2 4 3 6" xfId="4158"/>
    <cellStyle name="Normal 4 2 2 4 3 6 2" xfId="11682"/>
    <cellStyle name="Normal 4 2 2 4 3 6 2 2" xfId="26726"/>
    <cellStyle name="Normal 4 2 2 4 3 6 2 3" xfId="41769"/>
    <cellStyle name="Normal 4 2 2 4 3 6 3" xfId="19205"/>
    <cellStyle name="Normal 4 2 2 4 3 6 4" xfId="34248"/>
    <cellStyle name="Normal 4 2 2 4 3 7" xfId="7921"/>
    <cellStyle name="Normal 4 2 2 4 3 7 2" xfId="22965"/>
    <cellStyle name="Normal 4 2 2 4 3 7 3" xfId="38008"/>
    <cellStyle name="Normal 4 2 2 4 3 8" xfId="15444"/>
    <cellStyle name="Normal 4 2 2 4 3 9" xfId="30487"/>
    <cellStyle name="Normal 4 2 2 4 4" xfId="263"/>
    <cellStyle name="Normal 4 2 2 4 4 2" xfId="787"/>
    <cellStyle name="Normal 4 2 2 4 4 2 2" xfId="1746"/>
    <cellStyle name="Normal 4 2 2 4 4 2 2 2" xfId="3617"/>
    <cellStyle name="Normal 4 2 2 4 4 2 2 2 2" xfId="7412"/>
    <cellStyle name="Normal 4 2 2 4 4 2 2 2 2 2" xfId="14935"/>
    <cellStyle name="Normal 4 2 2 4 4 2 2 2 2 2 2" xfId="29979"/>
    <cellStyle name="Normal 4 2 2 4 4 2 2 2 2 2 3" xfId="45022"/>
    <cellStyle name="Normal 4 2 2 4 4 2 2 2 2 3" xfId="22458"/>
    <cellStyle name="Normal 4 2 2 4 4 2 2 2 2 4" xfId="37501"/>
    <cellStyle name="Normal 4 2 2 4 4 2 2 2 3" xfId="11186"/>
    <cellStyle name="Normal 4 2 2 4 4 2 2 2 3 2" xfId="26230"/>
    <cellStyle name="Normal 4 2 2 4 4 2 2 2 3 3" xfId="41273"/>
    <cellStyle name="Normal 4 2 2 4 4 2 2 2 4" xfId="18709"/>
    <cellStyle name="Normal 4 2 2 4 4 2 2 2 5" xfId="33752"/>
    <cellStyle name="Normal 4 2 2 4 4 2 2 3" xfId="5547"/>
    <cellStyle name="Normal 4 2 2 4 4 2 2 3 2" xfId="13070"/>
    <cellStyle name="Normal 4 2 2 4 4 2 2 3 2 2" xfId="28114"/>
    <cellStyle name="Normal 4 2 2 4 4 2 2 3 2 3" xfId="43157"/>
    <cellStyle name="Normal 4 2 2 4 4 2 2 3 3" xfId="20593"/>
    <cellStyle name="Normal 4 2 2 4 4 2 2 3 4" xfId="35636"/>
    <cellStyle name="Normal 4 2 2 4 4 2 2 4" xfId="9321"/>
    <cellStyle name="Normal 4 2 2 4 4 2 2 4 2" xfId="24365"/>
    <cellStyle name="Normal 4 2 2 4 4 2 2 4 3" xfId="39408"/>
    <cellStyle name="Normal 4 2 2 4 4 2 2 5" xfId="16844"/>
    <cellStyle name="Normal 4 2 2 4 4 2 2 6" xfId="31887"/>
    <cellStyle name="Normal 4 2 2 4 4 2 3" xfId="2685"/>
    <cellStyle name="Normal 4 2 2 4 4 2 3 2" xfId="6480"/>
    <cellStyle name="Normal 4 2 2 4 4 2 3 2 2" xfId="14003"/>
    <cellStyle name="Normal 4 2 2 4 4 2 3 2 2 2" xfId="29047"/>
    <cellStyle name="Normal 4 2 2 4 4 2 3 2 2 3" xfId="44090"/>
    <cellStyle name="Normal 4 2 2 4 4 2 3 2 3" xfId="21526"/>
    <cellStyle name="Normal 4 2 2 4 4 2 3 2 4" xfId="36569"/>
    <cellStyle name="Normal 4 2 2 4 4 2 3 3" xfId="10254"/>
    <cellStyle name="Normal 4 2 2 4 4 2 3 3 2" xfId="25298"/>
    <cellStyle name="Normal 4 2 2 4 4 2 3 3 3" xfId="40341"/>
    <cellStyle name="Normal 4 2 2 4 4 2 3 4" xfId="17777"/>
    <cellStyle name="Normal 4 2 2 4 4 2 3 5" xfId="32820"/>
    <cellStyle name="Normal 4 2 2 4 4 2 4" xfId="4615"/>
    <cellStyle name="Normal 4 2 2 4 4 2 4 2" xfId="12138"/>
    <cellStyle name="Normal 4 2 2 4 4 2 4 2 2" xfId="27182"/>
    <cellStyle name="Normal 4 2 2 4 4 2 4 2 3" xfId="42225"/>
    <cellStyle name="Normal 4 2 2 4 4 2 4 3" xfId="19661"/>
    <cellStyle name="Normal 4 2 2 4 4 2 4 4" xfId="34704"/>
    <cellStyle name="Normal 4 2 2 4 4 2 5" xfId="8389"/>
    <cellStyle name="Normal 4 2 2 4 4 2 5 2" xfId="23433"/>
    <cellStyle name="Normal 4 2 2 4 4 2 5 3" xfId="38476"/>
    <cellStyle name="Normal 4 2 2 4 4 2 6" xfId="15912"/>
    <cellStyle name="Normal 4 2 2 4 4 2 7" xfId="30955"/>
    <cellStyle name="Normal 4 2 2 4 4 3" xfId="1294"/>
    <cellStyle name="Normal 4 2 2 4 4 3 2" xfId="3165"/>
    <cellStyle name="Normal 4 2 2 4 4 3 2 2" xfId="6960"/>
    <cellStyle name="Normal 4 2 2 4 4 3 2 2 2" xfId="14483"/>
    <cellStyle name="Normal 4 2 2 4 4 3 2 2 2 2" xfId="29527"/>
    <cellStyle name="Normal 4 2 2 4 4 3 2 2 2 3" xfId="44570"/>
    <cellStyle name="Normal 4 2 2 4 4 3 2 2 3" xfId="22006"/>
    <cellStyle name="Normal 4 2 2 4 4 3 2 2 4" xfId="37049"/>
    <cellStyle name="Normal 4 2 2 4 4 3 2 3" xfId="10734"/>
    <cellStyle name="Normal 4 2 2 4 4 3 2 3 2" xfId="25778"/>
    <cellStyle name="Normal 4 2 2 4 4 3 2 3 3" xfId="40821"/>
    <cellStyle name="Normal 4 2 2 4 4 3 2 4" xfId="18257"/>
    <cellStyle name="Normal 4 2 2 4 4 3 2 5" xfId="33300"/>
    <cellStyle name="Normal 4 2 2 4 4 3 3" xfId="5095"/>
    <cellStyle name="Normal 4 2 2 4 4 3 3 2" xfId="12618"/>
    <cellStyle name="Normal 4 2 2 4 4 3 3 2 2" xfId="27662"/>
    <cellStyle name="Normal 4 2 2 4 4 3 3 2 3" xfId="42705"/>
    <cellStyle name="Normal 4 2 2 4 4 3 3 3" xfId="20141"/>
    <cellStyle name="Normal 4 2 2 4 4 3 3 4" xfId="35184"/>
    <cellStyle name="Normal 4 2 2 4 4 3 4" xfId="8869"/>
    <cellStyle name="Normal 4 2 2 4 4 3 4 2" xfId="23913"/>
    <cellStyle name="Normal 4 2 2 4 4 3 4 3" xfId="38956"/>
    <cellStyle name="Normal 4 2 2 4 4 3 5" xfId="16392"/>
    <cellStyle name="Normal 4 2 2 4 4 3 6" xfId="31435"/>
    <cellStyle name="Normal 4 2 2 4 4 4" xfId="2232"/>
    <cellStyle name="Normal 4 2 2 4 4 4 2" xfId="6028"/>
    <cellStyle name="Normal 4 2 2 4 4 4 2 2" xfId="13551"/>
    <cellStyle name="Normal 4 2 2 4 4 4 2 2 2" xfId="28595"/>
    <cellStyle name="Normal 4 2 2 4 4 4 2 2 3" xfId="43638"/>
    <cellStyle name="Normal 4 2 2 4 4 4 2 3" xfId="21074"/>
    <cellStyle name="Normal 4 2 2 4 4 4 2 4" xfId="36117"/>
    <cellStyle name="Normal 4 2 2 4 4 4 3" xfId="9802"/>
    <cellStyle name="Normal 4 2 2 4 4 4 3 2" xfId="24846"/>
    <cellStyle name="Normal 4 2 2 4 4 4 3 3" xfId="39889"/>
    <cellStyle name="Normal 4 2 2 4 4 4 4" xfId="17325"/>
    <cellStyle name="Normal 4 2 2 4 4 4 5" xfId="32368"/>
    <cellStyle name="Normal 4 2 2 4 4 5" xfId="4160"/>
    <cellStyle name="Normal 4 2 2 4 4 5 2" xfId="11684"/>
    <cellStyle name="Normal 4 2 2 4 4 5 2 2" xfId="26728"/>
    <cellStyle name="Normal 4 2 2 4 4 5 2 3" xfId="41771"/>
    <cellStyle name="Normal 4 2 2 4 4 5 3" xfId="19207"/>
    <cellStyle name="Normal 4 2 2 4 4 5 4" xfId="34250"/>
    <cellStyle name="Normal 4 2 2 4 4 6" xfId="7923"/>
    <cellStyle name="Normal 4 2 2 4 4 6 2" xfId="22967"/>
    <cellStyle name="Normal 4 2 2 4 4 6 3" xfId="38010"/>
    <cellStyle name="Normal 4 2 2 4 4 7" xfId="15446"/>
    <cellStyle name="Normal 4 2 2 4 4 8" xfId="30489"/>
    <cellStyle name="Normal 4 2 2 4 5" xfId="782"/>
    <cellStyle name="Normal 4 2 2 4 5 2" xfId="1741"/>
    <cellStyle name="Normal 4 2 2 4 5 2 2" xfId="3612"/>
    <cellStyle name="Normal 4 2 2 4 5 2 2 2" xfId="7407"/>
    <cellStyle name="Normal 4 2 2 4 5 2 2 2 2" xfId="14930"/>
    <cellStyle name="Normal 4 2 2 4 5 2 2 2 2 2" xfId="29974"/>
    <cellStyle name="Normal 4 2 2 4 5 2 2 2 2 3" xfId="45017"/>
    <cellStyle name="Normal 4 2 2 4 5 2 2 2 3" xfId="22453"/>
    <cellStyle name="Normal 4 2 2 4 5 2 2 2 4" xfId="37496"/>
    <cellStyle name="Normal 4 2 2 4 5 2 2 3" xfId="11181"/>
    <cellStyle name="Normal 4 2 2 4 5 2 2 3 2" xfId="26225"/>
    <cellStyle name="Normal 4 2 2 4 5 2 2 3 3" xfId="41268"/>
    <cellStyle name="Normal 4 2 2 4 5 2 2 4" xfId="18704"/>
    <cellStyle name="Normal 4 2 2 4 5 2 2 5" xfId="33747"/>
    <cellStyle name="Normal 4 2 2 4 5 2 3" xfId="5542"/>
    <cellStyle name="Normal 4 2 2 4 5 2 3 2" xfId="13065"/>
    <cellStyle name="Normal 4 2 2 4 5 2 3 2 2" xfId="28109"/>
    <cellStyle name="Normal 4 2 2 4 5 2 3 2 3" xfId="43152"/>
    <cellStyle name="Normal 4 2 2 4 5 2 3 3" xfId="20588"/>
    <cellStyle name="Normal 4 2 2 4 5 2 3 4" xfId="35631"/>
    <cellStyle name="Normal 4 2 2 4 5 2 4" xfId="9316"/>
    <cellStyle name="Normal 4 2 2 4 5 2 4 2" xfId="24360"/>
    <cellStyle name="Normal 4 2 2 4 5 2 4 3" xfId="39403"/>
    <cellStyle name="Normal 4 2 2 4 5 2 5" xfId="16839"/>
    <cellStyle name="Normal 4 2 2 4 5 2 6" xfId="31882"/>
    <cellStyle name="Normal 4 2 2 4 5 3" xfId="2680"/>
    <cellStyle name="Normal 4 2 2 4 5 3 2" xfId="6475"/>
    <cellStyle name="Normal 4 2 2 4 5 3 2 2" xfId="13998"/>
    <cellStyle name="Normal 4 2 2 4 5 3 2 2 2" xfId="29042"/>
    <cellStyle name="Normal 4 2 2 4 5 3 2 2 3" xfId="44085"/>
    <cellStyle name="Normal 4 2 2 4 5 3 2 3" xfId="21521"/>
    <cellStyle name="Normal 4 2 2 4 5 3 2 4" xfId="36564"/>
    <cellStyle name="Normal 4 2 2 4 5 3 3" xfId="10249"/>
    <cellStyle name="Normal 4 2 2 4 5 3 3 2" xfId="25293"/>
    <cellStyle name="Normal 4 2 2 4 5 3 3 3" xfId="40336"/>
    <cellStyle name="Normal 4 2 2 4 5 3 4" xfId="17772"/>
    <cellStyle name="Normal 4 2 2 4 5 3 5" xfId="32815"/>
    <cellStyle name="Normal 4 2 2 4 5 4" xfId="4610"/>
    <cellStyle name="Normal 4 2 2 4 5 4 2" xfId="12133"/>
    <cellStyle name="Normal 4 2 2 4 5 4 2 2" xfId="27177"/>
    <cellStyle name="Normal 4 2 2 4 5 4 2 3" xfId="42220"/>
    <cellStyle name="Normal 4 2 2 4 5 4 3" xfId="19656"/>
    <cellStyle name="Normal 4 2 2 4 5 4 4" xfId="34699"/>
    <cellStyle name="Normal 4 2 2 4 5 5" xfId="8384"/>
    <cellStyle name="Normal 4 2 2 4 5 5 2" xfId="23428"/>
    <cellStyle name="Normal 4 2 2 4 5 5 3" xfId="38471"/>
    <cellStyle name="Normal 4 2 2 4 5 6" xfId="15907"/>
    <cellStyle name="Normal 4 2 2 4 5 7" xfId="30950"/>
    <cellStyle name="Normal 4 2 2 4 6" xfId="1289"/>
    <cellStyle name="Normal 4 2 2 4 6 2" xfId="3160"/>
    <cellStyle name="Normal 4 2 2 4 6 2 2" xfId="6955"/>
    <cellStyle name="Normal 4 2 2 4 6 2 2 2" xfId="14478"/>
    <cellStyle name="Normal 4 2 2 4 6 2 2 2 2" xfId="29522"/>
    <cellStyle name="Normal 4 2 2 4 6 2 2 2 3" xfId="44565"/>
    <cellStyle name="Normal 4 2 2 4 6 2 2 3" xfId="22001"/>
    <cellStyle name="Normal 4 2 2 4 6 2 2 4" xfId="37044"/>
    <cellStyle name="Normal 4 2 2 4 6 2 3" xfId="10729"/>
    <cellStyle name="Normal 4 2 2 4 6 2 3 2" xfId="25773"/>
    <cellStyle name="Normal 4 2 2 4 6 2 3 3" xfId="40816"/>
    <cellStyle name="Normal 4 2 2 4 6 2 4" xfId="18252"/>
    <cellStyle name="Normal 4 2 2 4 6 2 5" xfId="33295"/>
    <cellStyle name="Normal 4 2 2 4 6 3" xfId="5090"/>
    <cellStyle name="Normal 4 2 2 4 6 3 2" xfId="12613"/>
    <cellStyle name="Normal 4 2 2 4 6 3 2 2" xfId="27657"/>
    <cellStyle name="Normal 4 2 2 4 6 3 2 3" xfId="42700"/>
    <cellStyle name="Normal 4 2 2 4 6 3 3" xfId="20136"/>
    <cellStyle name="Normal 4 2 2 4 6 3 4" xfId="35179"/>
    <cellStyle name="Normal 4 2 2 4 6 4" xfId="8864"/>
    <cellStyle name="Normal 4 2 2 4 6 4 2" xfId="23908"/>
    <cellStyle name="Normal 4 2 2 4 6 4 3" xfId="38951"/>
    <cellStyle name="Normal 4 2 2 4 6 5" xfId="16387"/>
    <cellStyle name="Normal 4 2 2 4 6 6" xfId="31430"/>
    <cellStyle name="Normal 4 2 2 4 7" xfId="2227"/>
    <cellStyle name="Normal 4 2 2 4 7 2" xfId="6023"/>
    <cellStyle name="Normal 4 2 2 4 7 2 2" xfId="13546"/>
    <cellStyle name="Normal 4 2 2 4 7 2 2 2" xfId="28590"/>
    <cellStyle name="Normal 4 2 2 4 7 2 2 3" xfId="43633"/>
    <cellStyle name="Normal 4 2 2 4 7 2 3" xfId="21069"/>
    <cellStyle name="Normal 4 2 2 4 7 2 4" xfId="36112"/>
    <cellStyle name="Normal 4 2 2 4 7 3" xfId="9797"/>
    <cellStyle name="Normal 4 2 2 4 7 3 2" xfId="24841"/>
    <cellStyle name="Normal 4 2 2 4 7 3 3" xfId="39884"/>
    <cellStyle name="Normal 4 2 2 4 7 4" xfId="17320"/>
    <cellStyle name="Normal 4 2 2 4 7 5" xfId="32363"/>
    <cellStyle name="Normal 4 2 2 4 8" xfId="4155"/>
    <cellStyle name="Normal 4 2 2 4 8 2" xfId="11679"/>
    <cellStyle name="Normal 4 2 2 4 8 2 2" xfId="26723"/>
    <cellStyle name="Normal 4 2 2 4 8 2 3" xfId="41766"/>
    <cellStyle name="Normal 4 2 2 4 8 3" xfId="19202"/>
    <cellStyle name="Normal 4 2 2 4 8 4" xfId="34245"/>
    <cellStyle name="Normal 4 2 2 4 9" xfId="7918"/>
    <cellStyle name="Normal 4 2 2 4 9 2" xfId="22962"/>
    <cellStyle name="Normal 4 2 2 4 9 3" xfId="38005"/>
    <cellStyle name="Normal 4 2 2 5" xfId="264"/>
    <cellStyle name="Normal 4 2 2 5 2" xfId="265"/>
    <cellStyle name="Normal 4 2 2 5 2 2" xfId="789"/>
    <cellStyle name="Normal 4 2 2 5 2 2 2" xfId="1748"/>
    <cellStyle name="Normal 4 2 2 5 2 2 2 2" xfId="3619"/>
    <cellStyle name="Normal 4 2 2 5 2 2 2 2 2" xfId="7414"/>
    <cellStyle name="Normal 4 2 2 5 2 2 2 2 2 2" xfId="14937"/>
    <cellStyle name="Normal 4 2 2 5 2 2 2 2 2 2 2" xfId="29981"/>
    <cellStyle name="Normal 4 2 2 5 2 2 2 2 2 2 3" xfId="45024"/>
    <cellStyle name="Normal 4 2 2 5 2 2 2 2 2 3" xfId="22460"/>
    <cellStyle name="Normal 4 2 2 5 2 2 2 2 2 4" xfId="37503"/>
    <cellStyle name="Normal 4 2 2 5 2 2 2 2 3" xfId="11188"/>
    <cellStyle name="Normal 4 2 2 5 2 2 2 2 3 2" xfId="26232"/>
    <cellStyle name="Normal 4 2 2 5 2 2 2 2 3 3" xfId="41275"/>
    <cellStyle name="Normal 4 2 2 5 2 2 2 2 4" xfId="18711"/>
    <cellStyle name="Normal 4 2 2 5 2 2 2 2 5" xfId="33754"/>
    <cellStyle name="Normal 4 2 2 5 2 2 2 3" xfId="5549"/>
    <cellStyle name="Normal 4 2 2 5 2 2 2 3 2" xfId="13072"/>
    <cellStyle name="Normal 4 2 2 5 2 2 2 3 2 2" xfId="28116"/>
    <cellStyle name="Normal 4 2 2 5 2 2 2 3 2 3" xfId="43159"/>
    <cellStyle name="Normal 4 2 2 5 2 2 2 3 3" xfId="20595"/>
    <cellStyle name="Normal 4 2 2 5 2 2 2 3 4" xfId="35638"/>
    <cellStyle name="Normal 4 2 2 5 2 2 2 4" xfId="9323"/>
    <cellStyle name="Normal 4 2 2 5 2 2 2 4 2" xfId="24367"/>
    <cellStyle name="Normal 4 2 2 5 2 2 2 4 3" xfId="39410"/>
    <cellStyle name="Normal 4 2 2 5 2 2 2 5" xfId="16846"/>
    <cellStyle name="Normal 4 2 2 5 2 2 2 6" xfId="31889"/>
    <cellStyle name="Normal 4 2 2 5 2 2 3" xfId="2687"/>
    <cellStyle name="Normal 4 2 2 5 2 2 3 2" xfId="6482"/>
    <cellStyle name="Normal 4 2 2 5 2 2 3 2 2" xfId="14005"/>
    <cellStyle name="Normal 4 2 2 5 2 2 3 2 2 2" xfId="29049"/>
    <cellStyle name="Normal 4 2 2 5 2 2 3 2 2 3" xfId="44092"/>
    <cellStyle name="Normal 4 2 2 5 2 2 3 2 3" xfId="21528"/>
    <cellStyle name="Normal 4 2 2 5 2 2 3 2 4" xfId="36571"/>
    <cellStyle name="Normal 4 2 2 5 2 2 3 3" xfId="10256"/>
    <cellStyle name="Normal 4 2 2 5 2 2 3 3 2" xfId="25300"/>
    <cellStyle name="Normal 4 2 2 5 2 2 3 3 3" xfId="40343"/>
    <cellStyle name="Normal 4 2 2 5 2 2 3 4" xfId="17779"/>
    <cellStyle name="Normal 4 2 2 5 2 2 3 5" xfId="32822"/>
    <cellStyle name="Normal 4 2 2 5 2 2 4" xfId="4617"/>
    <cellStyle name="Normal 4 2 2 5 2 2 4 2" xfId="12140"/>
    <cellStyle name="Normal 4 2 2 5 2 2 4 2 2" xfId="27184"/>
    <cellStyle name="Normal 4 2 2 5 2 2 4 2 3" xfId="42227"/>
    <cellStyle name="Normal 4 2 2 5 2 2 4 3" xfId="19663"/>
    <cellStyle name="Normal 4 2 2 5 2 2 4 4" xfId="34706"/>
    <cellStyle name="Normal 4 2 2 5 2 2 5" xfId="8391"/>
    <cellStyle name="Normal 4 2 2 5 2 2 5 2" xfId="23435"/>
    <cellStyle name="Normal 4 2 2 5 2 2 5 3" xfId="38478"/>
    <cellStyle name="Normal 4 2 2 5 2 2 6" xfId="15914"/>
    <cellStyle name="Normal 4 2 2 5 2 2 7" xfId="30957"/>
    <cellStyle name="Normal 4 2 2 5 2 3" xfId="1296"/>
    <cellStyle name="Normal 4 2 2 5 2 3 2" xfId="3167"/>
    <cellStyle name="Normal 4 2 2 5 2 3 2 2" xfId="6962"/>
    <cellStyle name="Normal 4 2 2 5 2 3 2 2 2" xfId="14485"/>
    <cellStyle name="Normal 4 2 2 5 2 3 2 2 2 2" xfId="29529"/>
    <cellStyle name="Normal 4 2 2 5 2 3 2 2 2 3" xfId="44572"/>
    <cellStyle name="Normal 4 2 2 5 2 3 2 2 3" xfId="22008"/>
    <cellStyle name="Normal 4 2 2 5 2 3 2 2 4" xfId="37051"/>
    <cellStyle name="Normal 4 2 2 5 2 3 2 3" xfId="10736"/>
    <cellStyle name="Normal 4 2 2 5 2 3 2 3 2" xfId="25780"/>
    <cellStyle name="Normal 4 2 2 5 2 3 2 3 3" xfId="40823"/>
    <cellStyle name="Normal 4 2 2 5 2 3 2 4" xfId="18259"/>
    <cellStyle name="Normal 4 2 2 5 2 3 2 5" xfId="33302"/>
    <cellStyle name="Normal 4 2 2 5 2 3 3" xfId="5097"/>
    <cellStyle name="Normal 4 2 2 5 2 3 3 2" xfId="12620"/>
    <cellStyle name="Normal 4 2 2 5 2 3 3 2 2" xfId="27664"/>
    <cellStyle name="Normal 4 2 2 5 2 3 3 2 3" xfId="42707"/>
    <cellStyle name="Normal 4 2 2 5 2 3 3 3" xfId="20143"/>
    <cellStyle name="Normal 4 2 2 5 2 3 3 4" xfId="35186"/>
    <cellStyle name="Normal 4 2 2 5 2 3 4" xfId="8871"/>
    <cellStyle name="Normal 4 2 2 5 2 3 4 2" xfId="23915"/>
    <cellStyle name="Normal 4 2 2 5 2 3 4 3" xfId="38958"/>
    <cellStyle name="Normal 4 2 2 5 2 3 5" xfId="16394"/>
    <cellStyle name="Normal 4 2 2 5 2 3 6" xfId="31437"/>
    <cellStyle name="Normal 4 2 2 5 2 4" xfId="2234"/>
    <cellStyle name="Normal 4 2 2 5 2 4 2" xfId="6030"/>
    <cellStyle name="Normal 4 2 2 5 2 4 2 2" xfId="13553"/>
    <cellStyle name="Normal 4 2 2 5 2 4 2 2 2" xfId="28597"/>
    <cellStyle name="Normal 4 2 2 5 2 4 2 2 3" xfId="43640"/>
    <cellStyle name="Normal 4 2 2 5 2 4 2 3" xfId="21076"/>
    <cellStyle name="Normal 4 2 2 5 2 4 2 4" xfId="36119"/>
    <cellStyle name="Normal 4 2 2 5 2 4 3" xfId="9804"/>
    <cellStyle name="Normal 4 2 2 5 2 4 3 2" xfId="24848"/>
    <cellStyle name="Normal 4 2 2 5 2 4 3 3" xfId="39891"/>
    <cellStyle name="Normal 4 2 2 5 2 4 4" xfId="17327"/>
    <cellStyle name="Normal 4 2 2 5 2 4 5" xfId="32370"/>
    <cellStyle name="Normal 4 2 2 5 2 5" xfId="4162"/>
    <cellStyle name="Normal 4 2 2 5 2 5 2" xfId="11686"/>
    <cellStyle name="Normal 4 2 2 5 2 5 2 2" xfId="26730"/>
    <cellStyle name="Normal 4 2 2 5 2 5 2 3" xfId="41773"/>
    <cellStyle name="Normal 4 2 2 5 2 5 3" xfId="19209"/>
    <cellStyle name="Normal 4 2 2 5 2 5 4" xfId="34252"/>
    <cellStyle name="Normal 4 2 2 5 2 6" xfId="7925"/>
    <cellStyle name="Normal 4 2 2 5 2 6 2" xfId="22969"/>
    <cellStyle name="Normal 4 2 2 5 2 6 3" xfId="38012"/>
    <cellStyle name="Normal 4 2 2 5 2 7" xfId="15448"/>
    <cellStyle name="Normal 4 2 2 5 2 8" xfId="30491"/>
    <cellStyle name="Normal 4 2 2 5 3" xfId="788"/>
    <cellStyle name="Normal 4 2 2 5 3 2" xfId="1747"/>
    <cellStyle name="Normal 4 2 2 5 3 2 2" xfId="3618"/>
    <cellStyle name="Normal 4 2 2 5 3 2 2 2" xfId="7413"/>
    <cellStyle name="Normal 4 2 2 5 3 2 2 2 2" xfId="14936"/>
    <cellStyle name="Normal 4 2 2 5 3 2 2 2 2 2" xfId="29980"/>
    <cellStyle name="Normal 4 2 2 5 3 2 2 2 2 3" xfId="45023"/>
    <cellStyle name="Normal 4 2 2 5 3 2 2 2 3" xfId="22459"/>
    <cellStyle name="Normal 4 2 2 5 3 2 2 2 4" xfId="37502"/>
    <cellStyle name="Normal 4 2 2 5 3 2 2 3" xfId="11187"/>
    <cellStyle name="Normal 4 2 2 5 3 2 2 3 2" xfId="26231"/>
    <cellStyle name="Normal 4 2 2 5 3 2 2 3 3" xfId="41274"/>
    <cellStyle name="Normal 4 2 2 5 3 2 2 4" xfId="18710"/>
    <cellStyle name="Normal 4 2 2 5 3 2 2 5" xfId="33753"/>
    <cellStyle name="Normal 4 2 2 5 3 2 3" xfId="5548"/>
    <cellStyle name="Normal 4 2 2 5 3 2 3 2" xfId="13071"/>
    <cellStyle name="Normal 4 2 2 5 3 2 3 2 2" xfId="28115"/>
    <cellStyle name="Normal 4 2 2 5 3 2 3 2 3" xfId="43158"/>
    <cellStyle name="Normal 4 2 2 5 3 2 3 3" xfId="20594"/>
    <cellStyle name="Normal 4 2 2 5 3 2 3 4" xfId="35637"/>
    <cellStyle name="Normal 4 2 2 5 3 2 4" xfId="9322"/>
    <cellStyle name="Normal 4 2 2 5 3 2 4 2" xfId="24366"/>
    <cellStyle name="Normal 4 2 2 5 3 2 4 3" xfId="39409"/>
    <cellStyle name="Normal 4 2 2 5 3 2 5" xfId="16845"/>
    <cellStyle name="Normal 4 2 2 5 3 2 6" xfId="31888"/>
    <cellStyle name="Normal 4 2 2 5 3 3" xfId="2686"/>
    <cellStyle name="Normal 4 2 2 5 3 3 2" xfId="6481"/>
    <cellStyle name="Normal 4 2 2 5 3 3 2 2" xfId="14004"/>
    <cellStyle name="Normal 4 2 2 5 3 3 2 2 2" xfId="29048"/>
    <cellStyle name="Normal 4 2 2 5 3 3 2 2 3" xfId="44091"/>
    <cellStyle name="Normal 4 2 2 5 3 3 2 3" xfId="21527"/>
    <cellStyle name="Normal 4 2 2 5 3 3 2 4" xfId="36570"/>
    <cellStyle name="Normal 4 2 2 5 3 3 3" xfId="10255"/>
    <cellStyle name="Normal 4 2 2 5 3 3 3 2" xfId="25299"/>
    <cellStyle name="Normal 4 2 2 5 3 3 3 3" xfId="40342"/>
    <cellStyle name="Normal 4 2 2 5 3 3 4" xfId="17778"/>
    <cellStyle name="Normal 4 2 2 5 3 3 5" xfId="32821"/>
    <cellStyle name="Normal 4 2 2 5 3 4" xfId="4616"/>
    <cellStyle name="Normal 4 2 2 5 3 4 2" xfId="12139"/>
    <cellStyle name="Normal 4 2 2 5 3 4 2 2" xfId="27183"/>
    <cellStyle name="Normal 4 2 2 5 3 4 2 3" xfId="42226"/>
    <cellStyle name="Normal 4 2 2 5 3 4 3" xfId="19662"/>
    <cellStyle name="Normal 4 2 2 5 3 4 4" xfId="34705"/>
    <cellStyle name="Normal 4 2 2 5 3 5" xfId="8390"/>
    <cellStyle name="Normal 4 2 2 5 3 5 2" xfId="23434"/>
    <cellStyle name="Normal 4 2 2 5 3 5 3" xfId="38477"/>
    <cellStyle name="Normal 4 2 2 5 3 6" xfId="15913"/>
    <cellStyle name="Normal 4 2 2 5 3 7" xfId="30956"/>
    <cellStyle name="Normal 4 2 2 5 4" xfId="1295"/>
    <cellStyle name="Normal 4 2 2 5 4 2" xfId="3166"/>
    <cellStyle name="Normal 4 2 2 5 4 2 2" xfId="6961"/>
    <cellStyle name="Normal 4 2 2 5 4 2 2 2" xfId="14484"/>
    <cellStyle name="Normal 4 2 2 5 4 2 2 2 2" xfId="29528"/>
    <cellStyle name="Normal 4 2 2 5 4 2 2 2 3" xfId="44571"/>
    <cellStyle name="Normal 4 2 2 5 4 2 2 3" xfId="22007"/>
    <cellStyle name="Normal 4 2 2 5 4 2 2 4" xfId="37050"/>
    <cellStyle name="Normal 4 2 2 5 4 2 3" xfId="10735"/>
    <cellStyle name="Normal 4 2 2 5 4 2 3 2" xfId="25779"/>
    <cellStyle name="Normal 4 2 2 5 4 2 3 3" xfId="40822"/>
    <cellStyle name="Normal 4 2 2 5 4 2 4" xfId="18258"/>
    <cellStyle name="Normal 4 2 2 5 4 2 5" xfId="33301"/>
    <cellStyle name="Normal 4 2 2 5 4 3" xfId="5096"/>
    <cellStyle name="Normal 4 2 2 5 4 3 2" xfId="12619"/>
    <cellStyle name="Normal 4 2 2 5 4 3 2 2" xfId="27663"/>
    <cellStyle name="Normal 4 2 2 5 4 3 2 3" xfId="42706"/>
    <cellStyle name="Normal 4 2 2 5 4 3 3" xfId="20142"/>
    <cellStyle name="Normal 4 2 2 5 4 3 4" xfId="35185"/>
    <cellStyle name="Normal 4 2 2 5 4 4" xfId="8870"/>
    <cellStyle name="Normal 4 2 2 5 4 4 2" xfId="23914"/>
    <cellStyle name="Normal 4 2 2 5 4 4 3" xfId="38957"/>
    <cellStyle name="Normal 4 2 2 5 4 5" xfId="16393"/>
    <cellStyle name="Normal 4 2 2 5 4 6" xfId="31436"/>
    <cellStyle name="Normal 4 2 2 5 5" xfId="2233"/>
    <cellStyle name="Normal 4 2 2 5 5 2" xfId="6029"/>
    <cellStyle name="Normal 4 2 2 5 5 2 2" xfId="13552"/>
    <cellStyle name="Normal 4 2 2 5 5 2 2 2" xfId="28596"/>
    <cellStyle name="Normal 4 2 2 5 5 2 2 3" xfId="43639"/>
    <cellStyle name="Normal 4 2 2 5 5 2 3" xfId="21075"/>
    <cellStyle name="Normal 4 2 2 5 5 2 4" xfId="36118"/>
    <cellStyle name="Normal 4 2 2 5 5 3" xfId="9803"/>
    <cellStyle name="Normal 4 2 2 5 5 3 2" xfId="24847"/>
    <cellStyle name="Normal 4 2 2 5 5 3 3" xfId="39890"/>
    <cellStyle name="Normal 4 2 2 5 5 4" xfId="17326"/>
    <cellStyle name="Normal 4 2 2 5 5 5" xfId="32369"/>
    <cellStyle name="Normal 4 2 2 5 6" xfId="4161"/>
    <cellStyle name="Normal 4 2 2 5 6 2" xfId="11685"/>
    <cellStyle name="Normal 4 2 2 5 6 2 2" xfId="26729"/>
    <cellStyle name="Normal 4 2 2 5 6 2 3" xfId="41772"/>
    <cellStyle name="Normal 4 2 2 5 6 3" xfId="19208"/>
    <cellStyle name="Normal 4 2 2 5 6 4" xfId="34251"/>
    <cellStyle name="Normal 4 2 2 5 7" xfId="7924"/>
    <cellStyle name="Normal 4 2 2 5 7 2" xfId="22968"/>
    <cellStyle name="Normal 4 2 2 5 7 3" xfId="38011"/>
    <cellStyle name="Normal 4 2 2 5 8" xfId="15447"/>
    <cellStyle name="Normal 4 2 2 5 9" xfId="30490"/>
    <cellStyle name="Normal 4 2 2 6" xfId="266"/>
    <cellStyle name="Normal 4 2 2 6 2" xfId="267"/>
    <cellStyle name="Normal 4 2 2 6 2 2" xfId="791"/>
    <cellStyle name="Normal 4 2 2 6 2 2 2" xfId="1750"/>
    <cellStyle name="Normal 4 2 2 6 2 2 2 2" xfId="3621"/>
    <cellStyle name="Normal 4 2 2 6 2 2 2 2 2" xfId="7416"/>
    <cellStyle name="Normal 4 2 2 6 2 2 2 2 2 2" xfId="14939"/>
    <cellStyle name="Normal 4 2 2 6 2 2 2 2 2 2 2" xfId="29983"/>
    <cellStyle name="Normal 4 2 2 6 2 2 2 2 2 2 3" xfId="45026"/>
    <cellStyle name="Normal 4 2 2 6 2 2 2 2 2 3" xfId="22462"/>
    <cellStyle name="Normal 4 2 2 6 2 2 2 2 2 4" xfId="37505"/>
    <cellStyle name="Normal 4 2 2 6 2 2 2 2 3" xfId="11190"/>
    <cellStyle name="Normal 4 2 2 6 2 2 2 2 3 2" xfId="26234"/>
    <cellStyle name="Normal 4 2 2 6 2 2 2 2 3 3" xfId="41277"/>
    <cellStyle name="Normal 4 2 2 6 2 2 2 2 4" xfId="18713"/>
    <cellStyle name="Normal 4 2 2 6 2 2 2 2 5" xfId="33756"/>
    <cellStyle name="Normal 4 2 2 6 2 2 2 3" xfId="5551"/>
    <cellStyle name="Normal 4 2 2 6 2 2 2 3 2" xfId="13074"/>
    <cellStyle name="Normal 4 2 2 6 2 2 2 3 2 2" xfId="28118"/>
    <cellStyle name="Normal 4 2 2 6 2 2 2 3 2 3" xfId="43161"/>
    <cellStyle name="Normal 4 2 2 6 2 2 2 3 3" xfId="20597"/>
    <cellStyle name="Normal 4 2 2 6 2 2 2 3 4" xfId="35640"/>
    <cellStyle name="Normal 4 2 2 6 2 2 2 4" xfId="9325"/>
    <cellStyle name="Normal 4 2 2 6 2 2 2 4 2" xfId="24369"/>
    <cellStyle name="Normal 4 2 2 6 2 2 2 4 3" xfId="39412"/>
    <cellStyle name="Normal 4 2 2 6 2 2 2 5" xfId="16848"/>
    <cellStyle name="Normal 4 2 2 6 2 2 2 6" xfId="31891"/>
    <cellStyle name="Normal 4 2 2 6 2 2 3" xfId="2689"/>
    <cellStyle name="Normal 4 2 2 6 2 2 3 2" xfId="6484"/>
    <cellStyle name="Normal 4 2 2 6 2 2 3 2 2" xfId="14007"/>
    <cellStyle name="Normal 4 2 2 6 2 2 3 2 2 2" xfId="29051"/>
    <cellStyle name="Normal 4 2 2 6 2 2 3 2 2 3" xfId="44094"/>
    <cellStyle name="Normal 4 2 2 6 2 2 3 2 3" xfId="21530"/>
    <cellStyle name="Normal 4 2 2 6 2 2 3 2 4" xfId="36573"/>
    <cellStyle name="Normal 4 2 2 6 2 2 3 3" xfId="10258"/>
    <cellStyle name="Normal 4 2 2 6 2 2 3 3 2" xfId="25302"/>
    <cellStyle name="Normal 4 2 2 6 2 2 3 3 3" xfId="40345"/>
    <cellStyle name="Normal 4 2 2 6 2 2 3 4" xfId="17781"/>
    <cellStyle name="Normal 4 2 2 6 2 2 3 5" xfId="32824"/>
    <cellStyle name="Normal 4 2 2 6 2 2 4" xfId="4619"/>
    <cellStyle name="Normal 4 2 2 6 2 2 4 2" xfId="12142"/>
    <cellStyle name="Normal 4 2 2 6 2 2 4 2 2" xfId="27186"/>
    <cellStyle name="Normal 4 2 2 6 2 2 4 2 3" xfId="42229"/>
    <cellStyle name="Normal 4 2 2 6 2 2 4 3" xfId="19665"/>
    <cellStyle name="Normal 4 2 2 6 2 2 4 4" xfId="34708"/>
    <cellStyle name="Normal 4 2 2 6 2 2 5" xfId="8393"/>
    <cellStyle name="Normal 4 2 2 6 2 2 5 2" xfId="23437"/>
    <cellStyle name="Normal 4 2 2 6 2 2 5 3" xfId="38480"/>
    <cellStyle name="Normal 4 2 2 6 2 2 6" xfId="15916"/>
    <cellStyle name="Normal 4 2 2 6 2 2 7" xfId="30959"/>
    <cellStyle name="Normal 4 2 2 6 2 3" xfId="1298"/>
    <cellStyle name="Normal 4 2 2 6 2 3 2" xfId="3169"/>
    <cellStyle name="Normal 4 2 2 6 2 3 2 2" xfId="6964"/>
    <cellStyle name="Normal 4 2 2 6 2 3 2 2 2" xfId="14487"/>
    <cellStyle name="Normal 4 2 2 6 2 3 2 2 2 2" xfId="29531"/>
    <cellStyle name="Normal 4 2 2 6 2 3 2 2 2 3" xfId="44574"/>
    <cellStyle name="Normal 4 2 2 6 2 3 2 2 3" xfId="22010"/>
    <cellStyle name="Normal 4 2 2 6 2 3 2 2 4" xfId="37053"/>
    <cellStyle name="Normal 4 2 2 6 2 3 2 3" xfId="10738"/>
    <cellStyle name="Normal 4 2 2 6 2 3 2 3 2" xfId="25782"/>
    <cellStyle name="Normal 4 2 2 6 2 3 2 3 3" xfId="40825"/>
    <cellStyle name="Normal 4 2 2 6 2 3 2 4" xfId="18261"/>
    <cellStyle name="Normal 4 2 2 6 2 3 2 5" xfId="33304"/>
    <cellStyle name="Normal 4 2 2 6 2 3 3" xfId="5099"/>
    <cellStyle name="Normal 4 2 2 6 2 3 3 2" xfId="12622"/>
    <cellStyle name="Normal 4 2 2 6 2 3 3 2 2" xfId="27666"/>
    <cellStyle name="Normal 4 2 2 6 2 3 3 2 3" xfId="42709"/>
    <cellStyle name="Normal 4 2 2 6 2 3 3 3" xfId="20145"/>
    <cellStyle name="Normal 4 2 2 6 2 3 3 4" xfId="35188"/>
    <cellStyle name="Normal 4 2 2 6 2 3 4" xfId="8873"/>
    <cellStyle name="Normal 4 2 2 6 2 3 4 2" xfId="23917"/>
    <cellStyle name="Normal 4 2 2 6 2 3 4 3" xfId="38960"/>
    <cellStyle name="Normal 4 2 2 6 2 3 5" xfId="16396"/>
    <cellStyle name="Normal 4 2 2 6 2 3 6" xfId="31439"/>
    <cellStyle name="Normal 4 2 2 6 2 4" xfId="2236"/>
    <cellStyle name="Normal 4 2 2 6 2 4 2" xfId="6032"/>
    <cellStyle name="Normal 4 2 2 6 2 4 2 2" xfId="13555"/>
    <cellStyle name="Normal 4 2 2 6 2 4 2 2 2" xfId="28599"/>
    <cellStyle name="Normal 4 2 2 6 2 4 2 2 3" xfId="43642"/>
    <cellStyle name="Normal 4 2 2 6 2 4 2 3" xfId="21078"/>
    <cellStyle name="Normal 4 2 2 6 2 4 2 4" xfId="36121"/>
    <cellStyle name="Normal 4 2 2 6 2 4 3" xfId="9806"/>
    <cellStyle name="Normal 4 2 2 6 2 4 3 2" xfId="24850"/>
    <cellStyle name="Normal 4 2 2 6 2 4 3 3" xfId="39893"/>
    <cellStyle name="Normal 4 2 2 6 2 4 4" xfId="17329"/>
    <cellStyle name="Normal 4 2 2 6 2 4 5" xfId="32372"/>
    <cellStyle name="Normal 4 2 2 6 2 5" xfId="4164"/>
    <cellStyle name="Normal 4 2 2 6 2 5 2" xfId="11688"/>
    <cellStyle name="Normal 4 2 2 6 2 5 2 2" xfId="26732"/>
    <cellStyle name="Normal 4 2 2 6 2 5 2 3" xfId="41775"/>
    <cellStyle name="Normal 4 2 2 6 2 5 3" xfId="19211"/>
    <cellStyle name="Normal 4 2 2 6 2 5 4" xfId="34254"/>
    <cellStyle name="Normal 4 2 2 6 2 6" xfId="7927"/>
    <cellStyle name="Normal 4 2 2 6 2 6 2" xfId="22971"/>
    <cellStyle name="Normal 4 2 2 6 2 6 3" xfId="38014"/>
    <cellStyle name="Normal 4 2 2 6 2 7" xfId="15450"/>
    <cellStyle name="Normal 4 2 2 6 2 8" xfId="30493"/>
    <cellStyle name="Normal 4 2 2 6 3" xfId="790"/>
    <cellStyle name="Normal 4 2 2 6 3 2" xfId="1749"/>
    <cellStyle name="Normal 4 2 2 6 3 2 2" xfId="3620"/>
    <cellStyle name="Normal 4 2 2 6 3 2 2 2" xfId="7415"/>
    <cellStyle name="Normal 4 2 2 6 3 2 2 2 2" xfId="14938"/>
    <cellStyle name="Normal 4 2 2 6 3 2 2 2 2 2" xfId="29982"/>
    <cellStyle name="Normal 4 2 2 6 3 2 2 2 2 3" xfId="45025"/>
    <cellStyle name="Normal 4 2 2 6 3 2 2 2 3" xfId="22461"/>
    <cellStyle name="Normal 4 2 2 6 3 2 2 2 4" xfId="37504"/>
    <cellStyle name="Normal 4 2 2 6 3 2 2 3" xfId="11189"/>
    <cellStyle name="Normal 4 2 2 6 3 2 2 3 2" xfId="26233"/>
    <cellStyle name="Normal 4 2 2 6 3 2 2 3 3" xfId="41276"/>
    <cellStyle name="Normal 4 2 2 6 3 2 2 4" xfId="18712"/>
    <cellStyle name="Normal 4 2 2 6 3 2 2 5" xfId="33755"/>
    <cellStyle name="Normal 4 2 2 6 3 2 3" xfId="5550"/>
    <cellStyle name="Normal 4 2 2 6 3 2 3 2" xfId="13073"/>
    <cellStyle name="Normal 4 2 2 6 3 2 3 2 2" xfId="28117"/>
    <cellStyle name="Normal 4 2 2 6 3 2 3 2 3" xfId="43160"/>
    <cellStyle name="Normal 4 2 2 6 3 2 3 3" xfId="20596"/>
    <cellStyle name="Normal 4 2 2 6 3 2 3 4" xfId="35639"/>
    <cellStyle name="Normal 4 2 2 6 3 2 4" xfId="9324"/>
    <cellStyle name="Normal 4 2 2 6 3 2 4 2" xfId="24368"/>
    <cellStyle name="Normal 4 2 2 6 3 2 4 3" xfId="39411"/>
    <cellStyle name="Normal 4 2 2 6 3 2 5" xfId="16847"/>
    <cellStyle name="Normal 4 2 2 6 3 2 6" xfId="31890"/>
    <cellStyle name="Normal 4 2 2 6 3 3" xfId="2688"/>
    <cellStyle name="Normal 4 2 2 6 3 3 2" xfId="6483"/>
    <cellStyle name="Normal 4 2 2 6 3 3 2 2" xfId="14006"/>
    <cellStyle name="Normal 4 2 2 6 3 3 2 2 2" xfId="29050"/>
    <cellStyle name="Normal 4 2 2 6 3 3 2 2 3" xfId="44093"/>
    <cellStyle name="Normal 4 2 2 6 3 3 2 3" xfId="21529"/>
    <cellStyle name="Normal 4 2 2 6 3 3 2 4" xfId="36572"/>
    <cellStyle name="Normal 4 2 2 6 3 3 3" xfId="10257"/>
    <cellStyle name="Normal 4 2 2 6 3 3 3 2" xfId="25301"/>
    <cellStyle name="Normal 4 2 2 6 3 3 3 3" xfId="40344"/>
    <cellStyle name="Normal 4 2 2 6 3 3 4" xfId="17780"/>
    <cellStyle name="Normal 4 2 2 6 3 3 5" xfId="32823"/>
    <cellStyle name="Normal 4 2 2 6 3 4" xfId="4618"/>
    <cellStyle name="Normal 4 2 2 6 3 4 2" xfId="12141"/>
    <cellStyle name="Normal 4 2 2 6 3 4 2 2" xfId="27185"/>
    <cellStyle name="Normal 4 2 2 6 3 4 2 3" xfId="42228"/>
    <cellStyle name="Normal 4 2 2 6 3 4 3" xfId="19664"/>
    <cellStyle name="Normal 4 2 2 6 3 4 4" xfId="34707"/>
    <cellStyle name="Normal 4 2 2 6 3 5" xfId="8392"/>
    <cellStyle name="Normal 4 2 2 6 3 5 2" xfId="23436"/>
    <cellStyle name="Normal 4 2 2 6 3 5 3" xfId="38479"/>
    <cellStyle name="Normal 4 2 2 6 3 6" xfId="15915"/>
    <cellStyle name="Normal 4 2 2 6 3 7" xfId="30958"/>
    <cellStyle name="Normal 4 2 2 6 4" xfId="1297"/>
    <cellStyle name="Normal 4 2 2 6 4 2" xfId="3168"/>
    <cellStyle name="Normal 4 2 2 6 4 2 2" xfId="6963"/>
    <cellStyle name="Normal 4 2 2 6 4 2 2 2" xfId="14486"/>
    <cellStyle name="Normal 4 2 2 6 4 2 2 2 2" xfId="29530"/>
    <cellStyle name="Normal 4 2 2 6 4 2 2 2 3" xfId="44573"/>
    <cellStyle name="Normal 4 2 2 6 4 2 2 3" xfId="22009"/>
    <cellStyle name="Normal 4 2 2 6 4 2 2 4" xfId="37052"/>
    <cellStyle name="Normal 4 2 2 6 4 2 3" xfId="10737"/>
    <cellStyle name="Normal 4 2 2 6 4 2 3 2" xfId="25781"/>
    <cellStyle name="Normal 4 2 2 6 4 2 3 3" xfId="40824"/>
    <cellStyle name="Normal 4 2 2 6 4 2 4" xfId="18260"/>
    <cellStyle name="Normal 4 2 2 6 4 2 5" xfId="33303"/>
    <cellStyle name="Normal 4 2 2 6 4 3" xfId="5098"/>
    <cellStyle name="Normal 4 2 2 6 4 3 2" xfId="12621"/>
    <cellStyle name="Normal 4 2 2 6 4 3 2 2" xfId="27665"/>
    <cellStyle name="Normal 4 2 2 6 4 3 2 3" xfId="42708"/>
    <cellStyle name="Normal 4 2 2 6 4 3 3" xfId="20144"/>
    <cellStyle name="Normal 4 2 2 6 4 3 4" xfId="35187"/>
    <cellStyle name="Normal 4 2 2 6 4 4" xfId="8872"/>
    <cellStyle name="Normal 4 2 2 6 4 4 2" xfId="23916"/>
    <cellStyle name="Normal 4 2 2 6 4 4 3" xfId="38959"/>
    <cellStyle name="Normal 4 2 2 6 4 5" xfId="16395"/>
    <cellStyle name="Normal 4 2 2 6 4 6" xfId="31438"/>
    <cellStyle name="Normal 4 2 2 6 5" xfId="2235"/>
    <cellStyle name="Normal 4 2 2 6 5 2" xfId="6031"/>
    <cellStyle name="Normal 4 2 2 6 5 2 2" xfId="13554"/>
    <cellStyle name="Normal 4 2 2 6 5 2 2 2" xfId="28598"/>
    <cellStyle name="Normal 4 2 2 6 5 2 2 3" xfId="43641"/>
    <cellStyle name="Normal 4 2 2 6 5 2 3" xfId="21077"/>
    <cellStyle name="Normal 4 2 2 6 5 2 4" xfId="36120"/>
    <cellStyle name="Normal 4 2 2 6 5 3" xfId="9805"/>
    <cellStyle name="Normal 4 2 2 6 5 3 2" xfId="24849"/>
    <cellStyle name="Normal 4 2 2 6 5 3 3" xfId="39892"/>
    <cellStyle name="Normal 4 2 2 6 5 4" xfId="17328"/>
    <cellStyle name="Normal 4 2 2 6 5 5" xfId="32371"/>
    <cellStyle name="Normal 4 2 2 6 6" xfId="4163"/>
    <cellStyle name="Normal 4 2 2 6 6 2" xfId="11687"/>
    <cellStyle name="Normal 4 2 2 6 6 2 2" xfId="26731"/>
    <cellStyle name="Normal 4 2 2 6 6 2 3" xfId="41774"/>
    <cellStyle name="Normal 4 2 2 6 6 3" xfId="19210"/>
    <cellStyle name="Normal 4 2 2 6 6 4" xfId="34253"/>
    <cellStyle name="Normal 4 2 2 6 7" xfId="7926"/>
    <cellStyle name="Normal 4 2 2 6 7 2" xfId="22970"/>
    <cellStyle name="Normal 4 2 2 6 7 3" xfId="38013"/>
    <cellStyle name="Normal 4 2 2 6 8" xfId="15449"/>
    <cellStyle name="Normal 4 2 2 6 9" xfId="30492"/>
    <cellStyle name="Normal 4 2 2 7" xfId="268"/>
    <cellStyle name="Normal 4 2 2 7 2" xfId="792"/>
    <cellStyle name="Normal 4 2 2 7 2 2" xfId="1751"/>
    <cellStyle name="Normal 4 2 2 7 2 2 2" xfId="3622"/>
    <cellStyle name="Normal 4 2 2 7 2 2 2 2" xfId="7417"/>
    <cellStyle name="Normal 4 2 2 7 2 2 2 2 2" xfId="14940"/>
    <cellStyle name="Normal 4 2 2 7 2 2 2 2 2 2" xfId="29984"/>
    <cellStyle name="Normal 4 2 2 7 2 2 2 2 2 3" xfId="45027"/>
    <cellStyle name="Normal 4 2 2 7 2 2 2 2 3" xfId="22463"/>
    <cellStyle name="Normal 4 2 2 7 2 2 2 2 4" xfId="37506"/>
    <cellStyle name="Normal 4 2 2 7 2 2 2 3" xfId="11191"/>
    <cellStyle name="Normal 4 2 2 7 2 2 2 3 2" xfId="26235"/>
    <cellStyle name="Normal 4 2 2 7 2 2 2 3 3" xfId="41278"/>
    <cellStyle name="Normal 4 2 2 7 2 2 2 4" xfId="18714"/>
    <cellStyle name="Normal 4 2 2 7 2 2 2 5" xfId="33757"/>
    <cellStyle name="Normal 4 2 2 7 2 2 3" xfId="5552"/>
    <cellStyle name="Normal 4 2 2 7 2 2 3 2" xfId="13075"/>
    <cellStyle name="Normal 4 2 2 7 2 2 3 2 2" xfId="28119"/>
    <cellStyle name="Normal 4 2 2 7 2 2 3 2 3" xfId="43162"/>
    <cellStyle name="Normal 4 2 2 7 2 2 3 3" xfId="20598"/>
    <cellStyle name="Normal 4 2 2 7 2 2 3 4" xfId="35641"/>
    <cellStyle name="Normal 4 2 2 7 2 2 4" xfId="9326"/>
    <cellStyle name="Normal 4 2 2 7 2 2 4 2" xfId="24370"/>
    <cellStyle name="Normal 4 2 2 7 2 2 4 3" xfId="39413"/>
    <cellStyle name="Normal 4 2 2 7 2 2 5" xfId="16849"/>
    <cellStyle name="Normal 4 2 2 7 2 2 6" xfId="31892"/>
    <cellStyle name="Normal 4 2 2 7 2 3" xfId="2690"/>
    <cellStyle name="Normal 4 2 2 7 2 3 2" xfId="6485"/>
    <cellStyle name="Normal 4 2 2 7 2 3 2 2" xfId="14008"/>
    <cellStyle name="Normal 4 2 2 7 2 3 2 2 2" xfId="29052"/>
    <cellStyle name="Normal 4 2 2 7 2 3 2 2 3" xfId="44095"/>
    <cellStyle name="Normal 4 2 2 7 2 3 2 3" xfId="21531"/>
    <cellStyle name="Normal 4 2 2 7 2 3 2 4" xfId="36574"/>
    <cellStyle name="Normal 4 2 2 7 2 3 3" xfId="10259"/>
    <cellStyle name="Normal 4 2 2 7 2 3 3 2" xfId="25303"/>
    <cellStyle name="Normal 4 2 2 7 2 3 3 3" xfId="40346"/>
    <cellStyle name="Normal 4 2 2 7 2 3 4" xfId="17782"/>
    <cellStyle name="Normal 4 2 2 7 2 3 5" xfId="32825"/>
    <cellStyle name="Normal 4 2 2 7 2 4" xfId="4620"/>
    <cellStyle name="Normal 4 2 2 7 2 4 2" xfId="12143"/>
    <cellStyle name="Normal 4 2 2 7 2 4 2 2" xfId="27187"/>
    <cellStyle name="Normal 4 2 2 7 2 4 2 3" xfId="42230"/>
    <cellStyle name="Normal 4 2 2 7 2 4 3" xfId="19666"/>
    <cellStyle name="Normal 4 2 2 7 2 4 4" xfId="34709"/>
    <cellStyle name="Normal 4 2 2 7 2 5" xfId="8394"/>
    <cellStyle name="Normal 4 2 2 7 2 5 2" xfId="23438"/>
    <cellStyle name="Normal 4 2 2 7 2 5 3" xfId="38481"/>
    <cellStyle name="Normal 4 2 2 7 2 6" xfId="15917"/>
    <cellStyle name="Normal 4 2 2 7 2 7" xfId="30960"/>
    <cellStyle name="Normal 4 2 2 7 3" xfId="1299"/>
    <cellStyle name="Normal 4 2 2 7 3 2" xfId="3170"/>
    <cellStyle name="Normal 4 2 2 7 3 2 2" xfId="6965"/>
    <cellStyle name="Normal 4 2 2 7 3 2 2 2" xfId="14488"/>
    <cellStyle name="Normal 4 2 2 7 3 2 2 2 2" xfId="29532"/>
    <cellStyle name="Normal 4 2 2 7 3 2 2 2 3" xfId="44575"/>
    <cellStyle name="Normal 4 2 2 7 3 2 2 3" xfId="22011"/>
    <cellStyle name="Normal 4 2 2 7 3 2 2 4" xfId="37054"/>
    <cellStyle name="Normal 4 2 2 7 3 2 3" xfId="10739"/>
    <cellStyle name="Normal 4 2 2 7 3 2 3 2" xfId="25783"/>
    <cellStyle name="Normal 4 2 2 7 3 2 3 3" xfId="40826"/>
    <cellStyle name="Normal 4 2 2 7 3 2 4" xfId="18262"/>
    <cellStyle name="Normal 4 2 2 7 3 2 5" xfId="33305"/>
    <cellStyle name="Normal 4 2 2 7 3 3" xfId="5100"/>
    <cellStyle name="Normal 4 2 2 7 3 3 2" xfId="12623"/>
    <cellStyle name="Normal 4 2 2 7 3 3 2 2" xfId="27667"/>
    <cellStyle name="Normal 4 2 2 7 3 3 2 3" xfId="42710"/>
    <cellStyle name="Normal 4 2 2 7 3 3 3" xfId="20146"/>
    <cellStyle name="Normal 4 2 2 7 3 3 4" xfId="35189"/>
    <cellStyle name="Normal 4 2 2 7 3 4" xfId="8874"/>
    <cellStyle name="Normal 4 2 2 7 3 4 2" xfId="23918"/>
    <cellStyle name="Normal 4 2 2 7 3 4 3" xfId="38961"/>
    <cellStyle name="Normal 4 2 2 7 3 5" xfId="16397"/>
    <cellStyle name="Normal 4 2 2 7 3 6" xfId="31440"/>
    <cellStyle name="Normal 4 2 2 7 4" xfId="2237"/>
    <cellStyle name="Normal 4 2 2 7 4 2" xfId="6033"/>
    <cellStyle name="Normal 4 2 2 7 4 2 2" xfId="13556"/>
    <cellStyle name="Normal 4 2 2 7 4 2 2 2" xfId="28600"/>
    <cellStyle name="Normal 4 2 2 7 4 2 2 3" xfId="43643"/>
    <cellStyle name="Normal 4 2 2 7 4 2 3" xfId="21079"/>
    <cellStyle name="Normal 4 2 2 7 4 2 4" xfId="36122"/>
    <cellStyle name="Normal 4 2 2 7 4 3" xfId="9807"/>
    <cellStyle name="Normal 4 2 2 7 4 3 2" xfId="24851"/>
    <cellStyle name="Normal 4 2 2 7 4 3 3" xfId="39894"/>
    <cellStyle name="Normal 4 2 2 7 4 4" xfId="17330"/>
    <cellStyle name="Normal 4 2 2 7 4 5" xfId="32373"/>
    <cellStyle name="Normal 4 2 2 7 5" xfId="4165"/>
    <cellStyle name="Normal 4 2 2 7 5 2" xfId="11689"/>
    <cellStyle name="Normal 4 2 2 7 5 2 2" xfId="26733"/>
    <cellStyle name="Normal 4 2 2 7 5 2 3" xfId="41776"/>
    <cellStyle name="Normal 4 2 2 7 5 3" xfId="19212"/>
    <cellStyle name="Normal 4 2 2 7 5 4" xfId="34255"/>
    <cellStyle name="Normal 4 2 2 7 6" xfId="7928"/>
    <cellStyle name="Normal 4 2 2 7 6 2" xfId="22972"/>
    <cellStyle name="Normal 4 2 2 7 6 3" xfId="38015"/>
    <cellStyle name="Normal 4 2 2 7 7" xfId="15451"/>
    <cellStyle name="Normal 4 2 2 7 8" xfId="30494"/>
    <cellStyle name="Normal 4 2 2 8" xfId="749"/>
    <cellStyle name="Normal 4 2 2 8 2" xfId="1708"/>
    <cellStyle name="Normal 4 2 2 8 2 2" xfId="3579"/>
    <cellStyle name="Normal 4 2 2 8 2 2 2" xfId="7374"/>
    <cellStyle name="Normal 4 2 2 8 2 2 2 2" xfId="14897"/>
    <cellStyle name="Normal 4 2 2 8 2 2 2 2 2" xfId="29941"/>
    <cellStyle name="Normal 4 2 2 8 2 2 2 2 3" xfId="44984"/>
    <cellStyle name="Normal 4 2 2 8 2 2 2 3" xfId="22420"/>
    <cellStyle name="Normal 4 2 2 8 2 2 2 4" xfId="37463"/>
    <cellStyle name="Normal 4 2 2 8 2 2 3" xfId="11148"/>
    <cellStyle name="Normal 4 2 2 8 2 2 3 2" xfId="26192"/>
    <cellStyle name="Normal 4 2 2 8 2 2 3 3" xfId="41235"/>
    <cellStyle name="Normal 4 2 2 8 2 2 4" xfId="18671"/>
    <cellStyle name="Normal 4 2 2 8 2 2 5" xfId="33714"/>
    <cellStyle name="Normal 4 2 2 8 2 3" xfId="5509"/>
    <cellStyle name="Normal 4 2 2 8 2 3 2" xfId="13032"/>
    <cellStyle name="Normal 4 2 2 8 2 3 2 2" xfId="28076"/>
    <cellStyle name="Normal 4 2 2 8 2 3 2 3" xfId="43119"/>
    <cellStyle name="Normal 4 2 2 8 2 3 3" xfId="20555"/>
    <cellStyle name="Normal 4 2 2 8 2 3 4" xfId="35598"/>
    <cellStyle name="Normal 4 2 2 8 2 4" xfId="9283"/>
    <cellStyle name="Normal 4 2 2 8 2 4 2" xfId="24327"/>
    <cellStyle name="Normal 4 2 2 8 2 4 3" xfId="39370"/>
    <cellStyle name="Normal 4 2 2 8 2 5" xfId="16806"/>
    <cellStyle name="Normal 4 2 2 8 2 6" xfId="31849"/>
    <cellStyle name="Normal 4 2 2 8 3" xfId="2647"/>
    <cellStyle name="Normal 4 2 2 8 3 2" xfId="6442"/>
    <cellStyle name="Normal 4 2 2 8 3 2 2" xfId="13965"/>
    <cellStyle name="Normal 4 2 2 8 3 2 2 2" xfId="29009"/>
    <cellStyle name="Normal 4 2 2 8 3 2 2 3" xfId="44052"/>
    <cellStyle name="Normal 4 2 2 8 3 2 3" xfId="21488"/>
    <cellStyle name="Normal 4 2 2 8 3 2 4" xfId="36531"/>
    <cellStyle name="Normal 4 2 2 8 3 3" xfId="10216"/>
    <cellStyle name="Normal 4 2 2 8 3 3 2" xfId="25260"/>
    <cellStyle name="Normal 4 2 2 8 3 3 3" xfId="40303"/>
    <cellStyle name="Normal 4 2 2 8 3 4" xfId="17739"/>
    <cellStyle name="Normal 4 2 2 8 3 5" xfId="32782"/>
    <cellStyle name="Normal 4 2 2 8 4" xfId="4577"/>
    <cellStyle name="Normal 4 2 2 8 4 2" xfId="12100"/>
    <cellStyle name="Normal 4 2 2 8 4 2 2" xfId="27144"/>
    <cellStyle name="Normal 4 2 2 8 4 2 3" xfId="42187"/>
    <cellStyle name="Normal 4 2 2 8 4 3" xfId="19623"/>
    <cellStyle name="Normal 4 2 2 8 4 4" xfId="34666"/>
    <cellStyle name="Normal 4 2 2 8 5" xfId="8351"/>
    <cellStyle name="Normal 4 2 2 8 5 2" xfId="23395"/>
    <cellStyle name="Normal 4 2 2 8 5 3" xfId="38438"/>
    <cellStyle name="Normal 4 2 2 8 6" xfId="15874"/>
    <cellStyle name="Normal 4 2 2 8 7" xfId="30917"/>
    <cellStyle name="Normal 4 2 2 9" xfId="1256"/>
    <cellStyle name="Normal 4 2 2 9 2" xfId="3127"/>
    <cellStyle name="Normal 4 2 2 9 2 2" xfId="6922"/>
    <cellStyle name="Normal 4 2 2 9 2 2 2" xfId="14445"/>
    <cellStyle name="Normal 4 2 2 9 2 2 2 2" xfId="29489"/>
    <cellStyle name="Normal 4 2 2 9 2 2 2 3" xfId="44532"/>
    <cellStyle name="Normal 4 2 2 9 2 2 3" xfId="21968"/>
    <cellStyle name="Normal 4 2 2 9 2 2 4" xfId="37011"/>
    <cellStyle name="Normal 4 2 2 9 2 3" xfId="10696"/>
    <cellStyle name="Normal 4 2 2 9 2 3 2" xfId="25740"/>
    <cellStyle name="Normal 4 2 2 9 2 3 3" xfId="40783"/>
    <cellStyle name="Normal 4 2 2 9 2 4" xfId="18219"/>
    <cellStyle name="Normal 4 2 2 9 2 5" xfId="33262"/>
    <cellStyle name="Normal 4 2 2 9 3" xfId="5057"/>
    <cellStyle name="Normal 4 2 2 9 3 2" xfId="12580"/>
    <cellStyle name="Normal 4 2 2 9 3 2 2" xfId="27624"/>
    <cellStyle name="Normal 4 2 2 9 3 2 3" xfId="42667"/>
    <cellStyle name="Normal 4 2 2 9 3 3" xfId="20103"/>
    <cellStyle name="Normal 4 2 2 9 3 4" xfId="35146"/>
    <cellStyle name="Normal 4 2 2 9 4" xfId="8831"/>
    <cellStyle name="Normal 4 2 2 9 4 2" xfId="23875"/>
    <cellStyle name="Normal 4 2 2 9 4 3" xfId="38918"/>
    <cellStyle name="Normal 4 2 2 9 5" xfId="16354"/>
    <cellStyle name="Normal 4 2 2 9 6" xfId="31397"/>
    <cellStyle name="Normal 4 2 3" xfId="269"/>
    <cellStyle name="Normal 4 2 3 10" xfId="4166"/>
    <cellStyle name="Normal 4 2 3 10 2" xfId="11690"/>
    <cellStyle name="Normal 4 2 3 10 2 2" xfId="26734"/>
    <cellStyle name="Normal 4 2 3 10 2 3" xfId="41777"/>
    <cellStyle name="Normal 4 2 3 10 3" xfId="19213"/>
    <cellStyle name="Normal 4 2 3 10 4" xfId="34256"/>
    <cellStyle name="Normal 4 2 3 11" xfId="7929"/>
    <cellStyle name="Normal 4 2 3 11 2" xfId="22973"/>
    <cellStyle name="Normal 4 2 3 11 3" xfId="38016"/>
    <cellStyle name="Normal 4 2 3 12" xfId="15452"/>
    <cellStyle name="Normal 4 2 3 13" xfId="30495"/>
    <cellStyle name="Normal 4 2 3 2" xfId="270"/>
    <cellStyle name="Normal 4 2 3 2 10" xfId="7930"/>
    <cellStyle name="Normal 4 2 3 2 10 2" xfId="22974"/>
    <cellStyle name="Normal 4 2 3 2 10 3" xfId="38017"/>
    <cellStyle name="Normal 4 2 3 2 11" xfId="15453"/>
    <cellStyle name="Normal 4 2 3 2 12" xfId="30496"/>
    <cellStyle name="Normal 4 2 3 2 2" xfId="271"/>
    <cellStyle name="Normal 4 2 3 2 2 10" xfId="30497"/>
    <cellStyle name="Normal 4 2 3 2 2 2" xfId="272"/>
    <cellStyle name="Normal 4 2 3 2 2 2 2" xfId="273"/>
    <cellStyle name="Normal 4 2 3 2 2 2 2 2" xfId="797"/>
    <cellStyle name="Normal 4 2 3 2 2 2 2 2 2" xfId="1756"/>
    <cellStyle name="Normal 4 2 3 2 2 2 2 2 2 2" xfId="3627"/>
    <cellStyle name="Normal 4 2 3 2 2 2 2 2 2 2 2" xfId="7422"/>
    <cellStyle name="Normal 4 2 3 2 2 2 2 2 2 2 2 2" xfId="14945"/>
    <cellStyle name="Normal 4 2 3 2 2 2 2 2 2 2 2 2 2" xfId="29989"/>
    <cellStyle name="Normal 4 2 3 2 2 2 2 2 2 2 2 2 3" xfId="45032"/>
    <cellStyle name="Normal 4 2 3 2 2 2 2 2 2 2 2 3" xfId="22468"/>
    <cellStyle name="Normal 4 2 3 2 2 2 2 2 2 2 2 4" xfId="37511"/>
    <cellStyle name="Normal 4 2 3 2 2 2 2 2 2 2 3" xfId="11196"/>
    <cellStyle name="Normal 4 2 3 2 2 2 2 2 2 2 3 2" xfId="26240"/>
    <cellStyle name="Normal 4 2 3 2 2 2 2 2 2 2 3 3" xfId="41283"/>
    <cellStyle name="Normal 4 2 3 2 2 2 2 2 2 2 4" xfId="18719"/>
    <cellStyle name="Normal 4 2 3 2 2 2 2 2 2 2 5" xfId="33762"/>
    <cellStyle name="Normal 4 2 3 2 2 2 2 2 2 3" xfId="5557"/>
    <cellStyle name="Normal 4 2 3 2 2 2 2 2 2 3 2" xfId="13080"/>
    <cellStyle name="Normal 4 2 3 2 2 2 2 2 2 3 2 2" xfId="28124"/>
    <cellStyle name="Normal 4 2 3 2 2 2 2 2 2 3 2 3" xfId="43167"/>
    <cellStyle name="Normal 4 2 3 2 2 2 2 2 2 3 3" xfId="20603"/>
    <cellStyle name="Normal 4 2 3 2 2 2 2 2 2 3 4" xfId="35646"/>
    <cellStyle name="Normal 4 2 3 2 2 2 2 2 2 4" xfId="9331"/>
    <cellStyle name="Normal 4 2 3 2 2 2 2 2 2 4 2" xfId="24375"/>
    <cellStyle name="Normal 4 2 3 2 2 2 2 2 2 4 3" xfId="39418"/>
    <cellStyle name="Normal 4 2 3 2 2 2 2 2 2 5" xfId="16854"/>
    <cellStyle name="Normal 4 2 3 2 2 2 2 2 2 6" xfId="31897"/>
    <cellStyle name="Normal 4 2 3 2 2 2 2 2 3" xfId="2695"/>
    <cellStyle name="Normal 4 2 3 2 2 2 2 2 3 2" xfId="6490"/>
    <cellStyle name="Normal 4 2 3 2 2 2 2 2 3 2 2" xfId="14013"/>
    <cellStyle name="Normal 4 2 3 2 2 2 2 2 3 2 2 2" xfId="29057"/>
    <cellStyle name="Normal 4 2 3 2 2 2 2 2 3 2 2 3" xfId="44100"/>
    <cellStyle name="Normal 4 2 3 2 2 2 2 2 3 2 3" xfId="21536"/>
    <cellStyle name="Normal 4 2 3 2 2 2 2 2 3 2 4" xfId="36579"/>
    <cellStyle name="Normal 4 2 3 2 2 2 2 2 3 3" xfId="10264"/>
    <cellStyle name="Normal 4 2 3 2 2 2 2 2 3 3 2" xfId="25308"/>
    <cellStyle name="Normal 4 2 3 2 2 2 2 2 3 3 3" xfId="40351"/>
    <cellStyle name="Normal 4 2 3 2 2 2 2 2 3 4" xfId="17787"/>
    <cellStyle name="Normal 4 2 3 2 2 2 2 2 3 5" xfId="32830"/>
    <cellStyle name="Normal 4 2 3 2 2 2 2 2 4" xfId="4625"/>
    <cellStyle name="Normal 4 2 3 2 2 2 2 2 4 2" xfId="12148"/>
    <cellStyle name="Normal 4 2 3 2 2 2 2 2 4 2 2" xfId="27192"/>
    <cellStyle name="Normal 4 2 3 2 2 2 2 2 4 2 3" xfId="42235"/>
    <cellStyle name="Normal 4 2 3 2 2 2 2 2 4 3" xfId="19671"/>
    <cellStyle name="Normal 4 2 3 2 2 2 2 2 4 4" xfId="34714"/>
    <cellStyle name="Normal 4 2 3 2 2 2 2 2 5" xfId="8399"/>
    <cellStyle name="Normal 4 2 3 2 2 2 2 2 5 2" xfId="23443"/>
    <cellStyle name="Normal 4 2 3 2 2 2 2 2 5 3" xfId="38486"/>
    <cellStyle name="Normal 4 2 3 2 2 2 2 2 6" xfId="15922"/>
    <cellStyle name="Normal 4 2 3 2 2 2 2 2 7" xfId="30965"/>
    <cellStyle name="Normal 4 2 3 2 2 2 2 3" xfId="1304"/>
    <cellStyle name="Normal 4 2 3 2 2 2 2 3 2" xfId="3175"/>
    <cellStyle name="Normal 4 2 3 2 2 2 2 3 2 2" xfId="6970"/>
    <cellStyle name="Normal 4 2 3 2 2 2 2 3 2 2 2" xfId="14493"/>
    <cellStyle name="Normal 4 2 3 2 2 2 2 3 2 2 2 2" xfId="29537"/>
    <cellStyle name="Normal 4 2 3 2 2 2 2 3 2 2 2 3" xfId="44580"/>
    <cellStyle name="Normal 4 2 3 2 2 2 2 3 2 2 3" xfId="22016"/>
    <cellStyle name="Normal 4 2 3 2 2 2 2 3 2 2 4" xfId="37059"/>
    <cellStyle name="Normal 4 2 3 2 2 2 2 3 2 3" xfId="10744"/>
    <cellStyle name="Normal 4 2 3 2 2 2 2 3 2 3 2" xfId="25788"/>
    <cellStyle name="Normal 4 2 3 2 2 2 2 3 2 3 3" xfId="40831"/>
    <cellStyle name="Normal 4 2 3 2 2 2 2 3 2 4" xfId="18267"/>
    <cellStyle name="Normal 4 2 3 2 2 2 2 3 2 5" xfId="33310"/>
    <cellStyle name="Normal 4 2 3 2 2 2 2 3 3" xfId="5105"/>
    <cellStyle name="Normal 4 2 3 2 2 2 2 3 3 2" xfId="12628"/>
    <cellStyle name="Normal 4 2 3 2 2 2 2 3 3 2 2" xfId="27672"/>
    <cellStyle name="Normal 4 2 3 2 2 2 2 3 3 2 3" xfId="42715"/>
    <cellStyle name="Normal 4 2 3 2 2 2 2 3 3 3" xfId="20151"/>
    <cellStyle name="Normal 4 2 3 2 2 2 2 3 3 4" xfId="35194"/>
    <cellStyle name="Normal 4 2 3 2 2 2 2 3 4" xfId="8879"/>
    <cellStyle name="Normal 4 2 3 2 2 2 2 3 4 2" xfId="23923"/>
    <cellStyle name="Normal 4 2 3 2 2 2 2 3 4 3" xfId="38966"/>
    <cellStyle name="Normal 4 2 3 2 2 2 2 3 5" xfId="16402"/>
    <cellStyle name="Normal 4 2 3 2 2 2 2 3 6" xfId="31445"/>
    <cellStyle name="Normal 4 2 3 2 2 2 2 4" xfId="2242"/>
    <cellStyle name="Normal 4 2 3 2 2 2 2 4 2" xfId="6038"/>
    <cellStyle name="Normal 4 2 3 2 2 2 2 4 2 2" xfId="13561"/>
    <cellStyle name="Normal 4 2 3 2 2 2 2 4 2 2 2" xfId="28605"/>
    <cellStyle name="Normal 4 2 3 2 2 2 2 4 2 2 3" xfId="43648"/>
    <cellStyle name="Normal 4 2 3 2 2 2 2 4 2 3" xfId="21084"/>
    <cellStyle name="Normal 4 2 3 2 2 2 2 4 2 4" xfId="36127"/>
    <cellStyle name="Normal 4 2 3 2 2 2 2 4 3" xfId="9812"/>
    <cellStyle name="Normal 4 2 3 2 2 2 2 4 3 2" xfId="24856"/>
    <cellStyle name="Normal 4 2 3 2 2 2 2 4 3 3" xfId="39899"/>
    <cellStyle name="Normal 4 2 3 2 2 2 2 4 4" xfId="17335"/>
    <cellStyle name="Normal 4 2 3 2 2 2 2 4 5" xfId="32378"/>
    <cellStyle name="Normal 4 2 3 2 2 2 2 5" xfId="4170"/>
    <cellStyle name="Normal 4 2 3 2 2 2 2 5 2" xfId="11694"/>
    <cellStyle name="Normal 4 2 3 2 2 2 2 5 2 2" xfId="26738"/>
    <cellStyle name="Normal 4 2 3 2 2 2 2 5 2 3" xfId="41781"/>
    <cellStyle name="Normal 4 2 3 2 2 2 2 5 3" xfId="19217"/>
    <cellStyle name="Normal 4 2 3 2 2 2 2 5 4" xfId="34260"/>
    <cellStyle name="Normal 4 2 3 2 2 2 2 6" xfId="7933"/>
    <cellStyle name="Normal 4 2 3 2 2 2 2 6 2" xfId="22977"/>
    <cellStyle name="Normal 4 2 3 2 2 2 2 6 3" xfId="38020"/>
    <cellStyle name="Normal 4 2 3 2 2 2 2 7" xfId="15456"/>
    <cellStyle name="Normal 4 2 3 2 2 2 2 8" xfId="30499"/>
    <cellStyle name="Normal 4 2 3 2 2 2 3" xfId="796"/>
    <cellStyle name="Normal 4 2 3 2 2 2 3 2" xfId="1755"/>
    <cellStyle name="Normal 4 2 3 2 2 2 3 2 2" xfId="3626"/>
    <cellStyle name="Normal 4 2 3 2 2 2 3 2 2 2" xfId="7421"/>
    <cellStyle name="Normal 4 2 3 2 2 2 3 2 2 2 2" xfId="14944"/>
    <cellStyle name="Normal 4 2 3 2 2 2 3 2 2 2 2 2" xfId="29988"/>
    <cellStyle name="Normal 4 2 3 2 2 2 3 2 2 2 2 3" xfId="45031"/>
    <cellStyle name="Normal 4 2 3 2 2 2 3 2 2 2 3" xfId="22467"/>
    <cellStyle name="Normal 4 2 3 2 2 2 3 2 2 2 4" xfId="37510"/>
    <cellStyle name="Normal 4 2 3 2 2 2 3 2 2 3" xfId="11195"/>
    <cellStyle name="Normal 4 2 3 2 2 2 3 2 2 3 2" xfId="26239"/>
    <cellStyle name="Normal 4 2 3 2 2 2 3 2 2 3 3" xfId="41282"/>
    <cellStyle name="Normal 4 2 3 2 2 2 3 2 2 4" xfId="18718"/>
    <cellStyle name="Normal 4 2 3 2 2 2 3 2 2 5" xfId="33761"/>
    <cellStyle name="Normal 4 2 3 2 2 2 3 2 3" xfId="5556"/>
    <cellStyle name="Normal 4 2 3 2 2 2 3 2 3 2" xfId="13079"/>
    <cellStyle name="Normal 4 2 3 2 2 2 3 2 3 2 2" xfId="28123"/>
    <cellStyle name="Normal 4 2 3 2 2 2 3 2 3 2 3" xfId="43166"/>
    <cellStyle name="Normal 4 2 3 2 2 2 3 2 3 3" xfId="20602"/>
    <cellStyle name="Normal 4 2 3 2 2 2 3 2 3 4" xfId="35645"/>
    <cellStyle name="Normal 4 2 3 2 2 2 3 2 4" xfId="9330"/>
    <cellStyle name="Normal 4 2 3 2 2 2 3 2 4 2" xfId="24374"/>
    <cellStyle name="Normal 4 2 3 2 2 2 3 2 4 3" xfId="39417"/>
    <cellStyle name="Normal 4 2 3 2 2 2 3 2 5" xfId="16853"/>
    <cellStyle name="Normal 4 2 3 2 2 2 3 2 6" xfId="31896"/>
    <cellStyle name="Normal 4 2 3 2 2 2 3 3" xfId="2694"/>
    <cellStyle name="Normal 4 2 3 2 2 2 3 3 2" xfId="6489"/>
    <cellStyle name="Normal 4 2 3 2 2 2 3 3 2 2" xfId="14012"/>
    <cellStyle name="Normal 4 2 3 2 2 2 3 3 2 2 2" xfId="29056"/>
    <cellStyle name="Normal 4 2 3 2 2 2 3 3 2 2 3" xfId="44099"/>
    <cellStyle name="Normal 4 2 3 2 2 2 3 3 2 3" xfId="21535"/>
    <cellStyle name="Normal 4 2 3 2 2 2 3 3 2 4" xfId="36578"/>
    <cellStyle name="Normal 4 2 3 2 2 2 3 3 3" xfId="10263"/>
    <cellStyle name="Normal 4 2 3 2 2 2 3 3 3 2" xfId="25307"/>
    <cellStyle name="Normal 4 2 3 2 2 2 3 3 3 3" xfId="40350"/>
    <cellStyle name="Normal 4 2 3 2 2 2 3 3 4" xfId="17786"/>
    <cellStyle name="Normal 4 2 3 2 2 2 3 3 5" xfId="32829"/>
    <cellStyle name="Normal 4 2 3 2 2 2 3 4" xfId="4624"/>
    <cellStyle name="Normal 4 2 3 2 2 2 3 4 2" xfId="12147"/>
    <cellStyle name="Normal 4 2 3 2 2 2 3 4 2 2" xfId="27191"/>
    <cellStyle name="Normal 4 2 3 2 2 2 3 4 2 3" xfId="42234"/>
    <cellStyle name="Normal 4 2 3 2 2 2 3 4 3" xfId="19670"/>
    <cellStyle name="Normal 4 2 3 2 2 2 3 4 4" xfId="34713"/>
    <cellStyle name="Normal 4 2 3 2 2 2 3 5" xfId="8398"/>
    <cellStyle name="Normal 4 2 3 2 2 2 3 5 2" xfId="23442"/>
    <cellStyle name="Normal 4 2 3 2 2 2 3 5 3" xfId="38485"/>
    <cellStyle name="Normal 4 2 3 2 2 2 3 6" xfId="15921"/>
    <cellStyle name="Normal 4 2 3 2 2 2 3 7" xfId="30964"/>
    <cellStyle name="Normal 4 2 3 2 2 2 4" xfId="1303"/>
    <cellStyle name="Normal 4 2 3 2 2 2 4 2" xfId="3174"/>
    <cellStyle name="Normal 4 2 3 2 2 2 4 2 2" xfId="6969"/>
    <cellStyle name="Normal 4 2 3 2 2 2 4 2 2 2" xfId="14492"/>
    <cellStyle name="Normal 4 2 3 2 2 2 4 2 2 2 2" xfId="29536"/>
    <cellStyle name="Normal 4 2 3 2 2 2 4 2 2 2 3" xfId="44579"/>
    <cellStyle name="Normal 4 2 3 2 2 2 4 2 2 3" xfId="22015"/>
    <cellStyle name="Normal 4 2 3 2 2 2 4 2 2 4" xfId="37058"/>
    <cellStyle name="Normal 4 2 3 2 2 2 4 2 3" xfId="10743"/>
    <cellStyle name="Normal 4 2 3 2 2 2 4 2 3 2" xfId="25787"/>
    <cellStyle name="Normal 4 2 3 2 2 2 4 2 3 3" xfId="40830"/>
    <cellStyle name="Normal 4 2 3 2 2 2 4 2 4" xfId="18266"/>
    <cellStyle name="Normal 4 2 3 2 2 2 4 2 5" xfId="33309"/>
    <cellStyle name="Normal 4 2 3 2 2 2 4 3" xfId="5104"/>
    <cellStyle name="Normal 4 2 3 2 2 2 4 3 2" xfId="12627"/>
    <cellStyle name="Normal 4 2 3 2 2 2 4 3 2 2" xfId="27671"/>
    <cellStyle name="Normal 4 2 3 2 2 2 4 3 2 3" xfId="42714"/>
    <cellStyle name="Normal 4 2 3 2 2 2 4 3 3" xfId="20150"/>
    <cellStyle name="Normal 4 2 3 2 2 2 4 3 4" xfId="35193"/>
    <cellStyle name="Normal 4 2 3 2 2 2 4 4" xfId="8878"/>
    <cellStyle name="Normal 4 2 3 2 2 2 4 4 2" xfId="23922"/>
    <cellStyle name="Normal 4 2 3 2 2 2 4 4 3" xfId="38965"/>
    <cellStyle name="Normal 4 2 3 2 2 2 4 5" xfId="16401"/>
    <cellStyle name="Normal 4 2 3 2 2 2 4 6" xfId="31444"/>
    <cellStyle name="Normal 4 2 3 2 2 2 5" xfId="2241"/>
    <cellStyle name="Normal 4 2 3 2 2 2 5 2" xfId="6037"/>
    <cellStyle name="Normal 4 2 3 2 2 2 5 2 2" xfId="13560"/>
    <cellStyle name="Normal 4 2 3 2 2 2 5 2 2 2" xfId="28604"/>
    <cellStyle name="Normal 4 2 3 2 2 2 5 2 2 3" xfId="43647"/>
    <cellStyle name="Normal 4 2 3 2 2 2 5 2 3" xfId="21083"/>
    <cellStyle name="Normal 4 2 3 2 2 2 5 2 4" xfId="36126"/>
    <cellStyle name="Normal 4 2 3 2 2 2 5 3" xfId="9811"/>
    <cellStyle name="Normal 4 2 3 2 2 2 5 3 2" xfId="24855"/>
    <cellStyle name="Normal 4 2 3 2 2 2 5 3 3" xfId="39898"/>
    <cellStyle name="Normal 4 2 3 2 2 2 5 4" xfId="17334"/>
    <cellStyle name="Normal 4 2 3 2 2 2 5 5" xfId="32377"/>
    <cellStyle name="Normal 4 2 3 2 2 2 6" xfId="4169"/>
    <cellStyle name="Normal 4 2 3 2 2 2 6 2" xfId="11693"/>
    <cellStyle name="Normal 4 2 3 2 2 2 6 2 2" xfId="26737"/>
    <cellStyle name="Normal 4 2 3 2 2 2 6 2 3" xfId="41780"/>
    <cellStyle name="Normal 4 2 3 2 2 2 6 3" xfId="19216"/>
    <cellStyle name="Normal 4 2 3 2 2 2 6 4" xfId="34259"/>
    <cellStyle name="Normal 4 2 3 2 2 2 7" xfId="7932"/>
    <cellStyle name="Normal 4 2 3 2 2 2 7 2" xfId="22976"/>
    <cellStyle name="Normal 4 2 3 2 2 2 7 3" xfId="38019"/>
    <cellStyle name="Normal 4 2 3 2 2 2 8" xfId="15455"/>
    <cellStyle name="Normal 4 2 3 2 2 2 9" xfId="30498"/>
    <cellStyle name="Normal 4 2 3 2 2 3" xfId="274"/>
    <cellStyle name="Normal 4 2 3 2 2 3 2" xfId="798"/>
    <cellStyle name="Normal 4 2 3 2 2 3 2 2" xfId="1757"/>
    <cellStyle name="Normal 4 2 3 2 2 3 2 2 2" xfId="3628"/>
    <cellStyle name="Normal 4 2 3 2 2 3 2 2 2 2" xfId="7423"/>
    <cellStyle name="Normal 4 2 3 2 2 3 2 2 2 2 2" xfId="14946"/>
    <cellStyle name="Normal 4 2 3 2 2 3 2 2 2 2 2 2" xfId="29990"/>
    <cellStyle name="Normal 4 2 3 2 2 3 2 2 2 2 2 3" xfId="45033"/>
    <cellStyle name="Normal 4 2 3 2 2 3 2 2 2 2 3" xfId="22469"/>
    <cellStyle name="Normal 4 2 3 2 2 3 2 2 2 2 4" xfId="37512"/>
    <cellStyle name="Normal 4 2 3 2 2 3 2 2 2 3" xfId="11197"/>
    <cellStyle name="Normal 4 2 3 2 2 3 2 2 2 3 2" xfId="26241"/>
    <cellStyle name="Normal 4 2 3 2 2 3 2 2 2 3 3" xfId="41284"/>
    <cellStyle name="Normal 4 2 3 2 2 3 2 2 2 4" xfId="18720"/>
    <cellStyle name="Normal 4 2 3 2 2 3 2 2 2 5" xfId="33763"/>
    <cellStyle name="Normal 4 2 3 2 2 3 2 2 3" xfId="5558"/>
    <cellStyle name="Normal 4 2 3 2 2 3 2 2 3 2" xfId="13081"/>
    <cellStyle name="Normal 4 2 3 2 2 3 2 2 3 2 2" xfId="28125"/>
    <cellStyle name="Normal 4 2 3 2 2 3 2 2 3 2 3" xfId="43168"/>
    <cellStyle name="Normal 4 2 3 2 2 3 2 2 3 3" xfId="20604"/>
    <cellStyle name="Normal 4 2 3 2 2 3 2 2 3 4" xfId="35647"/>
    <cellStyle name="Normal 4 2 3 2 2 3 2 2 4" xfId="9332"/>
    <cellStyle name="Normal 4 2 3 2 2 3 2 2 4 2" xfId="24376"/>
    <cellStyle name="Normal 4 2 3 2 2 3 2 2 4 3" xfId="39419"/>
    <cellStyle name="Normal 4 2 3 2 2 3 2 2 5" xfId="16855"/>
    <cellStyle name="Normal 4 2 3 2 2 3 2 2 6" xfId="31898"/>
    <cellStyle name="Normal 4 2 3 2 2 3 2 3" xfId="2696"/>
    <cellStyle name="Normal 4 2 3 2 2 3 2 3 2" xfId="6491"/>
    <cellStyle name="Normal 4 2 3 2 2 3 2 3 2 2" xfId="14014"/>
    <cellStyle name="Normal 4 2 3 2 2 3 2 3 2 2 2" xfId="29058"/>
    <cellStyle name="Normal 4 2 3 2 2 3 2 3 2 2 3" xfId="44101"/>
    <cellStyle name="Normal 4 2 3 2 2 3 2 3 2 3" xfId="21537"/>
    <cellStyle name="Normal 4 2 3 2 2 3 2 3 2 4" xfId="36580"/>
    <cellStyle name="Normal 4 2 3 2 2 3 2 3 3" xfId="10265"/>
    <cellStyle name="Normal 4 2 3 2 2 3 2 3 3 2" xfId="25309"/>
    <cellStyle name="Normal 4 2 3 2 2 3 2 3 3 3" xfId="40352"/>
    <cellStyle name="Normal 4 2 3 2 2 3 2 3 4" xfId="17788"/>
    <cellStyle name="Normal 4 2 3 2 2 3 2 3 5" xfId="32831"/>
    <cellStyle name="Normal 4 2 3 2 2 3 2 4" xfId="4626"/>
    <cellStyle name="Normal 4 2 3 2 2 3 2 4 2" xfId="12149"/>
    <cellStyle name="Normal 4 2 3 2 2 3 2 4 2 2" xfId="27193"/>
    <cellStyle name="Normal 4 2 3 2 2 3 2 4 2 3" xfId="42236"/>
    <cellStyle name="Normal 4 2 3 2 2 3 2 4 3" xfId="19672"/>
    <cellStyle name="Normal 4 2 3 2 2 3 2 4 4" xfId="34715"/>
    <cellStyle name="Normal 4 2 3 2 2 3 2 5" xfId="8400"/>
    <cellStyle name="Normal 4 2 3 2 2 3 2 5 2" xfId="23444"/>
    <cellStyle name="Normal 4 2 3 2 2 3 2 5 3" xfId="38487"/>
    <cellStyle name="Normal 4 2 3 2 2 3 2 6" xfId="15923"/>
    <cellStyle name="Normal 4 2 3 2 2 3 2 7" xfId="30966"/>
    <cellStyle name="Normal 4 2 3 2 2 3 3" xfId="1305"/>
    <cellStyle name="Normal 4 2 3 2 2 3 3 2" xfId="3176"/>
    <cellStyle name="Normal 4 2 3 2 2 3 3 2 2" xfId="6971"/>
    <cellStyle name="Normal 4 2 3 2 2 3 3 2 2 2" xfId="14494"/>
    <cellStyle name="Normal 4 2 3 2 2 3 3 2 2 2 2" xfId="29538"/>
    <cellStyle name="Normal 4 2 3 2 2 3 3 2 2 2 3" xfId="44581"/>
    <cellStyle name="Normal 4 2 3 2 2 3 3 2 2 3" xfId="22017"/>
    <cellStyle name="Normal 4 2 3 2 2 3 3 2 2 4" xfId="37060"/>
    <cellStyle name="Normal 4 2 3 2 2 3 3 2 3" xfId="10745"/>
    <cellStyle name="Normal 4 2 3 2 2 3 3 2 3 2" xfId="25789"/>
    <cellStyle name="Normal 4 2 3 2 2 3 3 2 3 3" xfId="40832"/>
    <cellStyle name="Normal 4 2 3 2 2 3 3 2 4" xfId="18268"/>
    <cellStyle name="Normal 4 2 3 2 2 3 3 2 5" xfId="33311"/>
    <cellStyle name="Normal 4 2 3 2 2 3 3 3" xfId="5106"/>
    <cellStyle name="Normal 4 2 3 2 2 3 3 3 2" xfId="12629"/>
    <cellStyle name="Normal 4 2 3 2 2 3 3 3 2 2" xfId="27673"/>
    <cellStyle name="Normal 4 2 3 2 2 3 3 3 2 3" xfId="42716"/>
    <cellStyle name="Normal 4 2 3 2 2 3 3 3 3" xfId="20152"/>
    <cellStyle name="Normal 4 2 3 2 2 3 3 3 4" xfId="35195"/>
    <cellStyle name="Normal 4 2 3 2 2 3 3 4" xfId="8880"/>
    <cellStyle name="Normal 4 2 3 2 2 3 3 4 2" xfId="23924"/>
    <cellStyle name="Normal 4 2 3 2 2 3 3 4 3" xfId="38967"/>
    <cellStyle name="Normal 4 2 3 2 2 3 3 5" xfId="16403"/>
    <cellStyle name="Normal 4 2 3 2 2 3 3 6" xfId="31446"/>
    <cellStyle name="Normal 4 2 3 2 2 3 4" xfId="2243"/>
    <cellStyle name="Normal 4 2 3 2 2 3 4 2" xfId="6039"/>
    <cellStyle name="Normal 4 2 3 2 2 3 4 2 2" xfId="13562"/>
    <cellStyle name="Normal 4 2 3 2 2 3 4 2 2 2" xfId="28606"/>
    <cellStyle name="Normal 4 2 3 2 2 3 4 2 2 3" xfId="43649"/>
    <cellStyle name="Normal 4 2 3 2 2 3 4 2 3" xfId="21085"/>
    <cellStyle name="Normal 4 2 3 2 2 3 4 2 4" xfId="36128"/>
    <cellStyle name="Normal 4 2 3 2 2 3 4 3" xfId="9813"/>
    <cellStyle name="Normal 4 2 3 2 2 3 4 3 2" xfId="24857"/>
    <cellStyle name="Normal 4 2 3 2 2 3 4 3 3" xfId="39900"/>
    <cellStyle name="Normal 4 2 3 2 2 3 4 4" xfId="17336"/>
    <cellStyle name="Normal 4 2 3 2 2 3 4 5" xfId="32379"/>
    <cellStyle name="Normal 4 2 3 2 2 3 5" xfId="4171"/>
    <cellStyle name="Normal 4 2 3 2 2 3 5 2" xfId="11695"/>
    <cellStyle name="Normal 4 2 3 2 2 3 5 2 2" xfId="26739"/>
    <cellStyle name="Normal 4 2 3 2 2 3 5 2 3" xfId="41782"/>
    <cellStyle name="Normal 4 2 3 2 2 3 5 3" xfId="19218"/>
    <cellStyle name="Normal 4 2 3 2 2 3 5 4" xfId="34261"/>
    <cellStyle name="Normal 4 2 3 2 2 3 6" xfId="7934"/>
    <cellStyle name="Normal 4 2 3 2 2 3 6 2" xfId="22978"/>
    <cellStyle name="Normal 4 2 3 2 2 3 6 3" xfId="38021"/>
    <cellStyle name="Normal 4 2 3 2 2 3 7" xfId="15457"/>
    <cellStyle name="Normal 4 2 3 2 2 3 8" xfId="30500"/>
    <cellStyle name="Normal 4 2 3 2 2 4" xfId="795"/>
    <cellStyle name="Normal 4 2 3 2 2 4 2" xfId="1754"/>
    <cellStyle name="Normal 4 2 3 2 2 4 2 2" xfId="3625"/>
    <cellStyle name="Normal 4 2 3 2 2 4 2 2 2" xfId="7420"/>
    <cellStyle name="Normal 4 2 3 2 2 4 2 2 2 2" xfId="14943"/>
    <cellStyle name="Normal 4 2 3 2 2 4 2 2 2 2 2" xfId="29987"/>
    <cellStyle name="Normal 4 2 3 2 2 4 2 2 2 2 3" xfId="45030"/>
    <cellStyle name="Normal 4 2 3 2 2 4 2 2 2 3" xfId="22466"/>
    <cellStyle name="Normal 4 2 3 2 2 4 2 2 2 4" xfId="37509"/>
    <cellStyle name="Normal 4 2 3 2 2 4 2 2 3" xfId="11194"/>
    <cellStyle name="Normal 4 2 3 2 2 4 2 2 3 2" xfId="26238"/>
    <cellStyle name="Normal 4 2 3 2 2 4 2 2 3 3" xfId="41281"/>
    <cellStyle name="Normal 4 2 3 2 2 4 2 2 4" xfId="18717"/>
    <cellStyle name="Normal 4 2 3 2 2 4 2 2 5" xfId="33760"/>
    <cellStyle name="Normal 4 2 3 2 2 4 2 3" xfId="5555"/>
    <cellStyle name="Normal 4 2 3 2 2 4 2 3 2" xfId="13078"/>
    <cellStyle name="Normal 4 2 3 2 2 4 2 3 2 2" xfId="28122"/>
    <cellStyle name="Normal 4 2 3 2 2 4 2 3 2 3" xfId="43165"/>
    <cellStyle name="Normal 4 2 3 2 2 4 2 3 3" xfId="20601"/>
    <cellStyle name="Normal 4 2 3 2 2 4 2 3 4" xfId="35644"/>
    <cellStyle name="Normal 4 2 3 2 2 4 2 4" xfId="9329"/>
    <cellStyle name="Normal 4 2 3 2 2 4 2 4 2" xfId="24373"/>
    <cellStyle name="Normal 4 2 3 2 2 4 2 4 3" xfId="39416"/>
    <cellStyle name="Normal 4 2 3 2 2 4 2 5" xfId="16852"/>
    <cellStyle name="Normal 4 2 3 2 2 4 2 6" xfId="31895"/>
    <cellStyle name="Normal 4 2 3 2 2 4 3" xfId="2693"/>
    <cellStyle name="Normal 4 2 3 2 2 4 3 2" xfId="6488"/>
    <cellStyle name="Normal 4 2 3 2 2 4 3 2 2" xfId="14011"/>
    <cellStyle name="Normal 4 2 3 2 2 4 3 2 2 2" xfId="29055"/>
    <cellStyle name="Normal 4 2 3 2 2 4 3 2 2 3" xfId="44098"/>
    <cellStyle name="Normal 4 2 3 2 2 4 3 2 3" xfId="21534"/>
    <cellStyle name="Normal 4 2 3 2 2 4 3 2 4" xfId="36577"/>
    <cellStyle name="Normal 4 2 3 2 2 4 3 3" xfId="10262"/>
    <cellStyle name="Normal 4 2 3 2 2 4 3 3 2" xfId="25306"/>
    <cellStyle name="Normal 4 2 3 2 2 4 3 3 3" xfId="40349"/>
    <cellStyle name="Normal 4 2 3 2 2 4 3 4" xfId="17785"/>
    <cellStyle name="Normal 4 2 3 2 2 4 3 5" xfId="32828"/>
    <cellStyle name="Normal 4 2 3 2 2 4 4" xfId="4623"/>
    <cellStyle name="Normal 4 2 3 2 2 4 4 2" xfId="12146"/>
    <cellStyle name="Normal 4 2 3 2 2 4 4 2 2" xfId="27190"/>
    <cellStyle name="Normal 4 2 3 2 2 4 4 2 3" xfId="42233"/>
    <cellStyle name="Normal 4 2 3 2 2 4 4 3" xfId="19669"/>
    <cellStyle name="Normal 4 2 3 2 2 4 4 4" xfId="34712"/>
    <cellStyle name="Normal 4 2 3 2 2 4 5" xfId="8397"/>
    <cellStyle name="Normal 4 2 3 2 2 4 5 2" xfId="23441"/>
    <cellStyle name="Normal 4 2 3 2 2 4 5 3" xfId="38484"/>
    <cellStyle name="Normal 4 2 3 2 2 4 6" xfId="15920"/>
    <cellStyle name="Normal 4 2 3 2 2 4 7" xfId="30963"/>
    <cellStyle name="Normal 4 2 3 2 2 5" xfId="1302"/>
    <cellStyle name="Normal 4 2 3 2 2 5 2" xfId="3173"/>
    <cellStyle name="Normal 4 2 3 2 2 5 2 2" xfId="6968"/>
    <cellStyle name="Normal 4 2 3 2 2 5 2 2 2" xfId="14491"/>
    <cellStyle name="Normal 4 2 3 2 2 5 2 2 2 2" xfId="29535"/>
    <cellStyle name="Normal 4 2 3 2 2 5 2 2 2 3" xfId="44578"/>
    <cellStyle name="Normal 4 2 3 2 2 5 2 2 3" xfId="22014"/>
    <cellStyle name="Normal 4 2 3 2 2 5 2 2 4" xfId="37057"/>
    <cellStyle name="Normal 4 2 3 2 2 5 2 3" xfId="10742"/>
    <cellStyle name="Normal 4 2 3 2 2 5 2 3 2" xfId="25786"/>
    <cellStyle name="Normal 4 2 3 2 2 5 2 3 3" xfId="40829"/>
    <cellStyle name="Normal 4 2 3 2 2 5 2 4" xfId="18265"/>
    <cellStyle name="Normal 4 2 3 2 2 5 2 5" xfId="33308"/>
    <cellStyle name="Normal 4 2 3 2 2 5 3" xfId="5103"/>
    <cellStyle name="Normal 4 2 3 2 2 5 3 2" xfId="12626"/>
    <cellStyle name="Normal 4 2 3 2 2 5 3 2 2" xfId="27670"/>
    <cellStyle name="Normal 4 2 3 2 2 5 3 2 3" xfId="42713"/>
    <cellStyle name="Normal 4 2 3 2 2 5 3 3" xfId="20149"/>
    <cellStyle name="Normal 4 2 3 2 2 5 3 4" xfId="35192"/>
    <cellStyle name="Normal 4 2 3 2 2 5 4" xfId="8877"/>
    <cellStyle name="Normal 4 2 3 2 2 5 4 2" xfId="23921"/>
    <cellStyle name="Normal 4 2 3 2 2 5 4 3" xfId="38964"/>
    <cellStyle name="Normal 4 2 3 2 2 5 5" xfId="16400"/>
    <cellStyle name="Normal 4 2 3 2 2 5 6" xfId="31443"/>
    <cellStyle name="Normal 4 2 3 2 2 6" xfId="2240"/>
    <cellStyle name="Normal 4 2 3 2 2 6 2" xfId="6036"/>
    <cellStyle name="Normal 4 2 3 2 2 6 2 2" xfId="13559"/>
    <cellStyle name="Normal 4 2 3 2 2 6 2 2 2" xfId="28603"/>
    <cellStyle name="Normal 4 2 3 2 2 6 2 2 3" xfId="43646"/>
    <cellStyle name="Normal 4 2 3 2 2 6 2 3" xfId="21082"/>
    <cellStyle name="Normal 4 2 3 2 2 6 2 4" xfId="36125"/>
    <cellStyle name="Normal 4 2 3 2 2 6 3" xfId="9810"/>
    <cellStyle name="Normal 4 2 3 2 2 6 3 2" xfId="24854"/>
    <cellStyle name="Normal 4 2 3 2 2 6 3 3" xfId="39897"/>
    <cellStyle name="Normal 4 2 3 2 2 6 4" xfId="17333"/>
    <cellStyle name="Normal 4 2 3 2 2 6 5" xfId="32376"/>
    <cellStyle name="Normal 4 2 3 2 2 7" xfId="4168"/>
    <cellStyle name="Normal 4 2 3 2 2 7 2" xfId="11692"/>
    <cellStyle name="Normal 4 2 3 2 2 7 2 2" xfId="26736"/>
    <cellStyle name="Normal 4 2 3 2 2 7 2 3" xfId="41779"/>
    <cellStyle name="Normal 4 2 3 2 2 7 3" xfId="19215"/>
    <cellStyle name="Normal 4 2 3 2 2 7 4" xfId="34258"/>
    <cellStyle name="Normal 4 2 3 2 2 8" xfId="7931"/>
    <cellStyle name="Normal 4 2 3 2 2 8 2" xfId="22975"/>
    <cellStyle name="Normal 4 2 3 2 2 8 3" xfId="38018"/>
    <cellStyle name="Normal 4 2 3 2 2 9" xfId="15454"/>
    <cellStyle name="Normal 4 2 3 2 3" xfId="275"/>
    <cellStyle name="Normal 4 2 3 2 3 2" xfId="276"/>
    <cellStyle name="Normal 4 2 3 2 3 2 2" xfId="800"/>
    <cellStyle name="Normal 4 2 3 2 3 2 2 2" xfId="1759"/>
    <cellStyle name="Normal 4 2 3 2 3 2 2 2 2" xfId="3630"/>
    <cellStyle name="Normal 4 2 3 2 3 2 2 2 2 2" xfId="7425"/>
    <cellStyle name="Normal 4 2 3 2 3 2 2 2 2 2 2" xfId="14948"/>
    <cellStyle name="Normal 4 2 3 2 3 2 2 2 2 2 2 2" xfId="29992"/>
    <cellStyle name="Normal 4 2 3 2 3 2 2 2 2 2 2 3" xfId="45035"/>
    <cellStyle name="Normal 4 2 3 2 3 2 2 2 2 2 3" xfId="22471"/>
    <cellStyle name="Normal 4 2 3 2 3 2 2 2 2 2 4" xfId="37514"/>
    <cellStyle name="Normal 4 2 3 2 3 2 2 2 2 3" xfId="11199"/>
    <cellStyle name="Normal 4 2 3 2 3 2 2 2 2 3 2" xfId="26243"/>
    <cellStyle name="Normal 4 2 3 2 3 2 2 2 2 3 3" xfId="41286"/>
    <cellStyle name="Normal 4 2 3 2 3 2 2 2 2 4" xfId="18722"/>
    <cellStyle name="Normal 4 2 3 2 3 2 2 2 2 5" xfId="33765"/>
    <cellStyle name="Normal 4 2 3 2 3 2 2 2 3" xfId="5560"/>
    <cellStyle name="Normal 4 2 3 2 3 2 2 2 3 2" xfId="13083"/>
    <cellStyle name="Normal 4 2 3 2 3 2 2 2 3 2 2" xfId="28127"/>
    <cellStyle name="Normal 4 2 3 2 3 2 2 2 3 2 3" xfId="43170"/>
    <cellStyle name="Normal 4 2 3 2 3 2 2 2 3 3" xfId="20606"/>
    <cellStyle name="Normal 4 2 3 2 3 2 2 2 3 4" xfId="35649"/>
    <cellStyle name="Normal 4 2 3 2 3 2 2 2 4" xfId="9334"/>
    <cellStyle name="Normal 4 2 3 2 3 2 2 2 4 2" xfId="24378"/>
    <cellStyle name="Normal 4 2 3 2 3 2 2 2 4 3" xfId="39421"/>
    <cellStyle name="Normal 4 2 3 2 3 2 2 2 5" xfId="16857"/>
    <cellStyle name="Normal 4 2 3 2 3 2 2 2 6" xfId="31900"/>
    <cellStyle name="Normal 4 2 3 2 3 2 2 3" xfId="2698"/>
    <cellStyle name="Normal 4 2 3 2 3 2 2 3 2" xfId="6493"/>
    <cellStyle name="Normal 4 2 3 2 3 2 2 3 2 2" xfId="14016"/>
    <cellStyle name="Normal 4 2 3 2 3 2 2 3 2 2 2" xfId="29060"/>
    <cellStyle name="Normal 4 2 3 2 3 2 2 3 2 2 3" xfId="44103"/>
    <cellStyle name="Normal 4 2 3 2 3 2 2 3 2 3" xfId="21539"/>
    <cellStyle name="Normal 4 2 3 2 3 2 2 3 2 4" xfId="36582"/>
    <cellStyle name="Normal 4 2 3 2 3 2 2 3 3" xfId="10267"/>
    <cellStyle name="Normal 4 2 3 2 3 2 2 3 3 2" xfId="25311"/>
    <cellStyle name="Normal 4 2 3 2 3 2 2 3 3 3" xfId="40354"/>
    <cellStyle name="Normal 4 2 3 2 3 2 2 3 4" xfId="17790"/>
    <cellStyle name="Normal 4 2 3 2 3 2 2 3 5" xfId="32833"/>
    <cellStyle name="Normal 4 2 3 2 3 2 2 4" xfId="4628"/>
    <cellStyle name="Normal 4 2 3 2 3 2 2 4 2" xfId="12151"/>
    <cellStyle name="Normal 4 2 3 2 3 2 2 4 2 2" xfId="27195"/>
    <cellStyle name="Normal 4 2 3 2 3 2 2 4 2 3" xfId="42238"/>
    <cellStyle name="Normal 4 2 3 2 3 2 2 4 3" xfId="19674"/>
    <cellStyle name="Normal 4 2 3 2 3 2 2 4 4" xfId="34717"/>
    <cellStyle name="Normal 4 2 3 2 3 2 2 5" xfId="8402"/>
    <cellStyle name="Normal 4 2 3 2 3 2 2 5 2" xfId="23446"/>
    <cellStyle name="Normal 4 2 3 2 3 2 2 5 3" xfId="38489"/>
    <cellStyle name="Normal 4 2 3 2 3 2 2 6" xfId="15925"/>
    <cellStyle name="Normal 4 2 3 2 3 2 2 7" xfId="30968"/>
    <cellStyle name="Normal 4 2 3 2 3 2 3" xfId="1307"/>
    <cellStyle name="Normal 4 2 3 2 3 2 3 2" xfId="3178"/>
    <cellStyle name="Normal 4 2 3 2 3 2 3 2 2" xfId="6973"/>
    <cellStyle name="Normal 4 2 3 2 3 2 3 2 2 2" xfId="14496"/>
    <cellStyle name="Normal 4 2 3 2 3 2 3 2 2 2 2" xfId="29540"/>
    <cellStyle name="Normal 4 2 3 2 3 2 3 2 2 2 3" xfId="44583"/>
    <cellStyle name="Normal 4 2 3 2 3 2 3 2 2 3" xfId="22019"/>
    <cellStyle name="Normal 4 2 3 2 3 2 3 2 2 4" xfId="37062"/>
    <cellStyle name="Normal 4 2 3 2 3 2 3 2 3" xfId="10747"/>
    <cellStyle name="Normal 4 2 3 2 3 2 3 2 3 2" xfId="25791"/>
    <cellStyle name="Normal 4 2 3 2 3 2 3 2 3 3" xfId="40834"/>
    <cellStyle name="Normal 4 2 3 2 3 2 3 2 4" xfId="18270"/>
    <cellStyle name="Normal 4 2 3 2 3 2 3 2 5" xfId="33313"/>
    <cellStyle name="Normal 4 2 3 2 3 2 3 3" xfId="5108"/>
    <cellStyle name="Normal 4 2 3 2 3 2 3 3 2" xfId="12631"/>
    <cellStyle name="Normal 4 2 3 2 3 2 3 3 2 2" xfId="27675"/>
    <cellStyle name="Normal 4 2 3 2 3 2 3 3 2 3" xfId="42718"/>
    <cellStyle name="Normal 4 2 3 2 3 2 3 3 3" xfId="20154"/>
    <cellStyle name="Normal 4 2 3 2 3 2 3 3 4" xfId="35197"/>
    <cellStyle name="Normal 4 2 3 2 3 2 3 4" xfId="8882"/>
    <cellStyle name="Normal 4 2 3 2 3 2 3 4 2" xfId="23926"/>
    <cellStyle name="Normal 4 2 3 2 3 2 3 4 3" xfId="38969"/>
    <cellStyle name="Normal 4 2 3 2 3 2 3 5" xfId="16405"/>
    <cellStyle name="Normal 4 2 3 2 3 2 3 6" xfId="31448"/>
    <cellStyle name="Normal 4 2 3 2 3 2 4" xfId="2245"/>
    <cellStyle name="Normal 4 2 3 2 3 2 4 2" xfId="6041"/>
    <cellStyle name="Normal 4 2 3 2 3 2 4 2 2" xfId="13564"/>
    <cellStyle name="Normal 4 2 3 2 3 2 4 2 2 2" xfId="28608"/>
    <cellStyle name="Normal 4 2 3 2 3 2 4 2 2 3" xfId="43651"/>
    <cellStyle name="Normal 4 2 3 2 3 2 4 2 3" xfId="21087"/>
    <cellStyle name="Normal 4 2 3 2 3 2 4 2 4" xfId="36130"/>
    <cellStyle name="Normal 4 2 3 2 3 2 4 3" xfId="9815"/>
    <cellStyle name="Normal 4 2 3 2 3 2 4 3 2" xfId="24859"/>
    <cellStyle name="Normal 4 2 3 2 3 2 4 3 3" xfId="39902"/>
    <cellStyle name="Normal 4 2 3 2 3 2 4 4" xfId="17338"/>
    <cellStyle name="Normal 4 2 3 2 3 2 4 5" xfId="32381"/>
    <cellStyle name="Normal 4 2 3 2 3 2 5" xfId="4173"/>
    <cellStyle name="Normal 4 2 3 2 3 2 5 2" xfId="11697"/>
    <cellStyle name="Normal 4 2 3 2 3 2 5 2 2" xfId="26741"/>
    <cellStyle name="Normal 4 2 3 2 3 2 5 2 3" xfId="41784"/>
    <cellStyle name="Normal 4 2 3 2 3 2 5 3" xfId="19220"/>
    <cellStyle name="Normal 4 2 3 2 3 2 5 4" xfId="34263"/>
    <cellStyle name="Normal 4 2 3 2 3 2 6" xfId="7936"/>
    <cellStyle name="Normal 4 2 3 2 3 2 6 2" xfId="22980"/>
    <cellStyle name="Normal 4 2 3 2 3 2 6 3" xfId="38023"/>
    <cellStyle name="Normal 4 2 3 2 3 2 7" xfId="15459"/>
    <cellStyle name="Normal 4 2 3 2 3 2 8" xfId="30502"/>
    <cellStyle name="Normal 4 2 3 2 3 3" xfId="799"/>
    <cellStyle name="Normal 4 2 3 2 3 3 2" xfId="1758"/>
    <cellStyle name="Normal 4 2 3 2 3 3 2 2" xfId="3629"/>
    <cellStyle name="Normal 4 2 3 2 3 3 2 2 2" xfId="7424"/>
    <cellStyle name="Normal 4 2 3 2 3 3 2 2 2 2" xfId="14947"/>
    <cellStyle name="Normal 4 2 3 2 3 3 2 2 2 2 2" xfId="29991"/>
    <cellStyle name="Normal 4 2 3 2 3 3 2 2 2 2 3" xfId="45034"/>
    <cellStyle name="Normal 4 2 3 2 3 3 2 2 2 3" xfId="22470"/>
    <cellStyle name="Normal 4 2 3 2 3 3 2 2 2 4" xfId="37513"/>
    <cellStyle name="Normal 4 2 3 2 3 3 2 2 3" xfId="11198"/>
    <cellStyle name="Normal 4 2 3 2 3 3 2 2 3 2" xfId="26242"/>
    <cellStyle name="Normal 4 2 3 2 3 3 2 2 3 3" xfId="41285"/>
    <cellStyle name="Normal 4 2 3 2 3 3 2 2 4" xfId="18721"/>
    <cellStyle name="Normal 4 2 3 2 3 3 2 2 5" xfId="33764"/>
    <cellStyle name="Normal 4 2 3 2 3 3 2 3" xfId="5559"/>
    <cellStyle name="Normal 4 2 3 2 3 3 2 3 2" xfId="13082"/>
    <cellStyle name="Normal 4 2 3 2 3 3 2 3 2 2" xfId="28126"/>
    <cellStyle name="Normal 4 2 3 2 3 3 2 3 2 3" xfId="43169"/>
    <cellStyle name="Normal 4 2 3 2 3 3 2 3 3" xfId="20605"/>
    <cellStyle name="Normal 4 2 3 2 3 3 2 3 4" xfId="35648"/>
    <cellStyle name="Normal 4 2 3 2 3 3 2 4" xfId="9333"/>
    <cellStyle name="Normal 4 2 3 2 3 3 2 4 2" xfId="24377"/>
    <cellStyle name="Normal 4 2 3 2 3 3 2 4 3" xfId="39420"/>
    <cellStyle name="Normal 4 2 3 2 3 3 2 5" xfId="16856"/>
    <cellStyle name="Normal 4 2 3 2 3 3 2 6" xfId="31899"/>
    <cellStyle name="Normal 4 2 3 2 3 3 3" xfId="2697"/>
    <cellStyle name="Normal 4 2 3 2 3 3 3 2" xfId="6492"/>
    <cellStyle name="Normal 4 2 3 2 3 3 3 2 2" xfId="14015"/>
    <cellStyle name="Normal 4 2 3 2 3 3 3 2 2 2" xfId="29059"/>
    <cellStyle name="Normal 4 2 3 2 3 3 3 2 2 3" xfId="44102"/>
    <cellStyle name="Normal 4 2 3 2 3 3 3 2 3" xfId="21538"/>
    <cellStyle name="Normal 4 2 3 2 3 3 3 2 4" xfId="36581"/>
    <cellStyle name="Normal 4 2 3 2 3 3 3 3" xfId="10266"/>
    <cellStyle name="Normal 4 2 3 2 3 3 3 3 2" xfId="25310"/>
    <cellStyle name="Normal 4 2 3 2 3 3 3 3 3" xfId="40353"/>
    <cellStyle name="Normal 4 2 3 2 3 3 3 4" xfId="17789"/>
    <cellStyle name="Normal 4 2 3 2 3 3 3 5" xfId="32832"/>
    <cellStyle name="Normal 4 2 3 2 3 3 4" xfId="4627"/>
    <cellStyle name="Normal 4 2 3 2 3 3 4 2" xfId="12150"/>
    <cellStyle name="Normal 4 2 3 2 3 3 4 2 2" xfId="27194"/>
    <cellStyle name="Normal 4 2 3 2 3 3 4 2 3" xfId="42237"/>
    <cellStyle name="Normal 4 2 3 2 3 3 4 3" xfId="19673"/>
    <cellStyle name="Normal 4 2 3 2 3 3 4 4" xfId="34716"/>
    <cellStyle name="Normal 4 2 3 2 3 3 5" xfId="8401"/>
    <cellStyle name="Normal 4 2 3 2 3 3 5 2" xfId="23445"/>
    <cellStyle name="Normal 4 2 3 2 3 3 5 3" xfId="38488"/>
    <cellStyle name="Normal 4 2 3 2 3 3 6" xfId="15924"/>
    <cellStyle name="Normal 4 2 3 2 3 3 7" xfId="30967"/>
    <cellStyle name="Normal 4 2 3 2 3 4" xfId="1306"/>
    <cellStyle name="Normal 4 2 3 2 3 4 2" xfId="3177"/>
    <cellStyle name="Normal 4 2 3 2 3 4 2 2" xfId="6972"/>
    <cellStyle name="Normal 4 2 3 2 3 4 2 2 2" xfId="14495"/>
    <cellStyle name="Normal 4 2 3 2 3 4 2 2 2 2" xfId="29539"/>
    <cellStyle name="Normal 4 2 3 2 3 4 2 2 2 3" xfId="44582"/>
    <cellStyle name="Normal 4 2 3 2 3 4 2 2 3" xfId="22018"/>
    <cellStyle name="Normal 4 2 3 2 3 4 2 2 4" xfId="37061"/>
    <cellStyle name="Normal 4 2 3 2 3 4 2 3" xfId="10746"/>
    <cellStyle name="Normal 4 2 3 2 3 4 2 3 2" xfId="25790"/>
    <cellStyle name="Normal 4 2 3 2 3 4 2 3 3" xfId="40833"/>
    <cellStyle name="Normal 4 2 3 2 3 4 2 4" xfId="18269"/>
    <cellStyle name="Normal 4 2 3 2 3 4 2 5" xfId="33312"/>
    <cellStyle name="Normal 4 2 3 2 3 4 3" xfId="5107"/>
    <cellStyle name="Normal 4 2 3 2 3 4 3 2" xfId="12630"/>
    <cellStyle name="Normal 4 2 3 2 3 4 3 2 2" xfId="27674"/>
    <cellStyle name="Normal 4 2 3 2 3 4 3 2 3" xfId="42717"/>
    <cellStyle name="Normal 4 2 3 2 3 4 3 3" xfId="20153"/>
    <cellStyle name="Normal 4 2 3 2 3 4 3 4" xfId="35196"/>
    <cellStyle name="Normal 4 2 3 2 3 4 4" xfId="8881"/>
    <cellStyle name="Normal 4 2 3 2 3 4 4 2" xfId="23925"/>
    <cellStyle name="Normal 4 2 3 2 3 4 4 3" xfId="38968"/>
    <cellStyle name="Normal 4 2 3 2 3 4 5" xfId="16404"/>
    <cellStyle name="Normal 4 2 3 2 3 4 6" xfId="31447"/>
    <cellStyle name="Normal 4 2 3 2 3 5" xfId="2244"/>
    <cellStyle name="Normal 4 2 3 2 3 5 2" xfId="6040"/>
    <cellStyle name="Normal 4 2 3 2 3 5 2 2" xfId="13563"/>
    <cellStyle name="Normal 4 2 3 2 3 5 2 2 2" xfId="28607"/>
    <cellStyle name="Normal 4 2 3 2 3 5 2 2 3" xfId="43650"/>
    <cellStyle name="Normal 4 2 3 2 3 5 2 3" xfId="21086"/>
    <cellStyle name="Normal 4 2 3 2 3 5 2 4" xfId="36129"/>
    <cellStyle name="Normal 4 2 3 2 3 5 3" xfId="9814"/>
    <cellStyle name="Normal 4 2 3 2 3 5 3 2" xfId="24858"/>
    <cellStyle name="Normal 4 2 3 2 3 5 3 3" xfId="39901"/>
    <cellStyle name="Normal 4 2 3 2 3 5 4" xfId="17337"/>
    <cellStyle name="Normal 4 2 3 2 3 5 5" xfId="32380"/>
    <cellStyle name="Normal 4 2 3 2 3 6" xfId="4172"/>
    <cellStyle name="Normal 4 2 3 2 3 6 2" xfId="11696"/>
    <cellStyle name="Normal 4 2 3 2 3 6 2 2" xfId="26740"/>
    <cellStyle name="Normal 4 2 3 2 3 6 2 3" xfId="41783"/>
    <cellStyle name="Normal 4 2 3 2 3 6 3" xfId="19219"/>
    <cellStyle name="Normal 4 2 3 2 3 6 4" xfId="34262"/>
    <cellStyle name="Normal 4 2 3 2 3 7" xfId="7935"/>
    <cellStyle name="Normal 4 2 3 2 3 7 2" xfId="22979"/>
    <cellStyle name="Normal 4 2 3 2 3 7 3" xfId="38022"/>
    <cellStyle name="Normal 4 2 3 2 3 8" xfId="15458"/>
    <cellStyle name="Normal 4 2 3 2 3 9" xfId="30501"/>
    <cellStyle name="Normal 4 2 3 2 4" xfId="277"/>
    <cellStyle name="Normal 4 2 3 2 4 2" xfId="278"/>
    <cellStyle name="Normal 4 2 3 2 4 2 2" xfId="802"/>
    <cellStyle name="Normal 4 2 3 2 4 2 2 2" xfId="1761"/>
    <cellStyle name="Normal 4 2 3 2 4 2 2 2 2" xfId="3632"/>
    <cellStyle name="Normal 4 2 3 2 4 2 2 2 2 2" xfId="7427"/>
    <cellStyle name="Normal 4 2 3 2 4 2 2 2 2 2 2" xfId="14950"/>
    <cellStyle name="Normal 4 2 3 2 4 2 2 2 2 2 2 2" xfId="29994"/>
    <cellStyle name="Normal 4 2 3 2 4 2 2 2 2 2 2 3" xfId="45037"/>
    <cellStyle name="Normal 4 2 3 2 4 2 2 2 2 2 3" xfId="22473"/>
    <cellStyle name="Normal 4 2 3 2 4 2 2 2 2 2 4" xfId="37516"/>
    <cellStyle name="Normal 4 2 3 2 4 2 2 2 2 3" xfId="11201"/>
    <cellStyle name="Normal 4 2 3 2 4 2 2 2 2 3 2" xfId="26245"/>
    <cellStyle name="Normal 4 2 3 2 4 2 2 2 2 3 3" xfId="41288"/>
    <cellStyle name="Normal 4 2 3 2 4 2 2 2 2 4" xfId="18724"/>
    <cellStyle name="Normal 4 2 3 2 4 2 2 2 2 5" xfId="33767"/>
    <cellStyle name="Normal 4 2 3 2 4 2 2 2 3" xfId="5562"/>
    <cellStyle name="Normal 4 2 3 2 4 2 2 2 3 2" xfId="13085"/>
    <cellStyle name="Normal 4 2 3 2 4 2 2 2 3 2 2" xfId="28129"/>
    <cellStyle name="Normal 4 2 3 2 4 2 2 2 3 2 3" xfId="43172"/>
    <cellStyle name="Normal 4 2 3 2 4 2 2 2 3 3" xfId="20608"/>
    <cellStyle name="Normal 4 2 3 2 4 2 2 2 3 4" xfId="35651"/>
    <cellStyle name="Normal 4 2 3 2 4 2 2 2 4" xfId="9336"/>
    <cellStyle name="Normal 4 2 3 2 4 2 2 2 4 2" xfId="24380"/>
    <cellStyle name="Normal 4 2 3 2 4 2 2 2 4 3" xfId="39423"/>
    <cellStyle name="Normal 4 2 3 2 4 2 2 2 5" xfId="16859"/>
    <cellStyle name="Normal 4 2 3 2 4 2 2 2 6" xfId="31902"/>
    <cellStyle name="Normal 4 2 3 2 4 2 2 3" xfId="2700"/>
    <cellStyle name="Normal 4 2 3 2 4 2 2 3 2" xfId="6495"/>
    <cellStyle name="Normal 4 2 3 2 4 2 2 3 2 2" xfId="14018"/>
    <cellStyle name="Normal 4 2 3 2 4 2 2 3 2 2 2" xfId="29062"/>
    <cellStyle name="Normal 4 2 3 2 4 2 2 3 2 2 3" xfId="44105"/>
    <cellStyle name="Normal 4 2 3 2 4 2 2 3 2 3" xfId="21541"/>
    <cellStyle name="Normal 4 2 3 2 4 2 2 3 2 4" xfId="36584"/>
    <cellStyle name="Normal 4 2 3 2 4 2 2 3 3" xfId="10269"/>
    <cellStyle name="Normal 4 2 3 2 4 2 2 3 3 2" xfId="25313"/>
    <cellStyle name="Normal 4 2 3 2 4 2 2 3 3 3" xfId="40356"/>
    <cellStyle name="Normal 4 2 3 2 4 2 2 3 4" xfId="17792"/>
    <cellStyle name="Normal 4 2 3 2 4 2 2 3 5" xfId="32835"/>
    <cellStyle name="Normal 4 2 3 2 4 2 2 4" xfId="4630"/>
    <cellStyle name="Normal 4 2 3 2 4 2 2 4 2" xfId="12153"/>
    <cellStyle name="Normal 4 2 3 2 4 2 2 4 2 2" xfId="27197"/>
    <cellStyle name="Normal 4 2 3 2 4 2 2 4 2 3" xfId="42240"/>
    <cellStyle name="Normal 4 2 3 2 4 2 2 4 3" xfId="19676"/>
    <cellStyle name="Normal 4 2 3 2 4 2 2 4 4" xfId="34719"/>
    <cellStyle name="Normal 4 2 3 2 4 2 2 5" xfId="8404"/>
    <cellStyle name="Normal 4 2 3 2 4 2 2 5 2" xfId="23448"/>
    <cellStyle name="Normal 4 2 3 2 4 2 2 5 3" xfId="38491"/>
    <cellStyle name="Normal 4 2 3 2 4 2 2 6" xfId="15927"/>
    <cellStyle name="Normal 4 2 3 2 4 2 2 7" xfId="30970"/>
    <cellStyle name="Normal 4 2 3 2 4 2 3" xfId="1309"/>
    <cellStyle name="Normal 4 2 3 2 4 2 3 2" xfId="3180"/>
    <cellStyle name="Normal 4 2 3 2 4 2 3 2 2" xfId="6975"/>
    <cellStyle name="Normal 4 2 3 2 4 2 3 2 2 2" xfId="14498"/>
    <cellStyle name="Normal 4 2 3 2 4 2 3 2 2 2 2" xfId="29542"/>
    <cellStyle name="Normal 4 2 3 2 4 2 3 2 2 2 3" xfId="44585"/>
    <cellStyle name="Normal 4 2 3 2 4 2 3 2 2 3" xfId="22021"/>
    <cellStyle name="Normal 4 2 3 2 4 2 3 2 2 4" xfId="37064"/>
    <cellStyle name="Normal 4 2 3 2 4 2 3 2 3" xfId="10749"/>
    <cellStyle name="Normal 4 2 3 2 4 2 3 2 3 2" xfId="25793"/>
    <cellStyle name="Normal 4 2 3 2 4 2 3 2 3 3" xfId="40836"/>
    <cellStyle name="Normal 4 2 3 2 4 2 3 2 4" xfId="18272"/>
    <cellStyle name="Normal 4 2 3 2 4 2 3 2 5" xfId="33315"/>
    <cellStyle name="Normal 4 2 3 2 4 2 3 3" xfId="5110"/>
    <cellStyle name="Normal 4 2 3 2 4 2 3 3 2" xfId="12633"/>
    <cellStyle name="Normal 4 2 3 2 4 2 3 3 2 2" xfId="27677"/>
    <cellStyle name="Normal 4 2 3 2 4 2 3 3 2 3" xfId="42720"/>
    <cellStyle name="Normal 4 2 3 2 4 2 3 3 3" xfId="20156"/>
    <cellStyle name="Normal 4 2 3 2 4 2 3 3 4" xfId="35199"/>
    <cellStyle name="Normal 4 2 3 2 4 2 3 4" xfId="8884"/>
    <cellStyle name="Normal 4 2 3 2 4 2 3 4 2" xfId="23928"/>
    <cellStyle name="Normal 4 2 3 2 4 2 3 4 3" xfId="38971"/>
    <cellStyle name="Normal 4 2 3 2 4 2 3 5" xfId="16407"/>
    <cellStyle name="Normal 4 2 3 2 4 2 3 6" xfId="31450"/>
    <cellStyle name="Normal 4 2 3 2 4 2 4" xfId="2247"/>
    <cellStyle name="Normal 4 2 3 2 4 2 4 2" xfId="6043"/>
    <cellStyle name="Normal 4 2 3 2 4 2 4 2 2" xfId="13566"/>
    <cellStyle name="Normal 4 2 3 2 4 2 4 2 2 2" xfId="28610"/>
    <cellStyle name="Normal 4 2 3 2 4 2 4 2 2 3" xfId="43653"/>
    <cellStyle name="Normal 4 2 3 2 4 2 4 2 3" xfId="21089"/>
    <cellStyle name="Normal 4 2 3 2 4 2 4 2 4" xfId="36132"/>
    <cellStyle name="Normal 4 2 3 2 4 2 4 3" xfId="9817"/>
    <cellStyle name="Normal 4 2 3 2 4 2 4 3 2" xfId="24861"/>
    <cellStyle name="Normal 4 2 3 2 4 2 4 3 3" xfId="39904"/>
    <cellStyle name="Normal 4 2 3 2 4 2 4 4" xfId="17340"/>
    <cellStyle name="Normal 4 2 3 2 4 2 4 5" xfId="32383"/>
    <cellStyle name="Normal 4 2 3 2 4 2 5" xfId="4175"/>
    <cellStyle name="Normal 4 2 3 2 4 2 5 2" xfId="11699"/>
    <cellStyle name="Normal 4 2 3 2 4 2 5 2 2" xfId="26743"/>
    <cellStyle name="Normal 4 2 3 2 4 2 5 2 3" xfId="41786"/>
    <cellStyle name="Normal 4 2 3 2 4 2 5 3" xfId="19222"/>
    <cellStyle name="Normal 4 2 3 2 4 2 5 4" xfId="34265"/>
    <cellStyle name="Normal 4 2 3 2 4 2 6" xfId="7938"/>
    <cellStyle name="Normal 4 2 3 2 4 2 6 2" xfId="22982"/>
    <cellStyle name="Normal 4 2 3 2 4 2 6 3" xfId="38025"/>
    <cellStyle name="Normal 4 2 3 2 4 2 7" xfId="15461"/>
    <cellStyle name="Normal 4 2 3 2 4 2 8" xfId="30504"/>
    <cellStyle name="Normal 4 2 3 2 4 3" xfId="801"/>
    <cellStyle name="Normal 4 2 3 2 4 3 2" xfId="1760"/>
    <cellStyle name="Normal 4 2 3 2 4 3 2 2" xfId="3631"/>
    <cellStyle name="Normal 4 2 3 2 4 3 2 2 2" xfId="7426"/>
    <cellStyle name="Normal 4 2 3 2 4 3 2 2 2 2" xfId="14949"/>
    <cellStyle name="Normal 4 2 3 2 4 3 2 2 2 2 2" xfId="29993"/>
    <cellStyle name="Normal 4 2 3 2 4 3 2 2 2 2 3" xfId="45036"/>
    <cellStyle name="Normal 4 2 3 2 4 3 2 2 2 3" xfId="22472"/>
    <cellStyle name="Normal 4 2 3 2 4 3 2 2 2 4" xfId="37515"/>
    <cellStyle name="Normal 4 2 3 2 4 3 2 2 3" xfId="11200"/>
    <cellStyle name="Normal 4 2 3 2 4 3 2 2 3 2" xfId="26244"/>
    <cellStyle name="Normal 4 2 3 2 4 3 2 2 3 3" xfId="41287"/>
    <cellStyle name="Normal 4 2 3 2 4 3 2 2 4" xfId="18723"/>
    <cellStyle name="Normal 4 2 3 2 4 3 2 2 5" xfId="33766"/>
    <cellStyle name="Normal 4 2 3 2 4 3 2 3" xfId="5561"/>
    <cellStyle name="Normal 4 2 3 2 4 3 2 3 2" xfId="13084"/>
    <cellStyle name="Normal 4 2 3 2 4 3 2 3 2 2" xfId="28128"/>
    <cellStyle name="Normal 4 2 3 2 4 3 2 3 2 3" xfId="43171"/>
    <cellStyle name="Normal 4 2 3 2 4 3 2 3 3" xfId="20607"/>
    <cellStyle name="Normal 4 2 3 2 4 3 2 3 4" xfId="35650"/>
    <cellStyle name="Normal 4 2 3 2 4 3 2 4" xfId="9335"/>
    <cellStyle name="Normal 4 2 3 2 4 3 2 4 2" xfId="24379"/>
    <cellStyle name="Normal 4 2 3 2 4 3 2 4 3" xfId="39422"/>
    <cellStyle name="Normal 4 2 3 2 4 3 2 5" xfId="16858"/>
    <cellStyle name="Normal 4 2 3 2 4 3 2 6" xfId="31901"/>
    <cellStyle name="Normal 4 2 3 2 4 3 3" xfId="2699"/>
    <cellStyle name="Normal 4 2 3 2 4 3 3 2" xfId="6494"/>
    <cellStyle name="Normal 4 2 3 2 4 3 3 2 2" xfId="14017"/>
    <cellStyle name="Normal 4 2 3 2 4 3 3 2 2 2" xfId="29061"/>
    <cellStyle name="Normal 4 2 3 2 4 3 3 2 2 3" xfId="44104"/>
    <cellStyle name="Normal 4 2 3 2 4 3 3 2 3" xfId="21540"/>
    <cellStyle name="Normal 4 2 3 2 4 3 3 2 4" xfId="36583"/>
    <cellStyle name="Normal 4 2 3 2 4 3 3 3" xfId="10268"/>
    <cellStyle name="Normal 4 2 3 2 4 3 3 3 2" xfId="25312"/>
    <cellStyle name="Normal 4 2 3 2 4 3 3 3 3" xfId="40355"/>
    <cellStyle name="Normal 4 2 3 2 4 3 3 4" xfId="17791"/>
    <cellStyle name="Normal 4 2 3 2 4 3 3 5" xfId="32834"/>
    <cellStyle name="Normal 4 2 3 2 4 3 4" xfId="4629"/>
    <cellStyle name="Normal 4 2 3 2 4 3 4 2" xfId="12152"/>
    <cellStyle name="Normal 4 2 3 2 4 3 4 2 2" xfId="27196"/>
    <cellStyle name="Normal 4 2 3 2 4 3 4 2 3" xfId="42239"/>
    <cellStyle name="Normal 4 2 3 2 4 3 4 3" xfId="19675"/>
    <cellStyle name="Normal 4 2 3 2 4 3 4 4" xfId="34718"/>
    <cellStyle name="Normal 4 2 3 2 4 3 5" xfId="8403"/>
    <cellStyle name="Normal 4 2 3 2 4 3 5 2" xfId="23447"/>
    <cellStyle name="Normal 4 2 3 2 4 3 5 3" xfId="38490"/>
    <cellStyle name="Normal 4 2 3 2 4 3 6" xfId="15926"/>
    <cellStyle name="Normal 4 2 3 2 4 3 7" xfId="30969"/>
    <cellStyle name="Normal 4 2 3 2 4 4" xfId="1308"/>
    <cellStyle name="Normal 4 2 3 2 4 4 2" xfId="3179"/>
    <cellStyle name="Normal 4 2 3 2 4 4 2 2" xfId="6974"/>
    <cellStyle name="Normal 4 2 3 2 4 4 2 2 2" xfId="14497"/>
    <cellStyle name="Normal 4 2 3 2 4 4 2 2 2 2" xfId="29541"/>
    <cellStyle name="Normal 4 2 3 2 4 4 2 2 2 3" xfId="44584"/>
    <cellStyle name="Normal 4 2 3 2 4 4 2 2 3" xfId="22020"/>
    <cellStyle name="Normal 4 2 3 2 4 4 2 2 4" xfId="37063"/>
    <cellStyle name="Normal 4 2 3 2 4 4 2 3" xfId="10748"/>
    <cellStyle name="Normal 4 2 3 2 4 4 2 3 2" xfId="25792"/>
    <cellStyle name="Normal 4 2 3 2 4 4 2 3 3" xfId="40835"/>
    <cellStyle name="Normal 4 2 3 2 4 4 2 4" xfId="18271"/>
    <cellStyle name="Normal 4 2 3 2 4 4 2 5" xfId="33314"/>
    <cellStyle name="Normal 4 2 3 2 4 4 3" xfId="5109"/>
    <cellStyle name="Normal 4 2 3 2 4 4 3 2" xfId="12632"/>
    <cellStyle name="Normal 4 2 3 2 4 4 3 2 2" xfId="27676"/>
    <cellStyle name="Normal 4 2 3 2 4 4 3 2 3" xfId="42719"/>
    <cellStyle name="Normal 4 2 3 2 4 4 3 3" xfId="20155"/>
    <cellStyle name="Normal 4 2 3 2 4 4 3 4" xfId="35198"/>
    <cellStyle name="Normal 4 2 3 2 4 4 4" xfId="8883"/>
    <cellStyle name="Normal 4 2 3 2 4 4 4 2" xfId="23927"/>
    <cellStyle name="Normal 4 2 3 2 4 4 4 3" xfId="38970"/>
    <cellStyle name="Normal 4 2 3 2 4 4 5" xfId="16406"/>
    <cellStyle name="Normal 4 2 3 2 4 4 6" xfId="31449"/>
    <cellStyle name="Normal 4 2 3 2 4 5" xfId="2246"/>
    <cellStyle name="Normal 4 2 3 2 4 5 2" xfId="6042"/>
    <cellStyle name="Normal 4 2 3 2 4 5 2 2" xfId="13565"/>
    <cellStyle name="Normal 4 2 3 2 4 5 2 2 2" xfId="28609"/>
    <cellStyle name="Normal 4 2 3 2 4 5 2 2 3" xfId="43652"/>
    <cellStyle name="Normal 4 2 3 2 4 5 2 3" xfId="21088"/>
    <cellStyle name="Normal 4 2 3 2 4 5 2 4" xfId="36131"/>
    <cellStyle name="Normal 4 2 3 2 4 5 3" xfId="9816"/>
    <cellStyle name="Normal 4 2 3 2 4 5 3 2" xfId="24860"/>
    <cellStyle name="Normal 4 2 3 2 4 5 3 3" xfId="39903"/>
    <cellStyle name="Normal 4 2 3 2 4 5 4" xfId="17339"/>
    <cellStyle name="Normal 4 2 3 2 4 5 5" xfId="32382"/>
    <cellStyle name="Normal 4 2 3 2 4 6" xfId="4174"/>
    <cellStyle name="Normal 4 2 3 2 4 6 2" xfId="11698"/>
    <cellStyle name="Normal 4 2 3 2 4 6 2 2" xfId="26742"/>
    <cellStyle name="Normal 4 2 3 2 4 6 2 3" xfId="41785"/>
    <cellStyle name="Normal 4 2 3 2 4 6 3" xfId="19221"/>
    <cellStyle name="Normal 4 2 3 2 4 6 4" xfId="34264"/>
    <cellStyle name="Normal 4 2 3 2 4 7" xfId="7937"/>
    <cellStyle name="Normal 4 2 3 2 4 7 2" xfId="22981"/>
    <cellStyle name="Normal 4 2 3 2 4 7 3" xfId="38024"/>
    <cellStyle name="Normal 4 2 3 2 4 8" xfId="15460"/>
    <cellStyle name="Normal 4 2 3 2 4 9" xfId="30503"/>
    <cellStyle name="Normal 4 2 3 2 5" xfId="279"/>
    <cellStyle name="Normal 4 2 3 2 5 2" xfId="803"/>
    <cellStyle name="Normal 4 2 3 2 5 2 2" xfId="1762"/>
    <cellStyle name="Normal 4 2 3 2 5 2 2 2" xfId="3633"/>
    <cellStyle name="Normal 4 2 3 2 5 2 2 2 2" xfId="7428"/>
    <cellStyle name="Normal 4 2 3 2 5 2 2 2 2 2" xfId="14951"/>
    <cellStyle name="Normal 4 2 3 2 5 2 2 2 2 2 2" xfId="29995"/>
    <cellStyle name="Normal 4 2 3 2 5 2 2 2 2 2 3" xfId="45038"/>
    <cellStyle name="Normal 4 2 3 2 5 2 2 2 2 3" xfId="22474"/>
    <cellStyle name="Normal 4 2 3 2 5 2 2 2 2 4" xfId="37517"/>
    <cellStyle name="Normal 4 2 3 2 5 2 2 2 3" xfId="11202"/>
    <cellStyle name="Normal 4 2 3 2 5 2 2 2 3 2" xfId="26246"/>
    <cellStyle name="Normal 4 2 3 2 5 2 2 2 3 3" xfId="41289"/>
    <cellStyle name="Normal 4 2 3 2 5 2 2 2 4" xfId="18725"/>
    <cellStyle name="Normal 4 2 3 2 5 2 2 2 5" xfId="33768"/>
    <cellStyle name="Normal 4 2 3 2 5 2 2 3" xfId="5563"/>
    <cellStyle name="Normal 4 2 3 2 5 2 2 3 2" xfId="13086"/>
    <cellStyle name="Normal 4 2 3 2 5 2 2 3 2 2" xfId="28130"/>
    <cellStyle name="Normal 4 2 3 2 5 2 2 3 2 3" xfId="43173"/>
    <cellStyle name="Normal 4 2 3 2 5 2 2 3 3" xfId="20609"/>
    <cellStyle name="Normal 4 2 3 2 5 2 2 3 4" xfId="35652"/>
    <cellStyle name="Normal 4 2 3 2 5 2 2 4" xfId="9337"/>
    <cellStyle name="Normal 4 2 3 2 5 2 2 4 2" xfId="24381"/>
    <cellStyle name="Normal 4 2 3 2 5 2 2 4 3" xfId="39424"/>
    <cellStyle name="Normal 4 2 3 2 5 2 2 5" xfId="16860"/>
    <cellStyle name="Normal 4 2 3 2 5 2 2 6" xfId="31903"/>
    <cellStyle name="Normal 4 2 3 2 5 2 3" xfId="2701"/>
    <cellStyle name="Normal 4 2 3 2 5 2 3 2" xfId="6496"/>
    <cellStyle name="Normal 4 2 3 2 5 2 3 2 2" xfId="14019"/>
    <cellStyle name="Normal 4 2 3 2 5 2 3 2 2 2" xfId="29063"/>
    <cellStyle name="Normal 4 2 3 2 5 2 3 2 2 3" xfId="44106"/>
    <cellStyle name="Normal 4 2 3 2 5 2 3 2 3" xfId="21542"/>
    <cellStyle name="Normal 4 2 3 2 5 2 3 2 4" xfId="36585"/>
    <cellStyle name="Normal 4 2 3 2 5 2 3 3" xfId="10270"/>
    <cellStyle name="Normal 4 2 3 2 5 2 3 3 2" xfId="25314"/>
    <cellStyle name="Normal 4 2 3 2 5 2 3 3 3" xfId="40357"/>
    <cellStyle name="Normal 4 2 3 2 5 2 3 4" xfId="17793"/>
    <cellStyle name="Normal 4 2 3 2 5 2 3 5" xfId="32836"/>
    <cellStyle name="Normal 4 2 3 2 5 2 4" xfId="4631"/>
    <cellStyle name="Normal 4 2 3 2 5 2 4 2" xfId="12154"/>
    <cellStyle name="Normal 4 2 3 2 5 2 4 2 2" xfId="27198"/>
    <cellStyle name="Normal 4 2 3 2 5 2 4 2 3" xfId="42241"/>
    <cellStyle name="Normal 4 2 3 2 5 2 4 3" xfId="19677"/>
    <cellStyle name="Normal 4 2 3 2 5 2 4 4" xfId="34720"/>
    <cellStyle name="Normal 4 2 3 2 5 2 5" xfId="8405"/>
    <cellStyle name="Normal 4 2 3 2 5 2 5 2" xfId="23449"/>
    <cellStyle name="Normal 4 2 3 2 5 2 5 3" xfId="38492"/>
    <cellStyle name="Normal 4 2 3 2 5 2 6" xfId="15928"/>
    <cellStyle name="Normal 4 2 3 2 5 2 7" xfId="30971"/>
    <cellStyle name="Normal 4 2 3 2 5 3" xfId="1310"/>
    <cellStyle name="Normal 4 2 3 2 5 3 2" xfId="3181"/>
    <cellStyle name="Normal 4 2 3 2 5 3 2 2" xfId="6976"/>
    <cellStyle name="Normal 4 2 3 2 5 3 2 2 2" xfId="14499"/>
    <cellStyle name="Normal 4 2 3 2 5 3 2 2 2 2" xfId="29543"/>
    <cellStyle name="Normal 4 2 3 2 5 3 2 2 2 3" xfId="44586"/>
    <cellStyle name="Normal 4 2 3 2 5 3 2 2 3" xfId="22022"/>
    <cellStyle name="Normal 4 2 3 2 5 3 2 2 4" xfId="37065"/>
    <cellStyle name="Normal 4 2 3 2 5 3 2 3" xfId="10750"/>
    <cellStyle name="Normal 4 2 3 2 5 3 2 3 2" xfId="25794"/>
    <cellStyle name="Normal 4 2 3 2 5 3 2 3 3" xfId="40837"/>
    <cellStyle name="Normal 4 2 3 2 5 3 2 4" xfId="18273"/>
    <cellStyle name="Normal 4 2 3 2 5 3 2 5" xfId="33316"/>
    <cellStyle name="Normal 4 2 3 2 5 3 3" xfId="5111"/>
    <cellStyle name="Normal 4 2 3 2 5 3 3 2" xfId="12634"/>
    <cellStyle name="Normal 4 2 3 2 5 3 3 2 2" xfId="27678"/>
    <cellStyle name="Normal 4 2 3 2 5 3 3 2 3" xfId="42721"/>
    <cellStyle name="Normal 4 2 3 2 5 3 3 3" xfId="20157"/>
    <cellStyle name="Normal 4 2 3 2 5 3 3 4" xfId="35200"/>
    <cellStyle name="Normal 4 2 3 2 5 3 4" xfId="8885"/>
    <cellStyle name="Normal 4 2 3 2 5 3 4 2" xfId="23929"/>
    <cellStyle name="Normal 4 2 3 2 5 3 4 3" xfId="38972"/>
    <cellStyle name="Normal 4 2 3 2 5 3 5" xfId="16408"/>
    <cellStyle name="Normal 4 2 3 2 5 3 6" xfId="31451"/>
    <cellStyle name="Normal 4 2 3 2 5 4" xfId="2248"/>
    <cellStyle name="Normal 4 2 3 2 5 4 2" xfId="6044"/>
    <cellStyle name="Normal 4 2 3 2 5 4 2 2" xfId="13567"/>
    <cellStyle name="Normal 4 2 3 2 5 4 2 2 2" xfId="28611"/>
    <cellStyle name="Normal 4 2 3 2 5 4 2 2 3" xfId="43654"/>
    <cellStyle name="Normal 4 2 3 2 5 4 2 3" xfId="21090"/>
    <cellStyle name="Normal 4 2 3 2 5 4 2 4" xfId="36133"/>
    <cellStyle name="Normal 4 2 3 2 5 4 3" xfId="9818"/>
    <cellStyle name="Normal 4 2 3 2 5 4 3 2" xfId="24862"/>
    <cellStyle name="Normal 4 2 3 2 5 4 3 3" xfId="39905"/>
    <cellStyle name="Normal 4 2 3 2 5 4 4" xfId="17341"/>
    <cellStyle name="Normal 4 2 3 2 5 4 5" xfId="32384"/>
    <cellStyle name="Normal 4 2 3 2 5 5" xfId="4176"/>
    <cellStyle name="Normal 4 2 3 2 5 5 2" xfId="11700"/>
    <cellStyle name="Normal 4 2 3 2 5 5 2 2" xfId="26744"/>
    <cellStyle name="Normal 4 2 3 2 5 5 2 3" xfId="41787"/>
    <cellStyle name="Normal 4 2 3 2 5 5 3" xfId="19223"/>
    <cellStyle name="Normal 4 2 3 2 5 5 4" xfId="34266"/>
    <cellStyle name="Normal 4 2 3 2 5 6" xfId="7939"/>
    <cellStyle name="Normal 4 2 3 2 5 6 2" xfId="22983"/>
    <cellStyle name="Normal 4 2 3 2 5 6 3" xfId="38026"/>
    <cellStyle name="Normal 4 2 3 2 5 7" xfId="15462"/>
    <cellStyle name="Normal 4 2 3 2 5 8" xfId="30505"/>
    <cellStyle name="Normal 4 2 3 2 6" xfId="794"/>
    <cellStyle name="Normal 4 2 3 2 6 2" xfId="1753"/>
    <cellStyle name="Normal 4 2 3 2 6 2 2" xfId="3624"/>
    <cellStyle name="Normal 4 2 3 2 6 2 2 2" xfId="7419"/>
    <cellStyle name="Normal 4 2 3 2 6 2 2 2 2" xfId="14942"/>
    <cellStyle name="Normal 4 2 3 2 6 2 2 2 2 2" xfId="29986"/>
    <cellStyle name="Normal 4 2 3 2 6 2 2 2 2 3" xfId="45029"/>
    <cellStyle name="Normal 4 2 3 2 6 2 2 2 3" xfId="22465"/>
    <cellStyle name="Normal 4 2 3 2 6 2 2 2 4" xfId="37508"/>
    <cellStyle name="Normal 4 2 3 2 6 2 2 3" xfId="11193"/>
    <cellStyle name="Normal 4 2 3 2 6 2 2 3 2" xfId="26237"/>
    <cellStyle name="Normal 4 2 3 2 6 2 2 3 3" xfId="41280"/>
    <cellStyle name="Normal 4 2 3 2 6 2 2 4" xfId="18716"/>
    <cellStyle name="Normal 4 2 3 2 6 2 2 5" xfId="33759"/>
    <cellStyle name="Normal 4 2 3 2 6 2 3" xfId="5554"/>
    <cellStyle name="Normal 4 2 3 2 6 2 3 2" xfId="13077"/>
    <cellStyle name="Normal 4 2 3 2 6 2 3 2 2" xfId="28121"/>
    <cellStyle name="Normal 4 2 3 2 6 2 3 2 3" xfId="43164"/>
    <cellStyle name="Normal 4 2 3 2 6 2 3 3" xfId="20600"/>
    <cellStyle name="Normal 4 2 3 2 6 2 3 4" xfId="35643"/>
    <cellStyle name="Normal 4 2 3 2 6 2 4" xfId="9328"/>
    <cellStyle name="Normal 4 2 3 2 6 2 4 2" xfId="24372"/>
    <cellStyle name="Normal 4 2 3 2 6 2 4 3" xfId="39415"/>
    <cellStyle name="Normal 4 2 3 2 6 2 5" xfId="16851"/>
    <cellStyle name="Normal 4 2 3 2 6 2 6" xfId="31894"/>
    <cellStyle name="Normal 4 2 3 2 6 3" xfId="2692"/>
    <cellStyle name="Normal 4 2 3 2 6 3 2" xfId="6487"/>
    <cellStyle name="Normal 4 2 3 2 6 3 2 2" xfId="14010"/>
    <cellStyle name="Normal 4 2 3 2 6 3 2 2 2" xfId="29054"/>
    <cellStyle name="Normal 4 2 3 2 6 3 2 2 3" xfId="44097"/>
    <cellStyle name="Normal 4 2 3 2 6 3 2 3" xfId="21533"/>
    <cellStyle name="Normal 4 2 3 2 6 3 2 4" xfId="36576"/>
    <cellStyle name="Normal 4 2 3 2 6 3 3" xfId="10261"/>
    <cellStyle name="Normal 4 2 3 2 6 3 3 2" xfId="25305"/>
    <cellStyle name="Normal 4 2 3 2 6 3 3 3" xfId="40348"/>
    <cellStyle name="Normal 4 2 3 2 6 3 4" xfId="17784"/>
    <cellStyle name="Normal 4 2 3 2 6 3 5" xfId="32827"/>
    <cellStyle name="Normal 4 2 3 2 6 4" xfId="4622"/>
    <cellStyle name="Normal 4 2 3 2 6 4 2" xfId="12145"/>
    <cellStyle name="Normal 4 2 3 2 6 4 2 2" xfId="27189"/>
    <cellStyle name="Normal 4 2 3 2 6 4 2 3" xfId="42232"/>
    <cellStyle name="Normal 4 2 3 2 6 4 3" xfId="19668"/>
    <cellStyle name="Normal 4 2 3 2 6 4 4" xfId="34711"/>
    <cellStyle name="Normal 4 2 3 2 6 5" xfId="8396"/>
    <cellStyle name="Normal 4 2 3 2 6 5 2" xfId="23440"/>
    <cellStyle name="Normal 4 2 3 2 6 5 3" xfId="38483"/>
    <cellStyle name="Normal 4 2 3 2 6 6" xfId="15919"/>
    <cellStyle name="Normal 4 2 3 2 6 7" xfId="30962"/>
    <cellStyle name="Normal 4 2 3 2 7" xfId="1301"/>
    <cellStyle name="Normal 4 2 3 2 7 2" xfId="3172"/>
    <cellStyle name="Normal 4 2 3 2 7 2 2" xfId="6967"/>
    <cellStyle name="Normal 4 2 3 2 7 2 2 2" xfId="14490"/>
    <cellStyle name="Normal 4 2 3 2 7 2 2 2 2" xfId="29534"/>
    <cellStyle name="Normal 4 2 3 2 7 2 2 2 3" xfId="44577"/>
    <cellStyle name="Normal 4 2 3 2 7 2 2 3" xfId="22013"/>
    <cellStyle name="Normal 4 2 3 2 7 2 2 4" xfId="37056"/>
    <cellStyle name="Normal 4 2 3 2 7 2 3" xfId="10741"/>
    <cellStyle name="Normal 4 2 3 2 7 2 3 2" xfId="25785"/>
    <cellStyle name="Normal 4 2 3 2 7 2 3 3" xfId="40828"/>
    <cellStyle name="Normal 4 2 3 2 7 2 4" xfId="18264"/>
    <cellStyle name="Normal 4 2 3 2 7 2 5" xfId="33307"/>
    <cellStyle name="Normal 4 2 3 2 7 3" xfId="5102"/>
    <cellStyle name="Normal 4 2 3 2 7 3 2" xfId="12625"/>
    <cellStyle name="Normal 4 2 3 2 7 3 2 2" xfId="27669"/>
    <cellStyle name="Normal 4 2 3 2 7 3 2 3" xfId="42712"/>
    <cellStyle name="Normal 4 2 3 2 7 3 3" xfId="20148"/>
    <cellStyle name="Normal 4 2 3 2 7 3 4" xfId="35191"/>
    <cellStyle name="Normal 4 2 3 2 7 4" xfId="8876"/>
    <cellStyle name="Normal 4 2 3 2 7 4 2" xfId="23920"/>
    <cellStyle name="Normal 4 2 3 2 7 4 3" xfId="38963"/>
    <cellStyle name="Normal 4 2 3 2 7 5" xfId="16399"/>
    <cellStyle name="Normal 4 2 3 2 7 6" xfId="31442"/>
    <cellStyle name="Normal 4 2 3 2 8" xfId="2239"/>
    <cellStyle name="Normal 4 2 3 2 8 2" xfId="6035"/>
    <cellStyle name="Normal 4 2 3 2 8 2 2" xfId="13558"/>
    <cellStyle name="Normal 4 2 3 2 8 2 2 2" xfId="28602"/>
    <cellStyle name="Normal 4 2 3 2 8 2 2 3" xfId="43645"/>
    <cellStyle name="Normal 4 2 3 2 8 2 3" xfId="21081"/>
    <cellStyle name="Normal 4 2 3 2 8 2 4" xfId="36124"/>
    <cellStyle name="Normal 4 2 3 2 8 3" xfId="9809"/>
    <cellStyle name="Normal 4 2 3 2 8 3 2" xfId="24853"/>
    <cellStyle name="Normal 4 2 3 2 8 3 3" xfId="39896"/>
    <cellStyle name="Normal 4 2 3 2 8 4" xfId="17332"/>
    <cellStyle name="Normal 4 2 3 2 8 5" xfId="32375"/>
    <cellStyle name="Normal 4 2 3 2 9" xfId="4167"/>
    <cellStyle name="Normal 4 2 3 2 9 2" xfId="11691"/>
    <cellStyle name="Normal 4 2 3 2 9 2 2" xfId="26735"/>
    <cellStyle name="Normal 4 2 3 2 9 2 3" xfId="41778"/>
    <cellStyle name="Normal 4 2 3 2 9 3" xfId="19214"/>
    <cellStyle name="Normal 4 2 3 2 9 4" xfId="34257"/>
    <cellStyle name="Normal 4 2 3 3" xfId="280"/>
    <cellStyle name="Normal 4 2 3 3 10" xfId="15463"/>
    <cellStyle name="Normal 4 2 3 3 11" xfId="30506"/>
    <cellStyle name="Normal 4 2 3 3 2" xfId="281"/>
    <cellStyle name="Normal 4 2 3 3 2 2" xfId="282"/>
    <cellStyle name="Normal 4 2 3 3 2 2 2" xfId="806"/>
    <cellStyle name="Normal 4 2 3 3 2 2 2 2" xfId="1765"/>
    <cellStyle name="Normal 4 2 3 3 2 2 2 2 2" xfId="3636"/>
    <cellStyle name="Normal 4 2 3 3 2 2 2 2 2 2" xfId="7431"/>
    <cellStyle name="Normal 4 2 3 3 2 2 2 2 2 2 2" xfId="14954"/>
    <cellStyle name="Normal 4 2 3 3 2 2 2 2 2 2 2 2" xfId="29998"/>
    <cellStyle name="Normal 4 2 3 3 2 2 2 2 2 2 2 3" xfId="45041"/>
    <cellStyle name="Normal 4 2 3 3 2 2 2 2 2 2 3" xfId="22477"/>
    <cellStyle name="Normal 4 2 3 3 2 2 2 2 2 2 4" xfId="37520"/>
    <cellStyle name="Normal 4 2 3 3 2 2 2 2 2 3" xfId="11205"/>
    <cellStyle name="Normal 4 2 3 3 2 2 2 2 2 3 2" xfId="26249"/>
    <cellStyle name="Normal 4 2 3 3 2 2 2 2 2 3 3" xfId="41292"/>
    <cellStyle name="Normal 4 2 3 3 2 2 2 2 2 4" xfId="18728"/>
    <cellStyle name="Normal 4 2 3 3 2 2 2 2 2 5" xfId="33771"/>
    <cellStyle name="Normal 4 2 3 3 2 2 2 2 3" xfId="5566"/>
    <cellStyle name="Normal 4 2 3 3 2 2 2 2 3 2" xfId="13089"/>
    <cellStyle name="Normal 4 2 3 3 2 2 2 2 3 2 2" xfId="28133"/>
    <cellStyle name="Normal 4 2 3 3 2 2 2 2 3 2 3" xfId="43176"/>
    <cellStyle name="Normal 4 2 3 3 2 2 2 2 3 3" xfId="20612"/>
    <cellStyle name="Normal 4 2 3 3 2 2 2 2 3 4" xfId="35655"/>
    <cellStyle name="Normal 4 2 3 3 2 2 2 2 4" xfId="9340"/>
    <cellStyle name="Normal 4 2 3 3 2 2 2 2 4 2" xfId="24384"/>
    <cellStyle name="Normal 4 2 3 3 2 2 2 2 4 3" xfId="39427"/>
    <cellStyle name="Normal 4 2 3 3 2 2 2 2 5" xfId="16863"/>
    <cellStyle name="Normal 4 2 3 3 2 2 2 2 6" xfId="31906"/>
    <cellStyle name="Normal 4 2 3 3 2 2 2 3" xfId="2704"/>
    <cellStyle name="Normal 4 2 3 3 2 2 2 3 2" xfId="6499"/>
    <cellStyle name="Normal 4 2 3 3 2 2 2 3 2 2" xfId="14022"/>
    <cellStyle name="Normal 4 2 3 3 2 2 2 3 2 2 2" xfId="29066"/>
    <cellStyle name="Normal 4 2 3 3 2 2 2 3 2 2 3" xfId="44109"/>
    <cellStyle name="Normal 4 2 3 3 2 2 2 3 2 3" xfId="21545"/>
    <cellStyle name="Normal 4 2 3 3 2 2 2 3 2 4" xfId="36588"/>
    <cellStyle name="Normal 4 2 3 3 2 2 2 3 3" xfId="10273"/>
    <cellStyle name="Normal 4 2 3 3 2 2 2 3 3 2" xfId="25317"/>
    <cellStyle name="Normal 4 2 3 3 2 2 2 3 3 3" xfId="40360"/>
    <cellStyle name="Normal 4 2 3 3 2 2 2 3 4" xfId="17796"/>
    <cellStyle name="Normal 4 2 3 3 2 2 2 3 5" xfId="32839"/>
    <cellStyle name="Normal 4 2 3 3 2 2 2 4" xfId="4634"/>
    <cellStyle name="Normal 4 2 3 3 2 2 2 4 2" xfId="12157"/>
    <cellStyle name="Normal 4 2 3 3 2 2 2 4 2 2" xfId="27201"/>
    <cellStyle name="Normal 4 2 3 3 2 2 2 4 2 3" xfId="42244"/>
    <cellStyle name="Normal 4 2 3 3 2 2 2 4 3" xfId="19680"/>
    <cellStyle name="Normal 4 2 3 3 2 2 2 4 4" xfId="34723"/>
    <cellStyle name="Normal 4 2 3 3 2 2 2 5" xfId="8408"/>
    <cellStyle name="Normal 4 2 3 3 2 2 2 5 2" xfId="23452"/>
    <cellStyle name="Normal 4 2 3 3 2 2 2 5 3" xfId="38495"/>
    <cellStyle name="Normal 4 2 3 3 2 2 2 6" xfId="15931"/>
    <cellStyle name="Normal 4 2 3 3 2 2 2 7" xfId="30974"/>
    <cellStyle name="Normal 4 2 3 3 2 2 3" xfId="1313"/>
    <cellStyle name="Normal 4 2 3 3 2 2 3 2" xfId="3184"/>
    <cellStyle name="Normal 4 2 3 3 2 2 3 2 2" xfId="6979"/>
    <cellStyle name="Normal 4 2 3 3 2 2 3 2 2 2" xfId="14502"/>
    <cellStyle name="Normal 4 2 3 3 2 2 3 2 2 2 2" xfId="29546"/>
    <cellStyle name="Normal 4 2 3 3 2 2 3 2 2 2 3" xfId="44589"/>
    <cellStyle name="Normal 4 2 3 3 2 2 3 2 2 3" xfId="22025"/>
    <cellStyle name="Normal 4 2 3 3 2 2 3 2 2 4" xfId="37068"/>
    <cellStyle name="Normal 4 2 3 3 2 2 3 2 3" xfId="10753"/>
    <cellStyle name="Normal 4 2 3 3 2 2 3 2 3 2" xfId="25797"/>
    <cellStyle name="Normal 4 2 3 3 2 2 3 2 3 3" xfId="40840"/>
    <cellStyle name="Normal 4 2 3 3 2 2 3 2 4" xfId="18276"/>
    <cellStyle name="Normal 4 2 3 3 2 2 3 2 5" xfId="33319"/>
    <cellStyle name="Normal 4 2 3 3 2 2 3 3" xfId="5114"/>
    <cellStyle name="Normal 4 2 3 3 2 2 3 3 2" xfId="12637"/>
    <cellStyle name="Normal 4 2 3 3 2 2 3 3 2 2" xfId="27681"/>
    <cellStyle name="Normal 4 2 3 3 2 2 3 3 2 3" xfId="42724"/>
    <cellStyle name="Normal 4 2 3 3 2 2 3 3 3" xfId="20160"/>
    <cellStyle name="Normal 4 2 3 3 2 2 3 3 4" xfId="35203"/>
    <cellStyle name="Normal 4 2 3 3 2 2 3 4" xfId="8888"/>
    <cellStyle name="Normal 4 2 3 3 2 2 3 4 2" xfId="23932"/>
    <cellStyle name="Normal 4 2 3 3 2 2 3 4 3" xfId="38975"/>
    <cellStyle name="Normal 4 2 3 3 2 2 3 5" xfId="16411"/>
    <cellStyle name="Normal 4 2 3 3 2 2 3 6" xfId="31454"/>
    <cellStyle name="Normal 4 2 3 3 2 2 4" xfId="2251"/>
    <cellStyle name="Normal 4 2 3 3 2 2 4 2" xfId="6047"/>
    <cellStyle name="Normal 4 2 3 3 2 2 4 2 2" xfId="13570"/>
    <cellStyle name="Normal 4 2 3 3 2 2 4 2 2 2" xfId="28614"/>
    <cellStyle name="Normal 4 2 3 3 2 2 4 2 2 3" xfId="43657"/>
    <cellStyle name="Normal 4 2 3 3 2 2 4 2 3" xfId="21093"/>
    <cellStyle name="Normal 4 2 3 3 2 2 4 2 4" xfId="36136"/>
    <cellStyle name="Normal 4 2 3 3 2 2 4 3" xfId="9821"/>
    <cellStyle name="Normal 4 2 3 3 2 2 4 3 2" xfId="24865"/>
    <cellStyle name="Normal 4 2 3 3 2 2 4 3 3" xfId="39908"/>
    <cellStyle name="Normal 4 2 3 3 2 2 4 4" xfId="17344"/>
    <cellStyle name="Normal 4 2 3 3 2 2 4 5" xfId="32387"/>
    <cellStyle name="Normal 4 2 3 3 2 2 5" xfId="4179"/>
    <cellStyle name="Normal 4 2 3 3 2 2 5 2" xfId="11703"/>
    <cellStyle name="Normal 4 2 3 3 2 2 5 2 2" xfId="26747"/>
    <cellStyle name="Normal 4 2 3 3 2 2 5 2 3" xfId="41790"/>
    <cellStyle name="Normal 4 2 3 3 2 2 5 3" xfId="19226"/>
    <cellStyle name="Normal 4 2 3 3 2 2 5 4" xfId="34269"/>
    <cellStyle name="Normal 4 2 3 3 2 2 6" xfId="7942"/>
    <cellStyle name="Normal 4 2 3 3 2 2 6 2" xfId="22986"/>
    <cellStyle name="Normal 4 2 3 3 2 2 6 3" xfId="38029"/>
    <cellStyle name="Normal 4 2 3 3 2 2 7" xfId="15465"/>
    <cellStyle name="Normal 4 2 3 3 2 2 8" xfId="30508"/>
    <cellStyle name="Normal 4 2 3 3 2 3" xfId="805"/>
    <cellStyle name="Normal 4 2 3 3 2 3 2" xfId="1764"/>
    <cellStyle name="Normal 4 2 3 3 2 3 2 2" xfId="3635"/>
    <cellStyle name="Normal 4 2 3 3 2 3 2 2 2" xfId="7430"/>
    <cellStyle name="Normal 4 2 3 3 2 3 2 2 2 2" xfId="14953"/>
    <cellStyle name="Normal 4 2 3 3 2 3 2 2 2 2 2" xfId="29997"/>
    <cellStyle name="Normal 4 2 3 3 2 3 2 2 2 2 3" xfId="45040"/>
    <cellStyle name="Normal 4 2 3 3 2 3 2 2 2 3" xfId="22476"/>
    <cellStyle name="Normal 4 2 3 3 2 3 2 2 2 4" xfId="37519"/>
    <cellStyle name="Normal 4 2 3 3 2 3 2 2 3" xfId="11204"/>
    <cellStyle name="Normal 4 2 3 3 2 3 2 2 3 2" xfId="26248"/>
    <cellStyle name="Normal 4 2 3 3 2 3 2 2 3 3" xfId="41291"/>
    <cellStyle name="Normal 4 2 3 3 2 3 2 2 4" xfId="18727"/>
    <cellStyle name="Normal 4 2 3 3 2 3 2 2 5" xfId="33770"/>
    <cellStyle name="Normal 4 2 3 3 2 3 2 3" xfId="5565"/>
    <cellStyle name="Normal 4 2 3 3 2 3 2 3 2" xfId="13088"/>
    <cellStyle name="Normal 4 2 3 3 2 3 2 3 2 2" xfId="28132"/>
    <cellStyle name="Normal 4 2 3 3 2 3 2 3 2 3" xfId="43175"/>
    <cellStyle name="Normal 4 2 3 3 2 3 2 3 3" xfId="20611"/>
    <cellStyle name="Normal 4 2 3 3 2 3 2 3 4" xfId="35654"/>
    <cellStyle name="Normal 4 2 3 3 2 3 2 4" xfId="9339"/>
    <cellStyle name="Normal 4 2 3 3 2 3 2 4 2" xfId="24383"/>
    <cellStyle name="Normal 4 2 3 3 2 3 2 4 3" xfId="39426"/>
    <cellStyle name="Normal 4 2 3 3 2 3 2 5" xfId="16862"/>
    <cellStyle name="Normal 4 2 3 3 2 3 2 6" xfId="31905"/>
    <cellStyle name="Normal 4 2 3 3 2 3 3" xfId="2703"/>
    <cellStyle name="Normal 4 2 3 3 2 3 3 2" xfId="6498"/>
    <cellStyle name="Normal 4 2 3 3 2 3 3 2 2" xfId="14021"/>
    <cellStyle name="Normal 4 2 3 3 2 3 3 2 2 2" xfId="29065"/>
    <cellStyle name="Normal 4 2 3 3 2 3 3 2 2 3" xfId="44108"/>
    <cellStyle name="Normal 4 2 3 3 2 3 3 2 3" xfId="21544"/>
    <cellStyle name="Normal 4 2 3 3 2 3 3 2 4" xfId="36587"/>
    <cellStyle name="Normal 4 2 3 3 2 3 3 3" xfId="10272"/>
    <cellStyle name="Normal 4 2 3 3 2 3 3 3 2" xfId="25316"/>
    <cellStyle name="Normal 4 2 3 3 2 3 3 3 3" xfId="40359"/>
    <cellStyle name="Normal 4 2 3 3 2 3 3 4" xfId="17795"/>
    <cellStyle name="Normal 4 2 3 3 2 3 3 5" xfId="32838"/>
    <cellStyle name="Normal 4 2 3 3 2 3 4" xfId="4633"/>
    <cellStyle name="Normal 4 2 3 3 2 3 4 2" xfId="12156"/>
    <cellStyle name="Normal 4 2 3 3 2 3 4 2 2" xfId="27200"/>
    <cellStyle name="Normal 4 2 3 3 2 3 4 2 3" xfId="42243"/>
    <cellStyle name="Normal 4 2 3 3 2 3 4 3" xfId="19679"/>
    <cellStyle name="Normal 4 2 3 3 2 3 4 4" xfId="34722"/>
    <cellStyle name="Normal 4 2 3 3 2 3 5" xfId="8407"/>
    <cellStyle name="Normal 4 2 3 3 2 3 5 2" xfId="23451"/>
    <cellStyle name="Normal 4 2 3 3 2 3 5 3" xfId="38494"/>
    <cellStyle name="Normal 4 2 3 3 2 3 6" xfId="15930"/>
    <cellStyle name="Normal 4 2 3 3 2 3 7" xfId="30973"/>
    <cellStyle name="Normal 4 2 3 3 2 4" xfId="1312"/>
    <cellStyle name="Normal 4 2 3 3 2 4 2" xfId="3183"/>
    <cellStyle name="Normal 4 2 3 3 2 4 2 2" xfId="6978"/>
    <cellStyle name="Normal 4 2 3 3 2 4 2 2 2" xfId="14501"/>
    <cellStyle name="Normal 4 2 3 3 2 4 2 2 2 2" xfId="29545"/>
    <cellStyle name="Normal 4 2 3 3 2 4 2 2 2 3" xfId="44588"/>
    <cellStyle name="Normal 4 2 3 3 2 4 2 2 3" xfId="22024"/>
    <cellStyle name="Normal 4 2 3 3 2 4 2 2 4" xfId="37067"/>
    <cellStyle name="Normal 4 2 3 3 2 4 2 3" xfId="10752"/>
    <cellStyle name="Normal 4 2 3 3 2 4 2 3 2" xfId="25796"/>
    <cellStyle name="Normal 4 2 3 3 2 4 2 3 3" xfId="40839"/>
    <cellStyle name="Normal 4 2 3 3 2 4 2 4" xfId="18275"/>
    <cellStyle name="Normal 4 2 3 3 2 4 2 5" xfId="33318"/>
    <cellStyle name="Normal 4 2 3 3 2 4 3" xfId="5113"/>
    <cellStyle name="Normal 4 2 3 3 2 4 3 2" xfId="12636"/>
    <cellStyle name="Normal 4 2 3 3 2 4 3 2 2" xfId="27680"/>
    <cellStyle name="Normal 4 2 3 3 2 4 3 2 3" xfId="42723"/>
    <cellStyle name="Normal 4 2 3 3 2 4 3 3" xfId="20159"/>
    <cellStyle name="Normal 4 2 3 3 2 4 3 4" xfId="35202"/>
    <cellStyle name="Normal 4 2 3 3 2 4 4" xfId="8887"/>
    <cellStyle name="Normal 4 2 3 3 2 4 4 2" xfId="23931"/>
    <cellStyle name="Normal 4 2 3 3 2 4 4 3" xfId="38974"/>
    <cellStyle name="Normal 4 2 3 3 2 4 5" xfId="16410"/>
    <cellStyle name="Normal 4 2 3 3 2 4 6" xfId="31453"/>
    <cellStyle name="Normal 4 2 3 3 2 5" xfId="2250"/>
    <cellStyle name="Normal 4 2 3 3 2 5 2" xfId="6046"/>
    <cellStyle name="Normal 4 2 3 3 2 5 2 2" xfId="13569"/>
    <cellStyle name="Normal 4 2 3 3 2 5 2 2 2" xfId="28613"/>
    <cellStyle name="Normal 4 2 3 3 2 5 2 2 3" xfId="43656"/>
    <cellStyle name="Normal 4 2 3 3 2 5 2 3" xfId="21092"/>
    <cellStyle name="Normal 4 2 3 3 2 5 2 4" xfId="36135"/>
    <cellStyle name="Normal 4 2 3 3 2 5 3" xfId="9820"/>
    <cellStyle name="Normal 4 2 3 3 2 5 3 2" xfId="24864"/>
    <cellStyle name="Normal 4 2 3 3 2 5 3 3" xfId="39907"/>
    <cellStyle name="Normal 4 2 3 3 2 5 4" xfId="17343"/>
    <cellStyle name="Normal 4 2 3 3 2 5 5" xfId="32386"/>
    <cellStyle name="Normal 4 2 3 3 2 6" xfId="4178"/>
    <cellStyle name="Normal 4 2 3 3 2 6 2" xfId="11702"/>
    <cellStyle name="Normal 4 2 3 3 2 6 2 2" xfId="26746"/>
    <cellStyle name="Normal 4 2 3 3 2 6 2 3" xfId="41789"/>
    <cellStyle name="Normal 4 2 3 3 2 6 3" xfId="19225"/>
    <cellStyle name="Normal 4 2 3 3 2 6 4" xfId="34268"/>
    <cellStyle name="Normal 4 2 3 3 2 7" xfId="7941"/>
    <cellStyle name="Normal 4 2 3 3 2 7 2" xfId="22985"/>
    <cellStyle name="Normal 4 2 3 3 2 7 3" xfId="38028"/>
    <cellStyle name="Normal 4 2 3 3 2 8" xfId="15464"/>
    <cellStyle name="Normal 4 2 3 3 2 9" xfId="30507"/>
    <cellStyle name="Normal 4 2 3 3 3" xfId="283"/>
    <cellStyle name="Normal 4 2 3 3 3 2" xfId="284"/>
    <cellStyle name="Normal 4 2 3 3 3 2 2" xfId="808"/>
    <cellStyle name="Normal 4 2 3 3 3 2 2 2" xfId="1767"/>
    <cellStyle name="Normal 4 2 3 3 3 2 2 2 2" xfId="3638"/>
    <cellStyle name="Normal 4 2 3 3 3 2 2 2 2 2" xfId="7433"/>
    <cellStyle name="Normal 4 2 3 3 3 2 2 2 2 2 2" xfId="14956"/>
    <cellStyle name="Normal 4 2 3 3 3 2 2 2 2 2 2 2" xfId="30000"/>
    <cellStyle name="Normal 4 2 3 3 3 2 2 2 2 2 2 3" xfId="45043"/>
    <cellStyle name="Normal 4 2 3 3 3 2 2 2 2 2 3" xfId="22479"/>
    <cellStyle name="Normal 4 2 3 3 3 2 2 2 2 2 4" xfId="37522"/>
    <cellStyle name="Normal 4 2 3 3 3 2 2 2 2 3" xfId="11207"/>
    <cellStyle name="Normal 4 2 3 3 3 2 2 2 2 3 2" xfId="26251"/>
    <cellStyle name="Normal 4 2 3 3 3 2 2 2 2 3 3" xfId="41294"/>
    <cellStyle name="Normal 4 2 3 3 3 2 2 2 2 4" xfId="18730"/>
    <cellStyle name="Normal 4 2 3 3 3 2 2 2 2 5" xfId="33773"/>
    <cellStyle name="Normal 4 2 3 3 3 2 2 2 3" xfId="5568"/>
    <cellStyle name="Normal 4 2 3 3 3 2 2 2 3 2" xfId="13091"/>
    <cellStyle name="Normal 4 2 3 3 3 2 2 2 3 2 2" xfId="28135"/>
    <cellStyle name="Normal 4 2 3 3 3 2 2 2 3 2 3" xfId="43178"/>
    <cellStyle name="Normal 4 2 3 3 3 2 2 2 3 3" xfId="20614"/>
    <cellStyle name="Normal 4 2 3 3 3 2 2 2 3 4" xfId="35657"/>
    <cellStyle name="Normal 4 2 3 3 3 2 2 2 4" xfId="9342"/>
    <cellStyle name="Normal 4 2 3 3 3 2 2 2 4 2" xfId="24386"/>
    <cellStyle name="Normal 4 2 3 3 3 2 2 2 4 3" xfId="39429"/>
    <cellStyle name="Normal 4 2 3 3 3 2 2 2 5" xfId="16865"/>
    <cellStyle name="Normal 4 2 3 3 3 2 2 2 6" xfId="31908"/>
    <cellStyle name="Normal 4 2 3 3 3 2 2 3" xfId="2706"/>
    <cellStyle name="Normal 4 2 3 3 3 2 2 3 2" xfId="6501"/>
    <cellStyle name="Normal 4 2 3 3 3 2 2 3 2 2" xfId="14024"/>
    <cellStyle name="Normal 4 2 3 3 3 2 2 3 2 2 2" xfId="29068"/>
    <cellStyle name="Normal 4 2 3 3 3 2 2 3 2 2 3" xfId="44111"/>
    <cellStyle name="Normal 4 2 3 3 3 2 2 3 2 3" xfId="21547"/>
    <cellStyle name="Normal 4 2 3 3 3 2 2 3 2 4" xfId="36590"/>
    <cellStyle name="Normal 4 2 3 3 3 2 2 3 3" xfId="10275"/>
    <cellStyle name="Normal 4 2 3 3 3 2 2 3 3 2" xfId="25319"/>
    <cellStyle name="Normal 4 2 3 3 3 2 2 3 3 3" xfId="40362"/>
    <cellStyle name="Normal 4 2 3 3 3 2 2 3 4" xfId="17798"/>
    <cellStyle name="Normal 4 2 3 3 3 2 2 3 5" xfId="32841"/>
    <cellStyle name="Normal 4 2 3 3 3 2 2 4" xfId="4636"/>
    <cellStyle name="Normal 4 2 3 3 3 2 2 4 2" xfId="12159"/>
    <cellStyle name="Normal 4 2 3 3 3 2 2 4 2 2" xfId="27203"/>
    <cellStyle name="Normal 4 2 3 3 3 2 2 4 2 3" xfId="42246"/>
    <cellStyle name="Normal 4 2 3 3 3 2 2 4 3" xfId="19682"/>
    <cellStyle name="Normal 4 2 3 3 3 2 2 4 4" xfId="34725"/>
    <cellStyle name="Normal 4 2 3 3 3 2 2 5" xfId="8410"/>
    <cellStyle name="Normal 4 2 3 3 3 2 2 5 2" xfId="23454"/>
    <cellStyle name="Normal 4 2 3 3 3 2 2 5 3" xfId="38497"/>
    <cellStyle name="Normal 4 2 3 3 3 2 2 6" xfId="15933"/>
    <cellStyle name="Normal 4 2 3 3 3 2 2 7" xfId="30976"/>
    <cellStyle name="Normal 4 2 3 3 3 2 3" xfId="1315"/>
    <cellStyle name="Normal 4 2 3 3 3 2 3 2" xfId="3186"/>
    <cellStyle name="Normal 4 2 3 3 3 2 3 2 2" xfId="6981"/>
    <cellStyle name="Normal 4 2 3 3 3 2 3 2 2 2" xfId="14504"/>
    <cellStyle name="Normal 4 2 3 3 3 2 3 2 2 2 2" xfId="29548"/>
    <cellStyle name="Normal 4 2 3 3 3 2 3 2 2 2 3" xfId="44591"/>
    <cellStyle name="Normal 4 2 3 3 3 2 3 2 2 3" xfId="22027"/>
    <cellStyle name="Normal 4 2 3 3 3 2 3 2 2 4" xfId="37070"/>
    <cellStyle name="Normal 4 2 3 3 3 2 3 2 3" xfId="10755"/>
    <cellStyle name="Normal 4 2 3 3 3 2 3 2 3 2" xfId="25799"/>
    <cellStyle name="Normal 4 2 3 3 3 2 3 2 3 3" xfId="40842"/>
    <cellStyle name="Normal 4 2 3 3 3 2 3 2 4" xfId="18278"/>
    <cellStyle name="Normal 4 2 3 3 3 2 3 2 5" xfId="33321"/>
    <cellStyle name="Normal 4 2 3 3 3 2 3 3" xfId="5116"/>
    <cellStyle name="Normal 4 2 3 3 3 2 3 3 2" xfId="12639"/>
    <cellStyle name="Normal 4 2 3 3 3 2 3 3 2 2" xfId="27683"/>
    <cellStyle name="Normal 4 2 3 3 3 2 3 3 2 3" xfId="42726"/>
    <cellStyle name="Normal 4 2 3 3 3 2 3 3 3" xfId="20162"/>
    <cellStyle name="Normal 4 2 3 3 3 2 3 3 4" xfId="35205"/>
    <cellStyle name="Normal 4 2 3 3 3 2 3 4" xfId="8890"/>
    <cellStyle name="Normal 4 2 3 3 3 2 3 4 2" xfId="23934"/>
    <cellStyle name="Normal 4 2 3 3 3 2 3 4 3" xfId="38977"/>
    <cellStyle name="Normal 4 2 3 3 3 2 3 5" xfId="16413"/>
    <cellStyle name="Normal 4 2 3 3 3 2 3 6" xfId="31456"/>
    <cellStyle name="Normal 4 2 3 3 3 2 4" xfId="2253"/>
    <cellStyle name="Normal 4 2 3 3 3 2 4 2" xfId="6049"/>
    <cellStyle name="Normal 4 2 3 3 3 2 4 2 2" xfId="13572"/>
    <cellStyle name="Normal 4 2 3 3 3 2 4 2 2 2" xfId="28616"/>
    <cellStyle name="Normal 4 2 3 3 3 2 4 2 2 3" xfId="43659"/>
    <cellStyle name="Normal 4 2 3 3 3 2 4 2 3" xfId="21095"/>
    <cellStyle name="Normal 4 2 3 3 3 2 4 2 4" xfId="36138"/>
    <cellStyle name="Normal 4 2 3 3 3 2 4 3" xfId="9823"/>
    <cellStyle name="Normal 4 2 3 3 3 2 4 3 2" xfId="24867"/>
    <cellStyle name="Normal 4 2 3 3 3 2 4 3 3" xfId="39910"/>
    <cellStyle name="Normal 4 2 3 3 3 2 4 4" xfId="17346"/>
    <cellStyle name="Normal 4 2 3 3 3 2 4 5" xfId="32389"/>
    <cellStyle name="Normal 4 2 3 3 3 2 5" xfId="4181"/>
    <cellStyle name="Normal 4 2 3 3 3 2 5 2" xfId="11705"/>
    <cellStyle name="Normal 4 2 3 3 3 2 5 2 2" xfId="26749"/>
    <cellStyle name="Normal 4 2 3 3 3 2 5 2 3" xfId="41792"/>
    <cellStyle name="Normal 4 2 3 3 3 2 5 3" xfId="19228"/>
    <cellStyle name="Normal 4 2 3 3 3 2 5 4" xfId="34271"/>
    <cellStyle name="Normal 4 2 3 3 3 2 6" xfId="7944"/>
    <cellStyle name="Normal 4 2 3 3 3 2 6 2" xfId="22988"/>
    <cellStyle name="Normal 4 2 3 3 3 2 6 3" xfId="38031"/>
    <cellStyle name="Normal 4 2 3 3 3 2 7" xfId="15467"/>
    <cellStyle name="Normal 4 2 3 3 3 2 8" xfId="30510"/>
    <cellStyle name="Normal 4 2 3 3 3 3" xfId="807"/>
    <cellStyle name="Normal 4 2 3 3 3 3 2" xfId="1766"/>
    <cellStyle name="Normal 4 2 3 3 3 3 2 2" xfId="3637"/>
    <cellStyle name="Normal 4 2 3 3 3 3 2 2 2" xfId="7432"/>
    <cellStyle name="Normal 4 2 3 3 3 3 2 2 2 2" xfId="14955"/>
    <cellStyle name="Normal 4 2 3 3 3 3 2 2 2 2 2" xfId="29999"/>
    <cellStyle name="Normal 4 2 3 3 3 3 2 2 2 2 3" xfId="45042"/>
    <cellStyle name="Normal 4 2 3 3 3 3 2 2 2 3" xfId="22478"/>
    <cellStyle name="Normal 4 2 3 3 3 3 2 2 2 4" xfId="37521"/>
    <cellStyle name="Normal 4 2 3 3 3 3 2 2 3" xfId="11206"/>
    <cellStyle name="Normal 4 2 3 3 3 3 2 2 3 2" xfId="26250"/>
    <cellStyle name="Normal 4 2 3 3 3 3 2 2 3 3" xfId="41293"/>
    <cellStyle name="Normal 4 2 3 3 3 3 2 2 4" xfId="18729"/>
    <cellStyle name="Normal 4 2 3 3 3 3 2 2 5" xfId="33772"/>
    <cellStyle name="Normal 4 2 3 3 3 3 2 3" xfId="5567"/>
    <cellStyle name="Normal 4 2 3 3 3 3 2 3 2" xfId="13090"/>
    <cellStyle name="Normal 4 2 3 3 3 3 2 3 2 2" xfId="28134"/>
    <cellStyle name="Normal 4 2 3 3 3 3 2 3 2 3" xfId="43177"/>
    <cellStyle name="Normal 4 2 3 3 3 3 2 3 3" xfId="20613"/>
    <cellStyle name="Normal 4 2 3 3 3 3 2 3 4" xfId="35656"/>
    <cellStyle name="Normal 4 2 3 3 3 3 2 4" xfId="9341"/>
    <cellStyle name="Normal 4 2 3 3 3 3 2 4 2" xfId="24385"/>
    <cellStyle name="Normal 4 2 3 3 3 3 2 4 3" xfId="39428"/>
    <cellStyle name="Normal 4 2 3 3 3 3 2 5" xfId="16864"/>
    <cellStyle name="Normal 4 2 3 3 3 3 2 6" xfId="31907"/>
    <cellStyle name="Normal 4 2 3 3 3 3 3" xfId="2705"/>
    <cellStyle name="Normal 4 2 3 3 3 3 3 2" xfId="6500"/>
    <cellStyle name="Normal 4 2 3 3 3 3 3 2 2" xfId="14023"/>
    <cellStyle name="Normal 4 2 3 3 3 3 3 2 2 2" xfId="29067"/>
    <cellStyle name="Normal 4 2 3 3 3 3 3 2 2 3" xfId="44110"/>
    <cellStyle name="Normal 4 2 3 3 3 3 3 2 3" xfId="21546"/>
    <cellStyle name="Normal 4 2 3 3 3 3 3 2 4" xfId="36589"/>
    <cellStyle name="Normal 4 2 3 3 3 3 3 3" xfId="10274"/>
    <cellStyle name="Normal 4 2 3 3 3 3 3 3 2" xfId="25318"/>
    <cellStyle name="Normal 4 2 3 3 3 3 3 3 3" xfId="40361"/>
    <cellStyle name="Normal 4 2 3 3 3 3 3 4" xfId="17797"/>
    <cellStyle name="Normal 4 2 3 3 3 3 3 5" xfId="32840"/>
    <cellStyle name="Normal 4 2 3 3 3 3 4" xfId="4635"/>
    <cellStyle name="Normal 4 2 3 3 3 3 4 2" xfId="12158"/>
    <cellStyle name="Normal 4 2 3 3 3 3 4 2 2" xfId="27202"/>
    <cellStyle name="Normal 4 2 3 3 3 3 4 2 3" xfId="42245"/>
    <cellStyle name="Normal 4 2 3 3 3 3 4 3" xfId="19681"/>
    <cellStyle name="Normal 4 2 3 3 3 3 4 4" xfId="34724"/>
    <cellStyle name="Normal 4 2 3 3 3 3 5" xfId="8409"/>
    <cellStyle name="Normal 4 2 3 3 3 3 5 2" xfId="23453"/>
    <cellStyle name="Normal 4 2 3 3 3 3 5 3" xfId="38496"/>
    <cellStyle name="Normal 4 2 3 3 3 3 6" xfId="15932"/>
    <cellStyle name="Normal 4 2 3 3 3 3 7" xfId="30975"/>
    <cellStyle name="Normal 4 2 3 3 3 4" xfId="1314"/>
    <cellStyle name="Normal 4 2 3 3 3 4 2" xfId="3185"/>
    <cellStyle name="Normal 4 2 3 3 3 4 2 2" xfId="6980"/>
    <cellStyle name="Normal 4 2 3 3 3 4 2 2 2" xfId="14503"/>
    <cellStyle name="Normal 4 2 3 3 3 4 2 2 2 2" xfId="29547"/>
    <cellStyle name="Normal 4 2 3 3 3 4 2 2 2 3" xfId="44590"/>
    <cellStyle name="Normal 4 2 3 3 3 4 2 2 3" xfId="22026"/>
    <cellStyle name="Normal 4 2 3 3 3 4 2 2 4" xfId="37069"/>
    <cellStyle name="Normal 4 2 3 3 3 4 2 3" xfId="10754"/>
    <cellStyle name="Normal 4 2 3 3 3 4 2 3 2" xfId="25798"/>
    <cellStyle name="Normal 4 2 3 3 3 4 2 3 3" xfId="40841"/>
    <cellStyle name="Normal 4 2 3 3 3 4 2 4" xfId="18277"/>
    <cellStyle name="Normal 4 2 3 3 3 4 2 5" xfId="33320"/>
    <cellStyle name="Normal 4 2 3 3 3 4 3" xfId="5115"/>
    <cellStyle name="Normal 4 2 3 3 3 4 3 2" xfId="12638"/>
    <cellStyle name="Normal 4 2 3 3 3 4 3 2 2" xfId="27682"/>
    <cellStyle name="Normal 4 2 3 3 3 4 3 2 3" xfId="42725"/>
    <cellStyle name="Normal 4 2 3 3 3 4 3 3" xfId="20161"/>
    <cellStyle name="Normal 4 2 3 3 3 4 3 4" xfId="35204"/>
    <cellStyle name="Normal 4 2 3 3 3 4 4" xfId="8889"/>
    <cellStyle name="Normal 4 2 3 3 3 4 4 2" xfId="23933"/>
    <cellStyle name="Normal 4 2 3 3 3 4 4 3" xfId="38976"/>
    <cellStyle name="Normal 4 2 3 3 3 4 5" xfId="16412"/>
    <cellStyle name="Normal 4 2 3 3 3 4 6" xfId="31455"/>
    <cellStyle name="Normal 4 2 3 3 3 5" xfId="2252"/>
    <cellStyle name="Normal 4 2 3 3 3 5 2" xfId="6048"/>
    <cellStyle name="Normal 4 2 3 3 3 5 2 2" xfId="13571"/>
    <cellStyle name="Normal 4 2 3 3 3 5 2 2 2" xfId="28615"/>
    <cellStyle name="Normal 4 2 3 3 3 5 2 2 3" xfId="43658"/>
    <cellStyle name="Normal 4 2 3 3 3 5 2 3" xfId="21094"/>
    <cellStyle name="Normal 4 2 3 3 3 5 2 4" xfId="36137"/>
    <cellStyle name="Normal 4 2 3 3 3 5 3" xfId="9822"/>
    <cellStyle name="Normal 4 2 3 3 3 5 3 2" xfId="24866"/>
    <cellStyle name="Normal 4 2 3 3 3 5 3 3" xfId="39909"/>
    <cellStyle name="Normal 4 2 3 3 3 5 4" xfId="17345"/>
    <cellStyle name="Normal 4 2 3 3 3 5 5" xfId="32388"/>
    <cellStyle name="Normal 4 2 3 3 3 6" xfId="4180"/>
    <cellStyle name="Normal 4 2 3 3 3 6 2" xfId="11704"/>
    <cellStyle name="Normal 4 2 3 3 3 6 2 2" xfId="26748"/>
    <cellStyle name="Normal 4 2 3 3 3 6 2 3" xfId="41791"/>
    <cellStyle name="Normal 4 2 3 3 3 6 3" xfId="19227"/>
    <cellStyle name="Normal 4 2 3 3 3 6 4" xfId="34270"/>
    <cellStyle name="Normal 4 2 3 3 3 7" xfId="7943"/>
    <cellStyle name="Normal 4 2 3 3 3 7 2" xfId="22987"/>
    <cellStyle name="Normal 4 2 3 3 3 7 3" xfId="38030"/>
    <cellStyle name="Normal 4 2 3 3 3 8" xfId="15466"/>
    <cellStyle name="Normal 4 2 3 3 3 9" xfId="30509"/>
    <cellStyle name="Normal 4 2 3 3 4" xfId="285"/>
    <cellStyle name="Normal 4 2 3 3 4 2" xfId="809"/>
    <cellStyle name="Normal 4 2 3 3 4 2 2" xfId="1768"/>
    <cellStyle name="Normal 4 2 3 3 4 2 2 2" xfId="3639"/>
    <cellStyle name="Normal 4 2 3 3 4 2 2 2 2" xfId="7434"/>
    <cellStyle name="Normal 4 2 3 3 4 2 2 2 2 2" xfId="14957"/>
    <cellStyle name="Normal 4 2 3 3 4 2 2 2 2 2 2" xfId="30001"/>
    <cellStyle name="Normal 4 2 3 3 4 2 2 2 2 2 3" xfId="45044"/>
    <cellStyle name="Normal 4 2 3 3 4 2 2 2 2 3" xfId="22480"/>
    <cellStyle name="Normal 4 2 3 3 4 2 2 2 2 4" xfId="37523"/>
    <cellStyle name="Normal 4 2 3 3 4 2 2 2 3" xfId="11208"/>
    <cellStyle name="Normal 4 2 3 3 4 2 2 2 3 2" xfId="26252"/>
    <cellStyle name="Normal 4 2 3 3 4 2 2 2 3 3" xfId="41295"/>
    <cellStyle name="Normal 4 2 3 3 4 2 2 2 4" xfId="18731"/>
    <cellStyle name="Normal 4 2 3 3 4 2 2 2 5" xfId="33774"/>
    <cellStyle name="Normal 4 2 3 3 4 2 2 3" xfId="5569"/>
    <cellStyle name="Normal 4 2 3 3 4 2 2 3 2" xfId="13092"/>
    <cellStyle name="Normal 4 2 3 3 4 2 2 3 2 2" xfId="28136"/>
    <cellStyle name="Normal 4 2 3 3 4 2 2 3 2 3" xfId="43179"/>
    <cellStyle name="Normal 4 2 3 3 4 2 2 3 3" xfId="20615"/>
    <cellStyle name="Normal 4 2 3 3 4 2 2 3 4" xfId="35658"/>
    <cellStyle name="Normal 4 2 3 3 4 2 2 4" xfId="9343"/>
    <cellStyle name="Normal 4 2 3 3 4 2 2 4 2" xfId="24387"/>
    <cellStyle name="Normal 4 2 3 3 4 2 2 4 3" xfId="39430"/>
    <cellStyle name="Normal 4 2 3 3 4 2 2 5" xfId="16866"/>
    <cellStyle name="Normal 4 2 3 3 4 2 2 6" xfId="31909"/>
    <cellStyle name="Normal 4 2 3 3 4 2 3" xfId="2707"/>
    <cellStyle name="Normal 4 2 3 3 4 2 3 2" xfId="6502"/>
    <cellStyle name="Normal 4 2 3 3 4 2 3 2 2" xfId="14025"/>
    <cellStyle name="Normal 4 2 3 3 4 2 3 2 2 2" xfId="29069"/>
    <cellStyle name="Normal 4 2 3 3 4 2 3 2 2 3" xfId="44112"/>
    <cellStyle name="Normal 4 2 3 3 4 2 3 2 3" xfId="21548"/>
    <cellStyle name="Normal 4 2 3 3 4 2 3 2 4" xfId="36591"/>
    <cellStyle name="Normal 4 2 3 3 4 2 3 3" xfId="10276"/>
    <cellStyle name="Normal 4 2 3 3 4 2 3 3 2" xfId="25320"/>
    <cellStyle name="Normal 4 2 3 3 4 2 3 3 3" xfId="40363"/>
    <cellStyle name="Normal 4 2 3 3 4 2 3 4" xfId="17799"/>
    <cellStyle name="Normal 4 2 3 3 4 2 3 5" xfId="32842"/>
    <cellStyle name="Normal 4 2 3 3 4 2 4" xfId="4637"/>
    <cellStyle name="Normal 4 2 3 3 4 2 4 2" xfId="12160"/>
    <cellStyle name="Normal 4 2 3 3 4 2 4 2 2" xfId="27204"/>
    <cellStyle name="Normal 4 2 3 3 4 2 4 2 3" xfId="42247"/>
    <cellStyle name="Normal 4 2 3 3 4 2 4 3" xfId="19683"/>
    <cellStyle name="Normal 4 2 3 3 4 2 4 4" xfId="34726"/>
    <cellStyle name="Normal 4 2 3 3 4 2 5" xfId="8411"/>
    <cellStyle name="Normal 4 2 3 3 4 2 5 2" xfId="23455"/>
    <cellStyle name="Normal 4 2 3 3 4 2 5 3" xfId="38498"/>
    <cellStyle name="Normal 4 2 3 3 4 2 6" xfId="15934"/>
    <cellStyle name="Normal 4 2 3 3 4 2 7" xfId="30977"/>
    <cellStyle name="Normal 4 2 3 3 4 3" xfId="1316"/>
    <cellStyle name="Normal 4 2 3 3 4 3 2" xfId="3187"/>
    <cellStyle name="Normal 4 2 3 3 4 3 2 2" xfId="6982"/>
    <cellStyle name="Normal 4 2 3 3 4 3 2 2 2" xfId="14505"/>
    <cellStyle name="Normal 4 2 3 3 4 3 2 2 2 2" xfId="29549"/>
    <cellStyle name="Normal 4 2 3 3 4 3 2 2 2 3" xfId="44592"/>
    <cellStyle name="Normal 4 2 3 3 4 3 2 2 3" xfId="22028"/>
    <cellStyle name="Normal 4 2 3 3 4 3 2 2 4" xfId="37071"/>
    <cellStyle name="Normal 4 2 3 3 4 3 2 3" xfId="10756"/>
    <cellStyle name="Normal 4 2 3 3 4 3 2 3 2" xfId="25800"/>
    <cellStyle name="Normal 4 2 3 3 4 3 2 3 3" xfId="40843"/>
    <cellStyle name="Normal 4 2 3 3 4 3 2 4" xfId="18279"/>
    <cellStyle name="Normal 4 2 3 3 4 3 2 5" xfId="33322"/>
    <cellStyle name="Normal 4 2 3 3 4 3 3" xfId="5117"/>
    <cellStyle name="Normal 4 2 3 3 4 3 3 2" xfId="12640"/>
    <cellStyle name="Normal 4 2 3 3 4 3 3 2 2" xfId="27684"/>
    <cellStyle name="Normal 4 2 3 3 4 3 3 2 3" xfId="42727"/>
    <cellStyle name="Normal 4 2 3 3 4 3 3 3" xfId="20163"/>
    <cellStyle name="Normal 4 2 3 3 4 3 3 4" xfId="35206"/>
    <cellStyle name="Normal 4 2 3 3 4 3 4" xfId="8891"/>
    <cellStyle name="Normal 4 2 3 3 4 3 4 2" xfId="23935"/>
    <cellStyle name="Normal 4 2 3 3 4 3 4 3" xfId="38978"/>
    <cellStyle name="Normal 4 2 3 3 4 3 5" xfId="16414"/>
    <cellStyle name="Normal 4 2 3 3 4 3 6" xfId="31457"/>
    <cellStyle name="Normal 4 2 3 3 4 4" xfId="2254"/>
    <cellStyle name="Normal 4 2 3 3 4 4 2" xfId="6050"/>
    <cellStyle name="Normal 4 2 3 3 4 4 2 2" xfId="13573"/>
    <cellStyle name="Normal 4 2 3 3 4 4 2 2 2" xfId="28617"/>
    <cellStyle name="Normal 4 2 3 3 4 4 2 2 3" xfId="43660"/>
    <cellStyle name="Normal 4 2 3 3 4 4 2 3" xfId="21096"/>
    <cellStyle name="Normal 4 2 3 3 4 4 2 4" xfId="36139"/>
    <cellStyle name="Normal 4 2 3 3 4 4 3" xfId="9824"/>
    <cellStyle name="Normal 4 2 3 3 4 4 3 2" xfId="24868"/>
    <cellStyle name="Normal 4 2 3 3 4 4 3 3" xfId="39911"/>
    <cellStyle name="Normal 4 2 3 3 4 4 4" xfId="17347"/>
    <cellStyle name="Normal 4 2 3 3 4 4 5" xfId="32390"/>
    <cellStyle name="Normal 4 2 3 3 4 5" xfId="4182"/>
    <cellStyle name="Normal 4 2 3 3 4 5 2" xfId="11706"/>
    <cellStyle name="Normal 4 2 3 3 4 5 2 2" xfId="26750"/>
    <cellStyle name="Normal 4 2 3 3 4 5 2 3" xfId="41793"/>
    <cellStyle name="Normal 4 2 3 3 4 5 3" xfId="19229"/>
    <cellStyle name="Normal 4 2 3 3 4 5 4" xfId="34272"/>
    <cellStyle name="Normal 4 2 3 3 4 6" xfId="7945"/>
    <cellStyle name="Normal 4 2 3 3 4 6 2" xfId="22989"/>
    <cellStyle name="Normal 4 2 3 3 4 6 3" xfId="38032"/>
    <cellStyle name="Normal 4 2 3 3 4 7" xfId="15468"/>
    <cellStyle name="Normal 4 2 3 3 4 8" xfId="30511"/>
    <cellStyle name="Normal 4 2 3 3 5" xfId="804"/>
    <cellStyle name="Normal 4 2 3 3 5 2" xfId="1763"/>
    <cellStyle name="Normal 4 2 3 3 5 2 2" xfId="3634"/>
    <cellStyle name="Normal 4 2 3 3 5 2 2 2" xfId="7429"/>
    <cellStyle name="Normal 4 2 3 3 5 2 2 2 2" xfId="14952"/>
    <cellStyle name="Normal 4 2 3 3 5 2 2 2 2 2" xfId="29996"/>
    <cellStyle name="Normal 4 2 3 3 5 2 2 2 2 3" xfId="45039"/>
    <cellStyle name="Normal 4 2 3 3 5 2 2 2 3" xfId="22475"/>
    <cellStyle name="Normal 4 2 3 3 5 2 2 2 4" xfId="37518"/>
    <cellStyle name="Normal 4 2 3 3 5 2 2 3" xfId="11203"/>
    <cellStyle name="Normal 4 2 3 3 5 2 2 3 2" xfId="26247"/>
    <cellStyle name="Normal 4 2 3 3 5 2 2 3 3" xfId="41290"/>
    <cellStyle name="Normal 4 2 3 3 5 2 2 4" xfId="18726"/>
    <cellStyle name="Normal 4 2 3 3 5 2 2 5" xfId="33769"/>
    <cellStyle name="Normal 4 2 3 3 5 2 3" xfId="5564"/>
    <cellStyle name="Normal 4 2 3 3 5 2 3 2" xfId="13087"/>
    <cellStyle name="Normal 4 2 3 3 5 2 3 2 2" xfId="28131"/>
    <cellStyle name="Normal 4 2 3 3 5 2 3 2 3" xfId="43174"/>
    <cellStyle name="Normal 4 2 3 3 5 2 3 3" xfId="20610"/>
    <cellStyle name="Normal 4 2 3 3 5 2 3 4" xfId="35653"/>
    <cellStyle name="Normal 4 2 3 3 5 2 4" xfId="9338"/>
    <cellStyle name="Normal 4 2 3 3 5 2 4 2" xfId="24382"/>
    <cellStyle name="Normal 4 2 3 3 5 2 4 3" xfId="39425"/>
    <cellStyle name="Normal 4 2 3 3 5 2 5" xfId="16861"/>
    <cellStyle name="Normal 4 2 3 3 5 2 6" xfId="31904"/>
    <cellStyle name="Normal 4 2 3 3 5 3" xfId="2702"/>
    <cellStyle name="Normal 4 2 3 3 5 3 2" xfId="6497"/>
    <cellStyle name="Normal 4 2 3 3 5 3 2 2" xfId="14020"/>
    <cellStyle name="Normal 4 2 3 3 5 3 2 2 2" xfId="29064"/>
    <cellStyle name="Normal 4 2 3 3 5 3 2 2 3" xfId="44107"/>
    <cellStyle name="Normal 4 2 3 3 5 3 2 3" xfId="21543"/>
    <cellStyle name="Normal 4 2 3 3 5 3 2 4" xfId="36586"/>
    <cellStyle name="Normal 4 2 3 3 5 3 3" xfId="10271"/>
    <cellStyle name="Normal 4 2 3 3 5 3 3 2" xfId="25315"/>
    <cellStyle name="Normal 4 2 3 3 5 3 3 3" xfId="40358"/>
    <cellStyle name="Normal 4 2 3 3 5 3 4" xfId="17794"/>
    <cellStyle name="Normal 4 2 3 3 5 3 5" xfId="32837"/>
    <cellStyle name="Normal 4 2 3 3 5 4" xfId="4632"/>
    <cellStyle name="Normal 4 2 3 3 5 4 2" xfId="12155"/>
    <cellStyle name="Normal 4 2 3 3 5 4 2 2" xfId="27199"/>
    <cellStyle name="Normal 4 2 3 3 5 4 2 3" xfId="42242"/>
    <cellStyle name="Normal 4 2 3 3 5 4 3" xfId="19678"/>
    <cellStyle name="Normal 4 2 3 3 5 4 4" xfId="34721"/>
    <cellStyle name="Normal 4 2 3 3 5 5" xfId="8406"/>
    <cellStyle name="Normal 4 2 3 3 5 5 2" xfId="23450"/>
    <cellStyle name="Normal 4 2 3 3 5 5 3" xfId="38493"/>
    <cellStyle name="Normal 4 2 3 3 5 6" xfId="15929"/>
    <cellStyle name="Normal 4 2 3 3 5 7" xfId="30972"/>
    <cellStyle name="Normal 4 2 3 3 6" xfId="1311"/>
    <cellStyle name="Normal 4 2 3 3 6 2" xfId="3182"/>
    <cellStyle name="Normal 4 2 3 3 6 2 2" xfId="6977"/>
    <cellStyle name="Normal 4 2 3 3 6 2 2 2" xfId="14500"/>
    <cellStyle name="Normal 4 2 3 3 6 2 2 2 2" xfId="29544"/>
    <cellStyle name="Normal 4 2 3 3 6 2 2 2 3" xfId="44587"/>
    <cellStyle name="Normal 4 2 3 3 6 2 2 3" xfId="22023"/>
    <cellStyle name="Normal 4 2 3 3 6 2 2 4" xfId="37066"/>
    <cellStyle name="Normal 4 2 3 3 6 2 3" xfId="10751"/>
    <cellStyle name="Normal 4 2 3 3 6 2 3 2" xfId="25795"/>
    <cellStyle name="Normal 4 2 3 3 6 2 3 3" xfId="40838"/>
    <cellStyle name="Normal 4 2 3 3 6 2 4" xfId="18274"/>
    <cellStyle name="Normal 4 2 3 3 6 2 5" xfId="33317"/>
    <cellStyle name="Normal 4 2 3 3 6 3" xfId="5112"/>
    <cellStyle name="Normal 4 2 3 3 6 3 2" xfId="12635"/>
    <cellStyle name="Normal 4 2 3 3 6 3 2 2" xfId="27679"/>
    <cellStyle name="Normal 4 2 3 3 6 3 2 3" xfId="42722"/>
    <cellStyle name="Normal 4 2 3 3 6 3 3" xfId="20158"/>
    <cellStyle name="Normal 4 2 3 3 6 3 4" xfId="35201"/>
    <cellStyle name="Normal 4 2 3 3 6 4" xfId="8886"/>
    <cellStyle name="Normal 4 2 3 3 6 4 2" xfId="23930"/>
    <cellStyle name="Normal 4 2 3 3 6 4 3" xfId="38973"/>
    <cellStyle name="Normal 4 2 3 3 6 5" xfId="16409"/>
    <cellStyle name="Normal 4 2 3 3 6 6" xfId="31452"/>
    <cellStyle name="Normal 4 2 3 3 7" xfId="2249"/>
    <cellStyle name="Normal 4 2 3 3 7 2" xfId="6045"/>
    <cellStyle name="Normal 4 2 3 3 7 2 2" xfId="13568"/>
    <cellStyle name="Normal 4 2 3 3 7 2 2 2" xfId="28612"/>
    <cellStyle name="Normal 4 2 3 3 7 2 2 3" xfId="43655"/>
    <cellStyle name="Normal 4 2 3 3 7 2 3" xfId="21091"/>
    <cellStyle name="Normal 4 2 3 3 7 2 4" xfId="36134"/>
    <cellStyle name="Normal 4 2 3 3 7 3" xfId="9819"/>
    <cellStyle name="Normal 4 2 3 3 7 3 2" xfId="24863"/>
    <cellStyle name="Normal 4 2 3 3 7 3 3" xfId="39906"/>
    <cellStyle name="Normal 4 2 3 3 7 4" xfId="17342"/>
    <cellStyle name="Normal 4 2 3 3 7 5" xfId="32385"/>
    <cellStyle name="Normal 4 2 3 3 8" xfId="4177"/>
    <cellStyle name="Normal 4 2 3 3 8 2" xfId="11701"/>
    <cellStyle name="Normal 4 2 3 3 8 2 2" xfId="26745"/>
    <cellStyle name="Normal 4 2 3 3 8 2 3" xfId="41788"/>
    <cellStyle name="Normal 4 2 3 3 8 3" xfId="19224"/>
    <cellStyle name="Normal 4 2 3 3 8 4" xfId="34267"/>
    <cellStyle name="Normal 4 2 3 3 9" xfId="7940"/>
    <cellStyle name="Normal 4 2 3 3 9 2" xfId="22984"/>
    <cellStyle name="Normal 4 2 3 3 9 3" xfId="38027"/>
    <cellStyle name="Normal 4 2 3 4" xfId="286"/>
    <cellStyle name="Normal 4 2 3 4 2" xfId="287"/>
    <cellStyle name="Normal 4 2 3 4 2 2" xfId="811"/>
    <cellStyle name="Normal 4 2 3 4 2 2 2" xfId="1770"/>
    <cellStyle name="Normal 4 2 3 4 2 2 2 2" xfId="3641"/>
    <cellStyle name="Normal 4 2 3 4 2 2 2 2 2" xfId="7436"/>
    <cellStyle name="Normal 4 2 3 4 2 2 2 2 2 2" xfId="14959"/>
    <cellStyle name="Normal 4 2 3 4 2 2 2 2 2 2 2" xfId="30003"/>
    <cellStyle name="Normal 4 2 3 4 2 2 2 2 2 2 3" xfId="45046"/>
    <cellStyle name="Normal 4 2 3 4 2 2 2 2 2 3" xfId="22482"/>
    <cellStyle name="Normal 4 2 3 4 2 2 2 2 2 4" xfId="37525"/>
    <cellStyle name="Normal 4 2 3 4 2 2 2 2 3" xfId="11210"/>
    <cellStyle name="Normal 4 2 3 4 2 2 2 2 3 2" xfId="26254"/>
    <cellStyle name="Normal 4 2 3 4 2 2 2 2 3 3" xfId="41297"/>
    <cellStyle name="Normal 4 2 3 4 2 2 2 2 4" xfId="18733"/>
    <cellStyle name="Normal 4 2 3 4 2 2 2 2 5" xfId="33776"/>
    <cellStyle name="Normal 4 2 3 4 2 2 2 3" xfId="5571"/>
    <cellStyle name="Normal 4 2 3 4 2 2 2 3 2" xfId="13094"/>
    <cellStyle name="Normal 4 2 3 4 2 2 2 3 2 2" xfId="28138"/>
    <cellStyle name="Normal 4 2 3 4 2 2 2 3 2 3" xfId="43181"/>
    <cellStyle name="Normal 4 2 3 4 2 2 2 3 3" xfId="20617"/>
    <cellStyle name="Normal 4 2 3 4 2 2 2 3 4" xfId="35660"/>
    <cellStyle name="Normal 4 2 3 4 2 2 2 4" xfId="9345"/>
    <cellStyle name="Normal 4 2 3 4 2 2 2 4 2" xfId="24389"/>
    <cellStyle name="Normal 4 2 3 4 2 2 2 4 3" xfId="39432"/>
    <cellStyle name="Normal 4 2 3 4 2 2 2 5" xfId="16868"/>
    <cellStyle name="Normal 4 2 3 4 2 2 2 6" xfId="31911"/>
    <cellStyle name="Normal 4 2 3 4 2 2 3" xfId="2709"/>
    <cellStyle name="Normal 4 2 3 4 2 2 3 2" xfId="6504"/>
    <cellStyle name="Normal 4 2 3 4 2 2 3 2 2" xfId="14027"/>
    <cellStyle name="Normal 4 2 3 4 2 2 3 2 2 2" xfId="29071"/>
    <cellStyle name="Normal 4 2 3 4 2 2 3 2 2 3" xfId="44114"/>
    <cellStyle name="Normal 4 2 3 4 2 2 3 2 3" xfId="21550"/>
    <cellStyle name="Normal 4 2 3 4 2 2 3 2 4" xfId="36593"/>
    <cellStyle name="Normal 4 2 3 4 2 2 3 3" xfId="10278"/>
    <cellStyle name="Normal 4 2 3 4 2 2 3 3 2" xfId="25322"/>
    <cellStyle name="Normal 4 2 3 4 2 2 3 3 3" xfId="40365"/>
    <cellStyle name="Normal 4 2 3 4 2 2 3 4" xfId="17801"/>
    <cellStyle name="Normal 4 2 3 4 2 2 3 5" xfId="32844"/>
    <cellStyle name="Normal 4 2 3 4 2 2 4" xfId="4639"/>
    <cellStyle name="Normal 4 2 3 4 2 2 4 2" xfId="12162"/>
    <cellStyle name="Normal 4 2 3 4 2 2 4 2 2" xfId="27206"/>
    <cellStyle name="Normal 4 2 3 4 2 2 4 2 3" xfId="42249"/>
    <cellStyle name="Normal 4 2 3 4 2 2 4 3" xfId="19685"/>
    <cellStyle name="Normal 4 2 3 4 2 2 4 4" xfId="34728"/>
    <cellStyle name="Normal 4 2 3 4 2 2 5" xfId="8413"/>
    <cellStyle name="Normal 4 2 3 4 2 2 5 2" xfId="23457"/>
    <cellStyle name="Normal 4 2 3 4 2 2 5 3" xfId="38500"/>
    <cellStyle name="Normal 4 2 3 4 2 2 6" xfId="15936"/>
    <cellStyle name="Normal 4 2 3 4 2 2 7" xfId="30979"/>
    <cellStyle name="Normal 4 2 3 4 2 3" xfId="1318"/>
    <cellStyle name="Normal 4 2 3 4 2 3 2" xfId="3189"/>
    <cellStyle name="Normal 4 2 3 4 2 3 2 2" xfId="6984"/>
    <cellStyle name="Normal 4 2 3 4 2 3 2 2 2" xfId="14507"/>
    <cellStyle name="Normal 4 2 3 4 2 3 2 2 2 2" xfId="29551"/>
    <cellStyle name="Normal 4 2 3 4 2 3 2 2 2 3" xfId="44594"/>
    <cellStyle name="Normal 4 2 3 4 2 3 2 2 3" xfId="22030"/>
    <cellStyle name="Normal 4 2 3 4 2 3 2 2 4" xfId="37073"/>
    <cellStyle name="Normal 4 2 3 4 2 3 2 3" xfId="10758"/>
    <cellStyle name="Normal 4 2 3 4 2 3 2 3 2" xfId="25802"/>
    <cellStyle name="Normal 4 2 3 4 2 3 2 3 3" xfId="40845"/>
    <cellStyle name="Normal 4 2 3 4 2 3 2 4" xfId="18281"/>
    <cellStyle name="Normal 4 2 3 4 2 3 2 5" xfId="33324"/>
    <cellStyle name="Normal 4 2 3 4 2 3 3" xfId="5119"/>
    <cellStyle name="Normal 4 2 3 4 2 3 3 2" xfId="12642"/>
    <cellStyle name="Normal 4 2 3 4 2 3 3 2 2" xfId="27686"/>
    <cellStyle name="Normal 4 2 3 4 2 3 3 2 3" xfId="42729"/>
    <cellStyle name="Normal 4 2 3 4 2 3 3 3" xfId="20165"/>
    <cellStyle name="Normal 4 2 3 4 2 3 3 4" xfId="35208"/>
    <cellStyle name="Normal 4 2 3 4 2 3 4" xfId="8893"/>
    <cellStyle name="Normal 4 2 3 4 2 3 4 2" xfId="23937"/>
    <cellStyle name="Normal 4 2 3 4 2 3 4 3" xfId="38980"/>
    <cellStyle name="Normal 4 2 3 4 2 3 5" xfId="16416"/>
    <cellStyle name="Normal 4 2 3 4 2 3 6" xfId="31459"/>
    <cellStyle name="Normal 4 2 3 4 2 4" xfId="2256"/>
    <cellStyle name="Normal 4 2 3 4 2 4 2" xfId="6052"/>
    <cellStyle name="Normal 4 2 3 4 2 4 2 2" xfId="13575"/>
    <cellStyle name="Normal 4 2 3 4 2 4 2 2 2" xfId="28619"/>
    <cellStyle name="Normal 4 2 3 4 2 4 2 2 3" xfId="43662"/>
    <cellStyle name="Normal 4 2 3 4 2 4 2 3" xfId="21098"/>
    <cellStyle name="Normal 4 2 3 4 2 4 2 4" xfId="36141"/>
    <cellStyle name="Normal 4 2 3 4 2 4 3" xfId="9826"/>
    <cellStyle name="Normal 4 2 3 4 2 4 3 2" xfId="24870"/>
    <cellStyle name="Normal 4 2 3 4 2 4 3 3" xfId="39913"/>
    <cellStyle name="Normal 4 2 3 4 2 4 4" xfId="17349"/>
    <cellStyle name="Normal 4 2 3 4 2 4 5" xfId="32392"/>
    <cellStyle name="Normal 4 2 3 4 2 5" xfId="4184"/>
    <cellStyle name="Normal 4 2 3 4 2 5 2" xfId="11708"/>
    <cellStyle name="Normal 4 2 3 4 2 5 2 2" xfId="26752"/>
    <cellStyle name="Normal 4 2 3 4 2 5 2 3" xfId="41795"/>
    <cellStyle name="Normal 4 2 3 4 2 5 3" xfId="19231"/>
    <cellStyle name="Normal 4 2 3 4 2 5 4" xfId="34274"/>
    <cellStyle name="Normal 4 2 3 4 2 6" xfId="7947"/>
    <cellStyle name="Normal 4 2 3 4 2 6 2" xfId="22991"/>
    <cellStyle name="Normal 4 2 3 4 2 6 3" xfId="38034"/>
    <cellStyle name="Normal 4 2 3 4 2 7" xfId="15470"/>
    <cellStyle name="Normal 4 2 3 4 2 8" xfId="30513"/>
    <cellStyle name="Normal 4 2 3 4 3" xfId="810"/>
    <cellStyle name="Normal 4 2 3 4 3 2" xfId="1769"/>
    <cellStyle name="Normal 4 2 3 4 3 2 2" xfId="3640"/>
    <cellStyle name="Normal 4 2 3 4 3 2 2 2" xfId="7435"/>
    <cellStyle name="Normal 4 2 3 4 3 2 2 2 2" xfId="14958"/>
    <cellStyle name="Normal 4 2 3 4 3 2 2 2 2 2" xfId="30002"/>
    <cellStyle name="Normal 4 2 3 4 3 2 2 2 2 3" xfId="45045"/>
    <cellStyle name="Normal 4 2 3 4 3 2 2 2 3" xfId="22481"/>
    <cellStyle name="Normal 4 2 3 4 3 2 2 2 4" xfId="37524"/>
    <cellStyle name="Normal 4 2 3 4 3 2 2 3" xfId="11209"/>
    <cellStyle name="Normal 4 2 3 4 3 2 2 3 2" xfId="26253"/>
    <cellStyle name="Normal 4 2 3 4 3 2 2 3 3" xfId="41296"/>
    <cellStyle name="Normal 4 2 3 4 3 2 2 4" xfId="18732"/>
    <cellStyle name="Normal 4 2 3 4 3 2 2 5" xfId="33775"/>
    <cellStyle name="Normal 4 2 3 4 3 2 3" xfId="5570"/>
    <cellStyle name="Normal 4 2 3 4 3 2 3 2" xfId="13093"/>
    <cellStyle name="Normal 4 2 3 4 3 2 3 2 2" xfId="28137"/>
    <cellStyle name="Normal 4 2 3 4 3 2 3 2 3" xfId="43180"/>
    <cellStyle name="Normal 4 2 3 4 3 2 3 3" xfId="20616"/>
    <cellStyle name="Normal 4 2 3 4 3 2 3 4" xfId="35659"/>
    <cellStyle name="Normal 4 2 3 4 3 2 4" xfId="9344"/>
    <cellStyle name="Normal 4 2 3 4 3 2 4 2" xfId="24388"/>
    <cellStyle name="Normal 4 2 3 4 3 2 4 3" xfId="39431"/>
    <cellStyle name="Normal 4 2 3 4 3 2 5" xfId="16867"/>
    <cellStyle name="Normal 4 2 3 4 3 2 6" xfId="31910"/>
    <cellStyle name="Normal 4 2 3 4 3 3" xfId="2708"/>
    <cellStyle name="Normal 4 2 3 4 3 3 2" xfId="6503"/>
    <cellStyle name="Normal 4 2 3 4 3 3 2 2" xfId="14026"/>
    <cellStyle name="Normal 4 2 3 4 3 3 2 2 2" xfId="29070"/>
    <cellStyle name="Normal 4 2 3 4 3 3 2 2 3" xfId="44113"/>
    <cellStyle name="Normal 4 2 3 4 3 3 2 3" xfId="21549"/>
    <cellStyle name="Normal 4 2 3 4 3 3 2 4" xfId="36592"/>
    <cellStyle name="Normal 4 2 3 4 3 3 3" xfId="10277"/>
    <cellStyle name="Normal 4 2 3 4 3 3 3 2" xfId="25321"/>
    <cellStyle name="Normal 4 2 3 4 3 3 3 3" xfId="40364"/>
    <cellStyle name="Normal 4 2 3 4 3 3 4" xfId="17800"/>
    <cellStyle name="Normal 4 2 3 4 3 3 5" xfId="32843"/>
    <cellStyle name="Normal 4 2 3 4 3 4" xfId="4638"/>
    <cellStyle name="Normal 4 2 3 4 3 4 2" xfId="12161"/>
    <cellStyle name="Normal 4 2 3 4 3 4 2 2" xfId="27205"/>
    <cellStyle name="Normal 4 2 3 4 3 4 2 3" xfId="42248"/>
    <cellStyle name="Normal 4 2 3 4 3 4 3" xfId="19684"/>
    <cellStyle name="Normal 4 2 3 4 3 4 4" xfId="34727"/>
    <cellStyle name="Normal 4 2 3 4 3 5" xfId="8412"/>
    <cellStyle name="Normal 4 2 3 4 3 5 2" xfId="23456"/>
    <cellStyle name="Normal 4 2 3 4 3 5 3" xfId="38499"/>
    <cellStyle name="Normal 4 2 3 4 3 6" xfId="15935"/>
    <cellStyle name="Normal 4 2 3 4 3 7" xfId="30978"/>
    <cellStyle name="Normal 4 2 3 4 4" xfId="1317"/>
    <cellStyle name="Normal 4 2 3 4 4 2" xfId="3188"/>
    <cellStyle name="Normal 4 2 3 4 4 2 2" xfId="6983"/>
    <cellStyle name="Normal 4 2 3 4 4 2 2 2" xfId="14506"/>
    <cellStyle name="Normal 4 2 3 4 4 2 2 2 2" xfId="29550"/>
    <cellStyle name="Normal 4 2 3 4 4 2 2 2 3" xfId="44593"/>
    <cellStyle name="Normal 4 2 3 4 4 2 2 3" xfId="22029"/>
    <cellStyle name="Normal 4 2 3 4 4 2 2 4" xfId="37072"/>
    <cellStyle name="Normal 4 2 3 4 4 2 3" xfId="10757"/>
    <cellStyle name="Normal 4 2 3 4 4 2 3 2" xfId="25801"/>
    <cellStyle name="Normal 4 2 3 4 4 2 3 3" xfId="40844"/>
    <cellStyle name="Normal 4 2 3 4 4 2 4" xfId="18280"/>
    <cellStyle name="Normal 4 2 3 4 4 2 5" xfId="33323"/>
    <cellStyle name="Normal 4 2 3 4 4 3" xfId="5118"/>
    <cellStyle name="Normal 4 2 3 4 4 3 2" xfId="12641"/>
    <cellStyle name="Normal 4 2 3 4 4 3 2 2" xfId="27685"/>
    <cellStyle name="Normal 4 2 3 4 4 3 2 3" xfId="42728"/>
    <cellStyle name="Normal 4 2 3 4 4 3 3" xfId="20164"/>
    <cellStyle name="Normal 4 2 3 4 4 3 4" xfId="35207"/>
    <cellStyle name="Normal 4 2 3 4 4 4" xfId="8892"/>
    <cellStyle name="Normal 4 2 3 4 4 4 2" xfId="23936"/>
    <cellStyle name="Normal 4 2 3 4 4 4 3" xfId="38979"/>
    <cellStyle name="Normal 4 2 3 4 4 5" xfId="16415"/>
    <cellStyle name="Normal 4 2 3 4 4 6" xfId="31458"/>
    <cellStyle name="Normal 4 2 3 4 5" xfId="2255"/>
    <cellStyle name="Normal 4 2 3 4 5 2" xfId="6051"/>
    <cellStyle name="Normal 4 2 3 4 5 2 2" xfId="13574"/>
    <cellStyle name="Normal 4 2 3 4 5 2 2 2" xfId="28618"/>
    <cellStyle name="Normal 4 2 3 4 5 2 2 3" xfId="43661"/>
    <cellStyle name="Normal 4 2 3 4 5 2 3" xfId="21097"/>
    <cellStyle name="Normal 4 2 3 4 5 2 4" xfId="36140"/>
    <cellStyle name="Normal 4 2 3 4 5 3" xfId="9825"/>
    <cellStyle name="Normal 4 2 3 4 5 3 2" xfId="24869"/>
    <cellStyle name="Normal 4 2 3 4 5 3 3" xfId="39912"/>
    <cellStyle name="Normal 4 2 3 4 5 4" xfId="17348"/>
    <cellStyle name="Normal 4 2 3 4 5 5" xfId="32391"/>
    <cellStyle name="Normal 4 2 3 4 6" xfId="4183"/>
    <cellStyle name="Normal 4 2 3 4 6 2" xfId="11707"/>
    <cellStyle name="Normal 4 2 3 4 6 2 2" xfId="26751"/>
    <cellStyle name="Normal 4 2 3 4 6 2 3" xfId="41794"/>
    <cellStyle name="Normal 4 2 3 4 6 3" xfId="19230"/>
    <cellStyle name="Normal 4 2 3 4 6 4" xfId="34273"/>
    <cellStyle name="Normal 4 2 3 4 7" xfId="7946"/>
    <cellStyle name="Normal 4 2 3 4 7 2" xfId="22990"/>
    <cellStyle name="Normal 4 2 3 4 7 3" xfId="38033"/>
    <cellStyle name="Normal 4 2 3 4 8" xfId="15469"/>
    <cellStyle name="Normal 4 2 3 4 9" xfId="30512"/>
    <cellStyle name="Normal 4 2 3 5" xfId="288"/>
    <cellStyle name="Normal 4 2 3 5 2" xfId="289"/>
    <cellStyle name="Normal 4 2 3 5 2 2" xfId="813"/>
    <cellStyle name="Normal 4 2 3 5 2 2 2" xfId="1772"/>
    <cellStyle name="Normal 4 2 3 5 2 2 2 2" xfId="3643"/>
    <cellStyle name="Normal 4 2 3 5 2 2 2 2 2" xfId="7438"/>
    <cellStyle name="Normal 4 2 3 5 2 2 2 2 2 2" xfId="14961"/>
    <cellStyle name="Normal 4 2 3 5 2 2 2 2 2 2 2" xfId="30005"/>
    <cellStyle name="Normal 4 2 3 5 2 2 2 2 2 2 3" xfId="45048"/>
    <cellStyle name="Normal 4 2 3 5 2 2 2 2 2 3" xfId="22484"/>
    <cellStyle name="Normal 4 2 3 5 2 2 2 2 2 4" xfId="37527"/>
    <cellStyle name="Normal 4 2 3 5 2 2 2 2 3" xfId="11212"/>
    <cellStyle name="Normal 4 2 3 5 2 2 2 2 3 2" xfId="26256"/>
    <cellStyle name="Normal 4 2 3 5 2 2 2 2 3 3" xfId="41299"/>
    <cellStyle name="Normal 4 2 3 5 2 2 2 2 4" xfId="18735"/>
    <cellStyle name="Normal 4 2 3 5 2 2 2 2 5" xfId="33778"/>
    <cellStyle name="Normal 4 2 3 5 2 2 2 3" xfId="5573"/>
    <cellStyle name="Normal 4 2 3 5 2 2 2 3 2" xfId="13096"/>
    <cellStyle name="Normal 4 2 3 5 2 2 2 3 2 2" xfId="28140"/>
    <cellStyle name="Normal 4 2 3 5 2 2 2 3 2 3" xfId="43183"/>
    <cellStyle name="Normal 4 2 3 5 2 2 2 3 3" xfId="20619"/>
    <cellStyle name="Normal 4 2 3 5 2 2 2 3 4" xfId="35662"/>
    <cellStyle name="Normal 4 2 3 5 2 2 2 4" xfId="9347"/>
    <cellStyle name="Normal 4 2 3 5 2 2 2 4 2" xfId="24391"/>
    <cellStyle name="Normal 4 2 3 5 2 2 2 4 3" xfId="39434"/>
    <cellStyle name="Normal 4 2 3 5 2 2 2 5" xfId="16870"/>
    <cellStyle name="Normal 4 2 3 5 2 2 2 6" xfId="31913"/>
    <cellStyle name="Normal 4 2 3 5 2 2 3" xfId="2711"/>
    <cellStyle name="Normal 4 2 3 5 2 2 3 2" xfId="6506"/>
    <cellStyle name="Normal 4 2 3 5 2 2 3 2 2" xfId="14029"/>
    <cellStyle name="Normal 4 2 3 5 2 2 3 2 2 2" xfId="29073"/>
    <cellStyle name="Normal 4 2 3 5 2 2 3 2 2 3" xfId="44116"/>
    <cellStyle name="Normal 4 2 3 5 2 2 3 2 3" xfId="21552"/>
    <cellStyle name="Normal 4 2 3 5 2 2 3 2 4" xfId="36595"/>
    <cellStyle name="Normal 4 2 3 5 2 2 3 3" xfId="10280"/>
    <cellStyle name="Normal 4 2 3 5 2 2 3 3 2" xfId="25324"/>
    <cellStyle name="Normal 4 2 3 5 2 2 3 3 3" xfId="40367"/>
    <cellStyle name="Normal 4 2 3 5 2 2 3 4" xfId="17803"/>
    <cellStyle name="Normal 4 2 3 5 2 2 3 5" xfId="32846"/>
    <cellStyle name="Normal 4 2 3 5 2 2 4" xfId="4641"/>
    <cellStyle name="Normal 4 2 3 5 2 2 4 2" xfId="12164"/>
    <cellStyle name="Normal 4 2 3 5 2 2 4 2 2" xfId="27208"/>
    <cellStyle name="Normal 4 2 3 5 2 2 4 2 3" xfId="42251"/>
    <cellStyle name="Normal 4 2 3 5 2 2 4 3" xfId="19687"/>
    <cellStyle name="Normal 4 2 3 5 2 2 4 4" xfId="34730"/>
    <cellStyle name="Normal 4 2 3 5 2 2 5" xfId="8415"/>
    <cellStyle name="Normal 4 2 3 5 2 2 5 2" xfId="23459"/>
    <cellStyle name="Normal 4 2 3 5 2 2 5 3" xfId="38502"/>
    <cellStyle name="Normal 4 2 3 5 2 2 6" xfId="15938"/>
    <cellStyle name="Normal 4 2 3 5 2 2 7" xfId="30981"/>
    <cellStyle name="Normal 4 2 3 5 2 3" xfId="1320"/>
    <cellStyle name="Normal 4 2 3 5 2 3 2" xfId="3191"/>
    <cellStyle name="Normal 4 2 3 5 2 3 2 2" xfId="6986"/>
    <cellStyle name="Normal 4 2 3 5 2 3 2 2 2" xfId="14509"/>
    <cellStyle name="Normal 4 2 3 5 2 3 2 2 2 2" xfId="29553"/>
    <cellStyle name="Normal 4 2 3 5 2 3 2 2 2 3" xfId="44596"/>
    <cellStyle name="Normal 4 2 3 5 2 3 2 2 3" xfId="22032"/>
    <cellStyle name="Normal 4 2 3 5 2 3 2 2 4" xfId="37075"/>
    <cellStyle name="Normal 4 2 3 5 2 3 2 3" xfId="10760"/>
    <cellStyle name="Normal 4 2 3 5 2 3 2 3 2" xfId="25804"/>
    <cellStyle name="Normal 4 2 3 5 2 3 2 3 3" xfId="40847"/>
    <cellStyle name="Normal 4 2 3 5 2 3 2 4" xfId="18283"/>
    <cellStyle name="Normal 4 2 3 5 2 3 2 5" xfId="33326"/>
    <cellStyle name="Normal 4 2 3 5 2 3 3" xfId="5121"/>
    <cellStyle name="Normal 4 2 3 5 2 3 3 2" xfId="12644"/>
    <cellStyle name="Normal 4 2 3 5 2 3 3 2 2" xfId="27688"/>
    <cellStyle name="Normal 4 2 3 5 2 3 3 2 3" xfId="42731"/>
    <cellStyle name="Normal 4 2 3 5 2 3 3 3" xfId="20167"/>
    <cellStyle name="Normal 4 2 3 5 2 3 3 4" xfId="35210"/>
    <cellStyle name="Normal 4 2 3 5 2 3 4" xfId="8895"/>
    <cellStyle name="Normal 4 2 3 5 2 3 4 2" xfId="23939"/>
    <cellStyle name="Normal 4 2 3 5 2 3 4 3" xfId="38982"/>
    <cellStyle name="Normal 4 2 3 5 2 3 5" xfId="16418"/>
    <cellStyle name="Normal 4 2 3 5 2 3 6" xfId="31461"/>
    <cellStyle name="Normal 4 2 3 5 2 4" xfId="2258"/>
    <cellStyle name="Normal 4 2 3 5 2 4 2" xfId="6054"/>
    <cellStyle name="Normal 4 2 3 5 2 4 2 2" xfId="13577"/>
    <cellStyle name="Normal 4 2 3 5 2 4 2 2 2" xfId="28621"/>
    <cellStyle name="Normal 4 2 3 5 2 4 2 2 3" xfId="43664"/>
    <cellStyle name="Normal 4 2 3 5 2 4 2 3" xfId="21100"/>
    <cellStyle name="Normal 4 2 3 5 2 4 2 4" xfId="36143"/>
    <cellStyle name="Normal 4 2 3 5 2 4 3" xfId="9828"/>
    <cellStyle name="Normal 4 2 3 5 2 4 3 2" xfId="24872"/>
    <cellStyle name="Normal 4 2 3 5 2 4 3 3" xfId="39915"/>
    <cellStyle name="Normal 4 2 3 5 2 4 4" xfId="17351"/>
    <cellStyle name="Normal 4 2 3 5 2 4 5" xfId="32394"/>
    <cellStyle name="Normal 4 2 3 5 2 5" xfId="4186"/>
    <cellStyle name="Normal 4 2 3 5 2 5 2" xfId="11710"/>
    <cellStyle name="Normal 4 2 3 5 2 5 2 2" xfId="26754"/>
    <cellStyle name="Normal 4 2 3 5 2 5 2 3" xfId="41797"/>
    <cellStyle name="Normal 4 2 3 5 2 5 3" xfId="19233"/>
    <cellStyle name="Normal 4 2 3 5 2 5 4" xfId="34276"/>
    <cellStyle name="Normal 4 2 3 5 2 6" xfId="7949"/>
    <cellStyle name="Normal 4 2 3 5 2 6 2" xfId="22993"/>
    <cellStyle name="Normal 4 2 3 5 2 6 3" xfId="38036"/>
    <cellStyle name="Normal 4 2 3 5 2 7" xfId="15472"/>
    <cellStyle name="Normal 4 2 3 5 2 8" xfId="30515"/>
    <cellStyle name="Normal 4 2 3 5 3" xfId="812"/>
    <cellStyle name="Normal 4 2 3 5 3 2" xfId="1771"/>
    <cellStyle name="Normal 4 2 3 5 3 2 2" xfId="3642"/>
    <cellStyle name="Normal 4 2 3 5 3 2 2 2" xfId="7437"/>
    <cellStyle name="Normal 4 2 3 5 3 2 2 2 2" xfId="14960"/>
    <cellStyle name="Normal 4 2 3 5 3 2 2 2 2 2" xfId="30004"/>
    <cellStyle name="Normal 4 2 3 5 3 2 2 2 2 3" xfId="45047"/>
    <cellStyle name="Normal 4 2 3 5 3 2 2 2 3" xfId="22483"/>
    <cellStyle name="Normal 4 2 3 5 3 2 2 2 4" xfId="37526"/>
    <cellStyle name="Normal 4 2 3 5 3 2 2 3" xfId="11211"/>
    <cellStyle name="Normal 4 2 3 5 3 2 2 3 2" xfId="26255"/>
    <cellStyle name="Normal 4 2 3 5 3 2 2 3 3" xfId="41298"/>
    <cellStyle name="Normal 4 2 3 5 3 2 2 4" xfId="18734"/>
    <cellStyle name="Normal 4 2 3 5 3 2 2 5" xfId="33777"/>
    <cellStyle name="Normal 4 2 3 5 3 2 3" xfId="5572"/>
    <cellStyle name="Normal 4 2 3 5 3 2 3 2" xfId="13095"/>
    <cellStyle name="Normal 4 2 3 5 3 2 3 2 2" xfId="28139"/>
    <cellStyle name="Normal 4 2 3 5 3 2 3 2 3" xfId="43182"/>
    <cellStyle name="Normal 4 2 3 5 3 2 3 3" xfId="20618"/>
    <cellStyle name="Normal 4 2 3 5 3 2 3 4" xfId="35661"/>
    <cellStyle name="Normal 4 2 3 5 3 2 4" xfId="9346"/>
    <cellStyle name="Normal 4 2 3 5 3 2 4 2" xfId="24390"/>
    <cellStyle name="Normal 4 2 3 5 3 2 4 3" xfId="39433"/>
    <cellStyle name="Normal 4 2 3 5 3 2 5" xfId="16869"/>
    <cellStyle name="Normal 4 2 3 5 3 2 6" xfId="31912"/>
    <cellStyle name="Normal 4 2 3 5 3 3" xfId="2710"/>
    <cellStyle name="Normal 4 2 3 5 3 3 2" xfId="6505"/>
    <cellStyle name="Normal 4 2 3 5 3 3 2 2" xfId="14028"/>
    <cellStyle name="Normal 4 2 3 5 3 3 2 2 2" xfId="29072"/>
    <cellStyle name="Normal 4 2 3 5 3 3 2 2 3" xfId="44115"/>
    <cellStyle name="Normal 4 2 3 5 3 3 2 3" xfId="21551"/>
    <cellStyle name="Normal 4 2 3 5 3 3 2 4" xfId="36594"/>
    <cellStyle name="Normal 4 2 3 5 3 3 3" xfId="10279"/>
    <cellStyle name="Normal 4 2 3 5 3 3 3 2" xfId="25323"/>
    <cellStyle name="Normal 4 2 3 5 3 3 3 3" xfId="40366"/>
    <cellStyle name="Normal 4 2 3 5 3 3 4" xfId="17802"/>
    <cellStyle name="Normal 4 2 3 5 3 3 5" xfId="32845"/>
    <cellStyle name="Normal 4 2 3 5 3 4" xfId="4640"/>
    <cellStyle name="Normal 4 2 3 5 3 4 2" xfId="12163"/>
    <cellStyle name="Normal 4 2 3 5 3 4 2 2" xfId="27207"/>
    <cellStyle name="Normal 4 2 3 5 3 4 2 3" xfId="42250"/>
    <cellStyle name="Normal 4 2 3 5 3 4 3" xfId="19686"/>
    <cellStyle name="Normal 4 2 3 5 3 4 4" xfId="34729"/>
    <cellStyle name="Normal 4 2 3 5 3 5" xfId="8414"/>
    <cellStyle name="Normal 4 2 3 5 3 5 2" xfId="23458"/>
    <cellStyle name="Normal 4 2 3 5 3 5 3" xfId="38501"/>
    <cellStyle name="Normal 4 2 3 5 3 6" xfId="15937"/>
    <cellStyle name="Normal 4 2 3 5 3 7" xfId="30980"/>
    <cellStyle name="Normal 4 2 3 5 4" xfId="1319"/>
    <cellStyle name="Normal 4 2 3 5 4 2" xfId="3190"/>
    <cellStyle name="Normal 4 2 3 5 4 2 2" xfId="6985"/>
    <cellStyle name="Normal 4 2 3 5 4 2 2 2" xfId="14508"/>
    <cellStyle name="Normal 4 2 3 5 4 2 2 2 2" xfId="29552"/>
    <cellStyle name="Normal 4 2 3 5 4 2 2 2 3" xfId="44595"/>
    <cellStyle name="Normal 4 2 3 5 4 2 2 3" xfId="22031"/>
    <cellStyle name="Normal 4 2 3 5 4 2 2 4" xfId="37074"/>
    <cellStyle name="Normal 4 2 3 5 4 2 3" xfId="10759"/>
    <cellStyle name="Normal 4 2 3 5 4 2 3 2" xfId="25803"/>
    <cellStyle name="Normal 4 2 3 5 4 2 3 3" xfId="40846"/>
    <cellStyle name="Normal 4 2 3 5 4 2 4" xfId="18282"/>
    <cellStyle name="Normal 4 2 3 5 4 2 5" xfId="33325"/>
    <cellStyle name="Normal 4 2 3 5 4 3" xfId="5120"/>
    <cellStyle name="Normal 4 2 3 5 4 3 2" xfId="12643"/>
    <cellStyle name="Normal 4 2 3 5 4 3 2 2" xfId="27687"/>
    <cellStyle name="Normal 4 2 3 5 4 3 2 3" xfId="42730"/>
    <cellStyle name="Normal 4 2 3 5 4 3 3" xfId="20166"/>
    <cellStyle name="Normal 4 2 3 5 4 3 4" xfId="35209"/>
    <cellStyle name="Normal 4 2 3 5 4 4" xfId="8894"/>
    <cellStyle name="Normal 4 2 3 5 4 4 2" xfId="23938"/>
    <cellStyle name="Normal 4 2 3 5 4 4 3" xfId="38981"/>
    <cellStyle name="Normal 4 2 3 5 4 5" xfId="16417"/>
    <cellStyle name="Normal 4 2 3 5 4 6" xfId="31460"/>
    <cellStyle name="Normal 4 2 3 5 5" xfId="2257"/>
    <cellStyle name="Normal 4 2 3 5 5 2" xfId="6053"/>
    <cellStyle name="Normal 4 2 3 5 5 2 2" xfId="13576"/>
    <cellStyle name="Normal 4 2 3 5 5 2 2 2" xfId="28620"/>
    <cellStyle name="Normal 4 2 3 5 5 2 2 3" xfId="43663"/>
    <cellStyle name="Normal 4 2 3 5 5 2 3" xfId="21099"/>
    <cellStyle name="Normal 4 2 3 5 5 2 4" xfId="36142"/>
    <cellStyle name="Normal 4 2 3 5 5 3" xfId="9827"/>
    <cellStyle name="Normal 4 2 3 5 5 3 2" xfId="24871"/>
    <cellStyle name="Normal 4 2 3 5 5 3 3" xfId="39914"/>
    <cellStyle name="Normal 4 2 3 5 5 4" xfId="17350"/>
    <cellStyle name="Normal 4 2 3 5 5 5" xfId="32393"/>
    <cellStyle name="Normal 4 2 3 5 6" xfId="4185"/>
    <cellStyle name="Normal 4 2 3 5 6 2" xfId="11709"/>
    <cellStyle name="Normal 4 2 3 5 6 2 2" xfId="26753"/>
    <cellStyle name="Normal 4 2 3 5 6 2 3" xfId="41796"/>
    <cellStyle name="Normal 4 2 3 5 6 3" xfId="19232"/>
    <cellStyle name="Normal 4 2 3 5 6 4" xfId="34275"/>
    <cellStyle name="Normal 4 2 3 5 7" xfId="7948"/>
    <cellStyle name="Normal 4 2 3 5 7 2" xfId="22992"/>
    <cellStyle name="Normal 4 2 3 5 7 3" xfId="38035"/>
    <cellStyle name="Normal 4 2 3 5 8" xfId="15471"/>
    <cellStyle name="Normal 4 2 3 5 9" xfId="30514"/>
    <cellStyle name="Normal 4 2 3 6" xfId="290"/>
    <cellStyle name="Normal 4 2 3 6 2" xfId="814"/>
    <cellStyle name="Normal 4 2 3 6 2 2" xfId="1773"/>
    <cellStyle name="Normal 4 2 3 6 2 2 2" xfId="3644"/>
    <cellStyle name="Normal 4 2 3 6 2 2 2 2" xfId="7439"/>
    <cellStyle name="Normal 4 2 3 6 2 2 2 2 2" xfId="14962"/>
    <cellStyle name="Normal 4 2 3 6 2 2 2 2 2 2" xfId="30006"/>
    <cellStyle name="Normal 4 2 3 6 2 2 2 2 2 3" xfId="45049"/>
    <cellStyle name="Normal 4 2 3 6 2 2 2 2 3" xfId="22485"/>
    <cellStyle name="Normal 4 2 3 6 2 2 2 2 4" xfId="37528"/>
    <cellStyle name="Normal 4 2 3 6 2 2 2 3" xfId="11213"/>
    <cellStyle name="Normal 4 2 3 6 2 2 2 3 2" xfId="26257"/>
    <cellStyle name="Normal 4 2 3 6 2 2 2 3 3" xfId="41300"/>
    <cellStyle name="Normal 4 2 3 6 2 2 2 4" xfId="18736"/>
    <cellStyle name="Normal 4 2 3 6 2 2 2 5" xfId="33779"/>
    <cellStyle name="Normal 4 2 3 6 2 2 3" xfId="5574"/>
    <cellStyle name="Normal 4 2 3 6 2 2 3 2" xfId="13097"/>
    <cellStyle name="Normal 4 2 3 6 2 2 3 2 2" xfId="28141"/>
    <cellStyle name="Normal 4 2 3 6 2 2 3 2 3" xfId="43184"/>
    <cellStyle name="Normal 4 2 3 6 2 2 3 3" xfId="20620"/>
    <cellStyle name="Normal 4 2 3 6 2 2 3 4" xfId="35663"/>
    <cellStyle name="Normal 4 2 3 6 2 2 4" xfId="9348"/>
    <cellStyle name="Normal 4 2 3 6 2 2 4 2" xfId="24392"/>
    <cellStyle name="Normal 4 2 3 6 2 2 4 3" xfId="39435"/>
    <cellStyle name="Normal 4 2 3 6 2 2 5" xfId="16871"/>
    <cellStyle name="Normal 4 2 3 6 2 2 6" xfId="31914"/>
    <cellStyle name="Normal 4 2 3 6 2 3" xfId="2712"/>
    <cellStyle name="Normal 4 2 3 6 2 3 2" xfId="6507"/>
    <cellStyle name="Normal 4 2 3 6 2 3 2 2" xfId="14030"/>
    <cellStyle name="Normal 4 2 3 6 2 3 2 2 2" xfId="29074"/>
    <cellStyle name="Normal 4 2 3 6 2 3 2 2 3" xfId="44117"/>
    <cellStyle name="Normal 4 2 3 6 2 3 2 3" xfId="21553"/>
    <cellStyle name="Normal 4 2 3 6 2 3 2 4" xfId="36596"/>
    <cellStyle name="Normal 4 2 3 6 2 3 3" xfId="10281"/>
    <cellStyle name="Normal 4 2 3 6 2 3 3 2" xfId="25325"/>
    <cellStyle name="Normal 4 2 3 6 2 3 3 3" xfId="40368"/>
    <cellStyle name="Normal 4 2 3 6 2 3 4" xfId="17804"/>
    <cellStyle name="Normal 4 2 3 6 2 3 5" xfId="32847"/>
    <cellStyle name="Normal 4 2 3 6 2 4" xfId="4642"/>
    <cellStyle name="Normal 4 2 3 6 2 4 2" xfId="12165"/>
    <cellStyle name="Normal 4 2 3 6 2 4 2 2" xfId="27209"/>
    <cellStyle name="Normal 4 2 3 6 2 4 2 3" xfId="42252"/>
    <cellStyle name="Normal 4 2 3 6 2 4 3" xfId="19688"/>
    <cellStyle name="Normal 4 2 3 6 2 4 4" xfId="34731"/>
    <cellStyle name="Normal 4 2 3 6 2 5" xfId="8416"/>
    <cellStyle name="Normal 4 2 3 6 2 5 2" xfId="23460"/>
    <cellStyle name="Normal 4 2 3 6 2 5 3" xfId="38503"/>
    <cellStyle name="Normal 4 2 3 6 2 6" xfId="15939"/>
    <cellStyle name="Normal 4 2 3 6 2 7" xfId="30982"/>
    <cellStyle name="Normal 4 2 3 6 3" xfId="1321"/>
    <cellStyle name="Normal 4 2 3 6 3 2" xfId="3192"/>
    <cellStyle name="Normal 4 2 3 6 3 2 2" xfId="6987"/>
    <cellStyle name="Normal 4 2 3 6 3 2 2 2" xfId="14510"/>
    <cellStyle name="Normal 4 2 3 6 3 2 2 2 2" xfId="29554"/>
    <cellStyle name="Normal 4 2 3 6 3 2 2 2 3" xfId="44597"/>
    <cellStyle name="Normal 4 2 3 6 3 2 2 3" xfId="22033"/>
    <cellStyle name="Normal 4 2 3 6 3 2 2 4" xfId="37076"/>
    <cellStyle name="Normal 4 2 3 6 3 2 3" xfId="10761"/>
    <cellStyle name="Normal 4 2 3 6 3 2 3 2" xfId="25805"/>
    <cellStyle name="Normal 4 2 3 6 3 2 3 3" xfId="40848"/>
    <cellStyle name="Normal 4 2 3 6 3 2 4" xfId="18284"/>
    <cellStyle name="Normal 4 2 3 6 3 2 5" xfId="33327"/>
    <cellStyle name="Normal 4 2 3 6 3 3" xfId="5122"/>
    <cellStyle name="Normal 4 2 3 6 3 3 2" xfId="12645"/>
    <cellStyle name="Normal 4 2 3 6 3 3 2 2" xfId="27689"/>
    <cellStyle name="Normal 4 2 3 6 3 3 2 3" xfId="42732"/>
    <cellStyle name="Normal 4 2 3 6 3 3 3" xfId="20168"/>
    <cellStyle name="Normal 4 2 3 6 3 3 4" xfId="35211"/>
    <cellStyle name="Normal 4 2 3 6 3 4" xfId="8896"/>
    <cellStyle name="Normal 4 2 3 6 3 4 2" xfId="23940"/>
    <cellStyle name="Normal 4 2 3 6 3 4 3" xfId="38983"/>
    <cellStyle name="Normal 4 2 3 6 3 5" xfId="16419"/>
    <cellStyle name="Normal 4 2 3 6 3 6" xfId="31462"/>
    <cellStyle name="Normal 4 2 3 6 4" xfId="2259"/>
    <cellStyle name="Normal 4 2 3 6 4 2" xfId="6055"/>
    <cellStyle name="Normal 4 2 3 6 4 2 2" xfId="13578"/>
    <cellStyle name="Normal 4 2 3 6 4 2 2 2" xfId="28622"/>
    <cellStyle name="Normal 4 2 3 6 4 2 2 3" xfId="43665"/>
    <cellStyle name="Normal 4 2 3 6 4 2 3" xfId="21101"/>
    <cellStyle name="Normal 4 2 3 6 4 2 4" xfId="36144"/>
    <cellStyle name="Normal 4 2 3 6 4 3" xfId="9829"/>
    <cellStyle name="Normal 4 2 3 6 4 3 2" xfId="24873"/>
    <cellStyle name="Normal 4 2 3 6 4 3 3" xfId="39916"/>
    <cellStyle name="Normal 4 2 3 6 4 4" xfId="17352"/>
    <cellStyle name="Normal 4 2 3 6 4 5" xfId="32395"/>
    <cellStyle name="Normal 4 2 3 6 5" xfId="4187"/>
    <cellStyle name="Normal 4 2 3 6 5 2" xfId="11711"/>
    <cellStyle name="Normal 4 2 3 6 5 2 2" xfId="26755"/>
    <cellStyle name="Normal 4 2 3 6 5 2 3" xfId="41798"/>
    <cellStyle name="Normal 4 2 3 6 5 3" xfId="19234"/>
    <cellStyle name="Normal 4 2 3 6 5 4" xfId="34277"/>
    <cellStyle name="Normal 4 2 3 6 6" xfId="7950"/>
    <cellStyle name="Normal 4 2 3 6 6 2" xfId="22994"/>
    <cellStyle name="Normal 4 2 3 6 6 3" xfId="38037"/>
    <cellStyle name="Normal 4 2 3 6 7" xfId="15473"/>
    <cellStyle name="Normal 4 2 3 6 8" xfId="30516"/>
    <cellStyle name="Normal 4 2 3 7" xfId="793"/>
    <cellStyle name="Normal 4 2 3 7 2" xfId="1752"/>
    <cellStyle name="Normal 4 2 3 7 2 2" xfId="3623"/>
    <cellStyle name="Normal 4 2 3 7 2 2 2" xfId="7418"/>
    <cellStyle name="Normal 4 2 3 7 2 2 2 2" xfId="14941"/>
    <cellStyle name="Normal 4 2 3 7 2 2 2 2 2" xfId="29985"/>
    <cellStyle name="Normal 4 2 3 7 2 2 2 2 3" xfId="45028"/>
    <cellStyle name="Normal 4 2 3 7 2 2 2 3" xfId="22464"/>
    <cellStyle name="Normal 4 2 3 7 2 2 2 4" xfId="37507"/>
    <cellStyle name="Normal 4 2 3 7 2 2 3" xfId="11192"/>
    <cellStyle name="Normal 4 2 3 7 2 2 3 2" xfId="26236"/>
    <cellStyle name="Normal 4 2 3 7 2 2 3 3" xfId="41279"/>
    <cellStyle name="Normal 4 2 3 7 2 2 4" xfId="18715"/>
    <cellStyle name="Normal 4 2 3 7 2 2 5" xfId="33758"/>
    <cellStyle name="Normal 4 2 3 7 2 3" xfId="5553"/>
    <cellStyle name="Normal 4 2 3 7 2 3 2" xfId="13076"/>
    <cellStyle name="Normal 4 2 3 7 2 3 2 2" xfId="28120"/>
    <cellStyle name="Normal 4 2 3 7 2 3 2 3" xfId="43163"/>
    <cellStyle name="Normal 4 2 3 7 2 3 3" xfId="20599"/>
    <cellStyle name="Normal 4 2 3 7 2 3 4" xfId="35642"/>
    <cellStyle name="Normal 4 2 3 7 2 4" xfId="9327"/>
    <cellStyle name="Normal 4 2 3 7 2 4 2" xfId="24371"/>
    <cellStyle name="Normal 4 2 3 7 2 4 3" xfId="39414"/>
    <cellStyle name="Normal 4 2 3 7 2 5" xfId="16850"/>
    <cellStyle name="Normal 4 2 3 7 2 6" xfId="31893"/>
    <cellStyle name="Normal 4 2 3 7 3" xfId="2691"/>
    <cellStyle name="Normal 4 2 3 7 3 2" xfId="6486"/>
    <cellStyle name="Normal 4 2 3 7 3 2 2" xfId="14009"/>
    <cellStyle name="Normal 4 2 3 7 3 2 2 2" xfId="29053"/>
    <cellStyle name="Normal 4 2 3 7 3 2 2 3" xfId="44096"/>
    <cellStyle name="Normal 4 2 3 7 3 2 3" xfId="21532"/>
    <cellStyle name="Normal 4 2 3 7 3 2 4" xfId="36575"/>
    <cellStyle name="Normal 4 2 3 7 3 3" xfId="10260"/>
    <cellStyle name="Normal 4 2 3 7 3 3 2" xfId="25304"/>
    <cellStyle name="Normal 4 2 3 7 3 3 3" xfId="40347"/>
    <cellStyle name="Normal 4 2 3 7 3 4" xfId="17783"/>
    <cellStyle name="Normal 4 2 3 7 3 5" xfId="32826"/>
    <cellStyle name="Normal 4 2 3 7 4" xfId="4621"/>
    <cellStyle name="Normal 4 2 3 7 4 2" xfId="12144"/>
    <cellStyle name="Normal 4 2 3 7 4 2 2" xfId="27188"/>
    <cellStyle name="Normal 4 2 3 7 4 2 3" xfId="42231"/>
    <cellStyle name="Normal 4 2 3 7 4 3" xfId="19667"/>
    <cellStyle name="Normal 4 2 3 7 4 4" xfId="34710"/>
    <cellStyle name="Normal 4 2 3 7 5" xfId="8395"/>
    <cellStyle name="Normal 4 2 3 7 5 2" xfId="23439"/>
    <cellStyle name="Normal 4 2 3 7 5 3" xfId="38482"/>
    <cellStyle name="Normal 4 2 3 7 6" xfId="15918"/>
    <cellStyle name="Normal 4 2 3 7 7" xfId="30961"/>
    <cellStyle name="Normal 4 2 3 8" xfId="1300"/>
    <cellStyle name="Normal 4 2 3 8 2" xfId="3171"/>
    <cellStyle name="Normal 4 2 3 8 2 2" xfId="6966"/>
    <cellStyle name="Normal 4 2 3 8 2 2 2" xfId="14489"/>
    <cellStyle name="Normal 4 2 3 8 2 2 2 2" xfId="29533"/>
    <cellStyle name="Normal 4 2 3 8 2 2 2 3" xfId="44576"/>
    <cellStyle name="Normal 4 2 3 8 2 2 3" xfId="22012"/>
    <cellStyle name="Normal 4 2 3 8 2 2 4" xfId="37055"/>
    <cellStyle name="Normal 4 2 3 8 2 3" xfId="10740"/>
    <cellStyle name="Normal 4 2 3 8 2 3 2" xfId="25784"/>
    <cellStyle name="Normal 4 2 3 8 2 3 3" xfId="40827"/>
    <cellStyle name="Normal 4 2 3 8 2 4" xfId="18263"/>
    <cellStyle name="Normal 4 2 3 8 2 5" xfId="33306"/>
    <cellStyle name="Normal 4 2 3 8 3" xfId="5101"/>
    <cellStyle name="Normal 4 2 3 8 3 2" xfId="12624"/>
    <cellStyle name="Normal 4 2 3 8 3 2 2" xfId="27668"/>
    <cellStyle name="Normal 4 2 3 8 3 2 3" xfId="42711"/>
    <cellStyle name="Normal 4 2 3 8 3 3" xfId="20147"/>
    <cellStyle name="Normal 4 2 3 8 3 4" xfId="35190"/>
    <cellStyle name="Normal 4 2 3 8 4" xfId="8875"/>
    <cellStyle name="Normal 4 2 3 8 4 2" xfId="23919"/>
    <cellStyle name="Normal 4 2 3 8 4 3" xfId="38962"/>
    <cellStyle name="Normal 4 2 3 8 5" xfId="16398"/>
    <cellStyle name="Normal 4 2 3 8 6" xfId="31441"/>
    <cellStyle name="Normal 4 2 3 9" xfId="2238"/>
    <cellStyle name="Normal 4 2 3 9 2" xfId="6034"/>
    <cellStyle name="Normal 4 2 3 9 2 2" xfId="13557"/>
    <cellStyle name="Normal 4 2 3 9 2 2 2" xfId="28601"/>
    <cellStyle name="Normal 4 2 3 9 2 2 3" xfId="43644"/>
    <cellStyle name="Normal 4 2 3 9 2 3" xfId="21080"/>
    <cellStyle name="Normal 4 2 3 9 2 4" xfId="36123"/>
    <cellStyle name="Normal 4 2 3 9 3" xfId="9808"/>
    <cellStyle name="Normal 4 2 3 9 3 2" xfId="24852"/>
    <cellStyle name="Normal 4 2 3 9 3 3" xfId="39895"/>
    <cellStyle name="Normal 4 2 3 9 4" xfId="17331"/>
    <cellStyle name="Normal 4 2 3 9 5" xfId="32374"/>
    <cellStyle name="Normal 4 2 4" xfId="291"/>
    <cellStyle name="Normal 4 2 4 10" xfId="7951"/>
    <cellStyle name="Normal 4 2 4 10 2" xfId="22995"/>
    <cellStyle name="Normal 4 2 4 10 3" xfId="38038"/>
    <cellStyle name="Normal 4 2 4 11" xfId="15474"/>
    <cellStyle name="Normal 4 2 4 12" xfId="30517"/>
    <cellStyle name="Normal 4 2 4 2" xfId="292"/>
    <cellStyle name="Normal 4 2 4 2 10" xfId="15475"/>
    <cellStyle name="Normal 4 2 4 2 11" xfId="30518"/>
    <cellStyle name="Normal 4 2 4 2 2" xfId="293"/>
    <cellStyle name="Normal 4 2 4 2 2 2" xfId="294"/>
    <cellStyle name="Normal 4 2 4 2 2 2 2" xfId="818"/>
    <cellStyle name="Normal 4 2 4 2 2 2 2 2" xfId="1777"/>
    <cellStyle name="Normal 4 2 4 2 2 2 2 2 2" xfId="3648"/>
    <cellStyle name="Normal 4 2 4 2 2 2 2 2 2 2" xfId="7443"/>
    <cellStyle name="Normal 4 2 4 2 2 2 2 2 2 2 2" xfId="14966"/>
    <cellStyle name="Normal 4 2 4 2 2 2 2 2 2 2 2 2" xfId="30010"/>
    <cellStyle name="Normal 4 2 4 2 2 2 2 2 2 2 2 3" xfId="45053"/>
    <cellStyle name="Normal 4 2 4 2 2 2 2 2 2 2 3" xfId="22489"/>
    <cellStyle name="Normal 4 2 4 2 2 2 2 2 2 2 4" xfId="37532"/>
    <cellStyle name="Normal 4 2 4 2 2 2 2 2 2 3" xfId="11217"/>
    <cellStyle name="Normal 4 2 4 2 2 2 2 2 2 3 2" xfId="26261"/>
    <cellStyle name="Normal 4 2 4 2 2 2 2 2 2 3 3" xfId="41304"/>
    <cellStyle name="Normal 4 2 4 2 2 2 2 2 2 4" xfId="18740"/>
    <cellStyle name="Normal 4 2 4 2 2 2 2 2 2 5" xfId="33783"/>
    <cellStyle name="Normal 4 2 4 2 2 2 2 2 3" xfId="5578"/>
    <cellStyle name="Normal 4 2 4 2 2 2 2 2 3 2" xfId="13101"/>
    <cellStyle name="Normal 4 2 4 2 2 2 2 2 3 2 2" xfId="28145"/>
    <cellStyle name="Normal 4 2 4 2 2 2 2 2 3 2 3" xfId="43188"/>
    <cellStyle name="Normal 4 2 4 2 2 2 2 2 3 3" xfId="20624"/>
    <cellStyle name="Normal 4 2 4 2 2 2 2 2 3 4" xfId="35667"/>
    <cellStyle name="Normal 4 2 4 2 2 2 2 2 4" xfId="9352"/>
    <cellStyle name="Normal 4 2 4 2 2 2 2 2 4 2" xfId="24396"/>
    <cellStyle name="Normal 4 2 4 2 2 2 2 2 4 3" xfId="39439"/>
    <cellStyle name="Normal 4 2 4 2 2 2 2 2 5" xfId="16875"/>
    <cellStyle name="Normal 4 2 4 2 2 2 2 2 6" xfId="31918"/>
    <cellStyle name="Normal 4 2 4 2 2 2 2 3" xfId="2716"/>
    <cellStyle name="Normal 4 2 4 2 2 2 2 3 2" xfId="6511"/>
    <cellStyle name="Normal 4 2 4 2 2 2 2 3 2 2" xfId="14034"/>
    <cellStyle name="Normal 4 2 4 2 2 2 2 3 2 2 2" xfId="29078"/>
    <cellStyle name="Normal 4 2 4 2 2 2 2 3 2 2 3" xfId="44121"/>
    <cellStyle name="Normal 4 2 4 2 2 2 2 3 2 3" xfId="21557"/>
    <cellStyle name="Normal 4 2 4 2 2 2 2 3 2 4" xfId="36600"/>
    <cellStyle name="Normal 4 2 4 2 2 2 2 3 3" xfId="10285"/>
    <cellStyle name="Normal 4 2 4 2 2 2 2 3 3 2" xfId="25329"/>
    <cellStyle name="Normal 4 2 4 2 2 2 2 3 3 3" xfId="40372"/>
    <cellStyle name="Normal 4 2 4 2 2 2 2 3 4" xfId="17808"/>
    <cellStyle name="Normal 4 2 4 2 2 2 2 3 5" xfId="32851"/>
    <cellStyle name="Normal 4 2 4 2 2 2 2 4" xfId="4646"/>
    <cellStyle name="Normal 4 2 4 2 2 2 2 4 2" xfId="12169"/>
    <cellStyle name="Normal 4 2 4 2 2 2 2 4 2 2" xfId="27213"/>
    <cellStyle name="Normal 4 2 4 2 2 2 2 4 2 3" xfId="42256"/>
    <cellStyle name="Normal 4 2 4 2 2 2 2 4 3" xfId="19692"/>
    <cellStyle name="Normal 4 2 4 2 2 2 2 4 4" xfId="34735"/>
    <cellStyle name="Normal 4 2 4 2 2 2 2 5" xfId="8420"/>
    <cellStyle name="Normal 4 2 4 2 2 2 2 5 2" xfId="23464"/>
    <cellStyle name="Normal 4 2 4 2 2 2 2 5 3" xfId="38507"/>
    <cellStyle name="Normal 4 2 4 2 2 2 2 6" xfId="15943"/>
    <cellStyle name="Normal 4 2 4 2 2 2 2 7" xfId="30986"/>
    <cellStyle name="Normal 4 2 4 2 2 2 3" xfId="1325"/>
    <cellStyle name="Normal 4 2 4 2 2 2 3 2" xfId="3196"/>
    <cellStyle name="Normal 4 2 4 2 2 2 3 2 2" xfId="6991"/>
    <cellStyle name="Normal 4 2 4 2 2 2 3 2 2 2" xfId="14514"/>
    <cellStyle name="Normal 4 2 4 2 2 2 3 2 2 2 2" xfId="29558"/>
    <cellStyle name="Normal 4 2 4 2 2 2 3 2 2 2 3" xfId="44601"/>
    <cellStyle name="Normal 4 2 4 2 2 2 3 2 2 3" xfId="22037"/>
    <cellStyle name="Normal 4 2 4 2 2 2 3 2 2 4" xfId="37080"/>
    <cellStyle name="Normal 4 2 4 2 2 2 3 2 3" xfId="10765"/>
    <cellStyle name="Normal 4 2 4 2 2 2 3 2 3 2" xfId="25809"/>
    <cellStyle name="Normal 4 2 4 2 2 2 3 2 3 3" xfId="40852"/>
    <cellStyle name="Normal 4 2 4 2 2 2 3 2 4" xfId="18288"/>
    <cellStyle name="Normal 4 2 4 2 2 2 3 2 5" xfId="33331"/>
    <cellStyle name="Normal 4 2 4 2 2 2 3 3" xfId="5126"/>
    <cellStyle name="Normal 4 2 4 2 2 2 3 3 2" xfId="12649"/>
    <cellStyle name="Normal 4 2 4 2 2 2 3 3 2 2" xfId="27693"/>
    <cellStyle name="Normal 4 2 4 2 2 2 3 3 2 3" xfId="42736"/>
    <cellStyle name="Normal 4 2 4 2 2 2 3 3 3" xfId="20172"/>
    <cellStyle name="Normal 4 2 4 2 2 2 3 3 4" xfId="35215"/>
    <cellStyle name="Normal 4 2 4 2 2 2 3 4" xfId="8900"/>
    <cellStyle name="Normal 4 2 4 2 2 2 3 4 2" xfId="23944"/>
    <cellStyle name="Normal 4 2 4 2 2 2 3 4 3" xfId="38987"/>
    <cellStyle name="Normal 4 2 4 2 2 2 3 5" xfId="16423"/>
    <cellStyle name="Normal 4 2 4 2 2 2 3 6" xfId="31466"/>
    <cellStyle name="Normal 4 2 4 2 2 2 4" xfId="2263"/>
    <cellStyle name="Normal 4 2 4 2 2 2 4 2" xfId="6059"/>
    <cellStyle name="Normal 4 2 4 2 2 2 4 2 2" xfId="13582"/>
    <cellStyle name="Normal 4 2 4 2 2 2 4 2 2 2" xfId="28626"/>
    <cellStyle name="Normal 4 2 4 2 2 2 4 2 2 3" xfId="43669"/>
    <cellStyle name="Normal 4 2 4 2 2 2 4 2 3" xfId="21105"/>
    <cellStyle name="Normal 4 2 4 2 2 2 4 2 4" xfId="36148"/>
    <cellStyle name="Normal 4 2 4 2 2 2 4 3" xfId="9833"/>
    <cellStyle name="Normal 4 2 4 2 2 2 4 3 2" xfId="24877"/>
    <cellStyle name="Normal 4 2 4 2 2 2 4 3 3" xfId="39920"/>
    <cellStyle name="Normal 4 2 4 2 2 2 4 4" xfId="17356"/>
    <cellStyle name="Normal 4 2 4 2 2 2 4 5" xfId="32399"/>
    <cellStyle name="Normal 4 2 4 2 2 2 5" xfId="4191"/>
    <cellStyle name="Normal 4 2 4 2 2 2 5 2" xfId="11715"/>
    <cellStyle name="Normal 4 2 4 2 2 2 5 2 2" xfId="26759"/>
    <cellStyle name="Normal 4 2 4 2 2 2 5 2 3" xfId="41802"/>
    <cellStyle name="Normal 4 2 4 2 2 2 5 3" xfId="19238"/>
    <cellStyle name="Normal 4 2 4 2 2 2 5 4" xfId="34281"/>
    <cellStyle name="Normal 4 2 4 2 2 2 6" xfId="7954"/>
    <cellStyle name="Normal 4 2 4 2 2 2 6 2" xfId="22998"/>
    <cellStyle name="Normal 4 2 4 2 2 2 6 3" xfId="38041"/>
    <cellStyle name="Normal 4 2 4 2 2 2 7" xfId="15477"/>
    <cellStyle name="Normal 4 2 4 2 2 2 8" xfId="30520"/>
    <cellStyle name="Normal 4 2 4 2 2 3" xfId="817"/>
    <cellStyle name="Normal 4 2 4 2 2 3 2" xfId="1776"/>
    <cellStyle name="Normal 4 2 4 2 2 3 2 2" xfId="3647"/>
    <cellStyle name="Normal 4 2 4 2 2 3 2 2 2" xfId="7442"/>
    <cellStyle name="Normal 4 2 4 2 2 3 2 2 2 2" xfId="14965"/>
    <cellStyle name="Normal 4 2 4 2 2 3 2 2 2 2 2" xfId="30009"/>
    <cellStyle name="Normal 4 2 4 2 2 3 2 2 2 2 3" xfId="45052"/>
    <cellStyle name="Normal 4 2 4 2 2 3 2 2 2 3" xfId="22488"/>
    <cellStyle name="Normal 4 2 4 2 2 3 2 2 2 4" xfId="37531"/>
    <cellStyle name="Normal 4 2 4 2 2 3 2 2 3" xfId="11216"/>
    <cellStyle name="Normal 4 2 4 2 2 3 2 2 3 2" xfId="26260"/>
    <cellStyle name="Normal 4 2 4 2 2 3 2 2 3 3" xfId="41303"/>
    <cellStyle name="Normal 4 2 4 2 2 3 2 2 4" xfId="18739"/>
    <cellStyle name="Normal 4 2 4 2 2 3 2 2 5" xfId="33782"/>
    <cellStyle name="Normal 4 2 4 2 2 3 2 3" xfId="5577"/>
    <cellStyle name="Normal 4 2 4 2 2 3 2 3 2" xfId="13100"/>
    <cellStyle name="Normal 4 2 4 2 2 3 2 3 2 2" xfId="28144"/>
    <cellStyle name="Normal 4 2 4 2 2 3 2 3 2 3" xfId="43187"/>
    <cellStyle name="Normal 4 2 4 2 2 3 2 3 3" xfId="20623"/>
    <cellStyle name="Normal 4 2 4 2 2 3 2 3 4" xfId="35666"/>
    <cellStyle name="Normal 4 2 4 2 2 3 2 4" xfId="9351"/>
    <cellStyle name="Normal 4 2 4 2 2 3 2 4 2" xfId="24395"/>
    <cellStyle name="Normal 4 2 4 2 2 3 2 4 3" xfId="39438"/>
    <cellStyle name="Normal 4 2 4 2 2 3 2 5" xfId="16874"/>
    <cellStyle name="Normal 4 2 4 2 2 3 2 6" xfId="31917"/>
    <cellStyle name="Normal 4 2 4 2 2 3 3" xfId="2715"/>
    <cellStyle name="Normal 4 2 4 2 2 3 3 2" xfId="6510"/>
    <cellStyle name="Normal 4 2 4 2 2 3 3 2 2" xfId="14033"/>
    <cellStyle name="Normal 4 2 4 2 2 3 3 2 2 2" xfId="29077"/>
    <cellStyle name="Normal 4 2 4 2 2 3 3 2 2 3" xfId="44120"/>
    <cellStyle name="Normal 4 2 4 2 2 3 3 2 3" xfId="21556"/>
    <cellStyle name="Normal 4 2 4 2 2 3 3 2 4" xfId="36599"/>
    <cellStyle name="Normal 4 2 4 2 2 3 3 3" xfId="10284"/>
    <cellStyle name="Normal 4 2 4 2 2 3 3 3 2" xfId="25328"/>
    <cellStyle name="Normal 4 2 4 2 2 3 3 3 3" xfId="40371"/>
    <cellStyle name="Normal 4 2 4 2 2 3 3 4" xfId="17807"/>
    <cellStyle name="Normal 4 2 4 2 2 3 3 5" xfId="32850"/>
    <cellStyle name="Normal 4 2 4 2 2 3 4" xfId="4645"/>
    <cellStyle name="Normal 4 2 4 2 2 3 4 2" xfId="12168"/>
    <cellStyle name="Normal 4 2 4 2 2 3 4 2 2" xfId="27212"/>
    <cellStyle name="Normal 4 2 4 2 2 3 4 2 3" xfId="42255"/>
    <cellStyle name="Normal 4 2 4 2 2 3 4 3" xfId="19691"/>
    <cellStyle name="Normal 4 2 4 2 2 3 4 4" xfId="34734"/>
    <cellStyle name="Normal 4 2 4 2 2 3 5" xfId="8419"/>
    <cellStyle name="Normal 4 2 4 2 2 3 5 2" xfId="23463"/>
    <cellStyle name="Normal 4 2 4 2 2 3 5 3" xfId="38506"/>
    <cellStyle name="Normal 4 2 4 2 2 3 6" xfId="15942"/>
    <cellStyle name="Normal 4 2 4 2 2 3 7" xfId="30985"/>
    <cellStyle name="Normal 4 2 4 2 2 4" xfId="1324"/>
    <cellStyle name="Normal 4 2 4 2 2 4 2" xfId="3195"/>
    <cellStyle name="Normal 4 2 4 2 2 4 2 2" xfId="6990"/>
    <cellStyle name="Normal 4 2 4 2 2 4 2 2 2" xfId="14513"/>
    <cellStyle name="Normal 4 2 4 2 2 4 2 2 2 2" xfId="29557"/>
    <cellStyle name="Normal 4 2 4 2 2 4 2 2 2 3" xfId="44600"/>
    <cellStyle name="Normal 4 2 4 2 2 4 2 2 3" xfId="22036"/>
    <cellStyle name="Normal 4 2 4 2 2 4 2 2 4" xfId="37079"/>
    <cellStyle name="Normal 4 2 4 2 2 4 2 3" xfId="10764"/>
    <cellStyle name="Normal 4 2 4 2 2 4 2 3 2" xfId="25808"/>
    <cellStyle name="Normal 4 2 4 2 2 4 2 3 3" xfId="40851"/>
    <cellStyle name="Normal 4 2 4 2 2 4 2 4" xfId="18287"/>
    <cellStyle name="Normal 4 2 4 2 2 4 2 5" xfId="33330"/>
    <cellStyle name="Normal 4 2 4 2 2 4 3" xfId="5125"/>
    <cellStyle name="Normal 4 2 4 2 2 4 3 2" xfId="12648"/>
    <cellStyle name="Normal 4 2 4 2 2 4 3 2 2" xfId="27692"/>
    <cellStyle name="Normal 4 2 4 2 2 4 3 2 3" xfId="42735"/>
    <cellStyle name="Normal 4 2 4 2 2 4 3 3" xfId="20171"/>
    <cellStyle name="Normal 4 2 4 2 2 4 3 4" xfId="35214"/>
    <cellStyle name="Normal 4 2 4 2 2 4 4" xfId="8899"/>
    <cellStyle name="Normal 4 2 4 2 2 4 4 2" xfId="23943"/>
    <cellStyle name="Normal 4 2 4 2 2 4 4 3" xfId="38986"/>
    <cellStyle name="Normal 4 2 4 2 2 4 5" xfId="16422"/>
    <cellStyle name="Normal 4 2 4 2 2 4 6" xfId="31465"/>
    <cellStyle name="Normal 4 2 4 2 2 5" xfId="2262"/>
    <cellStyle name="Normal 4 2 4 2 2 5 2" xfId="6058"/>
    <cellStyle name="Normal 4 2 4 2 2 5 2 2" xfId="13581"/>
    <cellStyle name="Normal 4 2 4 2 2 5 2 2 2" xfId="28625"/>
    <cellStyle name="Normal 4 2 4 2 2 5 2 2 3" xfId="43668"/>
    <cellStyle name="Normal 4 2 4 2 2 5 2 3" xfId="21104"/>
    <cellStyle name="Normal 4 2 4 2 2 5 2 4" xfId="36147"/>
    <cellStyle name="Normal 4 2 4 2 2 5 3" xfId="9832"/>
    <cellStyle name="Normal 4 2 4 2 2 5 3 2" xfId="24876"/>
    <cellStyle name="Normal 4 2 4 2 2 5 3 3" xfId="39919"/>
    <cellStyle name="Normal 4 2 4 2 2 5 4" xfId="17355"/>
    <cellStyle name="Normal 4 2 4 2 2 5 5" xfId="32398"/>
    <cellStyle name="Normal 4 2 4 2 2 6" xfId="4190"/>
    <cellStyle name="Normal 4 2 4 2 2 6 2" xfId="11714"/>
    <cellStyle name="Normal 4 2 4 2 2 6 2 2" xfId="26758"/>
    <cellStyle name="Normal 4 2 4 2 2 6 2 3" xfId="41801"/>
    <cellStyle name="Normal 4 2 4 2 2 6 3" xfId="19237"/>
    <cellStyle name="Normal 4 2 4 2 2 6 4" xfId="34280"/>
    <cellStyle name="Normal 4 2 4 2 2 7" xfId="7953"/>
    <cellStyle name="Normal 4 2 4 2 2 7 2" xfId="22997"/>
    <cellStyle name="Normal 4 2 4 2 2 7 3" xfId="38040"/>
    <cellStyle name="Normal 4 2 4 2 2 8" xfId="15476"/>
    <cellStyle name="Normal 4 2 4 2 2 9" xfId="30519"/>
    <cellStyle name="Normal 4 2 4 2 3" xfId="295"/>
    <cellStyle name="Normal 4 2 4 2 3 2" xfId="296"/>
    <cellStyle name="Normal 4 2 4 2 3 2 2" xfId="820"/>
    <cellStyle name="Normal 4 2 4 2 3 2 2 2" xfId="1779"/>
    <cellStyle name="Normal 4 2 4 2 3 2 2 2 2" xfId="3650"/>
    <cellStyle name="Normal 4 2 4 2 3 2 2 2 2 2" xfId="7445"/>
    <cellStyle name="Normal 4 2 4 2 3 2 2 2 2 2 2" xfId="14968"/>
    <cellStyle name="Normal 4 2 4 2 3 2 2 2 2 2 2 2" xfId="30012"/>
    <cellStyle name="Normal 4 2 4 2 3 2 2 2 2 2 2 3" xfId="45055"/>
    <cellStyle name="Normal 4 2 4 2 3 2 2 2 2 2 3" xfId="22491"/>
    <cellStyle name="Normal 4 2 4 2 3 2 2 2 2 2 4" xfId="37534"/>
    <cellStyle name="Normal 4 2 4 2 3 2 2 2 2 3" xfId="11219"/>
    <cellStyle name="Normal 4 2 4 2 3 2 2 2 2 3 2" xfId="26263"/>
    <cellStyle name="Normal 4 2 4 2 3 2 2 2 2 3 3" xfId="41306"/>
    <cellStyle name="Normal 4 2 4 2 3 2 2 2 2 4" xfId="18742"/>
    <cellStyle name="Normal 4 2 4 2 3 2 2 2 2 5" xfId="33785"/>
    <cellStyle name="Normal 4 2 4 2 3 2 2 2 3" xfId="5580"/>
    <cellStyle name="Normal 4 2 4 2 3 2 2 2 3 2" xfId="13103"/>
    <cellStyle name="Normal 4 2 4 2 3 2 2 2 3 2 2" xfId="28147"/>
    <cellStyle name="Normal 4 2 4 2 3 2 2 2 3 2 3" xfId="43190"/>
    <cellStyle name="Normal 4 2 4 2 3 2 2 2 3 3" xfId="20626"/>
    <cellStyle name="Normal 4 2 4 2 3 2 2 2 3 4" xfId="35669"/>
    <cellStyle name="Normal 4 2 4 2 3 2 2 2 4" xfId="9354"/>
    <cellStyle name="Normal 4 2 4 2 3 2 2 2 4 2" xfId="24398"/>
    <cellStyle name="Normal 4 2 4 2 3 2 2 2 4 3" xfId="39441"/>
    <cellStyle name="Normal 4 2 4 2 3 2 2 2 5" xfId="16877"/>
    <cellStyle name="Normal 4 2 4 2 3 2 2 2 6" xfId="31920"/>
    <cellStyle name="Normal 4 2 4 2 3 2 2 3" xfId="2718"/>
    <cellStyle name="Normal 4 2 4 2 3 2 2 3 2" xfId="6513"/>
    <cellStyle name="Normal 4 2 4 2 3 2 2 3 2 2" xfId="14036"/>
    <cellStyle name="Normal 4 2 4 2 3 2 2 3 2 2 2" xfId="29080"/>
    <cellStyle name="Normal 4 2 4 2 3 2 2 3 2 2 3" xfId="44123"/>
    <cellStyle name="Normal 4 2 4 2 3 2 2 3 2 3" xfId="21559"/>
    <cellStyle name="Normal 4 2 4 2 3 2 2 3 2 4" xfId="36602"/>
    <cellStyle name="Normal 4 2 4 2 3 2 2 3 3" xfId="10287"/>
    <cellStyle name="Normal 4 2 4 2 3 2 2 3 3 2" xfId="25331"/>
    <cellStyle name="Normal 4 2 4 2 3 2 2 3 3 3" xfId="40374"/>
    <cellStyle name="Normal 4 2 4 2 3 2 2 3 4" xfId="17810"/>
    <cellStyle name="Normal 4 2 4 2 3 2 2 3 5" xfId="32853"/>
    <cellStyle name="Normal 4 2 4 2 3 2 2 4" xfId="4648"/>
    <cellStyle name="Normal 4 2 4 2 3 2 2 4 2" xfId="12171"/>
    <cellStyle name="Normal 4 2 4 2 3 2 2 4 2 2" xfId="27215"/>
    <cellStyle name="Normal 4 2 4 2 3 2 2 4 2 3" xfId="42258"/>
    <cellStyle name="Normal 4 2 4 2 3 2 2 4 3" xfId="19694"/>
    <cellStyle name="Normal 4 2 4 2 3 2 2 4 4" xfId="34737"/>
    <cellStyle name="Normal 4 2 4 2 3 2 2 5" xfId="8422"/>
    <cellStyle name="Normal 4 2 4 2 3 2 2 5 2" xfId="23466"/>
    <cellStyle name="Normal 4 2 4 2 3 2 2 5 3" xfId="38509"/>
    <cellStyle name="Normal 4 2 4 2 3 2 2 6" xfId="15945"/>
    <cellStyle name="Normal 4 2 4 2 3 2 2 7" xfId="30988"/>
    <cellStyle name="Normal 4 2 4 2 3 2 3" xfId="1327"/>
    <cellStyle name="Normal 4 2 4 2 3 2 3 2" xfId="3198"/>
    <cellStyle name="Normal 4 2 4 2 3 2 3 2 2" xfId="6993"/>
    <cellStyle name="Normal 4 2 4 2 3 2 3 2 2 2" xfId="14516"/>
    <cellStyle name="Normal 4 2 4 2 3 2 3 2 2 2 2" xfId="29560"/>
    <cellStyle name="Normal 4 2 4 2 3 2 3 2 2 2 3" xfId="44603"/>
    <cellStyle name="Normal 4 2 4 2 3 2 3 2 2 3" xfId="22039"/>
    <cellStyle name="Normal 4 2 4 2 3 2 3 2 2 4" xfId="37082"/>
    <cellStyle name="Normal 4 2 4 2 3 2 3 2 3" xfId="10767"/>
    <cellStyle name="Normal 4 2 4 2 3 2 3 2 3 2" xfId="25811"/>
    <cellStyle name="Normal 4 2 4 2 3 2 3 2 3 3" xfId="40854"/>
    <cellStyle name="Normal 4 2 4 2 3 2 3 2 4" xfId="18290"/>
    <cellStyle name="Normal 4 2 4 2 3 2 3 2 5" xfId="33333"/>
    <cellStyle name="Normal 4 2 4 2 3 2 3 3" xfId="5128"/>
    <cellStyle name="Normal 4 2 4 2 3 2 3 3 2" xfId="12651"/>
    <cellStyle name="Normal 4 2 4 2 3 2 3 3 2 2" xfId="27695"/>
    <cellStyle name="Normal 4 2 4 2 3 2 3 3 2 3" xfId="42738"/>
    <cellStyle name="Normal 4 2 4 2 3 2 3 3 3" xfId="20174"/>
    <cellStyle name="Normal 4 2 4 2 3 2 3 3 4" xfId="35217"/>
    <cellStyle name="Normal 4 2 4 2 3 2 3 4" xfId="8902"/>
    <cellStyle name="Normal 4 2 4 2 3 2 3 4 2" xfId="23946"/>
    <cellStyle name="Normal 4 2 4 2 3 2 3 4 3" xfId="38989"/>
    <cellStyle name="Normal 4 2 4 2 3 2 3 5" xfId="16425"/>
    <cellStyle name="Normal 4 2 4 2 3 2 3 6" xfId="31468"/>
    <cellStyle name="Normal 4 2 4 2 3 2 4" xfId="2265"/>
    <cellStyle name="Normal 4 2 4 2 3 2 4 2" xfId="6061"/>
    <cellStyle name="Normal 4 2 4 2 3 2 4 2 2" xfId="13584"/>
    <cellStyle name="Normal 4 2 4 2 3 2 4 2 2 2" xfId="28628"/>
    <cellStyle name="Normal 4 2 4 2 3 2 4 2 2 3" xfId="43671"/>
    <cellStyle name="Normal 4 2 4 2 3 2 4 2 3" xfId="21107"/>
    <cellStyle name="Normal 4 2 4 2 3 2 4 2 4" xfId="36150"/>
    <cellStyle name="Normal 4 2 4 2 3 2 4 3" xfId="9835"/>
    <cellStyle name="Normal 4 2 4 2 3 2 4 3 2" xfId="24879"/>
    <cellStyle name="Normal 4 2 4 2 3 2 4 3 3" xfId="39922"/>
    <cellStyle name="Normal 4 2 4 2 3 2 4 4" xfId="17358"/>
    <cellStyle name="Normal 4 2 4 2 3 2 4 5" xfId="32401"/>
    <cellStyle name="Normal 4 2 4 2 3 2 5" xfId="4193"/>
    <cellStyle name="Normal 4 2 4 2 3 2 5 2" xfId="11717"/>
    <cellStyle name="Normal 4 2 4 2 3 2 5 2 2" xfId="26761"/>
    <cellStyle name="Normal 4 2 4 2 3 2 5 2 3" xfId="41804"/>
    <cellStyle name="Normal 4 2 4 2 3 2 5 3" xfId="19240"/>
    <cellStyle name="Normal 4 2 4 2 3 2 5 4" xfId="34283"/>
    <cellStyle name="Normal 4 2 4 2 3 2 6" xfId="7956"/>
    <cellStyle name="Normal 4 2 4 2 3 2 6 2" xfId="23000"/>
    <cellStyle name="Normal 4 2 4 2 3 2 6 3" xfId="38043"/>
    <cellStyle name="Normal 4 2 4 2 3 2 7" xfId="15479"/>
    <cellStyle name="Normal 4 2 4 2 3 2 8" xfId="30522"/>
    <cellStyle name="Normal 4 2 4 2 3 3" xfId="819"/>
    <cellStyle name="Normal 4 2 4 2 3 3 2" xfId="1778"/>
    <cellStyle name="Normal 4 2 4 2 3 3 2 2" xfId="3649"/>
    <cellStyle name="Normal 4 2 4 2 3 3 2 2 2" xfId="7444"/>
    <cellStyle name="Normal 4 2 4 2 3 3 2 2 2 2" xfId="14967"/>
    <cellStyle name="Normal 4 2 4 2 3 3 2 2 2 2 2" xfId="30011"/>
    <cellStyle name="Normal 4 2 4 2 3 3 2 2 2 2 3" xfId="45054"/>
    <cellStyle name="Normal 4 2 4 2 3 3 2 2 2 3" xfId="22490"/>
    <cellStyle name="Normal 4 2 4 2 3 3 2 2 2 4" xfId="37533"/>
    <cellStyle name="Normal 4 2 4 2 3 3 2 2 3" xfId="11218"/>
    <cellStyle name="Normal 4 2 4 2 3 3 2 2 3 2" xfId="26262"/>
    <cellStyle name="Normal 4 2 4 2 3 3 2 2 3 3" xfId="41305"/>
    <cellStyle name="Normal 4 2 4 2 3 3 2 2 4" xfId="18741"/>
    <cellStyle name="Normal 4 2 4 2 3 3 2 2 5" xfId="33784"/>
    <cellStyle name="Normal 4 2 4 2 3 3 2 3" xfId="5579"/>
    <cellStyle name="Normal 4 2 4 2 3 3 2 3 2" xfId="13102"/>
    <cellStyle name="Normal 4 2 4 2 3 3 2 3 2 2" xfId="28146"/>
    <cellStyle name="Normal 4 2 4 2 3 3 2 3 2 3" xfId="43189"/>
    <cellStyle name="Normal 4 2 4 2 3 3 2 3 3" xfId="20625"/>
    <cellStyle name="Normal 4 2 4 2 3 3 2 3 4" xfId="35668"/>
    <cellStyle name="Normal 4 2 4 2 3 3 2 4" xfId="9353"/>
    <cellStyle name="Normal 4 2 4 2 3 3 2 4 2" xfId="24397"/>
    <cellStyle name="Normal 4 2 4 2 3 3 2 4 3" xfId="39440"/>
    <cellStyle name="Normal 4 2 4 2 3 3 2 5" xfId="16876"/>
    <cellStyle name="Normal 4 2 4 2 3 3 2 6" xfId="31919"/>
    <cellStyle name="Normal 4 2 4 2 3 3 3" xfId="2717"/>
    <cellStyle name="Normal 4 2 4 2 3 3 3 2" xfId="6512"/>
    <cellStyle name="Normal 4 2 4 2 3 3 3 2 2" xfId="14035"/>
    <cellStyle name="Normal 4 2 4 2 3 3 3 2 2 2" xfId="29079"/>
    <cellStyle name="Normal 4 2 4 2 3 3 3 2 2 3" xfId="44122"/>
    <cellStyle name="Normal 4 2 4 2 3 3 3 2 3" xfId="21558"/>
    <cellStyle name="Normal 4 2 4 2 3 3 3 2 4" xfId="36601"/>
    <cellStyle name="Normal 4 2 4 2 3 3 3 3" xfId="10286"/>
    <cellStyle name="Normal 4 2 4 2 3 3 3 3 2" xfId="25330"/>
    <cellStyle name="Normal 4 2 4 2 3 3 3 3 3" xfId="40373"/>
    <cellStyle name="Normal 4 2 4 2 3 3 3 4" xfId="17809"/>
    <cellStyle name="Normal 4 2 4 2 3 3 3 5" xfId="32852"/>
    <cellStyle name="Normal 4 2 4 2 3 3 4" xfId="4647"/>
    <cellStyle name="Normal 4 2 4 2 3 3 4 2" xfId="12170"/>
    <cellStyle name="Normal 4 2 4 2 3 3 4 2 2" xfId="27214"/>
    <cellStyle name="Normal 4 2 4 2 3 3 4 2 3" xfId="42257"/>
    <cellStyle name="Normal 4 2 4 2 3 3 4 3" xfId="19693"/>
    <cellStyle name="Normal 4 2 4 2 3 3 4 4" xfId="34736"/>
    <cellStyle name="Normal 4 2 4 2 3 3 5" xfId="8421"/>
    <cellStyle name="Normal 4 2 4 2 3 3 5 2" xfId="23465"/>
    <cellStyle name="Normal 4 2 4 2 3 3 5 3" xfId="38508"/>
    <cellStyle name="Normal 4 2 4 2 3 3 6" xfId="15944"/>
    <cellStyle name="Normal 4 2 4 2 3 3 7" xfId="30987"/>
    <cellStyle name="Normal 4 2 4 2 3 4" xfId="1326"/>
    <cellStyle name="Normal 4 2 4 2 3 4 2" xfId="3197"/>
    <cellStyle name="Normal 4 2 4 2 3 4 2 2" xfId="6992"/>
    <cellStyle name="Normal 4 2 4 2 3 4 2 2 2" xfId="14515"/>
    <cellStyle name="Normal 4 2 4 2 3 4 2 2 2 2" xfId="29559"/>
    <cellStyle name="Normal 4 2 4 2 3 4 2 2 2 3" xfId="44602"/>
    <cellStyle name="Normal 4 2 4 2 3 4 2 2 3" xfId="22038"/>
    <cellStyle name="Normal 4 2 4 2 3 4 2 2 4" xfId="37081"/>
    <cellStyle name="Normal 4 2 4 2 3 4 2 3" xfId="10766"/>
    <cellStyle name="Normal 4 2 4 2 3 4 2 3 2" xfId="25810"/>
    <cellStyle name="Normal 4 2 4 2 3 4 2 3 3" xfId="40853"/>
    <cellStyle name="Normal 4 2 4 2 3 4 2 4" xfId="18289"/>
    <cellStyle name="Normal 4 2 4 2 3 4 2 5" xfId="33332"/>
    <cellStyle name="Normal 4 2 4 2 3 4 3" xfId="5127"/>
    <cellStyle name="Normal 4 2 4 2 3 4 3 2" xfId="12650"/>
    <cellStyle name="Normal 4 2 4 2 3 4 3 2 2" xfId="27694"/>
    <cellStyle name="Normal 4 2 4 2 3 4 3 2 3" xfId="42737"/>
    <cellStyle name="Normal 4 2 4 2 3 4 3 3" xfId="20173"/>
    <cellStyle name="Normal 4 2 4 2 3 4 3 4" xfId="35216"/>
    <cellStyle name="Normal 4 2 4 2 3 4 4" xfId="8901"/>
    <cellStyle name="Normal 4 2 4 2 3 4 4 2" xfId="23945"/>
    <cellStyle name="Normal 4 2 4 2 3 4 4 3" xfId="38988"/>
    <cellStyle name="Normal 4 2 4 2 3 4 5" xfId="16424"/>
    <cellStyle name="Normal 4 2 4 2 3 4 6" xfId="31467"/>
    <cellStyle name="Normal 4 2 4 2 3 5" xfId="2264"/>
    <cellStyle name="Normal 4 2 4 2 3 5 2" xfId="6060"/>
    <cellStyle name="Normal 4 2 4 2 3 5 2 2" xfId="13583"/>
    <cellStyle name="Normal 4 2 4 2 3 5 2 2 2" xfId="28627"/>
    <cellStyle name="Normal 4 2 4 2 3 5 2 2 3" xfId="43670"/>
    <cellStyle name="Normal 4 2 4 2 3 5 2 3" xfId="21106"/>
    <cellStyle name="Normal 4 2 4 2 3 5 2 4" xfId="36149"/>
    <cellStyle name="Normal 4 2 4 2 3 5 3" xfId="9834"/>
    <cellStyle name="Normal 4 2 4 2 3 5 3 2" xfId="24878"/>
    <cellStyle name="Normal 4 2 4 2 3 5 3 3" xfId="39921"/>
    <cellStyle name="Normal 4 2 4 2 3 5 4" xfId="17357"/>
    <cellStyle name="Normal 4 2 4 2 3 5 5" xfId="32400"/>
    <cellStyle name="Normal 4 2 4 2 3 6" xfId="4192"/>
    <cellStyle name="Normal 4 2 4 2 3 6 2" xfId="11716"/>
    <cellStyle name="Normal 4 2 4 2 3 6 2 2" xfId="26760"/>
    <cellStyle name="Normal 4 2 4 2 3 6 2 3" xfId="41803"/>
    <cellStyle name="Normal 4 2 4 2 3 6 3" xfId="19239"/>
    <cellStyle name="Normal 4 2 4 2 3 6 4" xfId="34282"/>
    <cellStyle name="Normal 4 2 4 2 3 7" xfId="7955"/>
    <cellStyle name="Normal 4 2 4 2 3 7 2" xfId="22999"/>
    <cellStyle name="Normal 4 2 4 2 3 7 3" xfId="38042"/>
    <cellStyle name="Normal 4 2 4 2 3 8" xfId="15478"/>
    <cellStyle name="Normal 4 2 4 2 3 9" xfId="30521"/>
    <cellStyle name="Normal 4 2 4 2 4" xfId="297"/>
    <cellStyle name="Normal 4 2 4 2 4 2" xfId="821"/>
    <cellStyle name="Normal 4 2 4 2 4 2 2" xfId="1780"/>
    <cellStyle name="Normal 4 2 4 2 4 2 2 2" xfId="3651"/>
    <cellStyle name="Normal 4 2 4 2 4 2 2 2 2" xfId="7446"/>
    <cellStyle name="Normal 4 2 4 2 4 2 2 2 2 2" xfId="14969"/>
    <cellStyle name="Normal 4 2 4 2 4 2 2 2 2 2 2" xfId="30013"/>
    <cellStyle name="Normal 4 2 4 2 4 2 2 2 2 2 3" xfId="45056"/>
    <cellStyle name="Normal 4 2 4 2 4 2 2 2 2 3" xfId="22492"/>
    <cellStyle name="Normal 4 2 4 2 4 2 2 2 2 4" xfId="37535"/>
    <cellStyle name="Normal 4 2 4 2 4 2 2 2 3" xfId="11220"/>
    <cellStyle name="Normal 4 2 4 2 4 2 2 2 3 2" xfId="26264"/>
    <cellStyle name="Normal 4 2 4 2 4 2 2 2 3 3" xfId="41307"/>
    <cellStyle name="Normal 4 2 4 2 4 2 2 2 4" xfId="18743"/>
    <cellStyle name="Normal 4 2 4 2 4 2 2 2 5" xfId="33786"/>
    <cellStyle name="Normal 4 2 4 2 4 2 2 3" xfId="5581"/>
    <cellStyle name="Normal 4 2 4 2 4 2 2 3 2" xfId="13104"/>
    <cellStyle name="Normal 4 2 4 2 4 2 2 3 2 2" xfId="28148"/>
    <cellStyle name="Normal 4 2 4 2 4 2 2 3 2 3" xfId="43191"/>
    <cellStyle name="Normal 4 2 4 2 4 2 2 3 3" xfId="20627"/>
    <cellStyle name="Normal 4 2 4 2 4 2 2 3 4" xfId="35670"/>
    <cellStyle name="Normal 4 2 4 2 4 2 2 4" xfId="9355"/>
    <cellStyle name="Normal 4 2 4 2 4 2 2 4 2" xfId="24399"/>
    <cellStyle name="Normal 4 2 4 2 4 2 2 4 3" xfId="39442"/>
    <cellStyle name="Normal 4 2 4 2 4 2 2 5" xfId="16878"/>
    <cellStyle name="Normal 4 2 4 2 4 2 2 6" xfId="31921"/>
    <cellStyle name="Normal 4 2 4 2 4 2 3" xfId="2719"/>
    <cellStyle name="Normal 4 2 4 2 4 2 3 2" xfId="6514"/>
    <cellStyle name="Normal 4 2 4 2 4 2 3 2 2" xfId="14037"/>
    <cellStyle name="Normal 4 2 4 2 4 2 3 2 2 2" xfId="29081"/>
    <cellStyle name="Normal 4 2 4 2 4 2 3 2 2 3" xfId="44124"/>
    <cellStyle name="Normal 4 2 4 2 4 2 3 2 3" xfId="21560"/>
    <cellStyle name="Normal 4 2 4 2 4 2 3 2 4" xfId="36603"/>
    <cellStyle name="Normal 4 2 4 2 4 2 3 3" xfId="10288"/>
    <cellStyle name="Normal 4 2 4 2 4 2 3 3 2" xfId="25332"/>
    <cellStyle name="Normal 4 2 4 2 4 2 3 3 3" xfId="40375"/>
    <cellStyle name="Normal 4 2 4 2 4 2 3 4" xfId="17811"/>
    <cellStyle name="Normal 4 2 4 2 4 2 3 5" xfId="32854"/>
    <cellStyle name="Normal 4 2 4 2 4 2 4" xfId="4649"/>
    <cellStyle name="Normal 4 2 4 2 4 2 4 2" xfId="12172"/>
    <cellStyle name="Normal 4 2 4 2 4 2 4 2 2" xfId="27216"/>
    <cellStyle name="Normal 4 2 4 2 4 2 4 2 3" xfId="42259"/>
    <cellStyle name="Normal 4 2 4 2 4 2 4 3" xfId="19695"/>
    <cellStyle name="Normal 4 2 4 2 4 2 4 4" xfId="34738"/>
    <cellStyle name="Normal 4 2 4 2 4 2 5" xfId="8423"/>
    <cellStyle name="Normal 4 2 4 2 4 2 5 2" xfId="23467"/>
    <cellStyle name="Normal 4 2 4 2 4 2 5 3" xfId="38510"/>
    <cellStyle name="Normal 4 2 4 2 4 2 6" xfId="15946"/>
    <cellStyle name="Normal 4 2 4 2 4 2 7" xfId="30989"/>
    <cellStyle name="Normal 4 2 4 2 4 3" xfId="1328"/>
    <cellStyle name="Normal 4 2 4 2 4 3 2" xfId="3199"/>
    <cellStyle name="Normal 4 2 4 2 4 3 2 2" xfId="6994"/>
    <cellStyle name="Normal 4 2 4 2 4 3 2 2 2" xfId="14517"/>
    <cellStyle name="Normal 4 2 4 2 4 3 2 2 2 2" xfId="29561"/>
    <cellStyle name="Normal 4 2 4 2 4 3 2 2 2 3" xfId="44604"/>
    <cellStyle name="Normal 4 2 4 2 4 3 2 2 3" xfId="22040"/>
    <cellStyle name="Normal 4 2 4 2 4 3 2 2 4" xfId="37083"/>
    <cellStyle name="Normal 4 2 4 2 4 3 2 3" xfId="10768"/>
    <cellStyle name="Normal 4 2 4 2 4 3 2 3 2" xfId="25812"/>
    <cellStyle name="Normal 4 2 4 2 4 3 2 3 3" xfId="40855"/>
    <cellStyle name="Normal 4 2 4 2 4 3 2 4" xfId="18291"/>
    <cellStyle name="Normal 4 2 4 2 4 3 2 5" xfId="33334"/>
    <cellStyle name="Normal 4 2 4 2 4 3 3" xfId="5129"/>
    <cellStyle name="Normal 4 2 4 2 4 3 3 2" xfId="12652"/>
    <cellStyle name="Normal 4 2 4 2 4 3 3 2 2" xfId="27696"/>
    <cellStyle name="Normal 4 2 4 2 4 3 3 2 3" xfId="42739"/>
    <cellStyle name="Normal 4 2 4 2 4 3 3 3" xfId="20175"/>
    <cellStyle name="Normal 4 2 4 2 4 3 3 4" xfId="35218"/>
    <cellStyle name="Normal 4 2 4 2 4 3 4" xfId="8903"/>
    <cellStyle name="Normal 4 2 4 2 4 3 4 2" xfId="23947"/>
    <cellStyle name="Normal 4 2 4 2 4 3 4 3" xfId="38990"/>
    <cellStyle name="Normal 4 2 4 2 4 3 5" xfId="16426"/>
    <cellStyle name="Normal 4 2 4 2 4 3 6" xfId="31469"/>
    <cellStyle name="Normal 4 2 4 2 4 4" xfId="2266"/>
    <cellStyle name="Normal 4 2 4 2 4 4 2" xfId="6062"/>
    <cellStyle name="Normal 4 2 4 2 4 4 2 2" xfId="13585"/>
    <cellStyle name="Normal 4 2 4 2 4 4 2 2 2" xfId="28629"/>
    <cellStyle name="Normal 4 2 4 2 4 4 2 2 3" xfId="43672"/>
    <cellStyle name="Normal 4 2 4 2 4 4 2 3" xfId="21108"/>
    <cellStyle name="Normal 4 2 4 2 4 4 2 4" xfId="36151"/>
    <cellStyle name="Normal 4 2 4 2 4 4 3" xfId="9836"/>
    <cellStyle name="Normal 4 2 4 2 4 4 3 2" xfId="24880"/>
    <cellStyle name="Normal 4 2 4 2 4 4 3 3" xfId="39923"/>
    <cellStyle name="Normal 4 2 4 2 4 4 4" xfId="17359"/>
    <cellStyle name="Normal 4 2 4 2 4 4 5" xfId="32402"/>
    <cellStyle name="Normal 4 2 4 2 4 5" xfId="4194"/>
    <cellStyle name="Normal 4 2 4 2 4 5 2" xfId="11718"/>
    <cellStyle name="Normal 4 2 4 2 4 5 2 2" xfId="26762"/>
    <cellStyle name="Normal 4 2 4 2 4 5 2 3" xfId="41805"/>
    <cellStyle name="Normal 4 2 4 2 4 5 3" xfId="19241"/>
    <cellStyle name="Normal 4 2 4 2 4 5 4" xfId="34284"/>
    <cellStyle name="Normal 4 2 4 2 4 6" xfId="7957"/>
    <cellStyle name="Normal 4 2 4 2 4 6 2" xfId="23001"/>
    <cellStyle name="Normal 4 2 4 2 4 6 3" xfId="38044"/>
    <cellStyle name="Normal 4 2 4 2 4 7" xfId="15480"/>
    <cellStyle name="Normal 4 2 4 2 4 8" xfId="30523"/>
    <cellStyle name="Normal 4 2 4 2 5" xfId="816"/>
    <cellStyle name="Normal 4 2 4 2 5 2" xfId="1775"/>
    <cellStyle name="Normal 4 2 4 2 5 2 2" xfId="3646"/>
    <cellStyle name="Normal 4 2 4 2 5 2 2 2" xfId="7441"/>
    <cellStyle name="Normal 4 2 4 2 5 2 2 2 2" xfId="14964"/>
    <cellStyle name="Normal 4 2 4 2 5 2 2 2 2 2" xfId="30008"/>
    <cellStyle name="Normal 4 2 4 2 5 2 2 2 2 3" xfId="45051"/>
    <cellStyle name="Normal 4 2 4 2 5 2 2 2 3" xfId="22487"/>
    <cellStyle name="Normal 4 2 4 2 5 2 2 2 4" xfId="37530"/>
    <cellStyle name="Normal 4 2 4 2 5 2 2 3" xfId="11215"/>
    <cellStyle name="Normal 4 2 4 2 5 2 2 3 2" xfId="26259"/>
    <cellStyle name="Normal 4 2 4 2 5 2 2 3 3" xfId="41302"/>
    <cellStyle name="Normal 4 2 4 2 5 2 2 4" xfId="18738"/>
    <cellStyle name="Normal 4 2 4 2 5 2 2 5" xfId="33781"/>
    <cellStyle name="Normal 4 2 4 2 5 2 3" xfId="5576"/>
    <cellStyle name="Normal 4 2 4 2 5 2 3 2" xfId="13099"/>
    <cellStyle name="Normal 4 2 4 2 5 2 3 2 2" xfId="28143"/>
    <cellStyle name="Normal 4 2 4 2 5 2 3 2 3" xfId="43186"/>
    <cellStyle name="Normal 4 2 4 2 5 2 3 3" xfId="20622"/>
    <cellStyle name="Normal 4 2 4 2 5 2 3 4" xfId="35665"/>
    <cellStyle name="Normal 4 2 4 2 5 2 4" xfId="9350"/>
    <cellStyle name="Normal 4 2 4 2 5 2 4 2" xfId="24394"/>
    <cellStyle name="Normal 4 2 4 2 5 2 4 3" xfId="39437"/>
    <cellStyle name="Normal 4 2 4 2 5 2 5" xfId="16873"/>
    <cellStyle name="Normal 4 2 4 2 5 2 6" xfId="31916"/>
    <cellStyle name="Normal 4 2 4 2 5 3" xfId="2714"/>
    <cellStyle name="Normal 4 2 4 2 5 3 2" xfId="6509"/>
    <cellStyle name="Normal 4 2 4 2 5 3 2 2" xfId="14032"/>
    <cellStyle name="Normal 4 2 4 2 5 3 2 2 2" xfId="29076"/>
    <cellStyle name="Normal 4 2 4 2 5 3 2 2 3" xfId="44119"/>
    <cellStyle name="Normal 4 2 4 2 5 3 2 3" xfId="21555"/>
    <cellStyle name="Normal 4 2 4 2 5 3 2 4" xfId="36598"/>
    <cellStyle name="Normal 4 2 4 2 5 3 3" xfId="10283"/>
    <cellStyle name="Normal 4 2 4 2 5 3 3 2" xfId="25327"/>
    <cellStyle name="Normal 4 2 4 2 5 3 3 3" xfId="40370"/>
    <cellStyle name="Normal 4 2 4 2 5 3 4" xfId="17806"/>
    <cellStyle name="Normal 4 2 4 2 5 3 5" xfId="32849"/>
    <cellStyle name="Normal 4 2 4 2 5 4" xfId="4644"/>
    <cellStyle name="Normal 4 2 4 2 5 4 2" xfId="12167"/>
    <cellStyle name="Normal 4 2 4 2 5 4 2 2" xfId="27211"/>
    <cellStyle name="Normal 4 2 4 2 5 4 2 3" xfId="42254"/>
    <cellStyle name="Normal 4 2 4 2 5 4 3" xfId="19690"/>
    <cellStyle name="Normal 4 2 4 2 5 4 4" xfId="34733"/>
    <cellStyle name="Normal 4 2 4 2 5 5" xfId="8418"/>
    <cellStyle name="Normal 4 2 4 2 5 5 2" xfId="23462"/>
    <cellStyle name="Normal 4 2 4 2 5 5 3" xfId="38505"/>
    <cellStyle name="Normal 4 2 4 2 5 6" xfId="15941"/>
    <cellStyle name="Normal 4 2 4 2 5 7" xfId="30984"/>
    <cellStyle name="Normal 4 2 4 2 6" xfId="1323"/>
    <cellStyle name="Normal 4 2 4 2 6 2" xfId="3194"/>
    <cellStyle name="Normal 4 2 4 2 6 2 2" xfId="6989"/>
    <cellStyle name="Normal 4 2 4 2 6 2 2 2" xfId="14512"/>
    <cellStyle name="Normal 4 2 4 2 6 2 2 2 2" xfId="29556"/>
    <cellStyle name="Normal 4 2 4 2 6 2 2 2 3" xfId="44599"/>
    <cellStyle name="Normal 4 2 4 2 6 2 2 3" xfId="22035"/>
    <cellStyle name="Normal 4 2 4 2 6 2 2 4" xfId="37078"/>
    <cellStyle name="Normal 4 2 4 2 6 2 3" xfId="10763"/>
    <cellStyle name="Normal 4 2 4 2 6 2 3 2" xfId="25807"/>
    <cellStyle name="Normal 4 2 4 2 6 2 3 3" xfId="40850"/>
    <cellStyle name="Normal 4 2 4 2 6 2 4" xfId="18286"/>
    <cellStyle name="Normal 4 2 4 2 6 2 5" xfId="33329"/>
    <cellStyle name="Normal 4 2 4 2 6 3" xfId="5124"/>
    <cellStyle name="Normal 4 2 4 2 6 3 2" xfId="12647"/>
    <cellStyle name="Normal 4 2 4 2 6 3 2 2" xfId="27691"/>
    <cellStyle name="Normal 4 2 4 2 6 3 2 3" xfId="42734"/>
    <cellStyle name="Normal 4 2 4 2 6 3 3" xfId="20170"/>
    <cellStyle name="Normal 4 2 4 2 6 3 4" xfId="35213"/>
    <cellStyle name="Normal 4 2 4 2 6 4" xfId="8898"/>
    <cellStyle name="Normal 4 2 4 2 6 4 2" xfId="23942"/>
    <cellStyle name="Normal 4 2 4 2 6 4 3" xfId="38985"/>
    <cellStyle name="Normal 4 2 4 2 6 5" xfId="16421"/>
    <cellStyle name="Normal 4 2 4 2 6 6" xfId="31464"/>
    <cellStyle name="Normal 4 2 4 2 7" xfId="2261"/>
    <cellStyle name="Normal 4 2 4 2 7 2" xfId="6057"/>
    <cellStyle name="Normal 4 2 4 2 7 2 2" xfId="13580"/>
    <cellStyle name="Normal 4 2 4 2 7 2 2 2" xfId="28624"/>
    <cellStyle name="Normal 4 2 4 2 7 2 2 3" xfId="43667"/>
    <cellStyle name="Normal 4 2 4 2 7 2 3" xfId="21103"/>
    <cellStyle name="Normal 4 2 4 2 7 2 4" xfId="36146"/>
    <cellStyle name="Normal 4 2 4 2 7 3" xfId="9831"/>
    <cellStyle name="Normal 4 2 4 2 7 3 2" xfId="24875"/>
    <cellStyle name="Normal 4 2 4 2 7 3 3" xfId="39918"/>
    <cellStyle name="Normal 4 2 4 2 7 4" xfId="17354"/>
    <cellStyle name="Normal 4 2 4 2 7 5" xfId="32397"/>
    <cellStyle name="Normal 4 2 4 2 8" xfId="4189"/>
    <cellStyle name="Normal 4 2 4 2 8 2" xfId="11713"/>
    <cellStyle name="Normal 4 2 4 2 8 2 2" xfId="26757"/>
    <cellStyle name="Normal 4 2 4 2 8 2 3" xfId="41800"/>
    <cellStyle name="Normal 4 2 4 2 8 3" xfId="19236"/>
    <cellStyle name="Normal 4 2 4 2 8 4" xfId="34279"/>
    <cellStyle name="Normal 4 2 4 2 9" xfId="7952"/>
    <cellStyle name="Normal 4 2 4 2 9 2" xfId="22996"/>
    <cellStyle name="Normal 4 2 4 2 9 3" xfId="38039"/>
    <cellStyle name="Normal 4 2 4 3" xfId="298"/>
    <cellStyle name="Normal 4 2 4 3 2" xfId="299"/>
    <cellStyle name="Normal 4 2 4 3 2 2" xfId="823"/>
    <cellStyle name="Normal 4 2 4 3 2 2 2" xfId="1782"/>
    <cellStyle name="Normal 4 2 4 3 2 2 2 2" xfId="3653"/>
    <cellStyle name="Normal 4 2 4 3 2 2 2 2 2" xfId="7448"/>
    <cellStyle name="Normal 4 2 4 3 2 2 2 2 2 2" xfId="14971"/>
    <cellStyle name="Normal 4 2 4 3 2 2 2 2 2 2 2" xfId="30015"/>
    <cellStyle name="Normal 4 2 4 3 2 2 2 2 2 2 3" xfId="45058"/>
    <cellStyle name="Normal 4 2 4 3 2 2 2 2 2 3" xfId="22494"/>
    <cellStyle name="Normal 4 2 4 3 2 2 2 2 2 4" xfId="37537"/>
    <cellStyle name="Normal 4 2 4 3 2 2 2 2 3" xfId="11222"/>
    <cellStyle name="Normal 4 2 4 3 2 2 2 2 3 2" xfId="26266"/>
    <cellStyle name="Normal 4 2 4 3 2 2 2 2 3 3" xfId="41309"/>
    <cellStyle name="Normal 4 2 4 3 2 2 2 2 4" xfId="18745"/>
    <cellStyle name="Normal 4 2 4 3 2 2 2 2 5" xfId="33788"/>
    <cellStyle name="Normal 4 2 4 3 2 2 2 3" xfId="5583"/>
    <cellStyle name="Normal 4 2 4 3 2 2 2 3 2" xfId="13106"/>
    <cellStyle name="Normal 4 2 4 3 2 2 2 3 2 2" xfId="28150"/>
    <cellStyle name="Normal 4 2 4 3 2 2 2 3 2 3" xfId="43193"/>
    <cellStyle name="Normal 4 2 4 3 2 2 2 3 3" xfId="20629"/>
    <cellStyle name="Normal 4 2 4 3 2 2 2 3 4" xfId="35672"/>
    <cellStyle name="Normal 4 2 4 3 2 2 2 4" xfId="9357"/>
    <cellStyle name="Normal 4 2 4 3 2 2 2 4 2" xfId="24401"/>
    <cellStyle name="Normal 4 2 4 3 2 2 2 4 3" xfId="39444"/>
    <cellStyle name="Normal 4 2 4 3 2 2 2 5" xfId="16880"/>
    <cellStyle name="Normal 4 2 4 3 2 2 2 6" xfId="31923"/>
    <cellStyle name="Normal 4 2 4 3 2 2 3" xfId="2721"/>
    <cellStyle name="Normal 4 2 4 3 2 2 3 2" xfId="6516"/>
    <cellStyle name="Normal 4 2 4 3 2 2 3 2 2" xfId="14039"/>
    <cellStyle name="Normal 4 2 4 3 2 2 3 2 2 2" xfId="29083"/>
    <cellStyle name="Normal 4 2 4 3 2 2 3 2 2 3" xfId="44126"/>
    <cellStyle name="Normal 4 2 4 3 2 2 3 2 3" xfId="21562"/>
    <cellStyle name="Normal 4 2 4 3 2 2 3 2 4" xfId="36605"/>
    <cellStyle name="Normal 4 2 4 3 2 2 3 3" xfId="10290"/>
    <cellStyle name="Normal 4 2 4 3 2 2 3 3 2" xfId="25334"/>
    <cellStyle name="Normal 4 2 4 3 2 2 3 3 3" xfId="40377"/>
    <cellStyle name="Normal 4 2 4 3 2 2 3 4" xfId="17813"/>
    <cellStyle name="Normal 4 2 4 3 2 2 3 5" xfId="32856"/>
    <cellStyle name="Normal 4 2 4 3 2 2 4" xfId="4651"/>
    <cellStyle name="Normal 4 2 4 3 2 2 4 2" xfId="12174"/>
    <cellStyle name="Normal 4 2 4 3 2 2 4 2 2" xfId="27218"/>
    <cellStyle name="Normal 4 2 4 3 2 2 4 2 3" xfId="42261"/>
    <cellStyle name="Normal 4 2 4 3 2 2 4 3" xfId="19697"/>
    <cellStyle name="Normal 4 2 4 3 2 2 4 4" xfId="34740"/>
    <cellStyle name="Normal 4 2 4 3 2 2 5" xfId="8425"/>
    <cellStyle name="Normal 4 2 4 3 2 2 5 2" xfId="23469"/>
    <cellStyle name="Normal 4 2 4 3 2 2 5 3" xfId="38512"/>
    <cellStyle name="Normal 4 2 4 3 2 2 6" xfId="15948"/>
    <cellStyle name="Normal 4 2 4 3 2 2 7" xfId="30991"/>
    <cellStyle name="Normal 4 2 4 3 2 3" xfId="1330"/>
    <cellStyle name="Normal 4 2 4 3 2 3 2" xfId="3201"/>
    <cellStyle name="Normal 4 2 4 3 2 3 2 2" xfId="6996"/>
    <cellStyle name="Normal 4 2 4 3 2 3 2 2 2" xfId="14519"/>
    <cellStyle name="Normal 4 2 4 3 2 3 2 2 2 2" xfId="29563"/>
    <cellStyle name="Normal 4 2 4 3 2 3 2 2 2 3" xfId="44606"/>
    <cellStyle name="Normal 4 2 4 3 2 3 2 2 3" xfId="22042"/>
    <cellStyle name="Normal 4 2 4 3 2 3 2 2 4" xfId="37085"/>
    <cellStyle name="Normal 4 2 4 3 2 3 2 3" xfId="10770"/>
    <cellStyle name="Normal 4 2 4 3 2 3 2 3 2" xfId="25814"/>
    <cellStyle name="Normal 4 2 4 3 2 3 2 3 3" xfId="40857"/>
    <cellStyle name="Normal 4 2 4 3 2 3 2 4" xfId="18293"/>
    <cellStyle name="Normal 4 2 4 3 2 3 2 5" xfId="33336"/>
    <cellStyle name="Normal 4 2 4 3 2 3 3" xfId="5131"/>
    <cellStyle name="Normal 4 2 4 3 2 3 3 2" xfId="12654"/>
    <cellStyle name="Normal 4 2 4 3 2 3 3 2 2" xfId="27698"/>
    <cellStyle name="Normal 4 2 4 3 2 3 3 2 3" xfId="42741"/>
    <cellStyle name="Normal 4 2 4 3 2 3 3 3" xfId="20177"/>
    <cellStyle name="Normal 4 2 4 3 2 3 3 4" xfId="35220"/>
    <cellStyle name="Normal 4 2 4 3 2 3 4" xfId="8905"/>
    <cellStyle name="Normal 4 2 4 3 2 3 4 2" xfId="23949"/>
    <cellStyle name="Normal 4 2 4 3 2 3 4 3" xfId="38992"/>
    <cellStyle name="Normal 4 2 4 3 2 3 5" xfId="16428"/>
    <cellStyle name="Normal 4 2 4 3 2 3 6" xfId="31471"/>
    <cellStyle name="Normal 4 2 4 3 2 4" xfId="2268"/>
    <cellStyle name="Normal 4 2 4 3 2 4 2" xfId="6064"/>
    <cellStyle name="Normal 4 2 4 3 2 4 2 2" xfId="13587"/>
    <cellStyle name="Normal 4 2 4 3 2 4 2 2 2" xfId="28631"/>
    <cellStyle name="Normal 4 2 4 3 2 4 2 2 3" xfId="43674"/>
    <cellStyle name="Normal 4 2 4 3 2 4 2 3" xfId="21110"/>
    <cellStyle name="Normal 4 2 4 3 2 4 2 4" xfId="36153"/>
    <cellStyle name="Normal 4 2 4 3 2 4 3" xfId="9838"/>
    <cellStyle name="Normal 4 2 4 3 2 4 3 2" xfId="24882"/>
    <cellStyle name="Normal 4 2 4 3 2 4 3 3" xfId="39925"/>
    <cellStyle name="Normal 4 2 4 3 2 4 4" xfId="17361"/>
    <cellStyle name="Normal 4 2 4 3 2 4 5" xfId="32404"/>
    <cellStyle name="Normal 4 2 4 3 2 5" xfId="4196"/>
    <cellStyle name="Normal 4 2 4 3 2 5 2" xfId="11720"/>
    <cellStyle name="Normal 4 2 4 3 2 5 2 2" xfId="26764"/>
    <cellStyle name="Normal 4 2 4 3 2 5 2 3" xfId="41807"/>
    <cellStyle name="Normal 4 2 4 3 2 5 3" xfId="19243"/>
    <cellStyle name="Normal 4 2 4 3 2 5 4" xfId="34286"/>
    <cellStyle name="Normal 4 2 4 3 2 6" xfId="7959"/>
    <cellStyle name="Normal 4 2 4 3 2 6 2" xfId="23003"/>
    <cellStyle name="Normal 4 2 4 3 2 6 3" xfId="38046"/>
    <cellStyle name="Normal 4 2 4 3 2 7" xfId="15482"/>
    <cellStyle name="Normal 4 2 4 3 2 8" xfId="30525"/>
    <cellStyle name="Normal 4 2 4 3 3" xfId="822"/>
    <cellStyle name="Normal 4 2 4 3 3 2" xfId="1781"/>
    <cellStyle name="Normal 4 2 4 3 3 2 2" xfId="3652"/>
    <cellStyle name="Normal 4 2 4 3 3 2 2 2" xfId="7447"/>
    <cellStyle name="Normal 4 2 4 3 3 2 2 2 2" xfId="14970"/>
    <cellStyle name="Normal 4 2 4 3 3 2 2 2 2 2" xfId="30014"/>
    <cellStyle name="Normal 4 2 4 3 3 2 2 2 2 3" xfId="45057"/>
    <cellStyle name="Normal 4 2 4 3 3 2 2 2 3" xfId="22493"/>
    <cellStyle name="Normal 4 2 4 3 3 2 2 2 4" xfId="37536"/>
    <cellStyle name="Normal 4 2 4 3 3 2 2 3" xfId="11221"/>
    <cellStyle name="Normal 4 2 4 3 3 2 2 3 2" xfId="26265"/>
    <cellStyle name="Normal 4 2 4 3 3 2 2 3 3" xfId="41308"/>
    <cellStyle name="Normal 4 2 4 3 3 2 2 4" xfId="18744"/>
    <cellStyle name="Normal 4 2 4 3 3 2 2 5" xfId="33787"/>
    <cellStyle name="Normal 4 2 4 3 3 2 3" xfId="5582"/>
    <cellStyle name="Normal 4 2 4 3 3 2 3 2" xfId="13105"/>
    <cellStyle name="Normal 4 2 4 3 3 2 3 2 2" xfId="28149"/>
    <cellStyle name="Normal 4 2 4 3 3 2 3 2 3" xfId="43192"/>
    <cellStyle name="Normal 4 2 4 3 3 2 3 3" xfId="20628"/>
    <cellStyle name="Normal 4 2 4 3 3 2 3 4" xfId="35671"/>
    <cellStyle name="Normal 4 2 4 3 3 2 4" xfId="9356"/>
    <cellStyle name="Normal 4 2 4 3 3 2 4 2" xfId="24400"/>
    <cellStyle name="Normal 4 2 4 3 3 2 4 3" xfId="39443"/>
    <cellStyle name="Normal 4 2 4 3 3 2 5" xfId="16879"/>
    <cellStyle name="Normal 4 2 4 3 3 2 6" xfId="31922"/>
    <cellStyle name="Normal 4 2 4 3 3 3" xfId="2720"/>
    <cellStyle name="Normal 4 2 4 3 3 3 2" xfId="6515"/>
    <cellStyle name="Normal 4 2 4 3 3 3 2 2" xfId="14038"/>
    <cellStyle name="Normal 4 2 4 3 3 3 2 2 2" xfId="29082"/>
    <cellStyle name="Normal 4 2 4 3 3 3 2 2 3" xfId="44125"/>
    <cellStyle name="Normal 4 2 4 3 3 3 2 3" xfId="21561"/>
    <cellStyle name="Normal 4 2 4 3 3 3 2 4" xfId="36604"/>
    <cellStyle name="Normal 4 2 4 3 3 3 3" xfId="10289"/>
    <cellStyle name="Normal 4 2 4 3 3 3 3 2" xfId="25333"/>
    <cellStyle name="Normal 4 2 4 3 3 3 3 3" xfId="40376"/>
    <cellStyle name="Normal 4 2 4 3 3 3 4" xfId="17812"/>
    <cellStyle name="Normal 4 2 4 3 3 3 5" xfId="32855"/>
    <cellStyle name="Normal 4 2 4 3 3 4" xfId="4650"/>
    <cellStyle name="Normal 4 2 4 3 3 4 2" xfId="12173"/>
    <cellStyle name="Normal 4 2 4 3 3 4 2 2" xfId="27217"/>
    <cellStyle name="Normal 4 2 4 3 3 4 2 3" xfId="42260"/>
    <cellStyle name="Normal 4 2 4 3 3 4 3" xfId="19696"/>
    <cellStyle name="Normal 4 2 4 3 3 4 4" xfId="34739"/>
    <cellStyle name="Normal 4 2 4 3 3 5" xfId="8424"/>
    <cellStyle name="Normal 4 2 4 3 3 5 2" xfId="23468"/>
    <cellStyle name="Normal 4 2 4 3 3 5 3" xfId="38511"/>
    <cellStyle name="Normal 4 2 4 3 3 6" xfId="15947"/>
    <cellStyle name="Normal 4 2 4 3 3 7" xfId="30990"/>
    <cellStyle name="Normal 4 2 4 3 4" xfId="1329"/>
    <cellStyle name="Normal 4 2 4 3 4 2" xfId="3200"/>
    <cellStyle name="Normal 4 2 4 3 4 2 2" xfId="6995"/>
    <cellStyle name="Normal 4 2 4 3 4 2 2 2" xfId="14518"/>
    <cellStyle name="Normal 4 2 4 3 4 2 2 2 2" xfId="29562"/>
    <cellStyle name="Normal 4 2 4 3 4 2 2 2 3" xfId="44605"/>
    <cellStyle name="Normal 4 2 4 3 4 2 2 3" xfId="22041"/>
    <cellStyle name="Normal 4 2 4 3 4 2 2 4" xfId="37084"/>
    <cellStyle name="Normal 4 2 4 3 4 2 3" xfId="10769"/>
    <cellStyle name="Normal 4 2 4 3 4 2 3 2" xfId="25813"/>
    <cellStyle name="Normal 4 2 4 3 4 2 3 3" xfId="40856"/>
    <cellStyle name="Normal 4 2 4 3 4 2 4" xfId="18292"/>
    <cellStyle name="Normal 4 2 4 3 4 2 5" xfId="33335"/>
    <cellStyle name="Normal 4 2 4 3 4 3" xfId="5130"/>
    <cellStyle name="Normal 4 2 4 3 4 3 2" xfId="12653"/>
    <cellStyle name="Normal 4 2 4 3 4 3 2 2" xfId="27697"/>
    <cellStyle name="Normal 4 2 4 3 4 3 2 3" xfId="42740"/>
    <cellStyle name="Normal 4 2 4 3 4 3 3" xfId="20176"/>
    <cellStyle name="Normal 4 2 4 3 4 3 4" xfId="35219"/>
    <cellStyle name="Normal 4 2 4 3 4 4" xfId="8904"/>
    <cellStyle name="Normal 4 2 4 3 4 4 2" xfId="23948"/>
    <cellStyle name="Normal 4 2 4 3 4 4 3" xfId="38991"/>
    <cellStyle name="Normal 4 2 4 3 4 5" xfId="16427"/>
    <cellStyle name="Normal 4 2 4 3 4 6" xfId="31470"/>
    <cellStyle name="Normal 4 2 4 3 5" xfId="2267"/>
    <cellStyle name="Normal 4 2 4 3 5 2" xfId="6063"/>
    <cellStyle name="Normal 4 2 4 3 5 2 2" xfId="13586"/>
    <cellStyle name="Normal 4 2 4 3 5 2 2 2" xfId="28630"/>
    <cellStyle name="Normal 4 2 4 3 5 2 2 3" xfId="43673"/>
    <cellStyle name="Normal 4 2 4 3 5 2 3" xfId="21109"/>
    <cellStyle name="Normal 4 2 4 3 5 2 4" xfId="36152"/>
    <cellStyle name="Normal 4 2 4 3 5 3" xfId="9837"/>
    <cellStyle name="Normal 4 2 4 3 5 3 2" xfId="24881"/>
    <cellStyle name="Normal 4 2 4 3 5 3 3" xfId="39924"/>
    <cellStyle name="Normal 4 2 4 3 5 4" xfId="17360"/>
    <cellStyle name="Normal 4 2 4 3 5 5" xfId="32403"/>
    <cellStyle name="Normal 4 2 4 3 6" xfId="4195"/>
    <cellStyle name="Normal 4 2 4 3 6 2" xfId="11719"/>
    <cellStyle name="Normal 4 2 4 3 6 2 2" xfId="26763"/>
    <cellStyle name="Normal 4 2 4 3 6 2 3" xfId="41806"/>
    <cellStyle name="Normal 4 2 4 3 6 3" xfId="19242"/>
    <cellStyle name="Normal 4 2 4 3 6 4" xfId="34285"/>
    <cellStyle name="Normal 4 2 4 3 7" xfId="7958"/>
    <cellStyle name="Normal 4 2 4 3 7 2" xfId="23002"/>
    <cellStyle name="Normal 4 2 4 3 7 3" xfId="38045"/>
    <cellStyle name="Normal 4 2 4 3 8" xfId="15481"/>
    <cellStyle name="Normal 4 2 4 3 9" xfId="30524"/>
    <cellStyle name="Normal 4 2 4 4" xfId="300"/>
    <cellStyle name="Normal 4 2 4 4 2" xfId="301"/>
    <cellStyle name="Normal 4 2 4 4 2 2" xfId="825"/>
    <cellStyle name="Normal 4 2 4 4 2 2 2" xfId="1784"/>
    <cellStyle name="Normal 4 2 4 4 2 2 2 2" xfId="3655"/>
    <cellStyle name="Normal 4 2 4 4 2 2 2 2 2" xfId="7450"/>
    <cellStyle name="Normal 4 2 4 4 2 2 2 2 2 2" xfId="14973"/>
    <cellStyle name="Normal 4 2 4 4 2 2 2 2 2 2 2" xfId="30017"/>
    <cellStyle name="Normal 4 2 4 4 2 2 2 2 2 2 3" xfId="45060"/>
    <cellStyle name="Normal 4 2 4 4 2 2 2 2 2 3" xfId="22496"/>
    <cellStyle name="Normal 4 2 4 4 2 2 2 2 2 4" xfId="37539"/>
    <cellStyle name="Normal 4 2 4 4 2 2 2 2 3" xfId="11224"/>
    <cellStyle name="Normal 4 2 4 4 2 2 2 2 3 2" xfId="26268"/>
    <cellStyle name="Normal 4 2 4 4 2 2 2 2 3 3" xfId="41311"/>
    <cellStyle name="Normal 4 2 4 4 2 2 2 2 4" xfId="18747"/>
    <cellStyle name="Normal 4 2 4 4 2 2 2 2 5" xfId="33790"/>
    <cellStyle name="Normal 4 2 4 4 2 2 2 3" xfId="5585"/>
    <cellStyle name="Normal 4 2 4 4 2 2 2 3 2" xfId="13108"/>
    <cellStyle name="Normal 4 2 4 4 2 2 2 3 2 2" xfId="28152"/>
    <cellStyle name="Normal 4 2 4 4 2 2 2 3 2 3" xfId="43195"/>
    <cellStyle name="Normal 4 2 4 4 2 2 2 3 3" xfId="20631"/>
    <cellStyle name="Normal 4 2 4 4 2 2 2 3 4" xfId="35674"/>
    <cellStyle name="Normal 4 2 4 4 2 2 2 4" xfId="9359"/>
    <cellStyle name="Normal 4 2 4 4 2 2 2 4 2" xfId="24403"/>
    <cellStyle name="Normal 4 2 4 4 2 2 2 4 3" xfId="39446"/>
    <cellStyle name="Normal 4 2 4 4 2 2 2 5" xfId="16882"/>
    <cellStyle name="Normal 4 2 4 4 2 2 2 6" xfId="31925"/>
    <cellStyle name="Normal 4 2 4 4 2 2 3" xfId="2723"/>
    <cellStyle name="Normal 4 2 4 4 2 2 3 2" xfId="6518"/>
    <cellStyle name="Normal 4 2 4 4 2 2 3 2 2" xfId="14041"/>
    <cellStyle name="Normal 4 2 4 4 2 2 3 2 2 2" xfId="29085"/>
    <cellStyle name="Normal 4 2 4 4 2 2 3 2 2 3" xfId="44128"/>
    <cellStyle name="Normal 4 2 4 4 2 2 3 2 3" xfId="21564"/>
    <cellStyle name="Normal 4 2 4 4 2 2 3 2 4" xfId="36607"/>
    <cellStyle name="Normal 4 2 4 4 2 2 3 3" xfId="10292"/>
    <cellStyle name="Normal 4 2 4 4 2 2 3 3 2" xfId="25336"/>
    <cellStyle name="Normal 4 2 4 4 2 2 3 3 3" xfId="40379"/>
    <cellStyle name="Normal 4 2 4 4 2 2 3 4" xfId="17815"/>
    <cellStyle name="Normal 4 2 4 4 2 2 3 5" xfId="32858"/>
    <cellStyle name="Normal 4 2 4 4 2 2 4" xfId="4653"/>
    <cellStyle name="Normal 4 2 4 4 2 2 4 2" xfId="12176"/>
    <cellStyle name="Normal 4 2 4 4 2 2 4 2 2" xfId="27220"/>
    <cellStyle name="Normal 4 2 4 4 2 2 4 2 3" xfId="42263"/>
    <cellStyle name="Normal 4 2 4 4 2 2 4 3" xfId="19699"/>
    <cellStyle name="Normal 4 2 4 4 2 2 4 4" xfId="34742"/>
    <cellStyle name="Normal 4 2 4 4 2 2 5" xfId="8427"/>
    <cellStyle name="Normal 4 2 4 4 2 2 5 2" xfId="23471"/>
    <cellStyle name="Normal 4 2 4 4 2 2 5 3" xfId="38514"/>
    <cellStyle name="Normal 4 2 4 4 2 2 6" xfId="15950"/>
    <cellStyle name="Normal 4 2 4 4 2 2 7" xfId="30993"/>
    <cellStyle name="Normal 4 2 4 4 2 3" xfId="1332"/>
    <cellStyle name="Normal 4 2 4 4 2 3 2" xfId="3203"/>
    <cellStyle name="Normal 4 2 4 4 2 3 2 2" xfId="6998"/>
    <cellStyle name="Normal 4 2 4 4 2 3 2 2 2" xfId="14521"/>
    <cellStyle name="Normal 4 2 4 4 2 3 2 2 2 2" xfId="29565"/>
    <cellStyle name="Normal 4 2 4 4 2 3 2 2 2 3" xfId="44608"/>
    <cellStyle name="Normal 4 2 4 4 2 3 2 2 3" xfId="22044"/>
    <cellStyle name="Normal 4 2 4 4 2 3 2 2 4" xfId="37087"/>
    <cellStyle name="Normal 4 2 4 4 2 3 2 3" xfId="10772"/>
    <cellStyle name="Normal 4 2 4 4 2 3 2 3 2" xfId="25816"/>
    <cellStyle name="Normal 4 2 4 4 2 3 2 3 3" xfId="40859"/>
    <cellStyle name="Normal 4 2 4 4 2 3 2 4" xfId="18295"/>
    <cellStyle name="Normal 4 2 4 4 2 3 2 5" xfId="33338"/>
    <cellStyle name="Normal 4 2 4 4 2 3 3" xfId="5133"/>
    <cellStyle name="Normal 4 2 4 4 2 3 3 2" xfId="12656"/>
    <cellStyle name="Normal 4 2 4 4 2 3 3 2 2" xfId="27700"/>
    <cellStyle name="Normal 4 2 4 4 2 3 3 2 3" xfId="42743"/>
    <cellStyle name="Normal 4 2 4 4 2 3 3 3" xfId="20179"/>
    <cellStyle name="Normal 4 2 4 4 2 3 3 4" xfId="35222"/>
    <cellStyle name="Normal 4 2 4 4 2 3 4" xfId="8907"/>
    <cellStyle name="Normal 4 2 4 4 2 3 4 2" xfId="23951"/>
    <cellStyle name="Normal 4 2 4 4 2 3 4 3" xfId="38994"/>
    <cellStyle name="Normal 4 2 4 4 2 3 5" xfId="16430"/>
    <cellStyle name="Normal 4 2 4 4 2 3 6" xfId="31473"/>
    <cellStyle name="Normal 4 2 4 4 2 4" xfId="2270"/>
    <cellStyle name="Normal 4 2 4 4 2 4 2" xfId="6066"/>
    <cellStyle name="Normal 4 2 4 4 2 4 2 2" xfId="13589"/>
    <cellStyle name="Normal 4 2 4 4 2 4 2 2 2" xfId="28633"/>
    <cellStyle name="Normal 4 2 4 4 2 4 2 2 3" xfId="43676"/>
    <cellStyle name="Normal 4 2 4 4 2 4 2 3" xfId="21112"/>
    <cellStyle name="Normal 4 2 4 4 2 4 2 4" xfId="36155"/>
    <cellStyle name="Normal 4 2 4 4 2 4 3" xfId="9840"/>
    <cellStyle name="Normal 4 2 4 4 2 4 3 2" xfId="24884"/>
    <cellStyle name="Normal 4 2 4 4 2 4 3 3" xfId="39927"/>
    <cellStyle name="Normal 4 2 4 4 2 4 4" xfId="17363"/>
    <cellStyle name="Normal 4 2 4 4 2 4 5" xfId="32406"/>
    <cellStyle name="Normal 4 2 4 4 2 5" xfId="4198"/>
    <cellStyle name="Normal 4 2 4 4 2 5 2" xfId="11722"/>
    <cellStyle name="Normal 4 2 4 4 2 5 2 2" xfId="26766"/>
    <cellStyle name="Normal 4 2 4 4 2 5 2 3" xfId="41809"/>
    <cellStyle name="Normal 4 2 4 4 2 5 3" xfId="19245"/>
    <cellStyle name="Normal 4 2 4 4 2 5 4" xfId="34288"/>
    <cellStyle name="Normal 4 2 4 4 2 6" xfId="7961"/>
    <cellStyle name="Normal 4 2 4 4 2 6 2" xfId="23005"/>
    <cellStyle name="Normal 4 2 4 4 2 6 3" xfId="38048"/>
    <cellStyle name="Normal 4 2 4 4 2 7" xfId="15484"/>
    <cellStyle name="Normal 4 2 4 4 2 8" xfId="30527"/>
    <cellStyle name="Normal 4 2 4 4 3" xfId="824"/>
    <cellStyle name="Normal 4 2 4 4 3 2" xfId="1783"/>
    <cellStyle name="Normal 4 2 4 4 3 2 2" xfId="3654"/>
    <cellStyle name="Normal 4 2 4 4 3 2 2 2" xfId="7449"/>
    <cellStyle name="Normal 4 2 4 4 3 2 2 2 2" xfId="14972"/>
    <cellStyle name="Normal 4 2 4 4 3 2 2 2 2 2" xfId="30016"/>
    <cellStyle name="Normal 4 2 4 4 3 2 2 2 2 3" xfId="45059"/>
    <cellStyle name="Normal 4 2 4 4 3 2 2 2 3" xfId="22495"/>
    <cellStyle name="Normal 4 2 4 4 3 2 2 2 4" xfId="37538"/>
    <cellStyle name="Normal 4 2 4 4 3 2 2 3" xfId="11223"/>
    <cellStyle name="Normal 4 2 4 4 3 2 2 3 2" xfId="26267"/>
    <cellStyle name="Normal 4 2 4 4 3 2 2 3 3" xfId="41310"/>
    <cellStyle name="Normal 4 2 4 4 3 2 2 4" xfId="18746"/>
    <cellStyle name="Normal 4 2 4 4 3 2 2 5" xfId="33789"/>
    <cellStyle name="Normal 4 2 4 4 3 2 3" xfId="5584"/>
    <cellStyle name="Normal 4 2 4 4 3 2 3 2" xfId="13107"/>
    <cellStyle name="Normal 4 2 4 4 3 2 3 2 2" xfId="28151"/>
    <cellStyle name="Normal 4 2 4 4 3 2 3 2 3" xfId="43194"/>
    <cellStyle name="Normal 4 2 4 4 3 2 3 3" xfId="20630"/>
    <cellStyle name="Normal 4 2 4 4 3 2 3 4" xfId="35673"/>
    <cellStyle name="Normal 4 2 4 4 3 2 4" xfId="9358"/>
    <cellStyle name="Normal 4 2 4 4 3 2 4 2" xfId="24402"/>
    <cellStyle name="Normal 4 2 4 4 3 2 4 3" xfId="39445"/>
    <cellStyle name="Normal 4 2 4 4 3 2 5" xfId="16881"/>
    <cellStyle name="Normal 4 2 4 4 3 2 6" xfId="31924"/>
    <cellStyle name="Normal 4 2 4 4 3 3" xfId="2722"/>
    <cellStyle name="Normal 4 2 4 4 3 3 2" xfId="6517"/>
    <cellStyle name="Normal 4 2 4 4 3 3 2 2" xfId="14040"/>
    <cellStyle name="Normal 4 2 4 4 3 3 2 2 2" xfId="29084"/>
    <cellStyle name="Normal 4 2 4 4 3 3 2 2 3" xfId="44127"/>
    <cellStyle name="Normal 4 2 4 4 3 3 2 3" xfId="21563"/>
    <cellStyle name="Normal 4 2 4 4 3 3 2 4" xfId="36606"/>
    <cellStyle name="Normal 4 2 4 4 3 3 3" xfId="10291"/>
    <cellStyle name="Normal 4 2 4 4 3 3 3 2" xfId="25335"/>
    <cellStyle name="Normal 4 2 4 4 3 3 3 3" xfId="40378"/>
    <cellStyle name="Normal 4 2 4 4 3 3 4" xfId="17814"/>
    <cellStyle name="Normal 4 2 4 4 3 3 5" xfId="32857"/>
    <cellStyle name="Normal 4 2 4 4 3 4" xfId="4652"/>
    <cellStyle name="Normal 4 2 4 4 3 4 2" xfId="12175"/>
    <cellStyle name="Normal 4 2 4 4 3 4 2 2" xfId="27219"/>
    <cellStyle name="Normal 4 2 4 4 3 4 2 3" xfId="42262"/>
    <cellStyle name="Normal 4 2 4 4 3 4 3" xfId="19698"/>
    <cellStyle name="Normal 4 2 4 4 3 4 4" xfId="34741"/>
    <cellStyle name="Normal 4 2 4 4 3 5" xfId="8426"/>
    <cellStyle name="Normal 4 2 4 4 3 5 2" xfId="23470"/>
    <cellStyle name="Normal 4 2 4 4 3 5 3" xfId="38513"/>
    <cellStyle name="Normal 4 2 4 4 3 6" xfId="15949"/>
    <cellStyle name="Normal 4 2 4 4 3 7" xfId="30992"/>
    <cellStyle name="Normal 4 2 4 4 4" xfId="1331"/>
    <cellStyle name="Normal 4 2 4 4 4 2" xfId="3202"/>
    <cellStyle name="Normal 4 2 4 4 4 2 2" xfId="6997"/>
    <cellStyle name="Normal 4 2 4 4 4 2 2 2" xfId="14520"/>
    <cellStyle name="Normal 4 2 4 4 4 2 2 2 2" xfId="29564"/>
    <cellStyle name="Normal 4 2 4 4 4 2 2 2 3" xfId="44607"/>
    <cellStyle name="Normal 4 2 4 4 4 2 2 3" xfId="22043"/>
    <cellStyle name="Normal 4 2 4 4 4 2 2 4" xfId="37086"/>
    <cellStyle name="Normal 4 2 4 4 4 2 3" xfId="10771"/>
    <cellStyle name="Normal 4 2 4 4 4 2 3 2" xfId="25815"/>
    <cellStyle name="Normal 4 2 4 4 4 2 3 3" xfId="40858"/>
    <cellStyle name="Normal 4 2 4 4 4 2 4" xfId="18294"/>
    <cellStyle name="Normal 4 2 4 4 4 2 5" xfId="33337"/>
    <cellStyle name="Normal 4 2 4 4 4 3" xfId="5132"/>
    <cellStyle name="Normal 4 2 4 4 4 3 2" xfId="12655"/>
    <cellStyle name="Normal 4 2 4 4 4 3 2 2" xfId="27699"/>
    <cellStyle name="Normal 4 2 4 4 4 3 2 3" xfId="42742"/>
    <cellStyle name="Normal 4 2 4 4 4 3 3" xfId="20178"/>
    <cellStyle name="Normal 4 2 4 4 4 3 4" xfId="35221"/>
    <cellStyle name="Normal 4 2 4 4 4 4" xfId="8906"/>
    <cellStyle name="Normal 4 2 4 4 4 4 2" xfId="23950"/>
    <cellStyle name="Normal 4 2 4 4 4 4 3" xfId="38993"/>
    <cellStyle name="Normal 4 2 4 4 4 5" xfId="16429"/>
    <cellStyle name="Normal 4 2 4 4 4 6" xfId="31472"/>
    <cellStyle name="Normal 4 2 4 4 5" xfId="2269"/>
    <cellStyle name="Normal 4 2 4 4 5 2" xfId="6065"/>
    <cellStyle name="Normal 4 2 4 4 5 2 2" xfId="13588"/>
    <cellStyle name="Normal 4 2 4 4 5 2 2 2" xfId="28632"/>
    <cellStyle name="Normal 4 2 4 4 5 2 2 3" xfId="43675"/>
    <cellStyle name="Normal 4 2 4 4 5 2 3" xfId="21111"/>
    <cellStyle name="Normal 4 2 4 4 5 2 4" xfId="36154"/>
    <cellStyle name="Normal 4 2 4 4 5 3" xfId="9839"/>
    <cellStyle name="Normal 4 2 4 4 5 3 2" xfId="24883"/>
    <cellStyle name="Normal 4 2 4 4 5 3 3" xfId="39926"/>
    <cellStyle name="Normal 4 2 4 4 5 4" xfId="17362"/>
    <cellStyle name="Normal 4 2 4 4 5 5" xfId="32405"/>
    <cellStyle name="Normal 4 2 4 4 6" xfId="4197"/>
    <cellStyle name="Normal 4 2 4 4 6 2" xfId="11721"/>
    <cellStyle name="Normal 4 2 4 4 6 2 2" xfId="26765"/>
    <cellStyle name="Normal 4 2 4 4 6 2 3" xfId="41808"/>
    <cellStyle name="Normal 4 2 4 4 6 3" xfId="19244"/>
    <cellStyle name="Normal 4 2 4 4 6 4" xfId="34287"/>
    <cellStyle name="Normal 4 2 4 4 7" xfId="7960"/>
    <cellStyle name="Normal 4 2 4 4 7 2" xfId="23004"/>
    <cellStyle name="Normal 4 2 4 4 7 3" xfId="38047"/>
    <cellStyle name="Normal 4 2 4 4 8" xfId="15483"/>
    <cellStyle name="Normal 4 2 4 4 9" xfId="30526"/>
    <cellStyle name="Normal 4 2 4 5" xfId="302"/>
    <cellStyle name="Normal 4 2 4 5 2" xfId="826"/>
    <cellStyle name="Normal 4 2 4 5 2 2" xfId="1785"/>
    <cellStyle name="Normal 4 2 4 5 2 2 2" xfId="3656"/>
    <cellStyle name="Normal 4 2 4 5 2 2 2 2" xfId="7451"/>
    <cellStyle name="Normal 4 2 4 5 2 2 2 2 2" xfId="14974"/>
    <cellStyle name="Normal 4 2 4 5 2 2 2 2 2 2" xfId="30018"/>
    <cellStyle name="Normal 4 2 4 5 2 2 2 2 2 3" xfId="45061"/>
    <cellStyle name="Normal 4 2 4 5 2 2 2 2 3" xfId="22497"/>
    <cellStyle name="Normal 4 2 4 5 2 2 2 2 4" xfId="37540"/>
    <cellStyle name="Normal 4 2 4 5 2 2 2 3" xfId="11225"/>
    <cellStyle name="Normal 4 2 4 5 2 2 2 3 2" xfId="26269"/>
    <cellStyle name="Normal 4 2 4 5 2 2 2 3 3" xfId="41312"/>
    <cellStyle name="Normal 4 2 4 5 2 2 2 4" xfId="18748"/>
    <cellStyle name="Normal 4 2 4 5 2 2 2 5" xfId="33791"/>
    <cellStyle name="Normal 4 2 4 5 2 2 3" xfId="5586"/>
    <cellStyle name="Normal 4 2 4 5 2 2 3 2" xfId="13109"/>
    <cellStyle name="Normal 4 2 4 5 2 2 3 2 2" xfId="28153"/>
    <cellStyle name="Normal 4 2 4 5 2 2 3 2 3" xfId="43196"/>
    <cellStyle name="Normal 4 2 4 5 2 2 3 3" xfId="20632"/>
    <cellStyle name="Normal 4 2 4 5 2 2 3 4" xfId="35675"/>
    <cellStyle name="Normal 4 2 4 5 2 2 4" xfId="9360"/>
    <cellStyle name="Normal 4 2 4 5 2 2 4 2" xfId="24404"/>
    <cellStyle name="Normal 4 2 4 5 2 2 4 3" xfId="39447"/>
    <cellStyle name="Normal 4 2 4 5 2 2 5" xfId="16883"/>
    <cellStyle name="Normal 4 2 4 5 2 2 6" xfId="31926"/>
    <cellStyle name="Normal 4 2 4 5 2 3" xfId="2724"/>
    <cellStyle name="Normal 4 2 4 5 2 3 2" xfId="6519"/>
    <cellStyle name="Normal 4 2 4 5 2 3 2 2" xfId="14042"/>
    <cellStyle name="Normal 4 2 4 5 2 3 2 2 2" xfId="29086"/>
    <cellStyle name="Normal 4 2 4 5 2 3 2 2 3" xfId="44129"/>
    <cellStyle name="Normal 4 2 4 5 2 3 2 3" xfId="21565"/>
    <cellStyle name="Normal 4 2 4 5 2 3 2 4" xfId="36608"/>
    <cellStyle name="Normal 4 2 4 5 2 3 3" xfId="10293"/>
    <cellStyle name="Normal 4 2 4 5 2 3 3 2" xfId="25337"/>
    <cellStyle name="Normal 4 2 4 5 2 3 3 3" xfId="40380"/>
    <cellStyle name="Normal 4 2 4 5 2 3 4" xfId="17816"/>
    <cellStyle name="Normal 4 2 4 5 2 3 5" xfId="32859"/>
    <cellStyle name="Normal 4 2 4 5 2 4" xfId="4654"/>
    <cellStyle name="Normal 4 2 4 5 2 4 2" xfId="12177"/>
    <cellStyle name="Normal 4 2 4 5 2 4 2 2" xfId="27221"/>
    <cellStyle name="Normal 4 2 4 5 2 4 2 3" xfId="42264"/>
    <cellStyle name="Normal 4 2 4 5 2 4 3" xfId="19700"/>
    <cellStyle name="Normal 4 2 4 5 2 4 4" xfId="34743"/>
    <cellStyle name="Normal 4 2 4 5 2 5" xfId="8428"/>
    <cellStyle name="Normal 4 2 4 5 2 5 2" xfId="23472"/>
    <cellStyle name="Normal 4 2 4 5 2 5 3" xfId="38515"/>
    <cellStyle name="Normal 4 2 4 5 2 6" xfId="15951"/>
    <cellStyle name="Normal 4 2 4 5 2 7" xfId="30994"/>
    <cellStyle name="Normal 4 2 4 5 3" xfId="1333"/>
    <cellStyle name="Normal 4 2 4 5 3 2" xfId="3204"/>
    <cellStyle name="Normal 4 2 4 5 3 2 2" xfId="6999"/>
    <cellStyle name="Normal 4 2 4 5 3 2 2 2" xfId="14522"/>
    <cellStyle name="Normal 4 2 4 5 3 2 2 2 2" xfId="29566"/>
    <cellStyle name="Normal 4 2 4 5 3 2 2 2 3" xfId="44609"/>
    <cellStyle name="Normal 4 2 4 5 3 2 2 3" xfId="22045"/>
    <cellStyle name="Normal 4 2 4 5 3 2 2 4" xfId="37088"/>
    <cellStyle name="Normal 4 2 4 5 3 2 3" xfId="10773"/>
    <cellStyle name="Normal 4 2 4 5 3 2 3 2" xfId="25817"/>
    <cellStyle name="Normal 4 2 4 5 3 2 3 3" xfId="40860"/>
    <cellStyle name="Normal 4 2 4 5 3 2 4" xfId="18296"/>
    <cellStyle name="Normal 4 2 4 5 3 2 5" xfId="33339"/>
    <cellStyle name="Normal 4 2 4 5 3 3" xfId="5134"/>
    <cellStyle name="Normal 4 2 4 5 3 3 2" xfId="12657"/>
    <cellStyle name="Normal 4 2 4 5 3 3 2 2" xfId="27701"/>
    <cellStyle name="Normal 4 2 4 5 3 3 2 3" xfId="42744"/>
    <cellStyle name="Normal 4 2 4 5 3 3 3" xfId="20180"/>
    <cellStyle name="Normal 4 2 4 5 3 3 4" xfId="35223"/>
    <cellStyle name="Normal 4 2 4 5 3 4" xfId="8908"/>
    <cellStyle name="Normal 4 2 4 5 3 4 2" xfId="23952"/>
    <cellStyle name="Normal 4 2 4 5 3 4 3" xfId="38995"/>
    <cellStyle name="Normal 4 2 4 5 3 5" xfId="16431"/>
    <cellStyle name="Normal 4 2 4 5 3 6" xfId="31474"/>
    <cellStyle name="Normal 4 2 4 5 4" xfId="2271"/>
    <cellStyle name="Normal 4 2 4 5 4 2" xfId="6067"/>
    <cellStyle name="Normal 4 2 4 5 4 2 2" xfId="13590"/>
    <cellStyle name="Normal 4 2 4 5 4 2 2 2" xfId="28634"/>
    <cellStyle name="Normal 4 2 4 5 4 2 2 3" xfId="43677"/>
    <cellStyle name="Normal 4 2 4 5 4 2 3" xfId="21113"/>
    <cellStyle name="Normal 4 2 4 5 4 2 4" xfId="36156"/>
    <cellStyle name="Normal 4 2 4 5 4 3" xfId="9841"/>
    <cellStyle name="Normal 4 2 4 5 4 3 2" xfId="24885"/>
    <cellStyle name="Normal 4 2 4 5 4 3 3" xfId="39928"/>
    <cellStyle name="Normal 4 2 4 5 4 4" xfId="17364"/>
    <cellStyle name="Normal 4 2 4 5 4 5" xfId="32407"/>
    <cellStyle name="Normal 4 2 4 5 5" xfId="4199"/>
    <cellStyle name="Normal 4 2 4 5 5 2" xfId="11723"/>
    <cellStyle name="Normal 4 2 4 5 5 2 2" xfId="26767"/>
    <cellStyle name="Normal 4 2 4 5 5 2 3" xfId="41810"/>
    <cellStyle name="Normal 4 2 4 5 5 3" xfId="19246"/>
    <cellStyle name="Normal 4 2 4 5 5 4" xfId="34289"/>
    <cellStyle name="Normal 4 2 4 5 6" xfId="7962"/>
    <cellStyle name="Normal 4 2 4 5 6 2" xfId="23006"/>
    <cellStyle name="Normal 4 2 4 5 6 3" xfId="38049"/>
    <cellStyle name="Normal 4 2 4 5 7" xfId="15485"/>
    <cellStyle name="Normal 4 2 4 5 8" xfId="30528"/>
    <cellStyle name="Normal 4 2 4 6" xfId="815"/>
    <cellStyle name="Normal 4 2 4 6 2" xfId="1774"/>
    <cellStyle name="Normal 4 2 4 6 2 2" xfId="3645"/>
    <cellStyle name="Normal 4 2 4 6 2 2 2" xfId="7440"/>
    <cellStyle name="Normal 4 2 4 6 2 2 2 2" xfId="14963"/>
    <cellStyle name="Normal 4 2 4 6 2 2 2 2 2" xfId="30007"/>
    <cellStyle name="Normal 4 2 4 6 2 2 2 2 3" xfId="45050"/>
    <cellStyle name="Normal 4 2 4 6 2 2 2 3" xfId="22486"/>
    <cellStyle name="Normal 4 2 4 6 2 2 2 4" xfId="37529"/>
    <cellStyle name="Normal 4 2 4 6 2 2 3" xfId="11214"/>
    <cellStyle name="Normal 4 2 4 6 2 2 3 2" xfId="26258"/>
    <cellStyle name="Normal 4 2 4 6 2 2 3 3" xfId="41301"/>
    <cellStyle name="Normal 4 2 4 6 2 2 4" xfId="18737"/>
    <cellStyle name="Normal 4 2 4 6 2 2 5" xfId="33780"/>
    <cellStyle name="Normal 4 2 4 6 2 3" xfId="5575"/>
    <cellStyle name="Normal 4 2 4 6 2 3 2" xfId="13098"/>
    <cellStyle name="Normal 4 2 4 6 2 3 2 2" xfId="28142"/>
    <cellStyle name="Normal 4 2 4 6 2 3 2 3" xfId="43185"/>
    <cellStyle name="Normal 4 2 4 6 2 3 3" xfId="20621"/>
    <cellStyle name="Normal 4 2 4 6 2 3 4" xfId="35664"/>
    <cellStyle name="Normal 4 2 4 6 2 4" xfId="9349"/>
    <cellStyle name="Normal 4 2 4 6 2 4 2" xfId="24393"/>
    <cellStyle name="Normal 4 2 4 6 2 4 3" xfId="39436"/>
    <cellStyle name="Normal 4 2 4 6 2 5" xfId="16872"/>
    <cellStyle name="Normal 4 2 4 6 2 6" xfId="31915"/>
    <cellStyle name="Normal 4 2 4 6 3" xfId="2713"/>
    <cellStyle name="Normal 4 2 4 6 3 2" xfId="6508"/>
    <cellStyle name="Normal 4 2 4 6 3 2 2" xfId="14031"/>
    <cellStyle name="Normal 4 2 4 6 3 2 2 2" xfId="29075"/>
    <cellStyle name="Normal 4 2 4 6 3 2 2 3" xfId="44118"/>
    <cellStyle name="Normal 4 2 4 6 3 2 3" xfId="21554"/>
    <cellStyle name="Normal 4 2 4 6 3 2 4" xfId="36597"/>
    <cellStyle name="Normal 4 2 4 6 3 3" xfId="10282"/>
    <cellStyle name="Normal 4 2 4 6 3 3 2" xfId="25326"/>
    <cellStyle name="Normal 4 2 4 6 3 3 3" xfId="40369"/>
    <cellStyle name="Normal 4 2 4 6 3 4" xfId="17805"/>
    <cellStyle name="Normal 4 2 4 6 3 5" xfId="32848"/>
    <cellStyle name="Normal 4 2 4 6 4" xfId="4643"/>
    <cellStyle name="Normal 4 2 4 6 4 2" xfId="12166"/>
    <cellStyle name="Normal 4 2 4 6 4 2 2" xfId="27210"/>
    <cellStyle name="Normal 4 2 4 6 4 2 3" xfId="42253"/>
    <cellStyle name="Normal 4 2 4 6 4 3" xfId="19689"/>
    <cellStyle name="Normal 4 2 4 6 4 4" xfId="34732"/>
    <cellStyle name="Normal 4 2 4 6 5" xfId="8417"/>
    <cellStyle name="Normal 4 2 4 6 5 2" xfId="23461"/>
    <cellStyle name="Normal 4 2 4 6 5 3" xfId="38504"/>
    <cellStyle name="Normal 4 2 4 6 6" xfId="15940"/>
    <cellStyle name="Normal 4 2 4 6 7" xfId="30983"/>
    <cellStyle name="Normal 4 2 4 7" xfId="1322"/>
    <cellStyle name="Normal 4 2 4 7 2" xfId="3193"/>
    <cellStyle name="Normal 4 2 4 7 2 2" xfId="6988"/>
    <cellStyle name="Normal 4 2 4 7 2 2 2" xfId="14511"/>
    <cellStyle name="Normal 4 2 4 7 2 2 2 2" xfId="29555"/>
    <cellStyle name="Normal 4 2 4 7 2 2 2 3" xfId="44598"/>
    <cellStyle name="Normal 4 2 4 7 2 2 3" xfId="22034"/>
    <cellStyle name="Normal 4 2 4 7 2 2 4" xfId="37077"/>
    <cellStyle name="Normal 4 2 4 7 2 3" xfId="10762"/>
    <cellStyle name="Normal 4 2 4 7 2 3 2" xfId="25806"/>
    <cellStyle name="Normal 4 2 4 7 2 3 3" xfId="40849"/>
    <cellStyle name="Normal 4 2 4 7 2 4" xfId="18285"/>
    <cellStyle name="Normal 4 2 4 7 2 5" xfId="33328"/>
    <cellStyle name="Normal 4 2 4 7 3" xfId="5123"/>
    <cellStyle name="Normal 4 2 4 7 3 2" xfId="12646"/>
    <cellStyle name="Normal 4 2 4 7 3 2 2" xfId="27690"/>
    <cellStyle name="Normal 4 2 4 7 3 2 3" xfId="42733"/>
    <cellStyle name="Normal 4 2 4 7 3 3" xfId="20169"/>
    <cellStyle name="Normal 4 2 4 7 3 4" xfId="35212"/>
    <cellStyle name="Normal 4 2 4 7 4" xfId="8897"/>
    <cellStyle name="Normal 4 2 4 7 4 2" xfId="23941"/>
    <cellStyle name="Normal 4 2 4 7 4 3" xfId="38984"/>
    <cellStyle name="Normal 4 2 4 7 5" xfId="16420"/>
    <cellStyle name="Normal 4 2 4 7 6" xfId="31463"/>
    <cellStyle name="Normal 4 2 4 8" xfId="2260"/>
    <cellStyle name="Normal 4 2 4 8 2" xfId="6056"/>
    <cellStyle name="Normal 4 2 4 8 2 2" xfId="13579"/>
    <cellStyle name="Normal 4 2 4 8 2 2 2" xfId="28623"/>
    <cellStyle name="Normal 4 2 4 8 2 2 3" xfId="43666"/>
    <cellStyle name="Normal 4 2 4 8 2 3" xfId="21102"/>
    <cellStyle name="Normal 4 2 4 8 2 4" xfId="36145"/>
    <cellStyle name="Normal 4 2 4 8 3" xfId="9830"/>
    <cellStyle name="Normal 4 2 4 8 3 2" xfId="24874"/>
    <cellStyle name="Normal 4 2 4 8 3 3" xfId="39917"/>
    <cellStyle name="Normal 4 2 4 8 4" xfId="17353"/>
    <cellStyle name="Normal 4 2 4 8 5" xfId="32396"/>
    <cellStyle name="Normal 4 2 4 9" xfId="4188"/>
    <cellStyle name="Normal 4 2 4 9 2" xfId="11712"/>
    <cellStyle name="Normal 4 2 4 9 2 2" xfId="26756"/>
    <cellStyle name="Normal 4 2 4 9 2 3" xfId="41799"/>
    <cellStyle name="Normal 4 2 4 9 3" xfId="19235"/>
    <cellStyle name="Normal 4 2 4 9 4" xfId="34278"/>
    <cellStyle name="Normal 4 2 5" xfId="303"/>
    <cellStyle name="Normal 4 2 5 10" xfId="15486"/>
    <cellStyle name="Normal 4 2 5 11" xfId="30529"/>
    <cellStyle name="Normal 4 2 5 2" xfId="304"/>
    <cellStyle name="Normal 4 2 5 2 2" xfId="305"/>
    <cellStyle name="Normal 4 2 5 2 2 2" xfId="829"/>
    <cellStyle name="Normal 4 2 5 2 2 2 2" xfId="1788"/>
    <cellStyle name="Normal 4 2 5 2 2 2 2 2" xfId="3659"/>
    <cellStyle name="Normal 4 2 5 2 2 2 2 2 2" xfId="7454"/>
    <cellStyle name="Normal 4 2 5 2 2 2 2 2 2 2" xfId="14977"/>
    <cellStyle name="Normal 4 2 5 2 2 2 2 2 2 2 2" xfId="30021"/>
    <cellStyle name="Normal 4 2 5 2 2 2 2 2 2 2 3" xfId="45064"/>
    <cellStyle name="Normal 4 2 5 2 2 2 2 2 2 3" xfId="22500"/>
    <cellStyle name="Normal 4 2 5 2 2 2 2 2 2 4" xfId="37543"/>
    <cellStyle name="Normal 4 2 5 2 2 2 2 2 3" xfId="11228"/>
    <cellStyle name="Normal 4 2 5 2 2 2 2 2 3 2" xfId="26272"/>
    <cellStyle name="Normal 4 2 5 2 2 2 2 2 3 3" xfId="41315"/>
    <cellStyle name="Normal 4 2 5 2 2 2 2 2 4" xfId="18751"/>
    <cellStyle name="Normal 4 2 5 2 2 2 2 2 5" xfId="33794"/>
    <cellStyle name="Normal 4 2 5 2 2 2 2 3" xfId="5589"/>
    <cellStyle name="Normal 4 2 5 2 2 2 2 3 2" xfId="13112"/>
    <cellStyle name="Normal 4 2 5 2 2 2 2 3 2 2" xfId="28156"/>
    <cellStyle name="Normal 4 2 5 2 2 2 2 3 2 3" xfId="43199"/>
    <cellStyle name="Normal 4 2 5 2 2 2 2 3 3" xfId="20635"/>
    <cellStyle name="Normal 4 2 5 2 2 2 2 3 4" xfId="35678"/>
    <cellStyle name="Normal 4 2 5 2 2 2 2 4" xfId="9363"/>
    <cellStyle name="Normal 4 2 5 2 2 2 2 4 2" xfId="24407"/>
    <cellStyle name="Normal 4 2 5 2 2 2 2 4 3" xfId="39450"/>
    <cellStyle name="Normal 4 2 5 2 2 2 2 5" xfId="16886"/>
    <cellStyle name="Normal 4 2 5 2 2 2 2 6" xfId="31929"/>
    <cellStyle name="Normal 4 2 5 2 2 2 3" xfId="2727"/>
    <cellStyle name="Normal 4 2 5 2 2 2 3 2" xfId="6522"/>
    <cellStyle name="Normal 4 2 5 2 2 2 3 2 2" xfId="14045"/>
    <cellStyle name="Normal 4 2 5 2 2 2 3 2 2 2" xfId="29089"/>
    <cellStyle name="Normal 4 2 5 2 2 2 3 2 2 3" xfId="44132"/>
    <cellStyle name="Normal 4 2 5 2 2 2 3 2 3" xfId="21568"/>
    <cellStyle name="Normal 4 2 5 2 2 2 3 2 4" xfId="36611"/>
    <cellStyle name="Normal 4 2 5 2 2 2 3 3" xfId="10296"/>
    <cellStyle name="Normal 4 2 5 2 2 2 3 3 2" xfId="25340"/>
    <cellStyle name="Normal 4 2 5 2 2 2 3 3 3" xfId="40383"/>
    <cellStyle name="Normal 4 2 5 2 2 2 3 4" xfId="17819"/>
    <cellStyle name="Normal 4 2 5 2 2 2 3 5" xfId="32862"/>
    <cellStyle name="Normal 4 2 5 2 2 2 4" xfId="4657"/>
    <cellStyle name="Normal 4 2 5 2 2 2 4 2" xfId="12180"/>
    <cellStyle name="Normal 4 2 5 2 2 2 4 2 2" xfId="27224"/>
    <cellStyle name="Normal 4 2 5 2 2 2 4 2 3" xfId="42267"/>
    <cellStyle name="Normal 4 2 5 2 2 2 4 3" xfId="19703"/>
    <cellStyle name="Normal 4 2 5 2 2 2 4 4" xfId="34746"/>
    <cellStyle name="Normal 4 2 5 2 2 2 5" xfId="8431"/>
    <cellStyle name="Normal 4 2 5 2 2 2 5 2" xfId="23475"/>
    <cellStyle name="Normal 4 2 5 2 2 2 5 3" xfId="38518"/>
    <cellStyle name="Normal 4 2 5 2 2 2 6" xfId="15954"/>
    <cellStyle name="Normal 4 2 5 2 2 2 7" xfId="30997"/>
    <cellStyle name="Normal 4 2 5 2 2 3" xfId="1336"/>
    <cellStyle name="Normal 4 2 5 2 2 3 2" xfId="3207"/>
    <cellStyle name="Normal 4 2 5 2 2 3 2 2" xfId="7002"/>
    <cellStyle name="Normal 4 2 5 2 2 3 2 2 2" xfId="14525"/>
    <cellStyle name="Normal 4 2 5 2 2 3 2 2 2 2" xfId="29569"/>
    <cellStyle name="Normal 4 2 5 2 2 3 2 2 2 3" xfId="44612"/>
    <cellStyle name="Normal 4 2 5 2 2 3 2 2 3" xfId="22048"/>
    <cellStyle name="Normal 4 2 5 2 2 3 2 2 4" xfId="37091"/>
    <cellStyle name="Normal 4 2 5 2 2 3 2 3" xfId="10776"/>
    <cellStyle name="Normal 4 2 5 2 2 3 2 3 2" xfId="25820"/>
    <cellStyle name="Normal 4 2 5 2 2 3 2 3 3" xfId="40863"/>
    <cellStyle name="Normal 4 2 5 2 2 3 2 4" xfId="18299"/>
    <cellStyle name="Normal 4 2 5 2 2 3 2 5" xfId="33342"/>
    <cellStyle name="Normal 4 2 5 2 2 3 3" xfId="5137"/>
    <cellStyle name="Normal 4 2 5 2 2 3 3 2" xfId="12660"/>
    <cellStyle name="Normal 4 2 5 2 2 3 3 2 2" xfId="27704"/>
    <cellStyle name="Normal 4 2 5 2 2 3 3 2 3" xfId="42747"/>
    <cellStyle name="Normal 4 2 5 2 2 3 3 3" xfId="20183"/>
    <cellStyle name="Normal 4 2 5 2 2 3 3 4" xfId="35226"/>
    <cellStyle name="Normal 4 2 5 2 2 3 4" xfId="8911"/>
    <cellStyle name="Normal 4 2 5 2 2 3 4 2" xfId="23955"/>
    <cellStyle name="Normal 4 2 5 2 2 3 4 3" xfId="38998"/>
    <cellStyle name="Normal 4 2 5 2 2 3 5" xfId="16434"/>
    <cellStyle name="Normal 4 2 5 2 2 3 6" xfId="31477"/>
    <cellStyle name="Normal 4 2 5 2 2 4" xfId="2274"/>
    <cellStyle name="Normal 4 2 5 2 2 4 2" xfId="6070"/>
    <cellStyle name="Normal 4 2 5 2 2 4 2 2" xfId="13593"/>
    <cellStyle name="Normal 4 2 5 2 2 4 2 2 2" xfId="28637"/>
    <cellStyle name="Normal 4 2 5 2 2 4 2 2 3" xfId="43680"/>
    <cellStyle name="Normal 4 2 5 2 2 4 2 3" xfId="21116"/>
    <cellStyle name="Normal 4 2 5 2 2 4 2 4" xfId="36159"/>
    <cellStyle name="Normal 4 2 5 2 2 4 3" xfId="9844"/>
    <cellStyle name="Normal 4 2 5 2 2 4 3 2" xfId="24888"/>
    <cellStyle name="Normal 4 2 5 2 2 4 3 3" xfId="39931"/>
    <cellStyle name="Normal 4 2 5 2 2 4 4" xfId="17367"/>
    <cellStyle name="Normal 4 2 5 2 2 4 5" xfId="32410"/>
    <cellStyle name="Normal 4 2 5 2 2 5" xfId="4202"/>
    <cellStyle name="Normal 4 2 5 2 2 5 2" xfId="11726"/>
    <cellStyle name="Normal 4 2 5 2 2 5 2 2" xfId="26770"/>
    <cellStyle name="Normal 4 2 5 2 2 5 2 3" xfId="41813"/>
    <cellStyle name="Normal 4 2 5 2 2 5 3" xfId="19249"/>
    <cellStyle name="Normal 4 2 5 2 2 5 4" xfId="34292"/>
    <cellStyle name="Normal 4 2 5 2 2 6" xfId="7965"/>
    <cellStyle name="Normal 4 2 5 2 2 6 2" xfId="23009"/>
    <cellStyle name="Normal 4 2 5 2 2 6 3" xfId="38052"/>
    <cellStyle name="Normal 4 2 5 2 2 7" xfId="15488"/>
    <cellStyle name="Normal 4 2 5 2 2 8" xfId="30531"/>
    <cellStyle name="Normal 4 2 5 2 3" xfId="828"/>
    <cellStyle name="Normal 4 2 5 2 3 2" xfId="1787"/>
    <cellStyle name="Normal 4 2 5 2 3 2 2" xfId="3658"/>
    <cellStyle name="Normal 4 2 5 2 3 2 2 2" xfId="7453"/>
    <cellStyle name="Normal 4 2 5 2 3 2 2 2 2" xfId="14976"/>
    <cellStyle name="Normal 4 2 5 2 3 2 2 2 2 2" xfId="30020"/>
    <cellStyle name="Normal 4 2 5 2 3 2 2 2 2 3" xfId="45063"/>
    <cellStyle name="Normal 4 2 5 2 3 2 2 2 3" xfId="22499"/>
    <cellStyle name="Normal 4 2 5 2 3 2 2 2 4" xfId="37542"/>
    <cellStyle name="Normal 4 2 5 2 3 2 2 3" xfId="11227"/>
    <cellStyle name="Normal 4 2 5 2 3 2 2 3 2" xfId="26271"/>
    <cellStyle name="Normal 4 2 5 2 3 2 2 3 3" xfId="41314"/>
    <cellStyle name="Normal 4 2 5 2 3 2 2 4" xfId="18750"/>
    <cellStyle name="Normal 4 2 5 2 3 2 2 5" xfId="33793"/>
    <cellStyle name="Normal 4 2 5 2 3 2 3" xfId="5588"/>
    <cellStyle name="Normal 4 2 5 2 3 2 3 2" xfId="13111"/>
    <cellStyle name="Normal 4 2 5 2 3 2 3 2 2" xfId="28155"/>
    <cellStyle name="Normal 4 2 5 2 3 2 3 2 3" xfId="43198"/>
    <cellStyle name="Normal 4 2 5 2 3 2 3 3" xfId="20634"/>
    <cellStyle name="Normal 4 2 5 2 3 2 3 4" xfId="35677"/>
    <cellStyle name="Normal 4 2 5 2 3 2 4" xfId="9362"/>
    <cellStyle name="Normal 4 2 5 2 3 2 4 2" xfId="24406"/>
    <cellStyle name="Normal 4 2 5 2 3 2 4 3" xfId="39449"/>
    <cellStyle name="Normal 4 2 5 2 3 2 5" xfId="16885"/>
    <cellStyle name="Normal 4 2 5 2 3 2 6" xfId="31928"/>
    <cellStyle name="Normal 4 2 5 2 3 3" xfId="2726"/>
    <cellStyle name="Normal 4 2 5 2 3 3 2" xfId="6521"/>
    <cellStyle name="Normal 4 2 5 2 3 3 2 2" xfId="14044"/>
    <cellStyle name="Normal 4 2 5 2 3 3 2 2 2" xfId="29088"/>
    <cellStyle name="Normal 4 2 5 2 3 3 2 2 3" xfId="44131"/>
    <cellStyle name="Normal 4 2 5 2 3 3 2 3" xfId="21567"/>
    <cellStyle name="Normal 4 2 5 2 3 3 2 4" xfId="36610"/>
    <cellStyle name="Normal 4 2 5 2 3 3 3" xfId="10295"/>
    <cellStyle name="Normal 4 2 5 2 3 3 3 2" xfId="25339"/>
    <cellStyle name="Normal 4 2 5 2 3 3 3 3" xfId="40382"/>
    <cellStyle name="Normal 4 2 5 2 3 3 4" xfId="17818"/>
    <cellStyle name="Normal 4 2 5 2 3 3 5" xfId="32861"/>
    <cellStyle name="Normal 4 2 5 2 3 4" xfId="4656"/>
    <cellStyle name="Normal 4 2 5 2 3 4 2" xfId="12179"/>
    <cellStyle name="Normal 4 2 5 2 3 4 2 2" xfId="27223"/>
    <cellStyle name="Normal 4 2 5 2 3 4 2 3" xfId="42266"/>
    <cellStyle name="Normal 4 2 5 2 3 4 3" xfId="19702"/>
    <cellStyle name="Normal 4 2 5 2 3 4 4" xfId="34745"/>
    <cellStyle name="Normal 4 2 5 2 3 5" xfId="8430"/>
    <cellStyle name="Normal 4 2 5 2 3 5 2" xfId="23474"/>
    <cellStyle name="Normal 4 2 5 2 3 5 3" xfId="38517"/>
    <cellStyle name="Normal 4 2 5 2 3 6" xfId="15953"/>
    <cellStyle name="Normal 4 2 5 2 3 7" xfId="30996"/>
    <cellStyle name="Normal 4 2 5 2 4" xfId="1335"/>
    <cellStyle name="Normal 4 2 5 2 4 2" xfId="3206"/>
    <cellStyle name="Normal 4 2 5 2 4 2 2" xfId="7001"/>
    <cellStyle name="Normal 4 2 5 2 4 2 2 2" xfId="14524"/>
    <cellStyle name="Normal 4 2 5 2 4 2 2 2 2" xfId="29568"/>
    <cellStyle name="Normal 4 2 5 2 4 2 2 2 3" xfId="44611"/>
    <cellStyle name="Normal 4 2 5 2 4 2 2 3" xfId="22047"/>
    <cellStyle name="Normal 4 2 5 2 4 2 2 4" xfId="37090"/>
    <cellStyle name="Normal 4 2 5 2 4 2 3" xfId="10775"/>
    <cellStyle name="Normal 4 2 5 2 4 2 3 2" xfId="25819"/>
    <cellStyle name="Normal 4 2 5 2 4 2 3 3" xfId="40862"/>
    <cellStyle name="Normal 4 2 5 2 4 2 4" xfId="18298"/>
    <cellStyle name="Normal 4 2 5 2 4 2 5" xfId="33341"/>
    <cellStyle name="Normal 4 2 5 2 4 3" xfId="5136"/>
    <cellStyle name="Normal 4 2 5 2 4 3 2" xfId="12659"/>
    <cellStyle name="Normal 4 2 5 2 4 3 2 2" xfId="27703"/>
    <cellStyle name="Normal 4 2 5 2 4 3 2 3" xfId="42746"/>
    <cellStyle name="Normal 4 2 5 2 4 3 3" xfId="20182"/>
    <cellStyle name="Normal 4 2 5 2 4 3 4" xfId="35225"/>
    <cellStyle name="Normal 4 2 5 2 4 4" xfId="8910"/>
    <cellStyle name="Normal 4 2 5 2 4 4 2" xfId="23954"/>
    <cellStyle name="Normal 4 2 5 2 4 4 3" xfId="38997"/>
    <cellStyle name="Normal 4 2 5 2 4 5" xfId="16433"/>
    <cellStyle name="Normal 4 2 5 2 4 6" xfId="31476"/>
    <cellStyle name="Normal 4 2 5 2 5" xfId="2273"/>
    <cellStyle name="Normal 4 2 5 2 5 2" xfId="6069"/>
    <cellStyle name="Normal 4 2 5 2 5 2 2" xfId="13592"/>
    <cellStyle name="Normal 4 2 5 2 5 2 2 2" xfId="28636"/>
    <cellStyle name="Normal 4 2 5 2 5 2 2 3" xfId="43679"/>
    <cellStyle name="Normal 4 2 5 2 5 2 3" xfId="21115"/>
    <cellStyle name="Normal 4 2 5 2 5 2 4" xfId="36158"/>
    <cellStyle name="Normal 4 2 5 2 5 3" xfId="9843"/>
    <cellStyle name="Normal 4 2 5 2 5 3 2" xfId="24887"/>
    <cellStyle name="Normal 4 2 5 2 5 3 3" xfId="39930"/>
    <cellStyle name="Normal 4 2 5 2 5 4" xfId="17366"/>
    <cellStyle name="Normal 4 2 5 2 5 5" xfId="32409"/>
    <cellStyle name="Normal 4 2 5 2 6" xfId="4201"/>
    <cellStyle name="Normal 4 2 5 2 6 2" xfId="11725"/>
    <cellStyle name="Normal 4 2 5 2 6 2 2" xfId="26769"/>
    <cellStyle name="Normal 4 2 5 2 6 2 3" xfId="41812"/>
    <cellStyle name="Normal 4 2 5 2 6 3" xfId="19248"/>
    <cellStyle name="Normal 4 2 5 2 6 4" xfId="34291"/>
    <cellStyle name="Normal 4 2 5 2 7" xfId="7964"/>
    <cellStyle name="Normal 4 2 5 2 7 2" xfId="23008"/>
    <cellStyle name="Normal 4 2 5 2 7 3" xfId="38051"/>
    <cellStyle name="Normal 4 2 5 2 8" xfId="15487"/>
    <cellStyle name="Normal 4 2 5 2 9" xfId="30530"/>
    <cellStyle name="Normal 4 2 5 3" xfId="306"/>
    <cellStyle name="Normal 4 2 5 3 2" xfId="307"/>
    <cellStyle name="Normal 4 2 5 3 2 2" xfId="831"/>
    <cellStyle name="Normal 4 2 5 3 2 2 2" xfId="1790"/>
    <cellStyle name="Normal 4 2 5 3 2 2 2 2" xfId="3661"/>
    <cellStyle name="Normal 4 2 5 3 2 2 2 2 2" xfId="7456"/>
    <cellStyle name="Normal 4 2 5 3 2 2 2 2 2 2" xfId="14979"/>
    <cellStyle name="Normal 4 2 5 3 2 2 2 2 2 2 2" xfId="30023"/>
    <cellStyle name="Normal 4 2 5 3 2 2 2 2 2 2 3" xfId="45066"/>
    <cellStyle name="Normal 4 2 5 3 2 2 2 2 2 3" xfId="22502"/>
    <cellStyle name="Normal 4 2 5 3 2 2 2 2 2 4" xfId="37545"/>
    <cellStyle name="Normal 4 2 5 3 2 2 2 2 3" xfId="11230"/>
    <cellStyle name="Normal 4 2 5 3 2 2 2 2 3 2" xfId="26274"/>
    <cellStyle name="Normal 4 2 5 3 2 2 2 2 3 3" xfId="41317"/>
    <cellStyle name="Normal 4 2 5 3 2 2 2 2 4" xfId="18753"/>
    <cellStyle name="Normal 4 2 5 3 2 2 2 2 5" xfId="33796"/>
    <cellStyle name="Normal 4 2 5 3 2 2 2 3" xfId="5591"/>
    <cellStyle name="Normal 4 2 5 3 2 2 2 3 2" xfId="13114"/>
    <cellStyle name="Normal 4 2 5 3 2 2 2 3 2 2" xfId="28158"/>
    <cellStyle name="Normal 4 2 5 3 2 2 2 3 2 3" xfId="43201"/>
    <cellStyle name="Normal 4 2 5 3 2 2 2 3 3" xfId="20637"/>
    <cellStyle name="Normal 4 2 5 3 2 2 2 3 4" xfId="35680"/>
    <cellStyle name="Normal 4 2 5 3 2 2 2 4" xfId="9365"/>
    <cellStyle name="Normal 4 2 5 3 2 2 2 4 2" xfId="24409"/>
    <cellStyle name="Normal 4 2 5 3 2 2 2 4 3" xfId="39452"/>
    <cellStyle name="Normal 4 2 5 3 2 2 2 5" xfId="16888"/>
    <cellStyle name="Normal 4 2 5 3 2 2 2 6" xfId="31931"/>
    <cellStyle name="Normal 4 2 5 3 2 2 3" xfId="2729"/>
    <cellStyle name="Normal 4 2 5 3 2 2 3 2" xfId="6524"/>
    <cellStyle name="Normal 4 2 5 3 2 2 3 2 2" xfId="14047"/>
    <cellStyle name="Normal 4 2 5 3 2 2 3 2 2 2" xfId="29091"/>
    <cellStyle name="Normal 4 2 5 3 2 2 3 2 2 3" xfId="44134"/>
    <cellStyle name="Normal 4 2 5 3 2 2 3 2 3" xfId="21570"/>
    <cellStyle name="Normal 4 2 5 3 2 2 3 2 4" xfId="36613"/>
    <cellStyle name="Normal 4 2 5 3 2 2 3 3" xfId="10298"/>
    <cellStyle name="Normal 4 2 5 3 2 2 3 3 2" xfId="25342"/>
    <cellStyle name="Normal 4 2 5 3 2 2 3 3 3" xfId="40385"/>
    <cellStyle name="Normal 4 2 5 3 2 2 3 4" xfId="17821"/>
    <cellStyle name="Normal 4 2 5 3 2 2 3 5" xfId="32864"/>
    <cellStyle name="Normal 4 2 5 3 2 2 4" xfId="4659"/>
    <cellStyle name="Normal 4 2 5 3 2 2 4 2" xfId="12182"/>
    <cellStyle name="Normal 4 2 5 3 2 2 4 2 2" xfId="27226"/>
    <cellStyle name="Normal 4 2 5 3 2 2 4 2 3" xfId="42269"/>
    <cellStyle name="Normal 4 2 5 3 2 2 4 3" xfId="19705"/>
    <cellStyle name="Normal 4 2 5 3 2 2 4 4" xfId="34748"/>
    <cellStyle name="Normal 4 2 5 3 2 2 5" xfId="8433"/>
    <cellStyle name="Normal 4 2 5 3 2 2 5 2" xfId="23477"/>
    <cellStyle name="Normal 4 2 5 3 2 2 5 3" xfId="38520"/>
    <cellStyle name="Normal 4 2 5 3 2 2 6" xfId="15956"/>
    <cellStyle name="Normal 4 2 5 3 2 2 7" xfId="30999"/>
    <cellStyle name="Normal 4 2 5 3 2 3" xfId="1338"/>
    <cellStyle name="Normal 4 2 5 3 2 3 2" xfId="3209"/>
    <cellStyle name="Normal 4 2 5 3 2 3 2 2" xfId="7004"/>
    <cellStyle name="Normal 4 2 5 3 2 3 2 2 2" xfId="14527"/>
    <cellStyle name="Normal 4 2 5 3 2 3 2 2 2 2" xfId="29571"/>
    <cellStyle name="Normal 4 2 5 3 2 3 2 2 2 3" xfId="44614"/>
    <cellStyle name="Normal 4 2 5 3 2 3 2 2 3" xfId="22050"/>
    <cellStyle name="Normal 4 2 5 3 2 3 2 2 4" xfId="37093"/>
    <cellStyle name="Normal 4 2 5 3 2 3 2 3" xfId="10778"/>
    <cellStyle name="Normal 4 2 5 3 2 3 2 3 2" xfId="25822"/>
    <cellStyle name="Normal 4 2 5 3 2 3 2 3 3" xfId="40865"/>
    <cellStyle name="Normal 4 2 5 3 2 3 2 4" xfId="18301"/>
    <cellStyle name="Normal 4 2 5 3 2 3 2 5" xfId="33344"/>
    <cellStyle name="Normal 4 2 5 3 2 3 3" xfId="5139"/>
    <cellStyle name="Normal 4 2 5 3 2 3 3 2" xfId="12662"/>
    <cellStyle name="Normal 4 2 5 3 2 3 3 2 2" xfId="27706"/>
    <cellStyle name="Normal 4 2 5 3 2 3 3 2 3" xfId="42749"/>
    <cellStyle name="Normal 4 2 5 3 2 3 3 3" xfId="20185"/>
    <cellStyle name="Normal 4 2 5 3 2 3 3 4" xfId="35228"/>
    <cellStyle name="Normal 4 2 5 3 2 3 4" xfId="8913"/>
    <cellStyle name="Normal 4 2 5 3 2 3 4 2" xfId="23957"/>
    <cellStyle name="Normal 4 2 5 3 2 3 4 3" xfId="39000"/>
    <cellStyle name="Normal 4 2 5 3 2 3 5" xfId="16436"/>
    <cellStyle name="Normal 4 2 5 3 2 3 6" xfId="31479"/>
    <cellStyle name="Normal 4 2 5 3 2 4" xfId="2276"/>
    <cellStyle name="Normal 4 2 5 3 2 4 2" xfId="6072"/>
    <cellStyle name="Normal 4 2 5 3 2 4 2 2" xfId="13595"/>
    <cellStyle name="Normal 4 2 5 3 2 4 2 2 2" xfId="28639"/>
    <cellStyle name="Normal 4 2 5 3 2 4 2 2 3" xfId="43682"/>
    <cellStyle name="Normal 4 2 5 3 2 4 2 3" xfId="21118"/>
    <cellStyle name="Normal 4 2 5 3 2 4 2 4" xfId="36161"/>
    <cellStyle name="Normal 4 2 5 3 2 4 3" xfId="9846"/>
    <cellStyle name="Normal 4 2 5 3 2 4 3 2" xfId="24890"/>
    <cellStyle name="Normal 4 2 5 3 2 4 3 3" xfId="39933"/>
    <cellStyle name="Normal 4 2 5 3 2 4 4" xfId="17369"/>
    <cellStyle name="Normal 4 2 5 3 2 4 5" xfId="32412"/>
    <cellStyle name="Normal 4 2 5 3 2 5" xfId="4204"/>
    <cellStyle name="Normal 4 2 5 3 2 5 2" xfId="11728"/>
    <cellStyle name="Normal 4 2 5 3 2 5 2 2" xfId="26772"/>
    <cellStyle name="Normal 4 2 5 3 2 5 2 3" xfId="41815"/>
    <cellStyle name="Normal 4 2 5 3 2 5 3" xfId="19251"/>
    <cellStyle name="Normal 4 2 5 3 2 5 4" xfId="34294"/>
    <cellStyle name="Normal 4 2 5 3 2 6" xfId="7967"/>
    <cellStyle name="Normal 4 2 5 3 2 6 2" xfId="23011"/>
    <cellStyle name="Normal 4 2 5 3 2 6 3" xfId="38054"/>
    <cellStyle name="Normal 4 2 5 3 2 7" xfId="15490"/>
    <cellStyle name="Normal 4 2 5 3 2 8" xfId="30533"/>
    <cellStyle name="Normal 4 2 5 3 3" xfId="830"/>
    <cellStyle name="Normal 4 2 5 3 3 2" xfId="1789"/>
    <cellStyle name="Normal 4 2 5 3 3 2 2" xfId="3660"/>
    <cellStyle name="Normal 4 2 5 3 3 2 2 2" xfId="7455"/>
    <cellStyle name="Normal 4 2 5 3 3 2 2 2 2" xfId="14978"/>
    <cellStyle name="Normal 4 2 5 3 3 2 2 2 2 2" xfId="30022"/>
    <cellStyle name="Normal 4 2 5 3 3 2 2 2 2 3" xfId="45065"/>
    <cellStyle name="Normal 4 2 5 3 3 2 2 2 3" xfId="22501"/>
    <cellStyle name="Normal 4 2 5 3 3 2 2 2 4" xfId="37544"/>
    <cellStyle name="Normal 4 2 5 3 3 2 2 3" xfId="11229"/>
    <cellStyle name="Normal 4 2 5 3 3 2 2 3 2" xfId="26273"/>
    <cellStyle name="Normal 4 2 5 3 3 2 2 3 3" xfId="41316"/>
    <cellStyle name="Normal 4 2 5 3 3 2 2 4" xfId="18752"/>
    <cellStyle name="Normal 4 2 5 3 3 2 2 5" xfId="33795"/>
    <cellStyle name="Normal 4 2 5 3 3 2 3" xfId="5590"/>
    <cellStyle name="Normal 4 2 5 3 3 2 3 2" xfId="13113"/>
    <cellStyle name="Normal 4 2 5 3 3 2 3 2 2" xfId="28157"/>
    <cellStyle name="Normal 4 2 5 3 3 2 3 2 3" xfId="43200"/>
    <cellStyle name="Normal 4 2 5 3 3 2 3 3" xfId="20636"/>
    <cellStyle name="Normal 4 2 5 3 3 2 3 4" xfId="35679"/>
    <cellStyle name="Normal 4 2 5 3 3 2 4" xfId="9364"/>
    <cellStyle name="Normal 4 2 5 3 3 2 4 2" xfId="24408"/>
    <cellStyle name="Normal 4 2 5 3 3 2 4 3" xfId="39451"/>
    <cellStyle name="Normal 4 2 5 3 3 2 5" xfId="16887"/>
    <cellStyle name="Normal 4 2 5 3 3 2 6" xfId="31930"/>
    <cellStyle name="Normal 4 2 5 3 3 3" xfId="2728"/>
    <cellStyle name="Normal 4 2 5 3 3 3 2" xfId="6523"/>
    <cellStyle name="Normal 4 2 5 3 3 3 2 2" xfId="14046"/>
    <cellStyle name="Normal 4 2 5 3 3 3 2 2 2" xfId="29090"/>
    <cellStyle name="Normal 4 2 5 3 3 3 2 2 3" xfId="44133"/>
    <cellStyle name="Normal 4 2 5 3 3 3 2 3" xfId="21569"/>
    <cellStyle name="Normal 4 2 5 3 3 3 2 4" xfId="36612"/>
    <cellStyle name="Normal 4 2 5 3 3 3 3" xfId="10297"/>
    <cellStyle name="Normal 4 2 5 3 3 3 3 2" xfId="25341"/>
    <cellStyle name="Normal 4 2 5 3 3 3 3 3" xfId="40384"/>
    <cellStyle name="Normal 4 2 5 3 3 3 4" xfId="17820"/>
    <cellStyle name="Normal 4 2 5 3 3 3 5" xfId="32863"/>
    <cellStyle name="Normal 4 2 5 3 3 4" xfId="4658"/>
    <cellStyle name="Normal 4 2 5 3 3 4 2" xfId="12181"/>
    <cellStyle name="Normal 4 2 5 3 3 4 2 2" xfId="27225"/>
    <cellStyle name="Normal 4 2 5 3 3 4 2 3" xfId="42268"/>
    <cellStyle name="Normal 4 2 5 3 3 4 3" xfId="19704"/>
    <cellStyle name="Normal 4 2 5 3 3 4 4" xfId="34747"/>
    <cellStyle name="Normal 4 2 5 3 3 5" xfId="8432"/>
    <cellStyle name="Normal 4 2 5 3 3 5 2" xfId="23476"/>
    <cellStyle name="Normal 4 2 5 3 3 5 3" xfId="38519"/>
    <cellStyle name="Normal 4 2 5 3 3 6" xfId="15955"/>
    <cellStyle name="Normal 4 2 5 3 3 7" xfId="30998"/>
    <cellStyle name="Normal 4 2 5 3 4" xfId="1337"/>
    <cellStyle name="Normal 4 2 5 3 4 2" xfId="3208"/>
    <cellStyle name="Normal 4 2 5 3 4 2 2" xfId="7003"/>
    <cellStyle name="Normal 4 2 5 3 4 2 2 2" xfId="14526"/>
    <cellStyle name="Normal 4 2 5 3 4 2 2 2 2" xfId="29570"/>
    <cellStyle name="Normal 4 2 5 3 4 2 2 2 3" xfId="44613"/>
    <cellStyle name="Normal 4 2 5 3 4 2 2 3" xfId="22049"/>
    <cellStyle name="Normal 4 2 5 3 4 2 2 4" xfId="37092"/>
    <cellStyle name="Normal 4 2 5 3 4 2 3" xfId="10777"/>
    <cellStyle name="Normal 4 2 5 3 4 2 3 2" xfId="25821"/>
    <cellStyle name="Normal 4 2 5 3 4 2 3 3" xfId="40864"/>
    <cellStyle name="Normal 4 2 5 3 4 2 4" xfId="18300"/>
    <cellStyle name="Normal 4 2 5 3 4 2 5" xfId="33343"/>
    <cellStyle name="Normal 4 2 5 3 4 3" xfId="5138"/>
    <cellStyle name="Normal 4 2 5 3 4 3 2" xfId="12661"/>
    <cellStyle name="Normal 4 2 5 3 4 3 2 2" xfId="27705"/>
    <cellStyle name="Normal 4 2 5 3 4 3 2 3" xfId="42748"/>
    <cellStyle name="Normal 4 2 5 3 4 3 3" xfId="20184"/>
    <cellStyle name="Normal 4 2 5 3 4 3 4" xfId="35227"/>
    <cellStyle name="Normal 4 2 5 3 4 4" xfId="8912"/>
    <cellStyle name="Normal 4 2 5 3 4 4 2" xfId="23956"/>
    <cellStyle name="Normal 4 2 5 3 4 4 3" xfId="38999"/>
    <cellStyle name="Normal 4 2 5 3 4 5" xfId="16435"/>
    <cellStyle name="Normal 4 2 5 3 4 6" xfId="31478"/>
    <cellStyle name="Normal 4 2 5 3 5" xfId="2275"/>
    <cellStyle name="Normal 4 2 5 3 5 2" xfId="6071"/>
    <cellStyle name="Normal 4 2 5 3 5 2 2" xfId="13594"/>
    <cellStyle name="Normal 4 2 5 3 5 2 2 2" xfId="28638"/>
    <cellStyle name="Normal 4 2 5 3 5 2 2 3" xfId="43681"/>
    <cellStyle name="Normal 4 2 5 3 5 2 3" xfId="21117"/>
    <cellStyle name="Normal 4 2 5 3 5 2 4" xfId="36160"/>
    <cellStyle name="Normal 4 2 5 3 5 3" xfId="9845"/>
    <cellStyle name="Normal 4 2 5 3 5 3 2" xfId="24889"/>
    <cellStyle name="Normal 4 2 5 3 5 3 3" xfId="39932"/>
    <cellStyle name="Normal 4 2 5 3 5 4" xfId="17368"/>
    <cellStyle name="Normal 4 2 5 3 5 5" xfId="32411"/>
    <cellStyle name="Normal 4 2 5 3 6" xfId="4203"/>
    <cellStyle name="Normal 4 2 5 3 6 2" xfId="11727"/>
    <cellStyle name="Normal 4 2 5 3 6 2 2" xfId="26771"/>
    <cellStyle name="Normal 4 2 5 3 6 2 3" xfId="41814"/>
    <cellStyle name="Normal 4 2 5 3 6 3" xfId="19250"/>
    <cellStyle name="Normal 4 2 5 3 6 4" xfId="34293"/>
    <cellStyle name="Normal 4 2 5 3 7" xfId="7966"/>
    <cellStyle name="Normal 4 2 5 3 7 2" xfId="23010"/>
    <cellStyle name="Normal 4 2 5 3 7 3" xfId="38053"/>
    <cellStyle name="Normal 4 2 5 3 8" xfId="15489"/>
    <cellStyle name="Normal 4 2 5 3 9" xfId="30532"/>
    <cellStyle name="Normal 4 2 5 4" xfId="308"/>
    <cellStyle name="Normal 4 2 5 4 2" xfId="832"/>
    <cellStyle name="Normal 4 2 5 4 2 2" xfId="1791"/>
    <cellStyle name="Normal 4 2 5 4 2 2 2" xfId="3662"/>
    <cellStyle name="Normal 4 2 5 4 2 2 2 2" xfId="7457"/>
    <cellStyle name="Normal 4 2 5 4 2 2 2 2 2" xfId="14980"/>
    <cellStyle name="Normal 4 2 5 4 2 2 2 2 2 2" xfId="30024"/>
    <cellStyle name="Normal 4 2 5 4 2 2 2 2 2 3" xfId="45067"/>
    <cellStyle name="Normal 4 2 5 4 2 2 2 2 3" xfId="22503"/>
    <cellStyle name="Normal 4 2 5 4 2 2 2 2 4" xfId="37546"/>
    <cellStyle name="Normal 4 2 5 4 2 2 2 3" xfId="11231"/>
    <cellStyle name="Normal 4 2 5 4 2 2 2 3 2" xfId="26275"/>
    <cellStyle name="Normal 4 2 5 4 2 2 2 3 3" xfId="41318"/>
    <cellStyle name="Normal 4 2 5 4 2 2 2 4" xfId="18754"/>
    <cellStyle name="Normal 4 2 5 4 2 2 2 5" xfId="33797"/>
    <cellStyle name="Normal 4 2 5 4 2 2 3" xfId="5592"/>
    <cellStyle name="Normal 4 2 5 4 2 2 3 2" xfId="13115"/>
    <cellStyle name="Normal 4 2 5 4 2 2 3 2 2" xfId="28159"/>
    <cellStyle name="Normal 4 2 5 4 2 2 3 2 3" xfId="43202"/>
    <cellStyle name="Normal 4 2 5 4 2 2 3 3" xfId="20638"/>
    <cellStyle name="Normal 4 2 5 4 2 2 3 4" xfId="35681"/>
    <cellStyle name="Normal 4 2 5 4 2 2 4" xfId="9366"/>
    <cellStyle name="Normal 4 2 5 4 2 2 4 2" xfId="24410"/>
    <cellStyle name="Normal 4 2 5 4 2 2 4 3" xfId="39453"/>
    <cellStyle name="Normal 4 2 5 4 2 2 5" xfId="16889"/>
    <cellStyle name="Normal 4 2 5 4 2 2 6" xfId="31932"/>
    <cellStyle name="Normal 4 2 5 4 2 3" xfId="2730"/>
    <cellStyle name="Normal 4 2 5 4 2 3 2" xfId="6525"/>
    <cellStyle name="Normal 4 2 5 4 2 3 2 2" xfId="14048"/>
    <cellStyle name="Normal 4 2 5 4 2 3 2 2 2" xfId="29092"/>
    <cellStyle name="Normal 4 2 5 4 2 3 2 2 3" xfId="44135"/>
    <cellStyle name="Normal 4 2 5 4 2 3 2 3" xfId="21571"/>
    <cellStyle name="Normal 4 2 5 4 2 3 2 4" xfId="36614"/>
    <cellStyle name="Normal 4 2 5 4 2 3 3" xfId="10299"/>
    <cellStyle name="Normal 4 2 5 4 2 3 3 2" xfId="25343"/>
    <cellStyle name="Normal 4 2 5 4 2 3 3 3" xfId="40386"/>
    <cellStyle name="Normal 4 2 5 4 2 3 4" xfId="17822"/>
    <cellStyle name="Normal 4 2 5 4 2 3 5" xfId="32865"/>
    <cellStyle name="Normal 4 2 5 4 2 4" xfId="4660"/>
    <cellStyle name="Normal 4 2 5 4 2 4 2" xfId="12183"/>
    <cellStyle name="Normal 4 2 5 4 2 4 2 2" xfId="27227"/>
    <cellStyle name="Normal 4 2 5 4 2 4 2 3" xfId="42270"/>
    <cellStyle name="Normal 4 2 5 4 2 4 3" xfId="19706"/>
    <cellStyle name="Normal 4 2 5 4 2 4 4" xfId="34749"/>
    <cellStyle name="Normal 4 2 5 4 2 5" xfId="8434"/>
    <cellStyle name="Normal 4 2 5 4 2 5 2" xfId="23478"/>
    <cellStyle name="Normal 4 2 5 4 2 5 3" xfId="38521"/>
    <cellStyle name="Normal 4 2 5 4 2 6" xfId="15957"/>
    <cellStyle name="Normal 4 2 5 4 2 7" xfId="31000"/>
    <cellStyle name="Normal 4 2 5 4 3" xfId="1339"/>
    <cellStyle name="Normal 4 2 5 4 3 2" xfId="3210"/>
    <cellStyle name="Normal 4 2 5 4 3 2 2" xfId="7005"/>
    <cellStyle name="Normal 4 2 5 4 3 2 2 2" xfId="14528"/>
    <cellStyle name="Normal 4 2 5 4 3 2 2 2 2" xfId="29572"/>
    <cellStyle name="Normal 4 2 5 4 3 2 2 2 3" xfId="44615"/>
    <cellStyle name="Normal 4 2 5 4 3 2 2 3" xfId="22051"/>
    <cellStyle name="Normal 4 2 5 4 3 2 2 4" xfId="37094"/>
    <cellStyle name="Normal 4 2 5 4 3 2 3" xfId="10779"/>
    <cellStyle name="Normal 4 2 5 4 3 2 3 2" xfId="25823"/>
    <cellStyle name="Normal 4 2 5 4 3 2 3 3" xfId="40866"/>
    <cellStyle name="Normal 4 2 5 4 3 2 4" xfId="18302"/>
    <cellStyle name="Normal 4 2 5 4 3 2 5" xfId="33345"/>
    <cellStyle name="Normal 4 2 5 4 3 3" xfId="5140"/>
    <cellStyle name="Normal 4 2 5 4 3 3 2" xfId="12663"/>
    <cellStyle name="Normal 4 2 5 4 3 3 2 2" xfId="27707"/>
    <cellStyle name="Normal 4 2 5 4 3 3 2 3" xfId="42750"/>
    <cellStyle name="Normal 4 2 5 4 3 3 3" xfId="20186"/>
    <cellStyle name="Normal 4 2 5 4 3 3 4" xfId="35229"/>
    <cellStyle name="Normal 4 2 5 4 3 4" xfId="8914"/>
    <cellStyle name="Normal 4 2 5 4 3 4 2" xfId="23958"/>
    <cellStyle name="Normal 4 2 5 4 3 4 3" xfId="39001"/>
    <cellStyle name="Normal 4 2 5 4 3 5" xfId="16437"/>
    <cellStyle name="Normal 4 2 5 4 3 6" xfId="31480"/>
    <cellStyle name="Normal 4 2 5 4 4" xfId="2277"/>
    <cellStyle name="Normal 4 2 5 4 4 2" xfId="6073"/>
    <cellStyle name="Normal 4 2 5 4 4 2 2" xfId="13596"/>
    <cellStyle name="Normal 4 2 5 4 4 2 2 2" xfId="28640"/>
    <cellStyle name="Normal 4 2 5 4 4 2 2 3" xfId="43683"/>
    <cellStyle name="Normal 4 2 5 4 4 2 3" xfId="21119"/>
    <cellStyle name="Normal 4 2 5 4 4 2 4" xfId="36162"/>
    <cellStyle name="Normal 4 2 5 4 4 3" xfId="9847"/>
    <cellStyle name="Normal 4 2 5 4 4 3 2" xfId="24891"/>
    <cellStyle name="Normal 4 2 5 4 4 3 3" xfId="39934"/>
    <cellStyle name="Normal 4 2 5 4 4 4" xfId="17370"/>
    <cellStyle name="Normal 4 2 5 4 4 5" xfId="32413"/>
    <cellStyle name="Normal 4 2 5 4 5" xfId="4205"/>
    <cellStyle name="Normal 4 2 5 4 5 2" xfId="11729"/>
    <cellStyle name="Normal 4 2 5 4 5 2 2" xfId="26773"/>
    <cellStyle name="Normal 4 2 5 4 5 2 3" xfId="41816"/>
    <cellStyle name="Normal 4 2 5 4 5 3" xfId="19252"/>
    <cellStyle name="Normal 4 2 5 4 5 4" xfId="34295"/>
    <cellStyle name="Normal 4 2 5 4 6" xfId="7968"/>
    <cellStyle name="Normal 4 2 5 4 6 2" xfId="23012"/>
    <cellStyle name="Normal 4 2 5 4 6 3" xfId="38055"/>
    <cellStyle name="Normal 4 2 5 4 7" xfId="15491"/>
    <cellStyle name="Normal 4 2 5 4 8" xfId="30534"/>
    <cellStyle name="Normal 4 2 5 5" xfId="827"/>
    <cellStyle name="Normal 4 2 5 5 2" xfId="1786"/>
    <cellStyle name="Normal 4 2 5 5 2 2" xfId="3657"/>
    <cellStyle name="Normal 4 2 5 5 2 2 2" xfId="7452"/>
    <cellStyle name="Normal 4 2 5 5 2 2 2 2" xfId="14975"/>
    <cellStyle name="Normal 4 2 5 5 2 2 2 2 2" xfId="30019"/>
    <cellStyle name="Normal 4 2 5 5 2 2 2 2 3" xfId="45062"/>
    <cellStyle name="Normal 4 2 5 5 2 2 2 3" xfId="22498"/>
    <cellStyle name="Normal 4 2 5 5 2 2 2 4" xfId="37541"/>
    <cellStyle name="Normal 4 2 5 5 2 2 3" xfId="11226"/>
    <cellStyle name="Normal 4 2 5 5 2 2 3 2" xfId="26270"/>
    <cellStyle name="Normal 4 2 5 5 2 2 3 3" xfId="41313"/>
    <cellStyle name="Normal 4 2 5 5 2 2 4" xfId="18749"/>
    <cellStyle name="Normal 4 2 5 5 2 2 5" xfId="33792"/>
    <cellStyle name="Normal 4 2 5 5 2 3" xfId="5587"/>
    <cellStyle name="Normal 4 2 5 5 2 3 2" xfId="13110"/>
    <cellStyle name="Normal 4 2 5 5 2 3 2 2" xfId="28154"/>
    <cellStyle name="Normal 4 2 5 5 2 3 2 3" xfId="43197"/>
    <cellStyle name="Normal 4 2 5 5 2 3 3" xfId="20633"/>
    <cellStyle name="Normal 4 2 5 5 2 3 4" xfId="35676"/>
    <cellStyle name="Normal 4 2 5 5 2 4" xfId="9361"/>
    <cellStyle name="Normal 4 2 5 5 2 4 2" xfId="24405"/>
    <cellStyle name="Normal 4 2 5 5 2 4 3" xfId="39448"/>
    <cellStyle name="Normal 4 2 5 5 2 5" xfId="16884"/>
    <cellStyle name="Normal 4 2 5 5 2 6" xfId="31927"/>
    <cellStyle name="Normal 4 2 5 5 3" xfId="2725"/>
    <cellStyle name="Normal 4 2 5 5 3 2" xfId="6520"/>
    <cellStyle name="Normal 4 2 5 5 3 2 2" xfId="14043"/>
    <cellStyle name="Normal 4 2 5 5 3 2 2 2" xfId="29087"/>
    <cellStyle name="Normal 4 2 5 5 3 2 2 3" xfId="44130"/>
    <cellStyle name="Normal 4 2 5 5 3 2 3" xfId="21566"/>
    <cellStyle name="Normal 4 2 5 5 3 2 4" xfId="36609"/>
    <cellStyle name="Normal 4 2 5 5 3 3" xfId="10294"/>
    <cellStyle name="Normal 4 2 5 5 3 3 2" xfId="25338"/>
    <cellStyle name="Normal 4 2 5 5 3 3 3" xfId="40381"/>
    <cellStyle name="Normal 4 2 5 5 3 4" xfId="17817"/>
    <cellStyle name="Normal 4 2 5 5 3 5" xfId="32860"/>
    <cellStyle name="Normal 4 2 5 5 4" xfId="4655"/>
    <cellStyle name="Normal 4 2 5 5 4 2" xfId="12178"/>
    <cellStyle name="Normal 4 2 5 5 4 2 2" xfId="27222"/>
    <cellStyle name="Normal 4 2 5 5 4 2 3" xfId="42265"/>
    <cellStyle name="Normal 4 2 5 5 4 3" xfId="19701"/>
    <cellStyle name="Normal 4 2 5 5 4 4" xfId="34744"/>
    <cellStyle name="Normal 4 2 5 5 5" xfId="8429"/>
    <cellStyle name="Normal 4 2 5 5 5 2" xfId="23473"/>
    <cellStyle name="Normal 4 2 5 5 5 3" xfId="38516"/>
    <cellStyle name="Normal 4 2 5 5 6" xfId="15952"/>
    <cellStyle name="Normal 4 2 5 5 7" xfId="30995"/>
    <cellStyle name="Normal 4 2 5 6" xfId="1334"/>
    <cellStyle name="Normal 4 2 5 6 2" xfId="3205"/>
    <cellStyle name="Normal 4 2 5 6 2 2" xfId="7000"/>
    <cellStyle name="Normal 4 2 5 6 2 2 2" xfId="14523"/>
    <cellStyle name="Normal 4 2 5 6 2 2 2 2" xfId="29567"/>
    <cellStyle name="Normal 4 2 5 6 2 2 2 3" xfId="44610"/>
    <cellStyle name="Normal 4 2 5 6 2 2 3" xfId="22046"/>
    <cellStyle name="Normal 4 2 5 6 2 2 4" xfId="37089"/>
    <cellStyle name="Normal 4 2 5 6 2 3" xfId="10774"/>
    <cellStyle name="Normal 4 2 5 6 2 3 2" xfId="25818"/>
    <cellStyle name="Normal 4 2 5 6 2 3 3" xfId="40861"/>
    <cellStyle name="Normal 4 2 5 6 2 4" xfId="18297"/>
    <cellStyle name="Normal 4 2 5 6 2 5" xfId="33340"/>
    <cellStyle name="Normal 4 2 5 6 3" xfId="5135"/>
    <cellStyle name="Normal 4 2 5 6 3 2" xfId="12658"/>
    <cellStyle name="Normal 4 2 5 6 3 2 2" xfId="27702"/>
    <cellStyle name="Normal 4 2 5 6 3 2 3" xfId="42745"/>
    <cellStyle name="Normal 4 2 5 6 3 3" xfId="20181"/>
    <cellStyle name="Normal 4 2 5 6 3 4" xfId="35224"/>
    <cellStyle name="Normal 4 2 5 6 4" xfId="8909"/>
    <cellStyle name="Normal 4 2 5 6 4 2" xfId="23953"/>
    <cellStyle name="Normal 4 2 5 6 4 3" xfId="38996"/>
    <cellStyle name="Normal 4 2 5 6 5" xfId="16432"/>
    <cellStyle name="Normal 4 2 5 6 6" xfId="31475"/>
    <cellStyle name="Normal 4 2 5 7" xfId="2272"/>
    <cellStyle name="Normal 4 2 5 7 2" xfId="6068"/>
    <cellStyle name="Normal 4 2 5 7 2 2" xfId="13591"/>
    <cellStyle name="Normal 4 2 5 7 2 2 2" xfId="28635"/>
    <cellStyle name="Normal 4 2 5 7 2 2 3" xfId="43678"/>
    <cellStyle name="Normal 4 2 5 7 2 3" xfId="21114"/>
    <cellStyle name="Normal 4 2 5 7 2 4" xfId="36157"/>
    <cellStyle name="Normal 4 2 5 7 3" xfId="9842"/>
    <cellStyle name="Normal 4 2 5 7 3 2" xfId="24886"/>
    <cellStyle name="Normal 4 2 5 7 3 3" xfId="39929"/>
    <cellStyle name="Normal 4 2 5 7 4" xfId="17365"/>
    <cellStyle name="Normal 4 2 5 7 5" xfId="32408"/>
    <cellStyle name="Normal 4 2 5 8" xfId="4200"/>
    <cellStyle name="Normal 4 2 5 8 2" xfId="11724"/>
    <cellStyle name="Normal 4 2 5 8 2 2" xfId="26768"/>
    <cellStyle name="Normal 4 2 5 8 2 3" xfId="41811"/>
    <cellStyle name="Normal 4 2 5 8 3" xfId="19247"/>
    <cellStyle name="Normal 4 2 5 8 4" xfId="34290"/>
    <cellStyle name="Normal 4 2 5 9" xfId="7963"/>
    <cellStyle name="Normal 4 2 5 9 2" xfId="23007"/>
    <cellStyle name="Normal 4 2 5 9 3" xfId="38050"/>
    <cellStyle name="Normal 4 2 6" xfId="309"/>
    <cellStyle name="Normal 4 2 6 2" xfId="310"/>
    <cellStyle name="Normal 4 2 6 2 2" xfId="834"/>
    <cellStyle name="Normal 4 2 6 2 2 2" xfId="1793"/>
    <cellStyle name="Normal 4 2 6 2 2 2 2" xfId="3664"/>
    <cellStyle name="Normal 4 2 6 2 2 2 2 2" xfId="7459"/>
    <cellStyle name="Normal 4 2 6 2 2 2 2 2 2" xfId="14982"/>
    <cellStyle name="Normal 4 2 6 2 2 2 2 2 2 2" xfId="30026"/>
    <cellStyle name="Normal 4 2 6 2 2 2 2 2 2 3" xfId="45069"/>
    <cellStyle name="Normal 4 2 6 2 2 2 2 2 3" xfId="22505"/>
    <cellStyle name="Normal 4 2 6 2 2 2 2 2 4" xfId="37548"/>
    <cellStyle name="Normal 4 2 6 2 2 2 2 3" xfId="11233"/>
    <cellStyle name="Normal 4 2 6 2 2 2 2 3 2" xfId="26277"/>
    <cellStyle name="Normal 4 2 6 2 2 2 2 3 3" xfId="41320"/>
    <cellStyle name="Normal 4 2 6 2 2 2 2 4" xfId="18756"/>
    <cellStyle name="Normal 4 2 6 2 2 2 2 5" xfId="33799"/>
    <cellStyle name="Normal 4 2 6 2 2 2 3" xfId="5594"/>
    <cellStyle name="Normal 4 2 6 2 2 2 3 2" xfId="13117"/>
    <cellStyle name="Normal 4 2 6 2 2 2 3 2 2" xfId="28161"/>
    <cellStyle name="Normal 4 2 6 2 2 2 3 2 3" xfId="43204"/>
    <cellStyle name="Normal 4 2 6 2 2 2 3 3" xfId="20640"/>
    <cellStyle name="Normal 4 2 6 2 2 2 3 4" xfId="35683"/>
    <cellStyle name="Normal 4 2 6 2 2 2 4" xfId="9368"/>
    <cellStyle name="Normal 4 2 6 2 2 2 4 2" xfId="24412"/>
    <cellStyle name="Normal 4 2 6 2 2 2 4 3" xfId="39455"/>
    <cellStyle name="Normal 4 2 6 2 2 2 5" xfId="16891"/>
    <cellStyle name="Normal 4 2 6 2 2 2 6" xfId="31934"/>
    <cellStyle name="Normal 4 2 6 2 2 3" xfId="2732"/>
    <cellStyle name="Normal 4 2 6 2 2 3 2" xfId="6527"/>
    <cellStyle name="Normal 4 2 6 2 2 3 2 2" xfId="14050"/>
    <cellStyle name="Normal 4 2 6 2 2 3 2 2 2" xfId="29094"/>
    <cellStyle name="Normal 4 2 6 2 2 3 2 2 3" xfId="44137"/>
    <cellStyle name="Normal 4 2 6 2 2 3 2 3" xfId="21573"/>
    <cellStyle name="Normal 4 2 6 2 2 3 2 4" xfId="36616"/>
    <cellStyle name="Normal 4 2 6 2 2 3 3" xfId="10301"/>
    <cellStyle name="Normal 4 2 6 2 2 3 3 2" xfId="25345"/>
    <cellStyle name="Normal 4 2 6 2 2 3 3 3" xfId="40388"/>
    <cellStyle name="Normal 4 2 6 2 2 3 4" xfId="17824"/>
    <cellStyle name="Normal 4 2 6 2 2 3 5" xfId="32867"/>
    <cellStyle name="Normal 4 2 6 2 2 4" xfId="4662"/>
    <cellStyle name="Normal 4 2 6 2 2 4 2" xfId="12185"/>
    <cellStyle name="Normal 4 2 6 2 2 4 2 2" xfId="27229"/>
    <cellStyle name="Normal 4 2 6 2 2 4 2 3" xfId="42272"/>
    <cellStyle name="Normal 4 2 6 2 2 4 3" xfId="19708"/>
    <cellStyle name="Normal 4 2 6 2 2 4 4" xfId="34751"/>
    <cellStyle name="Normal 4 2 6 2 2 5" xfId="8436"/>
    <cellStyle name="Normal 4 2 6 2 2 5 2" xfId="23480"/>
    <cellStyle name="Normal 4 2 6 2 2 5 3" xfId="38523"/>
    <cellStyle name="Normal 4 2 6 2 2 6" xfId="15959"/>
    <cellStyle name="Normal 4 2 6 2 2 7" xfId="31002"/>
    <cellStyle name="Normal 4 2 6 2 3" xfId="1341"/>
    <cellStyle name="Normal 4 2 6 2 3 2" xfId="3212"/>
    <cellStyle name="Normal 4 2 6 2 3 2 2" xfId="7007"/>
    <cellStyle name="Normal 4 2 6 2 3 2 2 2" xfId="14530"/>
    <cellStyle name="Normal 4 2 6 2 3 2 2 2 2" xfId="29574"/>
    <cellStyle name="Normal 4 2 6 2 3 2 2 2 3" xfId="44617"/>
    <cellStyle name="Normal 4 2 6 2 3 2 2 3" xfId="22053"/>
    <cellStyle name="Normal 4 2 6 2 3 2 2 4" xfId="37096"/>
    <cellStyle name="Normal 4 2 6 2 3 2 3" xfId="10781"/>
    <cellStyle name="Normal 4 2 6 2 3 2 3 2" xfId="25825"/>
    <cellStyle name="Normal 4 2 6 2 3 2 3 3" xfId="40868"/>
    <cellStyle name="Normal 4 2 6 2 3 2 4" xfId="18304"/>
    <cellStyle name="Normal 4 2 6 2 3 2 5" xfId="33347"/>
    <cellStyle name="Normal 4 2 6 2 3 3" xfId="5142"/>
    <cellStyle name="Normal 4 2 6 2 3 3 2" xfId="12665"/>
    <cellStyle name="Normal 4 2 6 2 3 3 2 2" xfId="27709"/>
    <cellStyle name="Normal 4 2 6 2 3 3 2 3" xfId="42752"/>
    <cellStyle name="Normal 4 2 6 2 3 3 3" xfId="20188"/>
    <cellStyle name="Normal 4 2 6 2 3 3 4" xfId="35231"/>
    <cellStyle name="Normal 4 2 6 2 3 4" xfId="8916"/>
    <cellStyle name="Normal 4 2 6 2 3 4 2" xfId="23960"/>
    <cellStyle name="Normal 4 2 6 2 3 4 3" xfId="39003"/>
    <cellStyle name="Normal 4 2 6 2 3 5" xfId="16439"/>
    <cellStyle name="Normal 4 2 6 2 3 6" xfId="31482"/>
    <cellStyle name="Normal 4 2 6 2 4" xfId="2279"/>
    <cellStyle name="Normal 4 2 6 2 4 2" xfId="6075"/>
    <cellStyle name="Normal 4 2 6 2 4 2 2" xfId="13598"/>
    <cellStyle name="Normal 4 2 6 2 4 2 2 2" xfId="28642"/>
    <cellStyle name="Normal 4 2 6 2 4 2 2 3" xfId="43685"/>
    <cellStyle name="Normal 4 2 6 2 4 2 3" xfId="21121"/>
    <cellStyle name="Normal 4 2 6 2 4 2 4" xfId="36164"/>
    <cellStyle name="Normal 4 2 6 2 4 3" xfId="9849"/>
    <cellStyle name="Normal 4 2 6 2 4 3 2" xfId="24893"/>
    <cellStyle name="Normal 4 2 6 2 4 3 3" xfId="39936"/>
    <cellStyle name="Normal 4 2 6 2 4 4" xfId="17372"/>
    <cellStyle name="Normal 4 2 6 2 4 5" xfId="32415"/>
    <cellStyle name="Normal 4 2 6 2 5" xfId="4207"/>
    <cellStyle name="Normal 4 2 6 2 5 2" xfId="11731"/>
    <cellStyle name="Normal 4 2 6 2 5 2 2" xfId="26775"/>
    <cellStyle name="Normal 4 2 6 2 5 2 3" xfId="41818"/>
    <cellStyle name="Normal 4 2 6 2 5 3" xfId="19254"/>
    <cellStyle name="Normal 4 2 6 2 5 4" xfId="34297"/>
    <cellStyle name="Normal 4 2 6 2 6" xfId="7970"/>
    <cellStyle name="Normal 4 2 6 2 6 2" xfId="23014"/>
    <cellStyle name="Normal 4 2 6 2 6 3" xfId="38057"/>
    <cellStyle name="Normal 4 2 6 2 7" xfId="15493"/>
    <cellStyle name="Normal 4 2 6 2 8" xfId="30536"/>
    <cellStyle name="Normal 4 2 6 3" xfId="833"/>
    <cellStyle name="Normal 4 2 6 3 2" xfId="1792"/>
    <cellStyle name="Normal 4 2 6 3 2 2" xfId="3663"/>
    <cellStyle name="Normal 4 2 6 3 2 2 2" xfId="7458"/>
    <cellStyle name="Normal 4 2 6 3 2 2 2 2" xfId="14981"/>
    <cellStyle name="Normal 4 2 6 3 2 2 2 2 2" xfId="30025"/>
    <cellStyle name="Normal 4 2 6 3 2 2 2 2 3" xfId="45068"/>
    <cellStyle name="Normal 4 2 6 3 2 2 2 3" xfId="22504"/>
    <cellStyle name="Normal 4 2 6 3 2 2 2 4" xfId="37547"/>
    <cellStyle name="Normal 4 2 6 3 2 2 3" xfId="11232"/>
    <cellStyle name="Normal 4 2 6 3 2 2 3 2" xfId="26276"/>
    <cellStyle name="Normal 4 2 6 3 2 2 3 3" xfId="41319"/>
    <cellStyle name="Normal 4 2 6 3 2 2 4" xfId="18755"/>
    <cellStyle name="Normal 4 2 6 3 2 2 5" xfId="33798"/>
    <cellStyle name="Normal 4 2 6 3 2 3" xfId="5593"/>
    <cellStyle name="Normal 4 2 6 3 2 3 2" xfId="13116"/>
    <cellStyle name="Normal 4 2 6 3 2 3 2 2" xfId="28160"/>
    <cellStyle name="Normal 4 2 6 3 2 3 2 3" xfId="43203"/>
    <cellStyle name="Normal 4 2 6 3 2 3 3" xfId="20639"/>
    <cellStyle name="Normal 4 2 6 3 2 3 4" xfId="35682"/>
    <cellStyle name="Normal 4 2 6 3 2 4" xfId="9367"/>
    <cellStyle name="Normal 4 2 6 3 2 4 2" xfId="24411"/>
    <cellStyle name="Normal 4 2 6 3 2 4 3" xfId="39454"/>
    <cellStyle name="Normal 4 2 6 3 2 5" xfId="16890"/>
    <cellStyle name="Normal 4 2 6 3 2 6" xfId="31933"/>
    <cellStyle name="Normal 4 2 6 3 3" xfId="2731"/>
    <cellStyle name="Normal 4 2 6 3 3 2" xfId="6526"/>
    <cellStyle name="Normal 4 2 6 3 3 2 2" xfId="14049"/>
    <cellStyle name="Normal 4 2 6 3 3 2 2 2" xfId="29093"/>
    <cellStyle name="Normal 4 2 6 3 3 2 2 3" xfId="44136"/>
    <cellStyle name="Normal 4 2 6 3 3 2 3" xfId="21572"/>
    <cellStyle name="Normal 4 2 6 3 3 2 4" xfId="36615"/>
    <cellStyle name="Normal 4 2 6 3 3 3" xfId="10300"/>
    <cellStyle name="Normal 4 2 6 3 3 3 2" xfId="25344"/>
    <cellStyle name="Normal 4 2 6 3 3 3 3" xfId="40387"/>
    <cellStyle name="Normal 4 2 6 3 3 4" xfId="17823"/>
    <cellStyle name="Normal 4 2 6 3 3 5" xfId="32866"/>
    <cellStyle name="Normal 4 2 6 3 4" xfId="4661"/>
    <cellStyle name="Normal 4 2 6 3 4 2" xfId="12184"/>
    <cellStyle name="Normal 4 2 6 3 4 2 2" xfId="27228"/>
    <cellStyle name="Normal 4 2 6 3 4 2 3" xfId="42271"/>
    <cellStyle name="Normal 4 2 6 3 4 3" xfId="19707"/>
    <cellStyle name="Normal 4 2 6 3 4 4" xfId="34750"/>
    <cellStyle name="Normal 4 2 6 3 5" xfId="8435"/>
    <cellStyle name="Normal 4 2 6 3 5 2" xfId="23479"/>
    <cellStyle name="Normal 4 2 6 3 5 3" xfId="38522"/>
    <cellStyle name="Normal 4 2 6 3 6" xfId="15958"/>
    <cellStyle name="Normal 4 2 6 3 7" xfId="31001"/>
    <cellStyle name="Normal 4 2 6 4" xfId="1340"/>
    <cellStyle name="Normal 4 2 6 4 2" xfId="3211"/>
    <cellStyle name="Normal 4 2 6 4 2 2" xfId="7006"/>
    <cellStyle name="Normal 4 2 6 4 2 2 2" xfId="14529"/>
    <cellStyle name="Normal 4 2 6 4 2 2 2 2" xfId="29573"/>
    <cellStyle name="Normal 4 2 6 4 2 2 2 3" xfId="44616"/>
    <cellStyle name="Normal 4 2 6 4 2 2 3" xfId="22052"/>
    <cellStyle name="Normal 4 2 6 4 2 2 4" xfId="37095"/>
    <cellStyle name="Normal 4 2 6 4 2 3" xfId="10780"/>
    <cellStyle name="Normal 4 2 6 4 2 3 2" xfId="25824"/>
    <cellStyle name="Normal 4 2 6 4 2 3 3" xfId="40867"/>
    <cellStyle name="Normal 4 2 6 4 2 4" xfId="18303"/>
    <cellStyle name="Normal 4 2 6 4 2 5" xfId="33346"/>
    <cellStyle name="Normal 4 2 6 4 3" xfId="5141"/>
    <cellStyle name="Normal 4 2 6 4 3 2" xfId="12664"/>
    <cellStyle name="Normal 4 2 6 4 3 2 2" xfId="27708"/>
    <cellStyle name="Normal 4 2 6 4 3 2 3" xfId="42751"/>
    <cellStyle name="Normal 4 2 6 4 3 3" xfId="20187"/>
    <cellStyle name="Normal 4 2 6 4 3 4" xfId="35230"/>
    <cellStyle name="Normal 4 2 6 4 4" xfId="8915"/>
    <cellStyle name="Normal 4 2 6 4 4 2" xfId="23959"/>
    <cellStyle name="Normal 4 2 6 4 4 3" xfId="39002"/>
    <cellStyle name="Normal 4 2 6 4 5" xfId="16438"/>
    <cellStyle name="Normal 4 2 6 4 6" xfId="31481"/>
    <cellStyle name="Normal 4 2 6 5" xfId="2278"/>
    <cellStyle name="Normal 4 2 6 5 2" xfId="6074"/>
    <cellStyle name="Normal 4 2 6 5 2 2" xfId="13597"/>
    <cellStyle name="Normal 4 2 6 5 2 2 2" xfId="28641"/>
    <cellStyle name="Normal 4 2 6 5 2 2 3" xfId="43684"/>
    <cellStyle name="Normal 4 2 6 5 2 3" xfId="21120"/>
    <cellStyle name="Normal 4 2 6 5 2 4" xfId="36163"/>
    <cellStyle name="Normal 4 2 6 5 3" xfId="9848"/>
    <cellStyle name="Normal 4 2 6 5 3 2" xfId="24892"/>
    <cellStyle name="Normal 4 2 6 5 3 3" xfId="39935"/>
    <cellStyle name="Normal 4 2 6 5 4" xfId="17371"/>
    <cellStyle name="Normal 4 2 6 5 5" xfId="32414"/>
    <cellStyle name="Normal 4 2 6 6" xfId="4206"/>
    <cellStyle name="Normal 4 2 6 6 2" xfId="11730"/>
    <cellStyle name="Normal 4 2 6 6 2 2" xfId="26774"/>
    <cellStyle name="Normal 4 2 6 6 2 3" xfId="41817"/>
    <cellStyle name="Normal 4 2 6 6 3" xfId="19253"/>
    <cellStyle name="Normal 4 2 6 6 4" xfId="34296"/>
    <cellStyle name="Normal 4 2 6 7" xfId="7969"/>
    <cellStyle name="Normal 4 2 6 7 2" xfId="23013"/>
    <cellStyle name="Normal 4 2 6 7 3" xfId="38056"/>
    <cellStyle name="Normal 4 2 6 8" xfId="15492"/>
    <cellStyle name="Normal 4 2 6 9" xfId="30535"/>
    <cellStyle name="Normal 4 2 7" xfId="311"/>
    <cellStyle name="Normal 4 2 7 2" xfId="312"/>
    <cellStyle name="Normal 4 2 7 2 2" xfId="836"/>
    <cellStyle name="Normal 4 2 7 2 2 2" xfId="1795"/>
    <cellStyle name="Normal 4 2 7 2 2 2 2" xfId="3666"/>
    <cellStyle name="Normal 4 2 7 2 2 2 2 2" xfId="7461"/>
    <cellStyle name="Normal 4 2 7 2 2 2 2 2 2" xfId="14984"/>
    <cellStyle name="Normal 4 2 7 2 2 2 2 2 2 2" xfId="30028"/>
    <cellStyle name="Normal 4 2 7 2 2 2 2 2 2 3" xfId="45071"/>
    <cellStyle name="Normal 4 2 7 2 2 2 2 2 3" xfId="22507"/>
    <cellStyle name="Normal 4 2 7 2 2 2 2 2 4" xfId="37550"/>
    <cellStyle name="Normal 4 2 7 2 2 2 2 3" xfId="11235"/>
    <cellStyle name="Normal 4 2 7 2 2 2 2 3 2" xfId="26279"/>
    <cellStyle name="Normal 4 2 7 2 2 2 2 3 3" xfId="41322"/>
    <cellStyle name="Normal 4 2 7 2 2 2 2 4" xfId="18758"/>
    <cellStyle name="Normal 4 2 7 2 2 2 2 5" xfId="33801"/>
    <cellStyle name="Normal 4 2 7 2 2 2 3" xfId="5596"/>
    <cellStyle name="Normal 4 2 7 2 2 2 3 2" xfId="13119"/>
    <cellStyle name="Normal 4 2 7 2 2 2 3 2 2" xfId="28163"/>
    <cellStyle name="Normal 4 2 7 2 2 2 3 2 3" xfId="43206"/>
    <cellStyle name="Normal 4 2 7 2 2 2 3 3" xfId="20642"/>
    <cellStyle name="Normal 4 2 7 2 2 2 3 4" xfId="35685"/>
    <cellStyle name="Normal 4 2 7 2 2 2 4" xfId="9370"/>
    <cellStyle name="Normal 4 2 7 2 2 2 4 2" xfId="24414"/>
    <cellStyle name="Normal 4 2 7 2 2 2 4 3" xfId="39457"/>
    <cellStyle name="Normal 4 2 7 2 2 2 5" xfId="16893"/>
    <cellStyle name="Normal 4 2 7 2 2 2 6" xfId="31936"/>
    <cellStyle name="Normal 4 2 7 2 2 3" xfId="2734"/>
    <cellStyle name="Normal 4 2 7 2 2 3 2" xfId="6529"/>
    <cellStyle name="Normal 4 2 7 2 2 3 2 2" xfId="14052"/>
    <cellStyle name="Normal 4 2 7 2 2 3 2 2 2" xfId="29096"/>
    <cellStyle name="Normal 4 2 7 2 2 3 2 2 3" xfId="44139"/>
    <cellStyle name="Normal 4 2 7 2 2 3 2 3" xfId="21575"/>
    <cellStyle name="Normal 4 2 7 2 2 3 2 4" xfId="36618"/>
    <cellStyle name="Normal 4 2 7 2 2 3 3" xfId="10303"/>
    <cellStyle name="Normal 4 2 7 2 2 3 3 2" xfId="25347"/>
    <cellStyle name="Normal 4 2 7 2 2 3 3 3" xfId="40390"/>
    <cellStyle name="Normal 4 2 7 2 2 3 4" xfId="17826"/>
    <cellStyle name="Normal 4 2 7 2 2 3 5" xfId="32869"/>
    <cellStyle name="Normal 4 2 7 2 2 4" xfId="4664"/>
    <cellStyle name="Normal 4 2 7 2 2 4 2" xfId="12187"/>
    <cellStyle name="Normal 4 2 7 2 2 4 2 2" xfId="27231"/>
    <cellStyle name="Normal 4 2 7 2 2 4 2 3" xfId="42274"/>
    <cellStyle name="Normal 4 2 7 2 2 4 3" xfId="19710"/>
    <cellStyle name="Normal 4 2 7 2 2 4 4" xfId="34753"/>
    <cellStyle name="Normal 4 2 7 2 2 5" xfId="8438"/>
    <cellStyle name="Normal 4 2 7 2 2 5 2" xfId="23482"/>
    <cellStyle name="Normal 4 2 7 2 2 5 3" xfId="38525"/>
    <cellStyle name="Normal 4 2 7 2 2 6" xfId="15961"/>
    <cellStyle name="Normal 4 2 7 2 2 7" xfId="31004"/>
    <cellStyle name="Normal 4 2 7 2 3" xfId="1343"/>
    <cellStyle name="Normal 4 2 7 2 3 2" xfId="3214"/>
    <cellStyle name="Normal 4 2 7 2 3 2 2" xfId="7009"/>
    <cellStyle name="Normal 4 2 7 2 3 2 2 2" xfId="14532"/>
    <cellStyle name="Normal 4 2 7 2 3 2 2 2 2" xfId="29576"/>
    <cellStyle name="Normal 4 2 7 2 3 2 2 2 3" xfId="44619"/>
    <cellStyle name="Normal 4 2 7 2 3 2 2 3" xfId="22055"/>
    <cellStyle name="Normal 4 2 7 2 3 2 2 4" xfId="37098"/>
    <cellStyle name="Normal 4 2 7 2 3 2 3" xfId="10783"/>
    <cellStyle name="Normal 4 2 7 2 3 2 3 2" xfId="25827"/>
    <cellStyle name="Normal 4 2 7 2 3 2 3 3" xfId="40870"/>
    <cellStyle name="Normal 4 2 7 2 3 2 4" xfId="18306"/>
    <cellStyle name="Normal 4 2 7 2 3 2 5" xfId="33349"/>
    <cellStyle name="Normal 4 2 7 2 3 3" xfId="5144"/>
    <cellStyle name="Normal 4 2 7 2 3 3 2" xfId="12667"/>
    <cellStyle name="Normal 4 2 7 2 3 3 2 2" xfId="27711"/>
    <cellStyle name="Normal 4 2 7 2 3 3 2 3" xfId="42754"/>
    <cellStyle name="Normal 4 2 7 2 3 3 3" xfId="20190"/>
    <cellStyle name="Normal 4 2 7 2 3 3 4" xfId="35233"/>
    <cellStyle name="Normal 4 2 7 2 3 4" xfId="8918"/>
    <cellStyle name="Normal 4 2 7 2 3 4 2" xfId="23962"/>
    <cellStyle name="Normal 4 2 7 2 3 4 3" xfId="39005"/>
    <cellStyle name="Normal 4 2 7 2 3 5" xfId="16441"/>
    <cellStyle name="Normal 4 2 7 2 3 6" xfId="31484"/>
    <cellStyle name="Normal 4 2 7 2 4" xfId="2281"/>
    <cellStyle name="Normal 4 2 7 2 4 2" xfId="6077"/>
    <cellStyle name="Normal 4 2 7 2 4 2 2" xfId="13600"/>
    <cellStyle name="Normal 4 2 7 2 4 2 2 2" xfId="28644"/>
    <cellStyle name="Normal 4 2 7 2 4 2 2 3" xfId="43687"/>
    <cellStyle name="Normal 4 2 7 2 4 2 3" xfId="21123"/>
    <cellStyle name="Normal 4 2 7 2 4 2 4" xfId="36166"/>
    <cellStyle name="Normal 4 2 7 2 4 3" xfId="9851"/>
    <cellStyle name="Normal 4 2 7 2 4 3 2" xfId="24895"/>
    <cellStyle name="Normal 4 2 7 2 4 3 3" xfId="39938"/>
    <cellStyle name="Normal 4 2 7 2 4 4" xfId="17374"/>
    <cellStyle name="Normal 4 2 7 2 4 5" xfId="32417"/>
    <cellStyle name="Normal 4 2 7 2 5" xfId="4209"/>
    <cellStyle name="Normal 4 2 7 2 5 2" xfId="11733"/>
    <cellStyle name="Normal 4 2 7 2 5 2 2" xfId="26777"/>
    <cellStyle name="Normal 4 2 7 2 5 2 3" xfId="41820"/>
    <cellStyle name="Normal 4 2 7 2 5 3" xfId="19256"/>
    <cellStyle name="Normal 4 2 7 2 5 4" xfId="34299"/>
    <cellStyle name="Normal 4 2 7 2 6" xfId="7972"/>
    <cellStyle name="Normal 4 2 7 2 6 2" xfId="23016"/>
    <cellStyle name="Normal 4 2 7 2 6 3" xfId="38059"/>
    <cellStyle name="Normal 4 2 7 2 7" xfId="15495"/>
    <cellStyle name="Normal 4 2 7 2 8" xfId="30538"/>
    <cellStyle name="Normal 4 2 7 3" xfId="835"/>
    <cellStyle name="Normal 4 2 7 3 2" xfId="1794"/>
    <cellStyle name="Normal 4 2 7 3 2 2" xfId="3665"/>
    <cellStyle name="Normal 4 2 7 3 2 2 2" xfId="7460"/>
    <cellStyle name="Normal 4 2 7 3 2 2 2 2" xfId="14983"/>
    <cellStyle name="Normal 4 2 7 3 2 2 2 2 2" xfId="30027"/>
    <cellStyle name="Normal 4 2 7 3 2 2 2 2 3" xfId="45070"/>
    <cellStyle name="Normal 4 2 7 3 2 2 2 3" xfId="22506"/>
    <cellStyle name="Normal 4 2 7 3 2 2 2 4" xfId="37549"/>
    <cellStyle name="Normal 4 2 7 3 2 2 3" xfId="11234"/>
    <cellStyle name="Normal 4 2 7 3 2 2 3 2" xfId="26278"/>
    <cellStyle name="Normal 4 2 7 3 2 2 3 3" xfId="41321"/>
    <cellStyle name="Normal 4 2 7 3 2 2 4" xfId="18757"/>
    <cellStyle name="Normal 4 2 7 3 2 2 5" xfId="33800"/>
    <cellStyle name="Normal 4 2 7 3 2 3" xfId="5595"/>
    <cellStyle name="Normal 4 2 7 3 2 3 2" xfId="13118"/>
    <cellStyle name="Normal 4 2 7 3 2 3 2 2" xfId="28162"/>
    <cellStyle name="Normal 4 2 7 3 2 3 2 3" xfId="43205"/>
    <cellStyle name="Normal 4 2 7 3 2 3 3" xfId="20641"/>
    <cellStyle name="Normal 4 2 7 3 2 3 4" xfId="35684"/>
    <cellStyle name="Normal 4 2 7 3 2 4" xfId="9369"/>
    <cellStyle name="Normal 4 2 7 3 2 4 2" xfId="24413"/>
    <cellStyle name="Normal 4 2 7 3 2 4 3" xfId="39456"/>
    <cellStyle name="Normal 4 2 7 3 2 5" xfId="16892"/>
    <cellStyle name="Normal 4 2 7 3 2 6" xfId="31935"/>
    <cellStyle name="Normal 4 2 7 3 3" xfId="2733"/>
    <cellStyle name="Normal 4 2 7 3 3 2" xfId="6528"/>
    <cellStyle name="Normal 4 2 7 3 3 2 2" xfId="14051"/>
    <cellStyle name="Normal 4 2 7 3 3 2 2 2" xfId="29095"/>
    <cellStyle name="Normal 4 2 7 3 3 2 2 3" xfId="44138"/>
    <cellStyle name="Normal 4 2 7 3 3 2 3" xfId="21574"/>
    <cellStyle name="Normal 4 2 7 3 3 2 4" xfId="36617"/>
    <cellStyle name="Normal 4 2 7 3 3 3" xfId="10302"/>
    <cellStyle name="Normal 4 2 7 3 3 3 2" xfId="25346"/>
    <cellStyle name="Normal 4 2 7 3 3 3 3" xfId="40389"/>
    <cellStyle name="Normal 4 2 7 3 3 4" xfId="17825"/>
    <cellStyle name="Normal 4 2 7 3 3 5" xfId="32868"/>
    <cellStyle name="Normal 4 2 7 3 4" xfId="4663"/>
    <cellStyle name="Normal 4 2 7 3 4 2" xfId="12186"/>
    <cellStyle name="Normal 4 2 7 3 4 2 2" xfId="27230"/>
    <cellStyle name="Normal 4 2 7 3 4 2 3" xfId="42273"/>
    <cellStyle name="Normal 4 2 7 3 4 3" xfId="19709"/>
    <cellStyle name="Normal 4 2 7 3 4 4" xfId="34752"/>
    <cellStyle name="Normal 4 2 7 3 5" xfId="8437"/>
    <cellStyle name="Normal 4 2 7 3 5 2" xfId="23481"/>
    <cellStyle name="Normal 4 2 7 3 5 3" xfId="38524"/>
    <cellStyle name="Normal 4 2 7 3 6" xfId="15960"/>
    <cellStyle name="Normal 4 2 7 3 7" xfId="31003"/>
    <cellStyle name="Normal 4 2 7 4" xfId="1342"/>
    <cellStyle name="Normal 4 2 7 4 2" xfId="3213"/>
    <cellStyle name="Normal 4 2 7 4 2 2" xfId="7008"/>
    <cellStyle name="Normal 4 2 7 4 2 2 2" xfId="14531"/>
    <cellStyle name="Normal 4 2 7 4 2 2 2 2" xfId="29575"/>
    <cellStyle name="Normal 4 2 7 4 2 2 2 3" xfId="44618"/>
    <cellStyle name="Normal 4 2 7 4 2 2 3" xfId="22054"/>
    <cellStyle name="Normal 4 2 7 4 2 2 4" xfId="37097"/>
    <cellStyle name="Normal 4 2 7 4 2 3" xfId="10782"/>
    <cellStyle name="Normal 4 2 7 4 2 3 2" xfId="25826"/>
    <cellStyle name="Normal 4 2 7 4 2 3 3" xfId="40869"/>
    <cellStyle name="Normal 4 2 7 4 2 4" xfId="18305"/>
    <cellStyle name="Normal 4 2 7 4 2 5" xfId="33348"/>
    <cellStyle name="Normal 4 2 7 4 3" xfId="5143"/>
    <cellStyle name="Normal 4 2 7 4 3 2" xfId="12666"/>
    <cellStyle name="Normal 4 2 7 4 3 2 2" xfId="27710"/>
    <cellStyle name="Normal 4 2 7 4 3 2 3" xfId="42753"/>
    <cellStyle name="Normal 4 2 7 4 3 3" xfId="20189"/>
    <cellStyle name="Normal 4 2 7 4 3 4" xfId="35232"/>
    <cellStyle name="Normal 4 2 7 4 4" xfId="8917"/>
    <cellStyle name="Normal 4 2 7 4 4 2" xfId="23961"/>
    <cellStyle name="Normal 4 2 7 4 4 3" xfId="39004"/>
    <cellStyle name="Normal 4 2 7 4 5" xfId="16440"/>
    <cellStyle name="Normal 4 2 7 4 6" xfId="31483"/>
    <cellStyle name="Normal 4 2 7 5" xfId="2280"/>
    <cellStyle name="Normal 4 2 7 5 2" xfId="6076"/>
    <cellStyle name="Normal 4 2 7 5 2 2" xfId="13599"/>
    <cellStyle name="Normal 4 2 7 5 2 2 2" xfId="28643"/>
    <cellStyle name="Normal 4 2 7 5 2 2 3" xfId="43686"/>
    <cellStyle name="Normal 4 2 7 5 2 3" xfId="21122"/>
    <cellStyle name="Normal 4 2 7 5 2 4" xfId="36165"/>
    <cellStyle name="Normal 4 2 7 5 3" xfId="9850"/>
    <cellStyle name="Normal 4 2 7 5 3 2" xfId="24894"/>
    <cellStyle name="Normal 4 2 7 5 3 3" xfId="39937"/>
    <cellStyle name="Normal 4 2 7 5 4" xfId="17373"/>
    <cellStyle name="Normal 4 2 7 5 5" xfId="32416"/>
    <cellStyle name="Normal 4 2 7 6" xfId="4208"/>
    <cellStyle name="Normal 4 2 7 6 2" xfId="11732"/>
    <cellStyle name="Normal 4 2 7 6 2 2" xfId="26776"/>
    <cellStyle name="Normal 4 2 7 6 2 3" xfId="41819"/>
    <cellStyle name="Normal 4 2 7 6 3" xfId="19255"/>
    <cellStyle name="Normal 4 2 7 6 4" xfId="34298"/>
    <cellStyle name="Normal 4 2 7 7" xfId="7971"/>
    <cellStyle name="Normal 4 2 7 7 2" xfId="23015"/>
    <cellStyle name="Normal 4 2 7 7 3" xfId="38058"/>
    <cellStyle name="Normal 4 2 7 8" xfId="15494"/>
    <cellStyle name="Normal 4 2 7 9" xfId="30537"/>
    <cellStyle name="Normal 4 2 8" xfId="313"/>
    <cellStyle name="Normal 4 2 8 2" xfId="837"/>
    <cellStyle name="Normal 4 2 8 2 2" xfId="1796"/>
    <cellStyle name="Normal 4 2 8 2 2 2" xfId="3667"/>
    <cellStyle name="Normal 4 2 8 2 2 2 2" xfId="7462"/>
    <cellStyle name="Normal 4 2 8 2 2 2 2 2" xfId="14985"/>
    <cellStyle name="Normal 4 2 8 2 2 2 2 2 2" xfId="30029"/>
    <cellStyle name="Normal 4 2 8 2 2 2 2 2 3" xfId="45072"/>
    <cellStyle name="Normal 4 2 8 2 2 2 2 3" xfId="22508"/>
    <cellStyle name="Normal 4 2 8 2 2 2 2 4" xfId="37551"/>
    <cellStyle name="Normal 4 2 8 2 2 2 3" xfId="11236"/>
    <cellStyle name="Normal 4 2 8 2 2 2 3 2" xfId="26280"/>
    <cellStyle name="Normal 4 2 8 2 2 2 3 3" xfId="41323"/>
    <cellStyle name="Normal 4 2 8 2 2 2 4" xfId="18759"/>
    <cellStyle name="Normal 4 2 8 2 2 2 5" xfId="33802"/>
    <cellStyle name="Normal 4 2 8 2 2 3" xfId="5597"/>
    <cellStyle name="Normal 4 2 8 2 2 3 2" xfId="13120"/>
    <cellStyle name="Normal 4 2 8 2 2 3 2 2" xfId="28164"/>
    <cellStyle name="Normal 4 2 8 2 2 3 2 3" xfId="43207"/>
    <cellStyle name="Normal 4 2 8 2 2 3 3" xfId="20643"/>
    <cellStyle name="Normal 4 2 8 2 2 3 4" xfId="35686"/>
    <cellStyle name="Normal 4 2 8 2 2 4" xfId="9371"/>
    <cellStyle name="Normal 4 2 8 2 2 4 2" xfId="24415"/>
    <cellStyle name="Normal 4 2 8 2 2 4 3" xfId="39458"/>
    <cellStyle name="Normal 4 2 8 2 2 5" xfId="16894"/>
    <cellStyle name="Normal 4 2 8 2 2 6" xfId="31937"/>
    <cellStyle name="Normal 4 2 8 2 3" xfId="2735"/>
    <cellStyle name="Normal 4 2 8 2 3 2" xfId="6530"/>
    <cellStyle name="Normal 4 2 8 2 3 2 2" xfId="14053"/>
    <cellStyle name="Normal 4 2 8 2 3 2 2 2" xfId="29097"/>
    <cellStyle name="Normal 4 2 8 2 3 2 2 3" xfId="44140"/>
    <cellStyle name="Normal 4 2 8 2 3 2 3" xfId="21576"/>
    <cellStyle name="Normal 4 2 8 2 3 2 4" xfId="36619"/>
    <cellStyle name="Normal 4 2 8 2 3 3" xfId="10304"/>
    <cellStyle name="Normal 4 2 8 2 3 3 2" xfId="25348"/>
    <cellStyle name="Normal 4 2 8 2 3 3 3" xfId="40391"/>
    <cellStyle name="Normal 4 2 8 2 3 4" xfId="17827"/>
    <cellStyle name="Normal 4 2 8 2 3 5" xfId="32870"/>
    <cellStyle name="Normal 4 2 8 2 4" xfId="4665"/>
    <cellStyle name="Normal 4 2 8 2 4 2" xfId="12188"/>
    <cellStyle name="Normal 4 2 8 2 4 2 2" xfId="27232"/>
    <cellStyle name="Normal 4 2 8 2 4 2 3" xfId="42275"/>
    <cellStyle name="Normal 4 2 8 2 4 3" xfId="19711"/>
    <cellStyle name="Normal 4 2 8 2 4 4" xfId="34754"/>
    <cellStyle name="Normal 4 2 8 2 5" xfId="8439"/>
    <cellStyle name="Normal 4 2 8 2 5 2" xfId="23483"/>
    <cellStyle name="Normal 4 2 8 2 5 3" xfId="38526"/>
    <cellStyle name="Normal 4 2 8 2 6" xfId="15962"/>
    <cellStyle name="Normal 4 2 8 2 7" xfId="31005"/>
    <cellStyle name="Normal 4 2 8 3" xfId="1344"/>
    <cellStyle name="Normal 4 2 8 3 2" xfId="3215"/>
    <cellStyle name="Normal 4 2 8 3 2 2" xfId="7010"/>
    <cellStyle name="Normal 4 2 8 3 2 2 2" xfId="14533"/>
    <cellStyle name="Normal 4 2 8 3 2 2 2 2" xfId="29577"/>
    <cellStyle name="Normal 4 2 8 3 2 2 2 3" xfId="44620"/>
    <cellStyle name="Normal 4 2 8 3 2 2 3" xfId="22056"/>
    <cellStyle name="Normal 4 2 8 3 2 2 4" xfId="37099"/>
    <cellStyle name="Normal 4 2 8 3 2 3" xfId="10784"/>
    <cellStyle name="Normal 4 2 8 3 2 3 2" xfId="25828"/>
    <cellStyle name="Normal 4 2 8 3 2 3 3" xfId="40871"/>
    <cellStyle name="Normal 4 2 8 3 2 4" xfId="18307"/>
    <cellStyle name="Normal 4 2 8 3 2 5" xfId="33350"/>
    <cellStyle name="Normal 4 2 8 3 3" xfId="5145"/>
    <cellStyle name="Normal 4 2 8 3 3 2" xfId="12668"/>
    <cellStyle name="Normal 4 2 8 3 3 2 2" xfId="27712"/>
    <cellStyle name="Normal 4 2 8 3 3 2 3" xfId="42755"/>
    <cellStyle name="Normal 4 2 8 3 3 3" xfId="20191"/>
    <cellStyle name="Normal 4 2 8 3 3 4" xfId="35234"/>
    <cellStyle name="Normal 4 2 8 3 4" xfId="8919"/>
    <cellStyle name="Normal 4 2 8 3 4 2" xfId="23963"/>
    <cellStyle name="Normal 4 2 8 3 4 3" xfId="39006"/>
    <cellStyle name="Normal 4 2 8 3 5" xfId="16442"/>
    <cellStyle name="Normal 4 2 8 3 6" xfId="31485"/>
    <cellStyle name="Normal 4 2 8 4" xfId="2282"/>
    <cellStyle name="Normal 4 2 8 4 2" xfId="6078"/>
    <cellStyle name="Normal 4 2 8 4 2 2" xfId="13601"/>
    <cellStyle name="Normal 4 2 8 4 2 2 2" xfId="28645"/>
    <cellStyle name="Normal 4 2 8 4 2 2 3" xfId="43688"/>
    <cellStyle name="Normal 4 2 8 4 2 3" xfId="21124"/>
    <cellStyle name="Normal 4 2 8 4 2 4" xfId="36167"/>
    <cellStyle name="Normal 4 2 8 4 3" xfId="9852"/>
    <cellStyle name="Normal 4 2 8 4 3 2" xfId="24896"/>
    <cellStyle name="Normal 4 2 8 4 3 3" xfId="39939"/>
    <cellStyle name="Normal 4 2 8 4 4" xfId="17375"/>
    <cellStyle name="Normal 4 2 8 4 5" xfId="32418"/>
    <cellStyle name="Normal 4 2 8 5" xfId="4210"/>
    <cellStyle name="Normal 4 2 8 5 2" xfId="11734"/>
    <cellStyle name="Normal 4 2 8 5 2 2" xfId="26778"/>
    <cellStyle name="Normal 4 2 8 5 2 3" xfId="41821"/>
    <cellStyle name="Normal 4 2 8 5 3" xfId="19257"/>
    <cellStyle name="Normal 4 2 8 5 4" xfId="34300"/>
    <cellStyle name="Normal 4 2 8 6" xfId="7973"/>
    <cellStyle name="Normal 4 2 8 6 2" xfId="23017"/>
    <cellStyle name="Normal 4 2 8 6 3" xfId="38060"/>
    <cellStyle name="Normal 4 2 8 7" xfId="15496"/>
    <cellStyle name="Normal 4 2 8 8" xfId="30539"/>
    <cellStyle name="Normal 4 2 9" xfId="41"/>
    <cellStyle name="Normal 4 2 9 2" xfId="678"/>
    <cellStyle name="Normal 4 2 9 2 2" xfId="1637"/>
    <cellStyle name="Normal 4 2 9 2 2 2" xfId="3508"/>
    <cellStyle name="Normal 4 2 9 2 2 2 2" xfId="7303"/>
    <cellStyle name="Normal 4 2 9 2 2 2 2 2" xfId="14826"/>
    <cellStyle name="Normal 4 2 9 2 2 2 2 2 2" xfId="29870"/>
    <cellStyle name="Normal 4 2 9 2 2 2 2 2 3" xfId="44913"/>
    <cellStyle name="Normal 4 2 9 2 2 2 2 3" xfId="22349"/>
    <cellStyle name="Normal 4 2 9 2 2 2 2 4" xfId="37392"/>
    <cellStyle name="Normal 4 2 9 2 2 2 3" xfId="11077"/>
    <cellStyle name="Normal 4 2 9 2 2 2 3 2" xfId="26121"/>
    <cellStyle name="Normal 4 2 9 2 2 2 3 3" xfId="41164"/>
    <cellStyle name="Normal 4 2 9 2 2 2 4" xfId="18600"/>
    <cellStyle name="Normal 4 2 9 2 2 2 5" xfId="33643"/>
    <cellStyle name="Normal 4 2 9 2 2 3" xfId="5438"/>
    <cellStyle name="Normal 4 2 9 2 2 3 2" xfId="12961"/>
    <cellStyle name="Normal 4 2 9 2 2 3 2 2" xfId="28005"/>
    <cellStyle name="Normal 4 2 9 2 2 3 2 3" xfId="43048"/>
    <cellStyle name="Normal 4 2 9 2 2 3 3" xfId="20484"/>
    <cellStyle name="Normal 4 2 9 2 2 3 4" xfId="35527"/>
    <cellStyle name="Normal 4 2 9 2 2 4" xfId="9212"/>
    <cellStyle name="Normal 4 2 9 2 2 4 2" xfId="24256"/>
    <cellStyle name="Normal 4 2 9 2 2 4 3" xfId="39299"/>
    <cellStyle name="Normal 4 2 9 2 2 5" xfId="16735"/>
    <cellStyle name="Normal 4 2 9 2 2 6" xfId="31778"/>
    <cellStyle name="Normal 4 2 9 2 3" xfId="2576"/>
    <cellStyle name="Normal 4 2 9 2 3 2" xfId="6371"/>
    <cellStyle name="Normal 4 2 9 2 3 2 2" xfId="13894"/>
    <cellStyle name="Normal 4 2 9 2 3 2 2 2" xfId="28938"/>
    <cellStyle name="Normal 4 2 9 2 3 2 2 3" xfId="43981"/>
    <cellStyle name="Normal 4 2 9 2 3 2 3" xfId="21417"/>
    <cellStyle name="Normal 4 2 9 2 3 2 4" xfId="36460"/>
    <cellStyle name="Normal 4 2 9 2 3 3" xfId="10145"/>
    <cellStyle name="Normal 4 2 9 2 3 3 2" xfId="25189"/>
    <cellStyle name="Normal 4 2 9 2 3 3 3" xfId="40232"/>
    <cellStyle name="Normal 4 2 9 2 3 4" xfId="17668"/>
    <cellStyle name="Normal 4 2 9 2 3 5" xfId="32711"/>
    <cellStyle name="Normal 4 2 9 2 4" xfId="4506"/>
    <cellStyle name="Normal 4 2 9 2 4 2" xfId="12029"/>
    <cellStyle name="Normal 4 2 9 2 4 2 2" xfId="27073"/>
    <cellStyle name="Normal 4 2 9 2 4 2 3" xfId="42116"/>
    <cellStyle name="Normal 4 2 9 2 4 3" xfId="19552"/>
    <cellStyle name="Normal 4 2 9 2 4 4" xfId="34595"/>
    <cellStyle name="Normal 4 2 9 2 5" xfId="8280"/>
    <cellStyle name="Normal 4 2 9 2 5 2" xfId="23324"/>
    <cellStyle name="Normal 4 2 9 2 5 3" xfId="38367"/>
    <cellStyle name="Normal 4 2 9 2 6" xfId="15803"/>
    <cellStyle name="Normal 4 2 9 2 7" xfId="30846"/>
    <cellStyle name="Normal 4 2 9 3" xfId="1185"/>
    <cellStyle name="Normal 4 2 9 3 2" xfId="3056"/>
    <cellStyle name="Normal 4 2 9 3 2 2" xfId="6851"/>
    <cellStyle name="Normal 4 2 9 3 2 2 2" xfId="14374"/>
    <cellStyle name="Normal 4 2 9 3 2 2 2 2" xfId="29418"/>
    <cellStyle name="Normal 4 2 9 3 2 2 2 3" xfId="44461"/>
    <cellStyle name="Normal 4 2 9 3 2 2 3" xfId="21897"/>
    <cellStyle name="Normal 4 2 9 3 2 2 4" xfId="36940"/>
    <cellStyle name="Normal 4 2 9 3 2 3" xfId="10625"/>
    <cellStyle name="Normal 4 2 9 3 2 3 2" xfId="25669"/>
    <cellStyle name="Normal 4 2 9 3 2 3 3" xfId="40712"/>
    <cellStyle name="Normal 4 2 9 3 2 4" xfId="18148"/>
    <cellStyle name="Normal 4 2 9 3 2 5" xfId="33191"/>
    <cellStyle name="Normal 4 2 9 3 3" xfId="4986"/>
    <cellStyle name="Normal 4 2 9 3 3 2" xfId="12509"/>
    <cellStyle name="Normal 4 2 9 3 3 2 2" xfId="27553"/>
    <cellStyle name="Normal 4 2 9 3 3 2 3" xfId="42596"/>
    <cellStyle name="Normal 4 2 9 3 3 3" xfId="20032"/>
    <cellStyle name="Normal 4 2 9 3 3 4" xfId="35075"/>
    <cellStyle name="Normal 4 2 9 3 4" xfId="8760"/>
    <cellStyle name="Normal 4 2 9 3 4 2" xfId="23804"/>
    <cellStyle name="Normal 4 2 9 3 4 3" xfId="38847"/>
    <cellStyle name="Normal 4 2 9 3 5" xfId="16283"/>
    <cellStyle name="Normal 4 2 9 3 6" xfId="31326"/>
    <cellStyle name="Normal 4 2 9 4" xfId="2123"/>
    <cellStyle name="Normal 4 2 9 4 2" xfId="5919"/>
    <cellStyle name="Normal 4 2 9 4 2 2" xfId="13442"/>
    <cellStyle name="Normal 4 2 9 4 2 2 2" xfId="28486"/>
    <cellStyle name="Normal 4 2 9 4 2 2 3" xfId="43529"/>
    <cellStyle name="Normal 4 2 9 4 2 3" xfId="20965"/>
    <cellStyle name="Normal 4 2 9 4 2 4" xfId="36008"/>
    <cellStyle name="Normal 4 2 9 4 3" xfId="9693"/>
    <cellStyle name="Normal 4 2 9 4 3 2" xfId="24737"/>
    <cellStyle name="Normal 4 2 9 4 3 3" xfId="39780"/>
    <cellStyle name="Normal 4 2 9 4 4" xfId="17216"/>
    <cellStyle name="Normal 4 2 9 4 5" xfId="32259"/>
    <cellStyle name="Normal 4 2 9 5" xfId="4049"/>
    <cellStyle name="Normal 4 2 9 5 2" xfId="11573"/>
    <cellStyle name="Normal 4 2 9 5 2 2" xfId="26617"/>
    <cellStyle name="Normal 4 2 9 5 2 3" xfId="41660"/>
    <cellStyle name="Normal 4 2 9 5 3" xfId="19096"/>
    <cellStyle name="Normal 4 2 9 5 4" xfId="34139"/>
    <cellStyle name="Normal 4 2 9 6" xfId="7812"/>
    <cellStyle name="Normal 4 2 9 6 2" xfId="22856"/>
    <cellStyle name="Normal 4 2 9 6 3" xfId="37899"/>
    <cellStyle name="Normal 4 2 9 7" xfId="15335"/>
    <cellStyle name="Normal 4 2 9 8" xfId="30378"/>
    <cellStyle name="Normal 4 20" xfId="45413"/>
    <cellStyle name="Normal 4 21" xfId="45424"/>
    <cellStyle name="Normal 4 22" xfId="45434"/>
    <cellStyle name="Normal 4 23" xfId="45444"/>
    <cellStyle name="Normal 4 24" xfId="45454"/>
    <cellStyle name="Normal 4 25" xfId="45466"/>
    <cellStyle name="Normal 4 26" xfId="45480"/>
    <cellStyle name="Normal 4 3" xfId="314"/>
    <cellStyle name="Normal 4 3 10" xfId="2283"/>
    <cellStyle name="Normal 4 3 10 2" xfId="6079"/>
    <cellStyle name="Normal 4 3 10 2 2" xfId="13602"/>
    <cellStyle name="Normal 4 3 10 2 2 2" xfId="28646"/>
    <cellStyle name="Normal 4 3 10 2 2 3" xfId="43689"/>
    <cellStyle name="Normal 4 3 10 2 3" xfId="21125"/>
    <cellStyle name="Normal 4 3 10 2 4" xfId="36168"/>
    <cellStyle name="Normal 4 3 10 3" xfId="9853"/>
    <cellStyle name="Normal 4 3 10 3 2" xfId="24897"/>
    <cellStyle name="Normal 4 3 10 3 3" xfId="39940"/>
    <cellStyle name="Normal 4 3 10 4" xfId="17376"/>
    <cellStyle name="Normal 4 3 10 5" xfId="32419"/>
    <cellStyle name="Normal 4 3 11" xfId="4211"/>
    <cellStyle name="Normal 4 3 11 2" xfId="11735"/>
    <cellStyle name="Normal 4 3 11 2 2" xfId="26779"/>
    <cellStyle name="Normal 4 3 11 2 3" xfId="41822"/>
    <cellStyle name="Normal 4 3 11 3" xfId="19258"/>
    <cellStyle name="Normal 4 3 11 4" xfId="34301"/>
    <cellStyle name="Normal 4 3 12" xfId="7974"/>
    <cellStyle name="Normal 4 3 12 2" xfId="23018"/>
    <cellStyle name="Normal 4 3 12 3" xfId="38061"/>
    <cellStyle name="Normal 4 3 13" xfId="15497"/>
    <cellStyle name="Normal 4 3 14" xfId="30540"/>
    <cellStyle name="Normal 4 3 2" xfId="315"/>
    <cellStyle name="Normal 4 3 2 10" xfId="4212"/>
    <cellStyle name="Normal 4 3 2 10 2" xfId="11736"/>
    <cellStyle name="Normal 4 3 2 10 2 2" xfId="26780"/>
    <cellStyle name="Normal 4 3 2 10 2 3" xfId="41823"/>
    <cellStyle name="Normal 4 3 2 10 3" xfId="19259"/>
    <cellStyle name="Normal 4 3 2 10 4" xfId="34302"/>
    <cellStyle name="Normal 4 3 2 11" xfId="7975"/>
    <cellStyle name="Normal 4 3 2 11 2" xfId="23019"/>
    <cellStyle name="Normal 4 3 2 11 3" xfId="38062"/>
    <cellStyle name="Normal 4 3 2 12" xfId="15498"/>
    <cellStyle name="Normal 4 3 2 13" xfId="30541"/>
    <cellStyle name="Normal 4 3 2 2" xfId="316"/>
    <cellStyle name="Normal 4 3 2 2 10" xfId="7976"/>
    <cellStyle name="Normal 4 3 2 2 10 2" xfId="23020"/>
    <cellStyle name="Normal 4 3 2 2 10 3" xfId="38063"/>
    <cellStyle name="Normal 4 3 2 2 11" xfId="15499"/>
    <cellStyle name="Normal 4 3 2 2 12" xfId="30542"/>
    <cellStyle name="Normal 4 3 2 2 2" xfId="317"/>
    <cellStyle name="Normal 4 3 2 2 2 10" xfId="30543"/>
    <cellStyle name="Normal 4 3 2 2 2 2" xfId="318"/>
    <cellStyle name="Normal 4 3 2 2 2 2 2" xfId="319"/>
    <cellStyle name="Normal 4 3 2 2 2 2 2 2" xfId="843"/>
    <cellStyle name="Normal 4 3 2 2 2 2 2 2 2" xfId="1802"/>
    <cellStyle name="Normal 4 3 2 2 2 2 2 2 2 2" xfId="3673"/>
    <cellStyle name="Normal 4 3 2 2 2 2 2 2 2 2 2" xfId="7468"/>
    <cellStyle name="Normal 4 3 2 2 2 2 2 2 2 2 2 2" xfId="14991"/>
    <cellStyle name="Normal 4 3 2 2 2 2 2 2 2 2 2 2 2" xfId="30035"/>
    <cellStyle name="Normal 4 3 2 2 2 2 2 2 2 2 2 2 3" xfId="45078"/>
    <cellStyle name="Normal 4 3 2 2 2 2 2 2 2 2 2 3" xfId="22514"/>
    <cellStyle name="Normal 4 3 2 2 2 2 2 2 2 2 2 4" xfId="37557"/>
    <cellStyle name="Normal 4 3 2 2 2 2 2 2 2 2 3" xfId="11242"/>
    <cellStyle name="Normal 4 3 2 2 2 2 2 2 2 2 3 2" xfId="26286"/>
    <cellStyle name="Normal 4 3 2 2 2 2 2 2 2 2 3 3" xfId="41329"/>
    <cellStyle name="Normal 4 3 2 2 2 2 2 2 2 2 4" xfId="18765"/>
    <cellStyle name="Normal 4 3 2 2 2 2 2 2 2 2 5" xfId="33808"/>
    <cellStyle name="Normal 4 3 2 2 2 2 2 2 2 3" xfId="5603"/>
    <cellStyle name="Normal 4 3 2 2 2 2 2 2 2 3 2" xfId="13126"/>
    <cellStyle name="Normal 4 3 2 2 2 2 2 2 2 3 2 2" xfId="28170"/>
    <cellStyle name="Normal 4 3 2 2 2 2 2 2 2 3 2 3" xfId="43213"/>
    <cellStyle name="Normal 4 3 2 2 2 2 2 2 2 3 3" xfId="20649"/>
    <cellStyle name="Normal 4 3 2 2 2 2 2 2 2 3 4" xfId="35692"/>
    <cellStyle name="Normal 4 3 2 2 2 2 2 2 2 4" xfId="9377"/>
    <cellStyle name="Normal 4 3 2 2 2 2 2 2 2 4 2" xfId="24421"/>
    <cellStyle name="Normal 4 3 2 2 2 2 2 2 2 4 3" xfId="39464"/>
    <cellStyle name="Normal 4 3 2 2 2 2 2 2 2 5" xfId="16900"/>
    <cellStyle name="Normal 4 3 2 2 2 2 2 2 2 6" xfId="31943"/>
    <cellStyle name="Normal 4 3 2 2 2 2 2 2 3" xfId="2741"/>
    <cellStyle name="Normal 4 3 2 2 2 2 2 2 3 2" xfId="6536"/>
    <cellStyle name="Normal 4 3 2 2 2 2 2 2 3 2 2" xfId="14059"/>
    <cellStyle name="Normal 4 3 2 2 2 2 2 2 3 2 2 2" xfId="29103"/>
    <cellStyle name="Normal 4 3 2 2 2 2 2 2 3 2 2 3" xfId="44146"/>
    <cellStyle name="Normal 4 3 2 2 2 2 2 2 3 2 3" xfId="21582"/>
    <cellStyle name="Normal 4 3 2 2 2 2 2 2 3 2 4" xfId="36625"/>
    <cellStyle name="Normal 4 3 2 2 2 2 2 2 3 3" xfId="10310"/>
    <cellStyle name="Normal 4 3 2 2 2 2 2 2 3 3 2" xfId="25354"/>
    <cellStyle name="Normal 4 3 2 2 2 2 2 2 3 3 3" xfId="40397"/>
    <cellStyle name="Normal 4 3 2 2 2 2 2 2 3 4" xfId="17833"/>
    <cellStyle name="Normal 4 3 2 2 2 2 2 2 3 5" xfId="32876"/>
    <cellStyle name="Normal 4 3 2 2 2 2 2 2 4" xfId="4671"/>
    <cellStyle name="Normal 4 3 2 2 2 2 2 2 4 2" xfId="12194"/>
    <cellStyle name="Normal 4 3 2 2 2 2 2 2 4 2 2" xfId="27238"/>
    <cellStyle name="Normal 4 3 2 2 2 2 2 2 4 2 3" xfId="42281"/>
    <cellStyle name="Normal 4 3 2 2 2 2 2 2 4 3" xfId="19717"/>
    <cellStyle name="Normal 4 3 2 2 2 2 2 2 4 4" xfId="34760"/>
    <cellStyle name="Normal 4 3 2 2 2 2 2 2 5" xfId="8445"/>
    <cellStyle name="Normal 4 3 2 2 2 2 2 2 5 2" xfId="23489"/>
    <cellStyle name="Normal 4 3 2 2 2 2 2 2 5 3" xfId="38532"/>
    <cellStyle name="Normal 4 3 2 2 2 2 2 2 6" xfId="15968"/>
    <cellStyle name="Normal 4 3 2 2 2 2 2 2 7" xfId="31011"/>
    <cellStyle name="Normal 4 3 2 2 2 2 2 3" xfId="1350"/>
    <cellStyle name="Normal 4 3 2 2 2 2 2 3 2" xfId="3221"/>
    <cellStyle name="Normal 4 3 2 2 2 2 2 3 2 2" xfId="7016"/>
    <cellStyle name="Normal 4 3 2 2 2 2 2 3 2 2 2" xfId="14539"/>
    <cellStyle name="Normal 4 3 2 2 2 2 2 3 2 2 2 2" xfId="29583"/>
    <cellStyle name="Normal 4 3 2 2 2 2 2 3 2 2 2 3" xfId="44626"/>
    <cellStyle name="Normal 4 3 2 2 2 2 2 3 2 2 3" xfId="22062"/>
    <cellStyle name="Normal 4 3 2 2 2 2 2 3 2 2 4" xfId="37105"/>
    <cellStyle name="Normal 4 3 2 2 2 2 2 3 2 3" xfId="10790"/>
    <cellStyle name="Normal 4 3 2 2 2 2 2 3 2 3 2" xfId="25834"/>
    <cellStyle name="Normal 4 3 2 2 2 2 2 3 2 3 3" xfId="40877"/>
    <cellStyle name="Normal 4 3 2 2 2 2 2 3 2 4" xfId="18313"/>
    <cellStyle name="Normal 4 3 2 2 2 2 2 3 2 5" xfId="33356"/>
    <cellStyle name="Normal 4 3 2 2 2 2 2 3 3" xfId="5151"/>
    <cellStyle name="Normal 4 3 2 2 2 2 2 3 3 2" xfId="12674"/>
    <cellStyle name="Normal 4 3 2 2 2 2 2 3 3 2 2" xfId="27718"/>
    <cellStyle name="Normal 4 3 2 2 2 2 2 3 3 2 3" xfId="42761"/>
    <cellStyle name="Normal 4 3 2 2 2 2 2 3 3 3" xfId="20197"/>
    <cellStyle name="Normal 4 3 2 2 2 2 2 3 3 4" xfId="35240"/>
    <cellStyle name="Normal 4 3 2 2 2 2 2 3 4" xfId="8925"/>
    <cellStyle name="Normal 4 3 2 2 2 2 2 3 4 2" xfId="23969"/>
    <cellStyle name="Normal 4 3 2 2 2 2 2 3 4 3" xfId="39012"/>
    <cellStyle name="Normal 4 3 2 2 2 2 2 3 5" xfId="16448"/>
    <cellStyle name="Normal 4 3 2 2 2 2 2 3 6" xfId="31491"/>
    <cellStyle name="Normal 4 3 2 2 2 2 2 4" xfId="2288"/>
    <cellStyle name="Normal 4 3 2 2 2 2 2 4 2" xfId="6084"/>
    <cellStyle name="Normal 4 3 2 2 2 2 2 4 2 2" xfId="13607"/>
    <cellStyle name="Normal 4 3 2 2 2 2 2 4 2 2 2" xfId="28651"/>
    <cellStyle name="Normal 4 3 2 2 2 2 2 4 2 2 3" xfId="43694"/>
    <cellStyle name="Normal 4 3 2 2 2 2 2 4 2 3" xfId="21130"/>
    <cellStyle name="Normal 4 3 2 2 2 2 2 4 2 4" xfId="36173"/>
    <cellStyle name="Normal 4 3 2 2 2 2 2 4 3" xfId="9858"/>
    <cellStyle name="Normal 4 3 2 2 2 2 2 4 3 2" xfId="24902"/>
    <cellStyle name="Normal 4 3 2 2 2 2 2 4 3 3" xfId="39945"/>
    <cellStyle name="Normal 4 3 2 2 2 2 2 4 4" xfId="17381"/>
    <cellStyle name="Normal 4 3 2 2 2 2 2 4 5" xfId="32424"/>
    <cellStyle name="Normal 4 3 2 2 2 2 2 5" xfId="4216"/>
    <cellStyle name="Normal 4 3 2 2 2 2 2 5 2" xfId="11740"/>
    <cellStyle name="Normal 4 3 2 2 2 2 2 5 2 2" xfId="26784"/>
    <cellStyle name="Normal 4 3 2 2 2 2 2 5 2 3" xfId="41827"/>
    <cellStyle name="Normal 4 3 2 2 2 2 2 5 3" xfId="19263"/>
    <cellStyle name="Normal 4 3 2 2 2 2 2 5 4" xfId="34306"/>
    <cellStyle name="Normal 4 3 2 2 2 2 2 6" xfId="7979"/>
    <cellStyle name="Normal 4 3 2 2 2 2 2 6 2" xfId="23023"/>
    <cellStyle name="Normal 4 3 2 2 2 2 2 6 3" xfId="38066"/>
    <cellStyle name="Normal 4 3 2 2 2 2 2 7" xfId="15502"/>
    <cellStyle name="Normal 4 3 2 2 2 2 2 8" xfId="30545"/>
    <cellStyle name="Normal 4 3 2 2 2 2 3" xfId="842"/>
    <cellStyle name="Normal 4 3 2 2 2 2 3 2" xfId="1801"/>
    <cellStyle name="Normal 4 3 2 2 2 2 3 2 2" xfId="3672"/>
    <cellStyle name="Normal 4 3 2 2 2 2 3 2 2 2" xfId="7467"/>
    <cellStyle name="Normal 4 3 2 2 2 2 3 2 2 2 2" xfId="14990"/>
    <cellStyle name="Normal 4 3 2 2 2 2 3 2 2 2 2 2" xfId="30034"/>
    <cellStyle name="Normal 4 3 2 2 2 2 3 2 2 2 2 3" xfId="45077"/>
    <cellStyle name="Normal 4 3 2 2 2 2 3 2 2 2 3" xfId="22513"/>
    <cellStyle name="Normal 4 3 2 2 2 2 3 2 2 2 4" xfId="37556"/>
    <cellStyle name="Normal 4 3 2 2 2 2 3 2 2 3" xfId="11241"/>
    <cellStyle name="Normal 4 3 2 2 2 2 3 2 2 3 2" xfId="26285"/>
    <cellStyle name="Normal 4 3 2 2 2 2 3 2 2 3 3" xfId="41328"/>
    <cellStyle name="Normal 4 3 2 2 2 2 3 2 2 4" xfId="18764"/>
    <cellStyle name="Normal 4 3 2 2 2 2 3 2 2 5" xfId="33807"/>
    <cellStyle name="Normal 4 3 2 2 2 2 3 2 3" xfId="5602"/>
    <cellStyle name="Normal 4 3 2 2 2 2 3 2 3 2" xfId="13125"/>
    <cellStyle name="Normal 4 3 2 2 2 2 3 2 3 2 2" xfId="28169"/>
    <cellStyle name="Normal 4 3 2 2 2 2 3 2 3 2 3" xfId="43212"/>
    <cellStyle name="Normal 4 3 2 2 2 2 3 2 3 3" xfId="20648"/>
    <cellStyle name="Normal 4 3 2 2 2 2 3 2 3 4" xfId="35691"/>
    <cellStyle name="Normal 4 3 2 2 2 2 3 2 4" xfId="9376"/>
    <cellStyle name="Normal 4 3 2 2 2 2 3 2 4 2" xfId="24420"/>
    <cellStyle name="Normal 4 3 2 2 2 2 3 2 4 3" xfId="39463"/>
    <cellStyle name="Normal 4 3 2 2 2 2 3 2 5" xfId="16899"/>
    <cellStyle name="Normal 4 3 2 2 2 2 3 2 6" xfId="31942"/>
    <cellStyle name="Normal 4 3 2 2 2 2 3 3" xfId="2740"/>
    <cellStyle name="Normal 4 3 2 2 2 2 3 3 2" xfId="6535"/>
    <cellStyle name="Normal 4 3 2 2 2 2 3 3 2 2" xfId="14058"/>
    <cellStyle name="Normal 4 3 2 2 2 2 3 3 2 2 2" xfId="29102"/>
    <cellStyle name="Normal 4 3 2 2 2 2 3 3 2 2 3" xfId="44145"/>
    <cellStyle name="Normal 4 3 2 2 2 2 3 3 2 3" xfId="21581"/>
    <cellStyle name="Normal 4 3 2 2 2 2 3 3 2 4" xfId="36624"/>
    <cellStyle name="Normal 4 3 2 2 2 2 3 3 3" xfId="10309"/>
    <cellStyle name="Normal 4 3 2 2 2 2 3 3 3 2" xfId="25353"/>
    <cellStyle name="Normal 4 3 2 2 2 2 3 3 3 3" xfId="40396"/>
    <cellStyle name="Normal 4 3 2 2 2 2 3 3 4" xfId="17832"/>
    <cellStyle name="Normal 4 3 2 2 2 2 3 3 5" xfId="32875"/>
    <cellStyle name="Normal 4 3 2 2 2 2 3 4" xfId="4670"/>
    <cellStyle name="Normal 4 3 2 2 2 2 3 4 2" xfId="12193"/>
    <cellStyle name="Normal 4 3 2 2 2 2 3 4 2 2" xfId="27237"/>
    <cellStyle name="Normal 4 3 2 2 2 2 3 4 2 3" xfId="42280"/>
    <cellStyle name="Normal 4 3 2 2 2 2 3 4 3" xfId="19716"/>
    <cellStyle name="Normal 4 3 2 2 2 2 3 4 4" xfId="34759"/>
    <cellStyle name="Normal 4 3 2 2 2 2 3 5" xfId="8444"/>
    <cellStyle name="Normal 4 3 2 2 2 2 3 5 2" xfId="23488"/>
    <cellStyle name="Normal 4 3 2 2 2 2 3 5 3" xfId="38531"/>
    <cellStyle name="Normal 4 3 2 2 2 2 3 6" xfId="15967"/>
    <cellStyle name="Normal 4 3 2 2 2 2 3 7" xfId="31010"/>
    <cellStyle name="Normal 4 3 2 2 2 2 4" xfId="1349"/>
    <cellStyle name="Normal 4 3 2 2 2 2 4 2" xfId="3220"/>
    <cellStyle name="Normal 4 3 2 2 2 2 4 2 2" xfId="7015"/>
    <cellStyle name="Normal 4 3 2 2 2 2 4 2 2 2" xfId="14538"/>
    <cellStyle name="Normal 4 3 2 2 2 2 4 2 2 2 2" xfId="29582"/>
    <cellStyle name="Normal 4 3 2 2 2 2 4 2 2 2 3" xfId="44625"/>
    <cellStyle name="Normal 4 3 2 2 2 2 4 2 2 3" xfId="22061"/>
    <cellStyle name="Normal 4 3 2 2 2 2 4 2 2 4" xfId="37104"/>
    <cellStyle name="Normal 4 3 2 2 2 2 4 2 3" xfId="10789"/>
    <cellStyle name="Normal 4 3 2 2 2 2 4 2 3 2" xfId="25833"/>
    <cellStyle name="Normal 4 3 2 2 2 2 4 2 3 3" xfId="40876"/>
    <cellStyle name="Normal 4 3 2 2 2 2 4 2 4" xfId="18312"/>
    <cellStyle name="Normal 4 3 2 2 2 2 4 2 5" xfId="33355"/>
    <cellStyle name="Normal 4 3 2 2 2 2 4 3" xfId="5150"/>
    <cellStyle name="Normal 4 3 2 2 2 2 4 3 2" xfId="12673"/>
    <cellStyle name="Normal 4 3 2 2 2 2 4 3 2 2" xfId="27717"/>
    <cellStyle name="Normal 4 3 2 2 2 2 4 3 2 3" xfId="42760"/>
    <cellStyle name="Normal 4 3 2 2 2 2 4 3 3" xfId="20196"/>
    <cellStyle name="Normal 4 3 2 2 2 2 4 3 4" xfId="35239"/>
    <cellStyle name="Normal 4 3 2 2 2 2 4 4" xfId="8924"/>
    <cellStyle name="Normal 4 3 2 2 2 2 4 4 2" xfId="23968"/>
    <cellStyle name="Normal 4 3 2 2 2 2 4 4 3" xfId="39011"/>
    <cellStyle name="Normal 4 3 2 2 2 2 4 5" xfId="16447"/>
    <cellStyle name="Normal 4 3 2 2 2 2 4 6" xfId="31490"/>
    <cellStyle name="Normal 4 3 2 2 2 2 5" xfId="2287"/>
    <cellStyle name="Normal 4 3 2 2 2 2 5 2" xfId="6083"/>
    <cellStyle name="Normal 4 3 2 2 2 2 5 2 2" xfId="13606"/>
    <cellStyle name="Normal 4 3 2 2 2 2 5 2 2 2" xfId="28650"/>
    <cellStyle name="Normal 4 3 2 2 2 2 5 2 2 3" xfId="43693"/>
    <cellStyle name="Normal 4 3 2 2 2 2 5 2 3" xfId="21129"/>
    <cellStyle name="Normal 4 3 2 2 2 2 5 2 4" xfId="36172"/>
    <cellStyle name="Normal 4 3 2 2 2 2 5 3" xfId="9857"/>
    <cellStyle name="Normal 4 3 2 2 2 2 5 3 2" xfId="24901"/>
    <cellStyle name="Normal 4 3 2 2 2 2 5 3 3" xfId="39944"/>
    <cellStyle name="Normal 4 3 2 2 2 2 5 4" xfId="17380"/>
    <cellStyle name="Normal 4 3 2 2 2 2 5 5" xfId="32423"/>
    <cellStyle name="Normal 4 3 2 2 2 2 6" xfId="4215"/>
    <cellStyle name="Normal 4 3 2 2 2 2 6 2" xfId="11739"/>
    <cellStyle name="Normal 4 3 2 2 2 2 6 2 2" xfId="26783"/>
    <cellStyle name="Normal 4 3 2 2 2 2 6 2 3" xfId="41826"/>
    <cellStyle name="Normal 4 3 2 2 2 2 6 3" xfId="19262"/>
    <cellStyle name="Normal 4 3 2 2 2 2 6 4" xfId="34305"/>
    <cellStyle name="Normal 4 3 2 2 2 2 7" xfId="7978"/>
    <cellStyle name="Normal 4 3 2 2 2 2 7 2" xfId="23022"/>
    <cellStyle name="Normal 4 3 2 2 2 2 7 3" xfId="38065"/>
    <cellStyle name="Normal 4 3 2 2 2 2 8" xfId="15501"/>
    <cellStyle name="Normal 4 3 2 2 2 2 9" xfId="30544"/>
    <cellStyle name="Normal 4 3 2 2 2 3" xfId="320"/>
    <cellStyle name="Normal 4 3 2 2 2 3 2" xfId="844"/>
    <cellStyle name="Normal 4 3 2 2 2 3 2 2" xfId="1803"/>
    <cellStyle name="Normal 4 3 2 2 2 3 2 2 2" xfId="3674"/>
    <cellStyle name="Normal 4 3 2 2 2 3 2 2 2 2" xfId="7469"/>
    <cellStyle name="Normal 4 3 2 2 2 3 2 2 2 2 2" xfId="14992"/>
    <cellStyle name="Normal 4 3 2 2 2 3 2 2 2 2 2 2" xfId="30036"/>
    <cellStyle name="Normal 4 3 2 2 2 3 2 2 2 2 2 3" xfId="45079"/>
    <cellStyle name="Normal 4 3 2 2 2 3 2 2 2 2 3" xfId="22515"/>
    <cellStyle name="Normal 4 3 2 2 2 3 2 2 2 2 4" xfId="37558"/>
    <cellStyle name="Normal 4 3 2 2 2 3 2 2 2 3" xfId="11243"/>
    <cellStyle name="Normal 4 3 2 2 2 3 2 2 2 3 2" xfId="26287"/>
    <cellStyle name="Normal 4 3 2 2 2 3 2 2 2 3 3" xfId="41330"/>
    <cellStyle name="Normal 4 3 2 2 2 3 2 2 2 4" xfId="18766"/>
    <cellStyle name="Normal 4 3 2 2 2 3 2 2 2 5" xfId="33809"/>
    <cellStyle name="Normal 4 3 2 2 2 3 2 2 3" xfId="5604"/>
    <cellStyle name="Normal 4 3 2 2 2 3 2 2 3 2" xfId="13127"/>
    <cellStyle name="Normal 4 3 2 2 2 3 2 2 3 2 2" xfId="28171"/>
    <cellStyle name="Normal 4 3 2 2 2 3 2 2 3 2 3" xfId="43214"/>
    <cellStyle name="Normal 4 3 2 2 2 3 2 2 3 3" xfId="20650"/>
    <cellStyle name="Normal 4 3 2 2 2 3 2 2 3 4" xfId="35693"/>
    <cellStyle name="Normal 4 3 2 2 2 3 2 2 4" xfId="9378"/>
    <cellStyle name="Normal 4 3 2 2 2 3 2 2 4 2" xfId="24422"/>
    <cellStyle name="Normal 4 3 2 2 2 3 2 2 4 3" xfId="39465"/>
    <cellStyle name="Normal 4 3 2 2 2 3 2 2 5" xfId="16901"/>
    <cellStyle name="Normal 4 3 2 2 2 3 2 2 6" xfId="31944"/>
    <cellStyle name="Normal 4 3 2 2 2 3 2 3" xfId="2742"/>
    <cellStyle name="Normal 4 3 2 2 2 3 2 3 2" xfId="6537"/>
    <cellStyle name="Normal 4 3 2 2 2 3 2 3 2 2" xfId="14060"/>
    <cellStyle name="Normal 4 3 2 2 2 3 2 3 2 2 2" xfId="29104"/>
    <cellStyle name="Normal 4 3 2 2 2 3 2 3 2 2 3" xfId="44147"/>
    <cellStyle name="Normal 4 3 2 2 2 3 2 3 2 3" xfId="21583"/>
    <cellStyle name="Normal 4 3 2 2 2 3 2 3 2 4" xfId="36626"/>
    <cellStyle name="Normal 4 3 2 2 2 3 2 3 3" xfId="10311"/>
    <cellStyle name="Normal 4 3 2 2 2 3 2 3 3 2" xfId="25355"/>
    <cellStyle name="Normal 4 3 2 2 2 3 2 3 3 3" xfId="40398"/>
    <cellStyle name="Normal 4 3 2 2 2 3 2 3 4" xfId="17834"/>
    <cellStyle name="Normal 4 3 2 2 2 3 2 3 5" xfId="32877"/>
    <cellStyle name="Normal 4 3 2 2 2 3 2 4" xfId="4672"/>
    <cellStyle name="Normal 4 3 2 2 2 3 2 4 2" xfId="12195"/>
    <cellStyle name="Normal 4 3 2 2 2 3 2 4 2 2" xfId="27239"/>
    <cellStyle name="Normal 4 3 2 2 2 3 2 4 2 3" xfId="42282"/>
    <cellStyle name="Normal 4 3 2 2 2 3 2 4 3" xfId="19718"/>
    <cellStyle name="Normal 4 3 2 2 2 3 2 4 4" xfId="34761"/>
    <cellStyle name="Normal 4 3 2 2 2 3 2 5" xfId="8446"/>
    <cellStyle name="Normal 4 3 2 2 2 3 2 5 2" xfId="23490"/>
    <cellStyle name="Normal 4 3 2 2 2 3 2 5 3" xfId="38533"/>
    <cellStyle name="Normal 4 3 2 2 2 3 2 6" xfId="15969"/>
    <cellStyle name="Normal 4 3 2 2 2 3 2 7" xfId="31012"/>
    <cellStyle name="Normal 4 3 2 2 2 3 3" xfId="1351"/>
    <cellStyle name="Normal 4 3 2 2 2 3 3 2" xfId="3222"/>
    <cellStyle name="Normal 4 3 2 2 2 3 3 2 2" xfId="7017"/>
    <cellStyle name="Normal 4 3 2 2 2 3 3 2 2 2" xfId="14540"/>
    <cellStyle name="Normal 4 3 2 2 2 3 3 2 2 2 2" xfId="29584"/>
    <cellStyle name="Normal 4 3 2 2 2 3 3 2 2 2 3" xfId="44627"/>
    <cellStyle name="Normal 4 3 2 2 2 3 3 2 2 3" xfId="22063"/>
    <cellStyle name="Normal 4 3 2 2 2 3 3 2 2 4" xfId="37106"/>
    <cellStyle name="Normal 4 3 2 2 2 3 3 2 3" xfId="10791"/>
    <cellStyle name="Normal 4 3 2 2 2 3 3 2 3 2" xfId="25835"/>
    <cellStyle name="Normal 4 3 2 2 2 3 3 2 3 3" xfId="40878"/>
    <cellStyle name="Normal 4 3 2 2 2 3 3 2 4" xfId="18314"/>
    <cellStyle name="Normal 4 3 2 2 2 3 3 2 5" xfId="33357"/>
    <cellStyle name="Normal 4 3 2 2 2 3 3 3" xfId="5152"/>
    <cellStyle name="Normal 4 3 2 2 2 3 3 3 2" xfId="12675"/>
    <cellStyle name="Normal 4 3 2 2 2 3 3 3 2 2" xfId="27719"/>
    <cellStyle name="Normal 4 3 2 2 2 3 3 3 2 3" xfId="42762"/>
    <cellStyle name="Normal 4 3 2 2 2 3 3 3 3" xfId="20198"/>
    <cellStyle name="Normal 4 3 2 2 2 3 3 3 4" xfId="35241"/>
    <cellStyle name="Normal 4 3 2 2 2 3 3 4" xfId="8926"/>
    <cellStyle name="Normal 4 3 2 2 2 3 3 4 2" xfId="23970"/>
    <cellStyle name="Normal 4 3 2 2 2 3 3 4 3" xfId="39013"/>
    <cellStyle name="Normal 4 3 2 2 2 3 3 5" xfId="16449"/>
    <cellStyle name="Normal 4 3 2 2 2 3 3 6" xfId="31492"/>
    <cellStyle name="Normal 4 3 2 2 2 3 4" xfId="2289"/>
    <cellStyle name="Normal 4 3 2 2 2 3 4 2" xfId="6085"/>
    <cellStyle name="Normal 4 3 2 2 2 3 4 2 2" xfId="13608"/>
    <cellStyle name="Normal 4 3 2 2 2 3 4 2 2 2" xfId="28652"/>
    <cellStyle name="Normal 4 3 2 2 2 3 4 2 2 3" xfId="43695"/>
    <cellStyle name="Normal 4 3 2 2 2 3 4 2 3" xfId="21131"/>
    <cellStyle name="Normal 4 3 2 2 2 3 4 2 4" xfId="36174"/>
    <cellStyle name="Normal 4 3 2 2 2 3 4 3" xfId="9859"/>
    <cellStyle name="Normal 4 3 2 2 2 3 4 3 2" xfId="24903"/>
    <cellStyle name="Normal 4 3 2 2 2 3 4 3 3" xfId="39946"/>
    <cellStyle name="Normal 4 3 2 2 2 3 4 4" xfId="17382"/>
    <cellStyle name="Normal 4 3 2 2 2 3 4 5" xfId="32425"/>
    <cellStyle name="Normal 4 3 2 2 2 3 5" xfId="4217"/>
    <cellStyle name="Normal 4 3 2 2 2 3 5 2" xfId="11741"/>
    <cellStyle name="Normal 4 3 2 2 2 3 5 2 2" xfId="26785"/>
    <cellStyle name="Normal 4 3 2 2 2 3 5 2 3" xfId="41828"/>
    <cellStyle name="Normal 4 3 2 2 2 3 5 3" xfId="19264"/>
    <cellStyle name="Normal 4 3 2 2 2 3 5 4" xfId="34307"/>
    <cellStyle name="Normal 4 3 2 2 2 3 6" xfId="7980"/>
    <cellStyle name="Normal 4 3 2 2 2 3 6 2" xfId="23024"/>
    <cellStyle name="Normal 4 3 2 2 2 3 6 3" xfId="38067"/>
    <cellStyle name="Normal 4 3 2 2 2 3 7" xfId="15503"/>
    <cellStyle name="Normal 4 3 2 2 2 3 8" xfId="30546"/>
    <cellStyle name="Normal 4 3 2 2 2 4" xfId="841"/>
    <cellStyle name="Normal 4 3 2 2 2 4 2" xfId="1800"/>
    <cellStyle name="Normal 4 3 2 2 2 4 2 2" xfId="3671"/>
    <cellStyle name="Normal 4 3 2 2 2 4 2 2 2" xfId="7466"/>
    <cellStyle name="Normal 4 3 2 2 2 4 2 2 2 2" xfId="14989"/>
    <cellStyle name="Normal 4 3 2 2 2 4 2 2 2 2 2" xfId="30033"/>
    <cellStyle name="Normal 4 3 2 2 2 4 2 2 2 2 3" xfId="45076"/>
    <cellStyle name="Normal 4 3 2 2 2 4 2 2 2 3" xfId="22512"/>
    <cellStyle name="Normal 4 3 2 2 2 4 2 2 2 4" xfId="37555"/>
    <cellStyle name="Normal 4 3 2 2 2 4 2 2 3" xfId="11240"/>
    <cellStyle name="Normal 4 3 2 2 2 4 2 2 3 2" xfId="26284"/>
    <cellStyle name="Normal 4 3 2 2 2 4 2 2 3 3" xfId="41327"/>
    <cellStyle name="Normal 4 3 2 2 2 4 2 2 4" xfId="18763"/>
    <cellStyle name="Normal 4 3 2 2 2 4 2 2 5" xfId="33806"/>
    <cellStyle name="Normal 4 3 2 2 2 4 2 3" xfId="5601"/>
    <cellStyle name="Normal 4 3 2 2 2 4 2 3 2" xfId="13124"/>
    <cellStyle name="Normal 4 3 2 2 2 4 2 3 2 2" xfId="28168"/>
    <cellStyle name="Normal 4 3 2 2 2 4 2 3 2 3" xfId="43211"/>
    <cellStyle name="Normal 4 3 2 2 2 4 2 3 3" xfId="20647"/>
    <cellStyle name="Normal 4 3 2 2 2 4 2 3 4" xfId="35690"/>
    <cellStyle name="Normal 4 3 2 2 2 4 2 4" xfId="9375"/>
    <cellStyle name="Normal 4 3 2 2 2 4 2 4 2" xfId="24419"/>
    <cellStyle name="Normal 4 3 2 2 2 4 2 4 3" xfId="39462"/>
    <cellStyle name="Normal 4 3 2 2 2 4 2 5" xfId="16898"/>
    <cellStyle name="Normal 4 3 2 2 2 4 2 6" xfId="31941"/>
    <cellStyle name="Normal 4 3 2 2 2 4 3" xfId="2739"/>
    <cellStyle name="Normal 4 3 2 2 2 4 3 2" xfId="6534"/>
    <cellStyle name="Normal 4 3 2 2 2 4 3 2 2" xfId="14057"/>
    <cellStyle name="Normal 4 3 2 2 2 4 3 2 2 2" xfId="29101"/>
    <cellStyle name="Normal 4 3 2 2 2 4 3 2 2 3" xfId="44144"/>
    <cellStyle name="Normal 4 3 2 2 2 4 3 2 3" xfId="21580"/>
    <cellStyle name="Normal 4 3 2 2 2 4 3 2 4" xfId="36623"/>
    <cellStyle name="Normal 4 3 2 2 2 4 3 3" xfId="10308"/>
    <cellStyle name="Normal 4 3 2 2 2 4 3 3 2" xfId="25352"/>
    <cellStyle name="Normal 4 3 2 2 2 4 3 3 3" xfId="40395"/>
    <cellStyle name="Normal 4 3 2 2 2 4 3 4" xfId="17831"/>
    <cellStyle name="Normal 4 3 2 2 2 4 3 5" xfId="32874"/>
    <cellStyle name="Normal 4 3 2 2 2 4 4" xfId="4669"/>
    <cellStyle name="Normal 4 3 2 2 2 4 4 2" xfId="12192"/>
    <cellStyle name="Normal 4 3 2 2 2 4 4 2 2" xfId="27236"/>
    <cellStyle name="Normal 4 3 2 2 2 4 4 2 3" xfId="42279"/>
    <cellStyle name="Normal 4 3 2 2 2 4 4 3" xfId="19715"/>
    <cellStyle name="Normal 4 3 2 2 2 4 4 4" xfId="34758"/>
    <cellStyle name="Normal 4 3 2 2 2 4 5" xfId="8443"/>
    <cellStyle name="Normal 4 3 2 2 2 4 5 2" xfId="23487"/>
    <cellStyle name="Normal 4 3 2 2 2 4 5 3" xfId="38530"/>
    <cellStyle name="Normal 4 3 2 2 2 4 6" xfId="15966"/>
    <cellStyle name="Normal 4 3 2 2 2 4 7" xfId="31009"/>
    <cellStyle name="Normal 4 3 2 2 2 5" xfId="1348"/>
    <cellStyle name="Normal 4 3 2 2 2 5 2" xfId="3219"/>
    <cellStyle name="Normal 4 3 2 2 2 5 2 2" xfId="7014"/>
    <cellStyle name="Normal 4 3 2 2 2 5 2 2 2" xfId="14537"/>
    <cellStyle name="Normal 4 3 2 2 2 5 2 2 2 2" xfId="29581"/>
    <cellStyle name="Normal 4 3 2 2 2 5 2 2 2 3" xfId="44624"/>
    <cellStyle name="Normal 4 3 2 2 2 5 2 2 3" xfId="22060"/>
    <cellStyle name="Normal 4 3 2 2 2 5 2 2 4" xfId="37103"/>
    <cellStyle name="Normal 4 3 2 2 2 5 2 3" xfId="10788"/>
    <cellStyle name="Normal 4 3 2 2 2 5 2 3 2" xfId="25832"/>
    <cellStyle name="Normal 4 3 2 2 2 5 2 3 3" xfId="40875"/>
    <cellStyle name="Normal 4 3 2 2 2 5 2 4" xfId="18311"/>
    <cellStyle name="Normal 4 3 2 2 2 5 2 5" xfId="33354"/>
    <cellStyle name="Normal 4 3 2 2 2 5 3" xfId="5149"/>
    <cellStyle name="Normal 4 3 2 2 2 5 3 2" xfId="12672"/>
    <cellStyle name="Normal 4 3 2 2 2 5 3 2 2" xfId="27716"/>
    <cellStyle name="Normal 4 3 2 2 2 5 3 2 3" xfId="42759"/>
    <cellStyle name="Normal 4 3 2 2 2 5 3 3" xfId="20195"/>
    <cellStyle name="Normal 4 3 2 2 2 5 3 4" xfId="35238"/>
    <cellStyle name="Normal 4 3 2 2 2 5 4" xfId="8923"/>
    <cellStyle name="Normal 4 3 2 2 2 5 4 2" xfId="23967"/>
    <cellStyle name="Normal 4 3 2 2 2 5 4 3" xfId="39010"/>
    <cellStyle name="Normal 4 3 2 2 2 5 5" xfId="16446"/>
    <cellStyle name="Normal 4 3 2 2 2 5 6" xfId="31489"/>
    <cellStyle name="Normal 4 3 2 2 2 6" xfId="2286"/>
    <cellStyle name="Normal 4 3 2 2 2 6 2" xfId="6082"/>
    <cellStyle name="Normal 4 3 2 2 2 6 2 2" xfId="13605"/>
    <cellStyle name="Normal 4 3 2 2 2 6 2 2 2" xfId="28649"/>
    <cellStyle name="Normal 4 3 2 2 2 6 2 2 3" xfId="43692"/>
    <cellStyle name="Normal 4 3 2 2 2 6 2 3" xfId="21128"/>
    <cellStyle name="Normal 4 3 2 2 2 6 2 4" xfId="36171"/>
    <cellStyle name="Normal 4 3 2 2 2 6 3" xfId="9856"/>
    <cellStyle name="Normal 4 3 2 2 2 6 3 2" xfId="24900"/>
    <cellStyle name="Normal 4 3 2 2 2 6 3 3" xfId="39943"/>
    <cellStyle name="Normal 4 3 2 2 2 6 4" xfId="17379"/>
    <cellStyle name="Normal 4 3 2 2 2 6 5" xfId="32422"/>
    <cellStyle name="Normal 4 3 2 2 2 7" xfId="4214"/>
    <cellStyle name="Normal 4 3 2 2 2 7 2" xfId="11738"/>
    <cellStyle name="Normal 4 3 2 2 2 7 2 2" xfId="26782"/>
    <cellStyle name="Normal 4 3 2 2 2 7 2 3" xfId="41825"/>
    <cellStyle name="Normal 4 3 2 2 2 7 3" xfId="19261"/>
    <cellStyle name="Normal 4 3 2 2 2 7 4" xfId="34304"/>
    <cellStyle name="Normal 4 3 2 2 2 8" xfId="7977"/>
    <cellStyle name="Normal 4 3 2 2 2 8 2" xfId="23021"/>
    <cellStyle name="Normal 4 3 2 2 2 8 3" xfId="38064"/>
    <cellStyle name="Normal 4 3 2 2 2 9" xfId="15500"/>
    <cellStyle name="Normal 4 3 2 2 3" xfId="321"/>
    <cellStyle name="Normal 4 3 2 2 3 2" xfId="322"/>
    <cellStyle name="Normal 4 3 2 2 3 2 2" xfId="846"/>
    <cellStyle name="Normal 4 3 2 2 3 2 2 2" xfId="1805"/>
    <cellStyle name="Normal 4 3 2 2 3 2 2 2 2" xfId="3676"/>
    <cellStyle name="Normal 4 3 2 2 3 2 2 2 2 2" xfId="7471"/>
    <cellStyle name="Normal 4 3 2 2 3 2 2 2 2 2 2" xfId="14994"/>
    <cellStyle name="Normal 4 3 2 2 3 2 2 2 2 2 2 2" xfId="30038"/>
    <cellStyle name="Normal 4 3 2 2 3 2 2 2 2 2 2 3" xfId="45081"/>
    <cellStyle name="Normal 4 3 2 2 3 2 2 2 2 2 3" xfId="22517"/>
    <cellStyle name="Normal 4 3 2 2 3 2 2 2 2 2 4" xfId="37560"/>
    <cellStyle name="Normal 4 3 2 2 3 2 2 2 2 3" xfId="11245"/>
    <cellStyle name="Normal 4 3 2 2 3 2 2 2 2 3 2" xfId="26289"/>
    <cellStyle name="Normal 4 3 2 2 3 2 2 2 2 3 3" xfId="41332"/>
    <cellStyle name="Normal 4 3 2 2 3 2 2 2 2 4" xfId="18768"/>
    <cellStyle name="Normal 4 3 2 2 3 2 2 2 2 5" xfId="33811"/>
    <cellStyle name="Normal 4 3 2 2 3 2 2 2 3" xfId="5606"/>
    <cellStyle name="Normal 4 3 2 2 3 2 2 2 3 2" xfId="13129"/>
    <cellStyle name="Normal 4 3 2 2 3 2 2 2 3 2 2" xfId="28173"/>
    <cellStyle name="Normal 4 3 2 2 3 2 2 2 3 2 3" xfId="43216"/>
    <cellStyle name="Normal 4 3 2 2 3 2 2 2 3 3" xfId="20652"/>
    <cellStyle name="Normal 4 3 2 2 3 2 2 2 3 4" xfId="35695"/>
    <cellStyle name="Normal 4 3 2 2 3 2 2 2 4" xfId="9380"/>
    <cellStyle name="Normal 4 3 2 2 3 2 2 2 4 2" xfId="24424"/>
    <cellStyle name="Normal 4 3 2 2 3 2 2 2 4 3" xfId="39467"/>
    <cellStyle name="Normal 4 3 2 2 3 2 2 2 5" xfId="16903"/>
    <cellStyle name="Normal 4 3 2 2 3 2 2 2 6" xfId="31946"/>
    <cellStyle name="Normal 4 3 2 2 3 2 2 3" xfId="2744"/>
    <cellStyle name="Normal 4 3 2 2 3 2 2 3 2" xfId="6539"/>
    <cellStyle name="Normal 4 3 2 2 3 2 2 3 2 2" xfId="14062"/>
    <cellStyle name="Normal 4 3 2 2 3 2 2 3 2 2 2" xfId="29106"/>
    <cellStyle name="Normal 4 3 2 2 3 2 2 3 2 2 3" xfId="44149"/>
    <cellStyle name="Normal 4 3 2 2 3 2 2 3 2 3" xfId="21585"/>
    <cellStyle name="Normal 4 3 2 2 3 2 2 3 2 4" xfId="36628"/>
    <cellStyle name="Normal 4 3 2 2 3 2 2 3 3" xfId="10313"/>
    <cellStyle name="Normal 4 3 2 2 3 2 2 3 3 2" xfId="25357"/>
    <cellStyle name="Normal 4 3 2 2 3 2 2 3 3 3" xfId="40400"/>
    <cellStyle name="Normal 4 3 2 2 3 2 2 3 4" xfId="17836"/>
    <cellStyle name="Normal 4 3 2 2 3 2 2 3 5" xfId="32879"/>
    <cellStyle name="Normal 4 3 2 2 3 2 2 4" xfId="4674"/>
    <cellStyle name="Normal 4 3 2 2 3 2 2 4 2" xfId="12197"/>
    <cellStyle name="Normal 4 3 2 2 3 2 2 4 2 2" xfId="27241"/>
    <cellStyle name="Normal 4 3 2 2 3 2 2 4 2 3" xfId="42284"/>
    <cellStyle name="Normal 4 3 2 2 3 2 2 4 3" xfId="19720"/>
    <cellStyle name="Normal 4 3 2 2 3 2 2 4 4" xfId="34763"/>
    <cellStyle name="Normal 4 3 2 2 3 2 2 5" xfId="8448"/>
    <cellStyle name="Normal 4 3 2 2 3 2 2 5 2" xfId="23492"/>
    <cellStyle name="Normal 4 3 2 2 3 2 2 5 3" xfId="38535"/>
    <cellStyle name="Normal 4 3 2 2 3 2 2 6" xfId="15971"/>
    <cellStyle name="Normal 4 3 2 2 3 2 2 7" xfId="31014"/>
    <cellStyle name="Normal 4 3 2 2 3 2 3" xfId="1353"/>
    <cellStyle name="Normal 4 3 2 2 3 2 3 2" xfId="3224"/>
    <cellStyle name="Normal 4 3 2 2 3 2 3 2 2" xfId="7019"/>
    <cellStyle name="Normal 4 3 2 2 3 2 3 2 2 2" xfId="14542"/>
    <cellStyle name="Normal 4 3 2 2 3 2 3 2 2 2 2" xfId="29586"/>
    <cellStyle name="Normal 4 3 2 2 3 2 3 2 2 2 3" xfId="44629"/>
    <cellStyle name="Normal 4 3 2 2 3 2 3 2 2 3" xfId="22065"/>
    <cellStyle name="Normal 4 3 2 2 3 2 3 2 2 4" xfId="37108"/>
    <cellStyle name="Normal 4 3 2 2 3 2 3 2 3" xfId="10793"/>
    <cellStyle name="Normal 4 3 2 2 3 2 3 2 3 2" xfId="25837"/>
    <cellStyle name="Normal 4 3 2 2 3 2 3 2 3 3" xfId="40880"/>
    <cellStyle name="Normal 4 3 2 2 3 2 3 2 4" xfId="18316"/>
    <cellStyle name="Normal 4 3 2 2 3 2 3 2 5" xfId="33359"/>
    <cellStyle name="Normal 4 3 2 2 3 2 3 3" xfId="5154"/>
    <cellStyle name="Normal 4 3 2 2 3 2 3 3 2" xfId="12677"/>
    <cellStyle name="Normal 4 3 2 2 3 2 3 3 2 2" xfId="27721"/>
    <cellStyle name="Normal 4 3 2 2 3 2 3 3 2 3" xfId="42764"/>
    <cellStyle name="Normal 4 3 2 2 3 2 3 3 3" xfId="20200"/>
    <cellStyle name="Normal 4 3 2 2 3 2 3 3 4" xfId="35243"/>
    <cellStyle name="Normal 4 3 2 2 3 2 3 4" xfId="8928"/>
    <cellStyle name="Normal 4 3 2 2 3 2 3 4 2" xfId="23972"/>
    <cellStyle name="Normal 4 3 2 2 3 2 3 4 3" xfId="39015"/>
    <cellStyle name="Normal 4 3 2 2 3 2 3 5" xfId="16451"/>
    <cellStyle name="Normal 4 3 2 2 3 2 3 6" xfId="31494"/>
    <cellStyle name="Normal 4 3 2 2 3 2 4" xfId="2291"/>
    <cellStyle name="Normal 4 3 2 2 3 2 4 2" xfId="6087"/>
    <cellStyle name="Normal 4 3 2 2 3 2 4 2 2" xfId="13610"/>
    <cellStyle name="Normal 4 3 2 2 3 2 4 2 2 2" xfId="28654"/>
    <cellStyle name="Normal 4 3 2 2 3 2 4 2 2 3" xfId="43697"/>
    <cellStyle name="Normal 4 3 2 2 3 2 4 2 3" xfId="21133"/>
    <cellStyle name="Normal 4 3 2 2 3 2 4 2 4" xfId="36176"/>
    <cellStyle name="Normal 4 3 2 2 3 2 4 3" xfId="9861"/>
    <cellStyle name="Normal 4 3 2 2 3 2 4 3 2" xfId="24905"/>
    <cellStyle name="Normal 4 3 2 2 3 2 4 3 3" xfId="39948"/>
    <cellStyle name="Normal 4 3 2 2 3 2 4 4" xfId="17384"/>
    <cellStyle name="Normal 4 3 2 2 3 2 4 5" xfId="32427"/>
    <cellStyle name="Normal 4 3 2 2 3 2 5" xfId="4219"/>
    <cellStyle name="Normal 4 3 2 2 3 2 5 2" xfId="11743"/>
    <cellStyle name="Normal 4 3 2 2 3 2 5 2 2" xfId="26787"/>
    <cellStyle name="Normal 4 3 2 2 3 2 5 2 3" xfId="41830"/>
    <cellStyle name="Normal 4 3 2 2 3 2 5 3" xfId="19266"/>
    <cellStyle name="Normal 4 3 2 2 3 2 5 4" xfId="34309"/>
    <cellStyle name="Normal 4 3 2 2 3 2 6" xfId="7982"/>
    <cellStyle name="Normal 4 3 2 2 3 2 6 2" xfId="23026"/>
    <cellStyle name="Normal 4 3 2 2 3 2 6 3" xfId="38069"/>
    <cellStyle name="Normal 4 3 2 2 3 2 7" xfId="15505"/>
    <cellStyle name="Normal 4 3 2 2 3 2 8" xfId="30548"/>
    <cellStyle name="Normal 4 3 2 2 3 3" xfId="845"/>
    <cellStyle name="Normal 4 3 2 2 3 3 2" xfId="1804"/>
    <cellStyle name="Normal 4 3 2 2 3 3 2 2" xfId="3675"/>
    <cellStyle name="Normal 4 3 2 2 3 3 2 2 2" xfId="7470"/>
    <cellStyle name="Normal 4 3 2 2 3 3 2 2 2 2" xfId="14993"/>
    <cellStyle name="Normal 4 3 2 2 3 3 2 2 2 2 2" xfId="30037"/>
    <cellStyle name="Normal 4 3 2 2 3 3 2 2 2 2 3" xfId="45080"/>
    <cellStyle name="Normal 4 3 2 2 3 3 2 2 2 3" xfId="22516"/>
    <cellStyle name="Normal 4 3 2 2 3 3 2 2 2 4" xfId="37559"/>
    <cellStyle name="Normal 4 3 2 2 3 3 2 2 3" xfId="11244"/>
    <cellStyle name="Normal 4 3 2 2 3 3 2 2 3 2" xfId="26288"/>
    <cellStyle name="Normal 4 3 2 2 3 3 2 2 3 3" xfId="41331"/>
    <cellStyle name="Normal 4 3 2 2 3 3 2 2 4" xfId="18767"/>
    <cellStyle name="Normal 4 3 2 2 3 3 2 2 5" xfId="33810"/>
    <cellStyle name="Normal 4 3 2 2 3 3 2 3" xfId="5605"/>
    <cellStyle name="Normal 4 3 2 2 3 3 2 3 2" xfId="13128"/>
    <cellStyle name="Normal 4 3 2 2 3 3 2 3 2 2" xfId="28172"/>
    <cellStyle name="Normal 4 3 2 2 3 3 2 3 2 3" xfId="43215"/>
    <cellStyle name="Normal 4 3 2 2 3 3 2 3 3" xfId="20651"/>
    <cellStyle name="Normal 4 3 2 2 3 3 2 3 4" xfId="35694"/>
    <cellStyle name="Normal 4 3 2 2 3 3 2 4" xfId="9379"/>
    <cellStyle name="Normal 4 3 2 2 3 3 2 4 2" xfId="24423"/>
    <cellStyle name="Normal 4 3 2 2 3 3 2 4 3" xfId="39466"/>
    <cellStyle name="Normal 4 3 2 2 3 3 2 5" xfId="16902"/>
    <cellStyle name="Normal 4 3 2 2 3 3 2 6" xfId="31945"/>
    <cellStyle name="Normal 4 3 2 2 3 3 3" xfId="2743"/>
    <cellStyle name="Normal 4 3 2 2 3 3 3 2" xfId="6538"/>
    <cellStyle name="Normal 4 3 2 2 3 3 3 2 2" xfId="14061"/>
    <cellStyle name="Normal 4 3 2 2 3 3 3 2 2 2" xfId="29105"/>
    <cellStyle name="Normal 4 3 2 2 3 3 3 2 2 3" xfId="44148"/>
    <cellStyle name="Normal 4 3 2 2 3 3 3 2 3" xfId="21584"/>
    <cellStyle name="Normal 4 3 2 2 3 3 3 2 4" xfId="36627"/>
    <cellStyle name="Normal 4 3 2 2 3 3 3 3" xfId="10312"/>
    <cellStyle name="Normal 4 3 2 2 3 3 3 3 2" xfId="25356"/>
    <cellStyle name="Normal 4 3 2 2 3 3 3 3 3" xfId="40399"/>
    <cellStyle name="Normal 4 3 2 2 3 3 3 4" xfId="17835"/>
    <cellStyle name="Normal 4 3 2 2 3 3 3 5" xfId="32878"/>
    <cellStyle name="Normal 4 3 2 2 3 3 4" xfId="4673"/>
    <cellStyle name="Normal 4 3 2 2 3 3 4 2" xfId="12196"/>
    <cellStyle name="Normal 4 3 2 2 3 3 4 2 2" xfId="27240"/>
    <cellStyle name="Normal 4 3 2 2 3 3 4 2 3" xfId="42283"/>
    <cellStyle name="Normal 4 3 2 2 3 3 4 3" xfId="19719"/>
    <cellStyle name="Normal 4 3 2 2 3 3 4 4" xfId="34762"/>
    <cellStyle name="Normal 4 3 2 2 3 3 5" xfId="8447"/>
    <cellStyle name="Normal 4 3 2 2 3 3 5 2" xfId="23491"/>
    <cellStyle name="Normal 4 3 2 2 3 3 5 3" xfId="38534"/>
    <cellStyle name="Normal 4 3 2 2 3 3 6" xfId="15970"/>
    <cellStyle name="Normal 4 3 2 2 3 3 7" xfId="31013"/>
    <cellStyle name="Normal 4 3 2 2 3 4" xfId="1352"/>
    <cellStyle name="Normal 4 3 2 2 3 4 2" xfId="3223"/>
    <cellStyle name="Normal 4 3 2 2 3 4 2 2" xfId="7018"/>
    <cellStyle name="Normal 4 3 2 2 3 4 2 2 2" xfId="14541"/>
    <cellStyle name="Normal 4 3 2 2 3 4 2 2 2 2" xfId="29585"/>
    <cellStyle name="Normal 4 3 2 2 3 4 2 2 2 3" xfId="44628"/>
    <cellStyle name="Normal 4 3 2 2 3 4 2 2 3" xfId="22064"/>
    <cellStyle name="Normal 4 3 2 2 3 4 2 2 4" xfId="37107"/>
    <cellStyle name="Normal 4 3 2 2 3 4 2 3" xfId="10792"/>
    <cellStyle name="Normal 4 3 2 2 3 4 2 3 2" xfId="25836"/>
    <cellStyle name="Normal 4 3 2 2 3 4 2 3 3" xfId="40879"/>
    <cellStyle name="Normal 4 3 2 2 3 4 2 4" xfId="18315"/>
    <cellStyle name="Normal 4 3 2 2 3 4 2 5" xfId="33358"/>
    <cellStyle name="Normal 4 3 2 2 3 4 3" xfId="5153"/>
    <cellStyle name="Normal 4 3 2 2 3 4 3 2" xfId="12676"/>
    <cellStyle name="Normal 4 3 2 2 3 4 3 2 2" xfId="27720"/>
    <cellStyle name="Normal 4 3 2 2 3 4 3 2 3" xfId="42763"/>
    <cellStyle name="Normal 4 3 2 2 3 4 3 3" xfId="20199"/>
    <cellStyle name="Normal 4 3 2 2 3 4 3 4" xfId="35242"/>
    <cellStyle name="Normal 4 3 2 2 3 4 4" xfId="8927"/>
    <cellStyle name="Normal 4 3 2 2 3 4 4 2" xfId="23971"/>
    <cellStyle name="Normal 4 3 2 2 3 4 4 3" xfId="39014"/>
    <cellStyle name="Normal 4 3 2 2 3 4 5" xfId="16450"/>
    <cellStyle name="Normal 4 3 2 2 3 4 6" xfId="31493"/>
    <cellStyle name="Normal 4 3 2 2 3 5" xfId="2290"/>
    <cellStyle name="Normal 4 3 2 2 3 5 2" xfId="6086"/>
    <cellStyle name="Normal 4 3 2 2 3 5 2 2" xfId="13609"/>
    <cellStyle name="Normal 4 3 2 2 3 5 2 2 2" xfId="28653"/>
    <cellStyle name="Normal 4 3 2 2 3 5 2 2 3" xfId="43696"/>
    <cellStyle name="Normal 4 3 2 2 3 5 2 3" xfId="21132"/>
    <cellStyle name="Normal 4 3 2 2 3 5 2 4" xfId="36175"/>
    <cellStyle name="Normal 4 3 2 2 3 5 3" xfId="9860"/>
    <cellStyle name="Normal 4 3 2 2 3 5 3 2" xfId="24904"/>
    <cellStyle name="Normal 4 3 2 2 3 5 3 3" xfId="39947"/>
    <cellStyle name="Normal 4 3 2 2 3 5 4" xfId="17383"/>
    <cellStyle name="Normal 4 3 2 2 3 5 5" xfId="32426"/>
    <cellStyle name="Normal 4 3 2 2 3 6" xfId="4218"/>
    <cellStyle name="Normal 4 3 2 2 3 6 2" xfId="11742"/>
    <cellStyle name="Normal 4 3 2 2 3 6 2 2" xfId="26786"/>
    <cellStyle name="Normal 4 3 2 2 3 6 2 3" xfId="41829"/>
    <cellStyle name="Normal 4 3 2 2 3 6 3" xfId="19265"/>
    <cellStyle name="Normal 4 3 2 2 3 6 4" xfId="34308"/>
    <cellStyle name="Normal 4 3 2 2 3 7" xfId="7981"/>
    <cellStyle name="Normal 4 3 2 2 3 7 2" xfId="23025"/>
    <cellStyle name="Normal 4 3 2 2 3 7 3" xfId="38068"/>
    <cellStyle name="Normal 4 3 2 2 3 8" xfId="15504"/>
    <cellStyle name="Normal 4 3 2 2 3 9" xfId="30547"/>
    <cellStyle name="Normal 4 3 2 2 4" xfId="323"/>
    <cellStyle name="Normal 4 3 2 2 4 2" xfId="324"/>
    <cellStyle name="Normal 4 3 2 2 4 2 2" xfId="848"/>
    <cellStyle name="Normal 4 3 2 2 4 2 2 2" xfId="1807"/>
    <cellStyle name="Normal 4 3 2 2 4 2 2 2 2" xfId="3678"/>
    <cellStyle name="Normal 4 3 2 2 4 2 2 2 2 2" xfId="7473"/>
    <cellStyle name="Normal 4 3 2 2 4 2 2 2 2 2 2" xfId="14996"/>
    <cellStyle name="Normal 4 3 2 2 4 2 2 2 2 2 2 2" xfId="30040"/>
    <cellStyle name="Normal 4 3 2 2 4 2 2 2 2 2 2 3" xfId="45083"/>
    <cellStyle name="Normal 4 3 2 2 4 2 2 2 2 2 3" xfId="22519"/>
    <cellStyle name="Normal 4 3 2 2 4 2 2 2 2 2 4" xfId="37562"/>
    <cellStyle name="Normal 4 3 2 2 4 2 2 2 2 3" xfId="11247"/>
    <cellStyle name="Normal 4 3 2 2 4 2 2 2 2 3 2" xfId="26291"/>
    <cellStyle name="Normal 4 3 2 2 4 2 2 2 2 3 3" xfId="41334"/>
    <cellStyle name="Normal 4 3 2 2 4 2 2 2 2 4" xfId="18770"/>
    <cellStyle name="Normal 4 3 2 2 4 2 2 2 2 5" xfId="33813"/>
    <cellStyle name="Normal 4 3 2 2 4 2 2 2 3" xfId="5608"/>
    <cellStyle name="Normal 4 3 2 2 4 2 2 2 3 2" xfId="13131"/>
    <cellStyle name="Normal 4 3 2 2 4 2 2 2 3 2 2" xfId="28175"/>
    <cellStyle name="Normal 4 3 2 2 4 2 2 2 3 2 3" xfId="43218"/>
    <cellStyle name="Normal 4 3 2 2 4 2 2 2 3 3" xfId="20654"/>
    <cellStyle name="Normal 4 3 2 2 4 2 2 2 3 4" xfId="35697"/>
    <cellStyle name="Normal 4 3 2 2 4 2 2 2 4" xfId="9382"/>
    <cellStyle name="Normal 4 3 2 2 4 2 2 2 4 2" xfId="24426"/>
    <cellStyle name="Normal 4 3 2 2 4 2 2 2 4 3" xfId="39469"/>
    <cellStyle name="Normal 4 3 2 2 4 2 2 2 5" xfId="16905"/>
    <cellStyle name="Normal 4 3 2 2 4 2 2 2 6" xfId="31948"/>
    <cellStyle name="Normal 4 3 2 2 4 2 2 3" xfId="2746"/>
    <cellStyle name="Normal 4 3 2 2 4 2 2 3 2" xfId="6541"/>
    <cellStyle name="Normal 4 3 2 2 4 2 2 3 2 2" xfId="14064"/>
    <cellStyle name="Normal 4 3 2 2 4 2 2 3 2 2 2" xfId="29108"/>
    <cellStyle name="Normal 4 3 2 2 4 2 2 3 2 2 3" xfId="44151"/>
    <cellStyle name="Normal 4 3 2 2 4 2 2 3 2 3" xfId="21587"/>
    <cellStyle name="Normal 4 3 2 2 4 2 2 3 2 4" xfId="36630"/>
    <cellStyle name="Normal 4 3 2 2 4 2 2 3 3" xfId="10315"/>
    <cellStyle name="Normal 4 3 2 2 4 2 2 3 3 2" xfId="25359"/>
    <cellStyle name="Normal 4 3 2 2 4 2 2 3 3 3" xfId="40402"/>
    <cellStyle name="Normal 4 3 2 2 4 2 2 3 4" xfId="17838"/>
    <cellStyle name="Normal 4 3 2 2 4 2 2 3 5" xfId="32881"/>
    <cellStyle name="Normal 4 3 2 2 4 2 2 4" xfId="4676"/>
    <cellStyle name="Normal 4 3 2 2 4 2 2 4 2" xfId="12199"/>
    <cellStyle name="Normal 4 3 2 2 4 2 2 4 2 2" xfId="27243"/>
    <cellStyle name="Normal 4 3 2 2 4 2 2 4 2 3" xfId="42286"/>
    <cellStyle name="Normal 4 3 2 2 4 2 2 4 3" xfId="19722"/>
    <cellStyle name="Normal 4 3 2 2 4 2 2 4 4" xfId="34765"/>
    <cellStyle name="Normal 4 3 2 2 4 2 2 5" xfId="8450"/>
    <cellStyle name="Normal 4 3 2 2 4 2 2 5 2" xfId="23494"/>
    <cellStyle name="Normal 4 3 2 2 4 2 2 5 3" xfId="38537"/>
    <cellStyle name="Normal 4 3 2 2 4 2 2 6" xfId="15973"/>
    <cellStyle name="Normal 4 3 2 2 4 2 2 7" xfId="31016"/>
    <cellStyle name="Normal 4 3 2 2 4 2 3" xfId="1355"/>
    <cellStyle name="Normal 4 3 2 2 4 2 3 2" xfId="3226"/>
    <cellStyle name="Normal 4 3 2 2 4 2 3 2 2" xfId="7021"/>
    <cellStyle name="Normal 4 3 2 2 4 2 3 2 2 2" xfId="14544"/>
    <cellStyle name="Normal 4 3 2 2 4 2 3 2 2 2 2" xfId="29588"/>
    <cellStyle name="Normal 4 3 2 2 4 2 3 2 2 2 3" xfId="44631"/>
    <cellStyle name="Normal 4 3 2 2 4 2 3 2 2 3" xfId="22067"/>
    <cellStyle name="Normal 4 3 2 2 4 2 3 2 2 4" xfId="37110"/>
    <cellStyle name="Normal 4 3 2 2 4 2 3 2 3" xfId="10795"/>
    <cellStyle name="Normal 4 3 2 2 4 2 3 2 3 2" xfId="25839"/>
    <cellStyle name="Normal 4 3 2 2 4 2 3 2 3 3" xfId="40882"/>
    <cellStyle name="Normal 4 3 2 2 4 2 3 2 4" xfId="18318"/>
    <cellStyle name="Normal 4 3 2 2 4 2 3 2 5" xfId="33361"/>
    <cellStyle name="Normal 4 3 2 2 4 2 3 3" xfId="5156"/>
    <cellStyle name="Normal 4 3 2 2 4 2 3 3 2" xfId="12679"/>
    <cellStyle name="Normal 4 3 2 2 4 2 3 3 2 2" xfId="27723"/>
    <cellStyle name="Normal 4 3 2 2 4 2 3 3 2 3" xfId="42766"/>
    <cellStyle name="Normal 4 3 2 2 4 2 3 3 3" xfId="20202"/>
    <cellStyle name="Normal 4 3 2 2 4 2 3 3 4" xfId="35245"/>
    <cellStyle name="Normal 4 3 2 2 4 2 3 4" xfId="8930"/>
    <cellStyle name="Normal 4 3 2 2 4 2 3 4 2" xfId="23974"/>
    <cellStyle name="Normal 4 3 2 2 4 2 3 4 3" xfId="39017"/>
    <cellStyle name="Normal 4 3 2 2 4 2 3 5" xfId="16453"/>
    <cellStyle name="Normal 4 3 2 2 4 2 3 6" xfId="31496"/>
    <cellStyle name="Normal 4 3 2 2 4 2 4" xfId="2293"/>
    <cellStyle name="Normal 4 3 2 2 4 2 4 2" xfId="6089"/>
    <cellStyle name="Normal 4 3 2 2 4 2 4 2 2" xfId="13612"/>
    <cellStyle name="Normal 4 3 2 2 4 2 4 2 2 2" xfId="28656"/>
    <cellStyle name="Normal 4 3 2 2 4 2 4 2 2 3" xfId="43699"/>
    <cellStyle name="Normal 4 3 2 2 4 2 4 2 3" xfId="21135"/>
    <cellStyle name="Normal 4 3 2 2 4 2 4 2 4" xfId="36178"/>
    <cellStyle name="Normal 4 3 2 2 4 2 4 3" xfId="9863"/>
    <cellStyle name="Normal 4 3 2 2 4 2 4 3 2" xfId="24907"/>
    <cellStyle name="Normal 4 3 2 2 4 2 4 3 3" xfId="39950"/>
    <cellStyle name="Normal 4 3 2 2 4 2 4 4" xfId="17386"/>
    <cellStyle name="Normal 4 3 2 2 4 2 4 5" xfId="32429"/>
    <cellStyle name="Normal 4 3 2 2 4 2 5" xfId="4221"/>
    <cellStyle name="Normal 4 3 2 2 4 2 5 2" xfId="11745"/>
    <cellStyle name="Normal 4 3 2 2 4 2 5 2 2" xfId="26789"/>
    <cellStyle name="Normal 4 3 2 2 4 2 5 2 3" xfId="41832"/>
    <cellStyle name="Normal 4 3 2 2 4 2 5 3" xfId="19268"/>
    <cellStyle name="Normal 4 3 2 2 4 2 5 4" xfId="34311"/>
    <cellStyle name="Normal 4 3 2 2 4 2 6" xfId="7984"/>
    <cellStyle name="Normal 4 3 2 2 4 2 6 2" xfId="23028"/>
    <cellStyle name="Normal 4 3 2 2 4 2 6 3" xfId="38071"/>
    <cellStyle name="Normal 4 3 2 2 4 2 7" xfId="15507"/>
    <cellStyle name="Normal 4 3 2 2 4 2 8" xfId="30550"/>
    <cellStyle name="Normal 4 3 2 2 4 3" xfId="847"/>
    <cellStyle name="Normal 4 3 2 2 4 3 2" xfId="1806"/>
    <cellStyle name="Normal 4 3 2 2 4 3 2 2" xfId="3677"/>
    <cellStyle name="Normal 4 3 2 2 4 3 2 2 2" xfId="7472"/>
    <cellStyle name="Normal 4 3 2 2 4 3 2 2 2 2" xfId="14995"/>
    <cellStyle name="Normal 4 3 2 2 4 3 2 2 2 2 2" xfId="30039"/>
    <cellStyle name="Normal 4 3 2 2 4 3 2 2 2 2 3" xfId="45082"/>
    <cellStyle name="Normal 4 3 2 2 4 3 2 2 2 3" xfId="22518"/>
    <cellStyle name="Normal 4 3 2 2 4 3 2 2 2 4" xfId="37561"/>
    <cellStyle name="Normal 4 3 2 2 4 3 2 2 3" xfId="11246"/>
    <cellStyle name="Normal 4 3 2 2 4 3 2 2 3 2" xfId="26290"/>
    <cellStyle name="Normal 4 3 2 2 4 3 2 2 3 3" xfId="41333"/>
    <cellStyle name="Normal 4 3 2 2 4 3 2 2 4" xfId="18769"/>
    <cellStyle name="Normal 4 3 2 2 4 3 2 2 5" xfId="33812"/>
    <cellStyle name="Normal 4 3 2 2 4 3 2 3" xfId="5607"/>
    <cellStyle name="Normal 4 3 2 2 4 3 2 3 2" xfId="13130"/>
    <cellStyle name="Normal 4 3 2 2 4 3 2 3 2 2" xfId="28174"/>
    <cellStyle name="Normal 4 3 2 2 4 3 2 3 2 3" xfId="43217"/>
    <cellStyle name="Normal 4 3 2 2 4 3 2 3 3" xfId="20653"/>
    <cellStyle name="Normal 4 3 2 2 4 3 2 3 4" xfId="35696"/>
    <cellStyle name="Normal 4 3 2 2 4 3 2 4" xfId="9381"/>
    <cellStyle name="Normal 4 3 2 2 4 3 2 4 2" xfId="24425"/>
    <cellStyle name="Normal 4 3 2 2 4 3 2 4 3" xfId="39468"/>
    <cellStyle name="Normal 4 3 2 2 4 3 2 5" xfId="16904"/>
    <cellStyle name="Normal 4 3 2 2 4 3 2 6" xfId="31947"/>
    <cellStyle name="Normal 4 3 2 2 4 3 3" xfId="2745"/>
    <cellStyle name="Normal 4 3 2 2 4 3 3 2" xfId="6540"/>
    <cellStyle name="Normal 4 3 2 2 4 3 3 2 2" xfId="14063"/>
    <cellStyle name="Normal 4 3 2 2 4 3 3 2 2 2" xfId="29107"/>
    <cellStyle name="Normal 4 3 2 2 4 3 3 2 2 3" xfId="44150"/>
    <cellStyle name="Normal 4 3 2 2 4 3 3 2 3" xfId="21586"/>
    <cellStyle name="Normal 4 3 2 2 4 3 3 2 4" xfId="36629"/>
    <cellStyle name="Normal 4 3 2 2 4 3 3 3" xfId="10314"/>
    <cellStyle name="Normal 4 3 2 2 4 3 3 3 2" xfId="25358"/>
    <cellStyle name="Normal 4 3 2 2 4 3 3 3 3" xfId="40401"/>
    <cellStyle name="Normal 4 3 2 2 4 3 3 4" xfId="17837"/>
    <cellStyle name="Normal 4 3 2 2 4 3 3 5" xfId="32880"/>
    <cellStyle name="Normal 4 3 2 2 4 3 4" xfId="4675"/>
    <cellStyle name="Normal 4 3 2 2 4 3 4 2" xfId="12198"/>
    <cellStyle name="Normal 4 3 2 2 4 3 4 2 2" xfId="27242"/>
    <cellStyle name="Normal 4 3 2 2 4 3 4 2 3" xfId="42285"/>
    <cellStyle name="Normal 4 3 2 2 4 3 4 3" xfId="19721"/>
    <cellStyle name="Normal 4 3 2 2 4 3 4 4" xfId="34764"/>
    <cellStyle name="Normal 4 3 2 2 4 3 5" xfId="8449"/>
    <cellStyle name="Normal 4 3 2 2 4 3 5 2" xfId="23493"/>
    <cellStyle name="Normal 4 3 2 2 4 3 5 3" xfId="38536"/>
    <cellStyle name="Normal 4 3 2 2 4 3 6" xfId="15972"/>
    <cellStyle name="Normal 4 3 2 2 4 3 7" xfId="31015"/>
    <cellStyle name="Normal 4 3 2 2 4 4" xfId="1354"/>
    <cellStyle name="Normal 4 3 2 2 4 4 2" xfId="3225"/>
    <cellStyle name="Normal 4 3 2 2 4 4 2 2" xfId="7020"/>
    <cellStyle name="Normal 4 3 2 2 4 4 2 2 2" xfId="14543"/>
    <cellStyle name="Normal 4 3 2 2 4 4 2 2 2 2" xfId="29587"/>
    <cellStyle name="Normal 4 3 2 2 4 4 2 2 2 3" xfId="44630"/>
    <cellStyle name="Normal 4 3 2 2 4 4 2 2 3" xfId="22066"/>
    <cellStyle name="Normal 4 3 2 2 4 4 2 2 4" xfId="37109"/>
    <cellStyle name="Normal 4 3 2 2 4 4 2 3" xfId="10794"/>
    <cellStyle name="Normal 4 3 2 2 4 4 2 3 2" xfId="25838"/>
    <cellStyle name="Normal 4 3 2 2 4 4 2 3 3" xfId="40881"/>
    <cellStyle name="Normal 4 3 2 2 4 4 2 4" xfId="18317"/>
    <cellStyle name="Normal 4 3 2 2 4 4 2 5" xfId="33360"/>
    <cellStyle name="Normal 4 3 2 2 4 4 3" xfId="5155"/>
    <cellStyle name="Normal 4 3 2 2 4 4 3 2" xfId="12678"/>
    <cellStyle name="Normal 4 3 2 2 4 4 3 2 2" xfId="27722"/>
    <cellStyle name="Normal 4 3 2 2 4 4 3 2 3" xfId="42765"/>
    <cellStyle name="Normal 4 3 2 2 4 4 3 3" xfId="20201"/>
    <cellStyle name="Normal 4 3 2 2 4 4 3 4" xfId="35244"/>
    <cellStyle name="Normal 4 3 2 2 4 4 4" xfId="8929"/>
    <cellStyle name="Normal 4 3 2 2 4 4 4 2" xfId="23973"/>
    <cellStyle name="Normal 4 3 2 2 4 4 4 3" xfId="39016"/>
    <cellStyle name="Normal 4 3 2 2 4 4 5" xfId="16452"/>
    <cellStyle name="Normal 4 3 2 2 4 4 6" xfId="31495"/>
    <cellStyle name="Normal 4 3 2 2 4 5" xfId="2292"/>
    <cellStyle name="Normal 4 3 2 2 4 5 2" xfId="6088"/>
    <cellStyle name="Normal 4 3 2 2 4 5 2 2" xfId="13611"/>
    <cellStyle name="Normal 4 3 2 2 4 5 2 2 2" xfId="28655"/>
    <cellStyle name="Normal 4 3 2 2 4 5 2 2 3" xfId="43698"/>
    <cellStyle name="Normal 4 3 2 2 4 5 2 3" xfId="21134"/>
    <cellStyle name="Normal 4 3 2 2 4 5 2 4" xfId="36177"/>
    <cellStyle name="Normal 4 3 2 2 4 5 3" xfId="9862"/>
    <cellStyle name="Normal 4 3 2 2 4 5 3 2" xfId="24906"/>
    <cellStyle name="Normal 4 3 2 2 4 5 3 3" xfId="39949"/>
    <cellStyle name="Normal 4 3 2 2 4 5 4" xfId="17385"/>
    <cellStyle name="Normal 4 3 2 2 4 5 5" xfId="32428"/>
    <cellStyle name="Normal 4 3 2 2 4 6" xfId="4220"/>
    <cellStyle name="Normal 4 3 2 2 4 6 2" xfId="11744"/>
    <cellStyle name="Normal 4 3 2 2 4 6 2 2" xfId="26788"/>
    <cellStyle name="Normal 4 3 2 2 4 6 2 3" xfId="41831"/>
    <cellStyle name="Normal 4 3 2 2 4 6 3" xfId="19267"/>
    <cellStyle name="Normal 4 3 2 2 4 6 4" xfId="34310"/>
    <cellStyle name="Normal 4 3 2 2 4 7" xfId="7983"/>
    <cellStyle name="Normal 4 3 2 2 4 7 2" xfId="23027"/>
    <cellStyle name="Normal 4 3 2 2 4 7 3" xfId="38070"/>
    <cellStyle name="Normal 4 3 2 2 4 8" xfId="15506"/>
    <cellStyle name="Normal 4 3 2 2 4 9" xfId="30549"/>
    <cellStyle name="Normal 4 3 2 2 5" xfId="325"/>
    <cellStyle name="Normal 4 3 2 2 5 2" xfId="849"/>
    <cellStyle name="Normal 4 3 2 2 5 2 2" xfId="1808"/>
    <cellStyle name="Normal 4 3 2 2 5 2 2 2" xfId="3679"/>
    <cellStyle name="Normal 4 3 2 2 5 2 2 2 2" xfId="7474"/>
    <cellStyle name="Normal 4 3 2 2 5 2 2 2 2 2" xfId="14997"/>
    <cellStyle name="Normal 4 3 2 2 5 2 2 2 2 2 2" xfId="30041"/>
    <cellStyle name="Normal 4 3 2 2 5 2 2 2 2 2 3" xfId="45084"/>
    <cellStyle name="Normal 4 3 2 2 5 2 2 2 2 3" xfId="22520"/>
    <cellStyle name="Normal 4 3 2 2 5 2 2 2 2 4" xfId="37563"/>
    <cellStyle name="Normal 4 3 2 2 5 2 2 2 3" xfId="11248"/>
    <cellStyle name="Normal 4 3 2 2 5 2 2 2 3 2" xfId="26292"/>
    <cellStyle name="Normal 4 3 2 2 5 2 2 2 3 3" xfId="41335"/>
    <cellStyle name="Normal 4 3 2 2 5 2 2 2 4" xfId="18771"/>
    <cellStyle name="Normal 4 3 2 2 5 2 2 2 5" xfId="33814"/>
    <cellStyle name="Normal 4 3 2 2 5 2 2 3" xfId="5609"/>
    <cellStyle name="Normal 4 3 2 2 5 2 2 3 2" xfId="13132"/>
    <cellStyle name="Normal 4 3 2 2 5 2 2 3 2 2" xfId="28176"/>
    <cellStyle name="Normal 4 3 2 2 5 2 2 3 2 3" xfId="43219"/>
    <cellStyle name="Normal 4 3 2 2 5 2 2 3 3" xfId="20655"/>
    <cellStyle name="Normal 4 3 2 2 5 2 2 3 4" xfId="35698"/>
    <cellStyle name="Normal 4 3 2 2 5 2 2 4" xfId="9383"/>
    <cellStyle name="Normal 4 3 2 2 5 2 2 4 2" xfId="24427"/>
    <cellStyle name="Normal 4 3 2 2 5 2 2 4 3" xfId="39470"/>
    <cellStyle name="Normal 4 3 2 2 5 2 2 5" xfId="16906"/>
    <cellStyle name="Normal 4 3 2 2 5 2 2 6" xfId="31949"/>
    <cellStyle name="Normal 4 3 2 2 5 2 3" xfId="2747"/>
    <cellStyle name="Normal 4 3 2 2 5 2 3 2" xfId="6542"/>
    <cellStyle name="Normal 4 3 2 2 5 2 3 2 2" xfId="14065"/>
    <cellStyle name="Normal 4 3 2 2 5 2 3 2 2 2" xfId="29109"/>
    <cellStyle name="Normal 4 3 2 2 5 2 3 2 2 3" xfId="44152"/>
    <cellStyle name="Normal 4 3 2 2 5 2 3 2 3" xfId="21588"/>
    <cellStyle name="Normal 4 3 2 2 5 2 3 2 4" xfId="36631"/>
    <cellStyle name="Normal 4 3 2 2 5 2 3 3" xfId="10316"/>
    <cellStyle name="Normal 4 3 2 2 5 2 3 3 2" xfId="25360"/>
    <cellStyle name="Normal 4 3 2 2 5 2 3 3 3" xfId="40403"/>
    <cellStyle name="Normal 4 3 2 2 5 2 3 4" xfId="17839"/>
    <cellStyle name="Normal 4 3 2 2 5 2 3 5" xfId="32882"/>
    <cellStyle name="Normal 4 3 2 2 5 2 4" xfId="4677"/>
    <cellStyle name="Normal 4 3 2 2 5 2 4 2" xfId="12200"/>
    <cellStyle name="Normal 4 3 2 2 5 2 4 2 2" xfId="27244"/>
    <cellStyle name="Normal 4 3 2 2 5 2 4 2 3" xfId="42287"/>
    <cellStyle name="Normal 4 3 2 2 5 2 4 3" xfId="19723"/>
    <cellStyle name="Normal 4 3 2 2 5 2 4 4" xfId="34766"/>
    <cellStyle name="Normal 4 3 2 2 5 2 5" xfId="8451"/>
    <cellStyle name="Normal 4 3 2 2 5 2 5 2" xfId="23495"/>
    <cellStyle name="Normal 4 3 2 2 5 2 5 3" xfId="38538"/>
    <cellStyle name="Normal 4 3 2 2 5 2 6" xfId="15974"/>
    <cellStyle name="Normal 4 3 2 2 5 2 7" xfId="31017"/>
    <cellStyle name="Normal 4 3 2 2 5 3" xfId="1356"/>
    <cellStyle name="Normal 4 3 2 2 5 3 2" xfId="3227"/>
    <cellStyle name="Normal 4 3 2 2 5 3 2 2" xfId="7022"/>
    <cellStyle name="Normal 4 3 2 2 5 3 2 2 2" xfId="14545"/>
    <cellStyle name="Normal 4 3 2 2 5 3 2 2 2 2" xfId="29589"/>
    <cellStyle name="Normal 4 3 2 2 5 3 2 2 2 3" xfId="44632"/>
    <cellStyle name="Normal 4 3 2 2 5 3 2 2 3" xfId="22068"/>
    <cellStyle name="Normal 4 3 2 2 5 3 2 2 4" xfId="37111"/>
    <cellStyle name="Normal 4 3 2 2 5 3 2 3" xfId="10796"/>
    <cellStyle name="Normal 4 3 2 2 5 3 2 3 2" xfId="25840"/>
    <cellStyle name="Normal 4 3 2 2 5 3 2 3 3" xfId="40883"/>
    <cellStyle name="Normal 4 3 2 2 5 3 2 4" xfId="18319"/>
    <cellStyle name="Normal 4 3 2 2 5 3 2 5" xfId="33362"/>
    <cellStyle name="Normal 4 3 2 2 5 3 3" xfId="5157"/>
    <cellStyle name="Normal 4 3 2 2 5 3 3 2" xfId="12680"/>
    <cellStyle name="Normal 4 3 2 2 5 3 3 2 2" xfId="27724"/>
    <cellStyle name="Normal 4 3 2 2 5 3 3 2 3" xfId="42767"/>
    <cellStyle name="Normal 4 3 2 2 5 3 3 3" xfId="20203"/>
    <cellStyle name="Normal 4 3 2 2 5 3 3 4" xfId="35246"/>
    <cellStyle name="Normal 4 3 2 2 5 3 4" xfId="8931"/>
    <cellStyle name="Normal 4 3 2 2 5 3 4 2" xfId="23975"/>
    <cellStyle name="Normal 4 3 2 2 5 3 4 3" xfId="39018"/>
    <cellStyle name="Normal 4 3 2 2 5 3 5" xfId="16454"/>
    <cellStyle name="Normal 4 3 2 2 5 3 6" xfId="31497"/>
    <cellStyle name="Normal 4 3 2 2 5 4" xfId="2294"/>
    <cellStyle name="Normal 4 3 2 2 5 4 2" xfId="6090"/>
    <cellStyle name="Normal 4 3 2 2 5 4 2 2" xfId="13613"/>
    <cellStyle name="Normal 4 3 2 2 5 4 2 2 2" xfId="28657"/>
    <cellStyle name="Normal 4 3 2 2 5 4 2 2 3" xfId="43700"/>
    <cellStyle name="Normal 4 3 2 2 5 4 2 3" xfId="21136"/>
    <cellStyle name="Normal 4 3 2 2 5 4 2 4" xfId="36179"/>
    <cellStyle name="Normal 4 3 2 2 5 4 3" xfId="9864"/>
    <cellStyle name="Normal 4 3 2 2 5 4 3 2" xfId="24908"/>
    <cellStyle name="Normal 4 3 2 2 5 4 3 3" xfId="39951"/>
    <cellStyle name="Normal 4 3 2 2 5 4 4" xfId="17387"/>
    <cellStyle name="Normal 4 3 2 2 5 4 5" xfId="32430"/>
    <cellStyle name="Normal 4 3 2 2 5 5" xfId="4222"/>
    <cellStyle name="Normal 4 3 2 2 5 5 2" xfId="11746"/>
    <cellStyle name="Normal 4 3 2 2 5 5 2 2" xfId="26790"/>
    <cellStyle name="Normal 4 3 2 2 5 5 2 3" xfId="41833"/>
    <cellStyle name="Normal 4 3 2 2 5 5 3" xfId="19269"/>
    <cellStyle name="Normal 4 3 2 2 5 5 4" xfId="34312"/>
    <cellStyle name="Normal 4 3 2 2 5 6" xfId="7985"/>
    <cellStyle name="Normal 4 3 2 2 5 6 2" xfId="23029"/>
    <cellStyle name="Normal 4 3 2 2 5 6 3" xfId="38072"/>
    <cellStyle name="Normal 4 3 2 2 5 7" xfId="15508"/>
    <cellStyle name="Normal 4 3 2 2 5 8" xfId="30551"/>
    <cellStyle name="Normal 4 3 2 2 6" xfId="840"/>
    <cellStyle name="Normal 4 3 2 2 6 2" xfId="1799"/>
    <cellStyle name="Normal 4 3 2 2 6 2 2" xfId="3670"/>
    <cellStyle name="Normal 4 3 2 2 6 2 2 2" xfId="7465"/>
    <cellStyle name="Normal 4 3 2 2 6 2 2 2 2" xfId="14988"/>
    <cellStyle name="Normal 4 3 2 2 6 2 2 2 2 2" xfId="30032"/>
    <cellStyle name="Normal 4 3 2 2 6 2 2 2 2 3" xfId="45075"/>
    <cellStyle name="Normal 4 3 2 2 6 2 2 2 3" xfId="22511"/>
    <cellStyle name="Normal 4 3 2 2 6 2 2 2 4" xfId="37554"/>
    <cellStyle name="Normal 4 3 2 2 6 2 2 3" xfId="11239"/>
    <cellStyle name="Normal 4 3 2 2 6 2 2 3 2" xfId="26283"/>
    <cellStyle name="Normal 4 3 2 2 6 2 2 3 3" xfId="41326"/>
    <cellStyle name="Normal 4 3 2 2 6 2 2 4" xfId="18762"/>
    <cellStyle name="Normal 4 3 2 2 6 2 2 5" xfId="33805"/>
    <cellStyle name="Normal 4 3 2 2 6 2 3" xfId="5600"/>
    <cellStyle name="Normal 4 3 2 2 6 2 3 2" xfId="13123"/>
    <cellStyle name="Normal 4 3 2 2 6 2 3 2 2" xfId="28167"/>
    <cellStyle name="Normal 4 3 2 2 6 2 3 2 3" xfId="43210"/>
    <cellStyle name="Normal 4 3 2 2 6 2 3 3" xfId="20646"/>
    <cellStyle name="Normal 4 3 2 2 6 2 3 4" xfId="35689"/>
    <cellStyle name="Normal 4 3 2 2 6 2 4" xfId="9374"/>
    <cellStyle name="Normal 4 3 2 2 6 2 4 2" xfId="24418"/>
    <cellStyle name="Normal 4 3 2 2 6 2 4 3" xfId="39461"/>
    <cellStyle name="Normal 4 3 2 2 6 2 5" xfId="16897"/>
    <cellStyle name="Normal 4 3 2 2 6 2 6" xfId="31940"/>
    <cellStyle name="Normal 4 3 2 2 6 3" xfId="2738"/>
    <cellStyle name="Normal 4 3 2 2 6 3 2" xfId="6533"/>
    <cellStyle name="Normal 4 3 2 2 6 3 2 2" xfId="14056"/>
    <cellStyle name="Normal 4 3 2 2 6 3 2 2 2" xfId="29100"/>
    <cellStyle name="Normal 4 3 2 2 6 3 2 2 3" xfId="44143"/>
    <cellStyle name="Normal 4 3 2 2 6 3 2 3" xfId="21579"/>
    <cellStyle name="Normal 4 3 2 2 6 3 2 4" xfId="36622"/>
    <cellStyle name="Normal 4 3 2 2 6 3 3" xfId="10307"/>
    <cellStyle name="Normal 4 3 2 2 6 3 3 2" xfId="25351"/>
    <cellStyle name="Normal 4 3 2 2 6 3 3 3" xfId="40394"/>
    <cellStyle name="Normal 4 3 2 2 6 3 4" xfId="17830"/>
    <cellStyle name="Normal 4 3 2 2 6 3 5" xfId="32873"/>
    <cellStyle name="Normal 4 3 2 2 6 4" xfId="4668"/>
    <cellStyle name="Normal 4 3 2 2 6 4 2" xfId="12191"/>
    <cellStyle name="Normal 4 3 2 2 6 4 2 2" xfId="27235"/>
    <cellStyle name="Normal 4 3 2 2 6 4 2 3" xfId="42278"/>
    <cellStyle name="Normal 4 3 2 2 6 4 3" xfId="19714"/>
    <cellStyle name="Normal 4 3 2 2 6 4 4" xfId="34757"/>
    <cellStyle name="Normal 4 3 2 2 6 5" xfId="8442"/>
    <cellStyle name="Normal 4 3 2 2 6 5 2" xfId="23486"/>
    <cellStyle name="Normal 4 3 2 2 6 5 3" xfId="38529"/>
    <cellStyle name="Normal 4 3 2 2 6 6" xfId="15965"/>
    <cellStyle name="Normal 4 3 2 2 6 7" xfId="31008"/>
    <cellStyle name="Normal 4 3 2 2 7" xfId="1347"/>
    <cellStyle name="Normal 4 3 2 2 7 2" xfId="3218"/>
    <cellStyle name="Normal 4 3 2 2 7 2 2" xfId="7013"/>
    <cellStyle name="Normal 4 3 2 2 7 2 2 2" xfId="14536"/>
    <cellStyle name="Normal 4 3 2 2 7 2 2 2 2" xfId="29580"/>
    <cellStyle name="Normal 4 3 2 2 7 2 2 2 3" xfId="44623"/>
    <cellStyle name="Normal 4 3 2 2 7 2 2 3" xfId="22059"/>
    <cellStyle name="Normal 4 3 2 2 7 2 2 4" xfId="37102"/>
    <cellStyle name="Normal 4 3 2 2 7 2 3" xfId="10787"/>
    <cellStyle name="Normal 4 3 2 2 7 2 3 2" xfId="25831"/>
    <cellStyle name="Normal 4 3 2 2 7 2 3 3" xfId="40874"/>
    <cellStyle name="Normal 4 3 2 2 7 2 4" xfId="18310"/>
    <cellStyle name="Normal 4 3 2 2 7 2 5" xfId="33353"/>
    <cellStyle name="Normal 4 3 2 2 7 3" xfId="5148"/>
    <cellStyle name="Normal 4 3 2 2 7 3 2" xfId="12671"/>
    <cellStyle name="Normal 4 3 2 2 7 3 2 2" xfId="27715"/>
    <cellStyle name="Normal 4 3 2 2 7 3 2 3" xfId="42758"/>
    <cellStyle name="Normal 4 3 2 2 7 3 3" xfId="20194"/>
    <cellStyle name="Normal 4 3 2 2 7 3 4" xfId="35237"/>
    <cellStyle name="Normal 4 3 2 2 7 4" xfId="8922"/>
    <cellStyle name="Normal 4 3 2 2 7 4 2" xfId="23966"/>
    <cellStyle name="Normal 4 3 2 2 7 4 3" xfId="39009"/>
    <cellStyle name="Normal 4 3 2 2 7 5" xfId="16445"/>
    <cellStyle name="Normal 4 3 2 2 7 6" xfId="31488"/>
    <cellStyle name="Normal 4 3 2 2 8" xfId="2285"/>
    <cellStyle name="Normal 4 3 2 2 8 2" xfId="6081"/>
    <cellStyle name="Normal 4 3 2 2 8 2 2" xfId="13604"/>
    <cellStyle name="Normal 4 3 2 2 8 2 2 2" xfId="28648"/>
    <cellStyle name="Normal 4 3 2 2 8 2 2 3" xfId="43691"/>
    <cellStyle name="Normal 4 3 2 2 8 2 3" xfId="21127"/>
    <cellStyle name="Normal 4 3 2 2 8 2 4" xfId="36170"/>
    <cellStyle name="Normal 4 3 2 2 8 3" xfId="9855"/>
    <cellStyle name="Normal 4 3 2 2 8 3 2" xfId="24899"/>
    <cellStyle name="Normal 4 3 2 2 8 3 3" xfId="39942"/>
    <cellStyle name="Normal 4 3 2 2 8 4" xfId="17378"/>
    <cellStyle name="Normal 4 3 2 2 8 5" xfId="32421"/>
    <cellStyle name="Normal 4 3 2 2 9" xfId="4213"/>
    <cellStyle name="Normal 4 3 2 2 9 2" xfId="11737"/>
    <cellStyle name="Normal 4 3 2 2 9 2 2" xfId="26781"/>
    <cellStyle name="Normal 4 3 2 2 9 2 3" xfId="41824"/>
    <cellStyle name="Normal 4 3 2 2 9 3" xfId="19260"/>
    <cellStyle name="Normal 4 3 2 2 9 4" xfId="34303"/>
    <cellStyle name="Normal 4 3 2 3" xfId="326"/>
    <cellStyle name="Normal 4 3 2 3 10" xfId="15509"/>
    <cellStyle name="Normal 4 3 2 3 11" xfId="30552"/>
    <cellStyle name="Normal 4 3 2 3 2" xfId="327"/>
    <cellStyle name="Normal 4 3 2 3 2 2" xfId="328"/>
    <cellStyle name="Normal 4 3 2 3 2 2 2" xfId="852"/>
    <cellStyle name="Normal 4 3 2 3 2 2 2 2" xfId="1811"/>
    <cellStyle name="Normal 4 3 2 3 2 2 2 2 2" xfId="3682"/>
    <cellStyle name="Normal 4 3 2 3 2 2 2 2 2 2" xfId="7477"/>
    <cellStyle name="Normal 4 3 2 3 2 2 2 2 2 2 2" xfId="15000"/>
    <cellStyle name="Normal 4 3 2 3 2 2 2 2 2 2 2 2" xfId="30044"/>
    <cellStyle name="Normal 4 3 2 3 2 2 2 2 2 2 2 3" xfId="45087"/>
    <cellStyle name="Normal 4 3 2 3 2 2 2 2 2 2 3" xfId="22523"/>
    <cellStyle name="Normal 4 3 2 3 2 2 2 2 2 2 4" xfId="37566"/>
    <cellStyle name="Normal 4 3 2 3 2 2 2 2 2 3" xfId="11251"/>
    <cellStyle name="Normal 4 3 2 3 2 2 2 2 2 3 2" xfId="26295"/>
    <cellStyle name="Normal 4 3 2 3 2 2 2 2 2 3 3" xfId="41338"/>
    <cellStyle name="Normal 4 3 2 3 2 2 2 2 2 4" xfId="18774"/>
    <cellStyle name="Normal 4 3 2 3 2 2 2 2 2 5" xfId="33817"/>
    <cellStyle name="Normal 4 3 2 3 2 2 2 2 3" xfId="5612"/>
    <cellStyle name="Normal 4 3 2 3 2 2 2 2 3 2" xfId="13135"/>
    <cellStyle name="Normal 4 3 2 3 2 2 2 2 3 2 2" xfId="28179"/>
    <cellStyle name="Normal 4 3 2 3 2 2 2 2 3 2 3" xfId="43222"/>
    <cellStyle name="Normal 4 3 2 3 2 2 2 2 3 3" xfId="20658"/>
    <cellStyle name="Normal 4 3 2 3 2 2 2 2 3 4" xfId="35701"/>
    <cellStyle name="Normal 4 3 2 3 2 2 2 2 4" xfId="9386"/>
    <cellStyle name="Normal 4 3 2 3 2 2 2 2 4 2" xfId="24430"/>
    <cellStyle name="Normal 4 3 2 3 2 2 2 2 4 3" xfId="39473"/>
    <cellStyle name="Normal 4 3 2 3 2 2 2 2 5" xfId="16909"/>
    <cellStyle name="Normal 4 3 2 3 2 2 2 2 6" xfId="31952"/>
    <cellStyle name="Normal 4 3 2 3 2 2 2 3" xfId="2750"/>
    <cellStyle name="Normal 4 3 2 3 2 2 2 3 2" xfId="6545"/>
    <cellStyle name="Normal 4 3 2 3 2 2 2 3 2 2" xfId="14068"/>
    <cellStyle name="Normal 4 3 2 3 2 2 2 3 2 2 2" xfId="29112"/>
    <cellStyle name="Normal 4 3 2 3 2 2 2 3 2 2 3" xfId="44155"/>
    <cellStyle name="Normal 4 3 2 3 2 2 2 3 2 3" xfId="21591"/>
    <cellStyle name="Normal 4 3 2 3 2 2 2 3 2 4" xfId="36634"/>
    <cellStyle name="Normal 4 3 2 3 2 2 2 3 3" xfId="10319"/>
    <cellStyle name="Normal 4 3 2 3 2 2 2 3 3 2" xfId="25363"/>
    <cellStyle name="Normal 4 3 2 3 2 2 2 3 3 3" xfId="40406"/>
    <cellStyle name="Normal 4 3 2 3 2 2 2 3 4" xfId="17842"/>
    <cellStyle name="Normal 4 3 2 3 2 2 2 3 5" xfId="32885"/>
    <cellStyle name="Normal 4 3 2 3 2 2 2 4" xfId="4680"/>
    <cellStyle name="Normal 4 3 2 3 2 2 2 4 2" xfId="12203"/>
    <cellStyle name="Normal 4 3 2 3 2 2 2 4 2 2" xfId="27247"/>
    <cellStyle name="Normal 4 3 2 3 2 2 2 4 2 3" xfId="42290"/>
    <cellStyle name="Normal 4 3 2 3 2 2 2 4 3" xfId="19726"/>
    <cellStyle name="Normal 4 3 2 3 2 2 2 4 4" xfId="34769"/>
    <cellStyle name="Normal 4 3 2 3 2 2 2 5" xfId="8454"/>
    <cellStyle name="Normal 4 3 2 3 2 2 2 5 2" xfId="23498"/>
    <cellStyle name="Normal 4 3 2 3 2 2 2 5 3" xfId="38541"/>
    <cellStyle name="Normal 4 3 2 3 2 2 2 6" xfId="15977"/>
    <cellStyle name="Normal 4 3 2 3 2 2 2 7" xfId="31020"/>
    <cellStyle name="Normal 4 3 2 3 2 2 3" xfId="1359"/>
    <cellStyle name="Normal 4 3 2 3 2 2 3 2" xfId="3230"/>
    <cellStyle name="Normal 4 3 2 3 2 2 3 2 2" xfId="7025"/>
    <cellStyle name="Normal 4 3 2 3 2 2 3 2 2 2" xfId="14548"/>
    <cellStyle name="Normal 4 3 2 3 2 2 3 2 2 2 2" xfId="29592"/>
    <cellStyle name="Normal 4 3 2 3 2 2 3 2 2 2 3" xfId="44635"/>
    <cellStyle name="Normal 4 3 2 3 2 2 3 2 2 3" xfId="22071"/>
    <cellStyle name="Normal 4 3 2 3 2 2 3 2 2 4" xfId="37114"/>
    <cellStyle name="Normal 4 3 2 3 2 2 3 2 3" xfId="10799"/>
    <cellStyle name="Normal 4 3 2 3 2 2 3 2 3 2" xfId="25843"/>
    <cellStyle name="Normal 4 3 2 3 2 2 3 2 3 3" xfId="40886"/>
    <cellStyle name="Normal 4 3 2 3 2 2 3 2 4" xfId="18322"/>
    <cellStyle name="Normal 4 3 2 3 2 2 3 2 5" xfId="33365"/>
    <cellStyle name="Normal 4 3 2 3 2 2 3 3" xfId="5160"/>
    <cellStyle name="Normal 4 3 2 3 2 2 3 3 2" xfId="12683"/>
    <cellStyle name="Normal 4 3 2 3 2 2 3 3 2 2" xfId="27727"/>
    <cellStyle name="Normal 4 3 2 3 2 2 3 3 2 3" xfId="42770"/>
    <cellStyle name="Normal 4 3 2 3 2 2 3 3 3" xfId="20206"/>
    <cellStyle name="Normal 4 3 2 3 2 2 3 3 4" xfId="35249"/>
    <cellStyle name="Normal 4 3 2 3 2 2 3 4" xfId="8934"/>
    <cellStyle name="Normal 4 3 2 3 2 2 3 4 2" xfId="23978"/>
    <cellStyle name="Normal 4 3 2 3 2 2 3 4 3" xfId="39021"/>
    <cellStyle name="Normal 4 3 2 3 2 2 3 5" xfId="16457"/>
    <cellStyle name="Normal 4 3 2 3 2 2 3 6" xfId="31500"/>
    <cellStyle name="Normal 4 3 2 3 2 2 4" xfId="2297"/>
    <cellStyle name="Normal 4 3 2 3 2 2 4 2" xfId="6093"/>
    <cellStyle name="Normal 4 3 2 3 2 2 4 2 2" xfId="13616"/>
    <cellStyle name="Normal 4 3 2 3 2 2 4 2 2 2" xfId="28660"/>
    <cellStyle name="Normal 4 3 2 3 2 2 4 2 2 3" xfId="43703"/>
    <cellStyle name="Normal 4 3 2 3 2 2 4 2 3" xfId="21139"/>
    <cellStyle name="Normal 4 3 2 3 2 2 4 2 4" xfId="36182"/>
    <cellStyle name="Normal 4 3 2 3 2 2 4 3" xfId="9867"/>
    <cellStyle name="Normal 4 3 2 3 2 2 4 3 2" xfId="24911"/>
    <cellStyle name="Normal 4 3 2 3 2 2 4 3 3" xfId="39954"/>
    <cellStyle name="Normal 4 3 2 3 2 2 4 4" xfId="17390"/>
    <cellStyle name="Normal 4 3 2 3 2 2 4 5" xfId="32433"/>
    <cellStyle name="Normal 4 3 2 3 2 2 5" xfId="4225"/>
    <cellStyle name="Normal 4 3 2 3 2 2 5 2" xfId="11749"/>
    <cellStyle name="Normal 4 3 2 3 2 2 5 2 2" xfId="26793"/>
    <cellStyle name="Normal 4 3 2 3 2 2 5 2 3" xfId="41836"/>
    <cellStyle name="Normal 4 3 2 3 2 2 5 3" xfId="19272"/>
    <cellStyle name="Normal 4 3 2 3 2 2 5 4" xfId="34315"/>
    <cellStyle name="Normal 4 3 2 3 2 2 6" xfId="7988"/>
    <cellStyle name="Normal 4 3 2 3 2 2 6 2" xfId="23032"/>
    <cellStyle name="Normal 4 3 2 3 2 2 6 3" xfId="38075"/>
    <cellStyle name="Normal 4 3 2 3 2 2 7" xfId="15511"/>
    <cellStyle name="Normal 4 3 2 3 2 2 8" xfId="30554"/>
    <cellStyle name="Normal 4 3 2 3 2 3" xfId="851"/>
    <cellStyle name="Normal 4 3 2 3 2 3 2" xfId="1810"/>
    <cellStyle name="Normal 4 3 2 3 2 3 2 2" xfId="3681"/>
    <cellStyle name="Normal 4 3 2 3 2 3 2 2 2" xfId="7476"/>
    <cellStyle name="Normal 4 3 2 3 2 3 2 2 2 2" xfId="14999"/>
    <cellStyle name="Normal 4 3 2 3 2 3 2 2 2 2 2" xfId="30043"/>
    <cellStyle name="Normal 4 3 2 3 2 3 2 2 2 2 3" xfId="45086"/>
    <cellStyle name="Normal 4 3 2 3 2 3 2 2 2 3" xfId="22522"/>
    <cellStyle name="Normal 4 3 2 3 2 3 2 2 2 4" xfId="37565"/>
    <cellStyle name="Normal 4 3 2 3 2 3 2 2 3" xfId="11250"/>
    <cellStyle name="Normal 4 3 2 3 2 3 2 2 3 2" xfId="26294"/>
    <cellStyle name="Normal 4 3 2 3 2 3 2 2 3 3" xfId="41337"/>
    <cellStyle name="Normal 4 3 2 3 2 3 2 2 4" xfId="18773"/>
    <cellStyle name="Normal 4 3 2 3 2 3 2 2 5" xfId="33816"/>
    <cellStyle name="Normal 4 3 2 3 2 3 2 3" xfId="5611"/>
    <cellStyle name="Normal 4 3 2 3 2 3 2 3 2" xfId="13134"/>
    <cellStyle name="Normal 4 3 2 3 2 3 2 3 2 2" xfId="28178"/>
    <cellStyle name="Normal 4 3 2 3 2 3 2 3 2 3" xfId="43221"/>
    <cellStyle name="Normal 4 3 2 3 2 3 2 3 3" xfId="20657"/>
    <cellStyle name="Normal 4 3 2 3 2 3 2 3 4" xfId="35700"/>
    <cellStyle name="Normal 4 3 2 3 2 3 2 4" xfId="9385"/>
    <cellStyle name="Normal 4 3 2 3 2 3 2 4 2" xfId="24429"/>
    <cellStyle name="Normal 4 3 2 3 2 3 2 4 3" xfId="39472"/>
    <cellStyle name="Normal 4 3 2 3 2 3 2 5" xfId="16908"/>
    <cellStyle name="Normal 4 3 2 3 2 3 2 6" xfId="31951"/>
    <cellStyle name="Normal 4 3 2 3 2 3 3" xfId="2749"/>
    <cellStyle name="Normal 4 3 2 3 2 3 3 2" xfId="6544"/>
    <cellStyle name="Normal 4 3 2 3 2 3 3 2 2" xfId="14067"/>
    <cellStyle name="Normal 4 3 2 3 2 3 3 2 2 2" xfId="29111"/>
    <cellStyle name="Normal 4 3 2 3 2 3 3 2 2 3" xfId="44154"/>
    <cellStyle name="Normal 4 3 2 3 2 3 3 2 3" xfId="21590"/>
    <cellStyle name="Normal 4 3 2 3 2 3 3 2 4" xfId="36633"/>
    <cellStyle name="Normal 4 3 2 3 2 3 3 3" xfId="10318"/>
    <cellStyle name="Normal 4 3 2 3 2 3 3 3 2" xfId="25362"/>
    <cellStyle name="Normal 4 3 2 3 2 3 3 3 3" xfId="40405"/>
    <cellStyle name="Normal 4 3 2 3 2 3 3 4" xfId="17841"/>
    <cellStyle name="Normal 4 3 2 3 2 3 3 5" xfId="32884"/>
    <cellStyle name="Normal 4 3 2 3 2 3 4" xfId="4679"/>
    <cellStyle name="Normal 4 3 2 3 2 3 4 2" xfId="12202"/>
    <cellStyle name="Normal 4 3 2 3 2 3 4 2 2" xfId="27246"/>
    <cellStyle name="Normal 4 3 2 3 2 3 4 2 3" xfId="42289"/>
    <cellStyle name="Normal 4 3 2 3 2 3 4 3" xfId="19725"/>
    <cellStyle name="Normal 4 3 2 3 2 3 4 4" xfId="34768"/>
    <cellStyle name="Normal 4 3 2 3 2 3 5" xfId="8453"/>
    <cellStyle name="Normal 4 3 2 3 2 3 5 2" xfId="23497"/>
    <cellStyle name="Normal 4 3 2 3 2 3 5 3" xfId="38540"/>
    <cellStyle name="Normal 4 3 2 3 2 3 6" xfId="15976"/>
    <cellStyle name="Normal 4 3 2 3 2 3 7" xfId="31019"/>
    <cellStyle name="Normal 4 3 2 3 2 4" xfId="1358"/>
    <cellStyle name="Normal 4 3 2 3 2 4 2" xfId="3229"/>
    <cellStyle name="Normal 4 3 2 3 2 4 2 2" xfId="7024"/>
    <cellStyle name="Normal 4 3 2 3 2 4 2 2 2" xfId="14547"/>
    <cellStyle name="Normal 4 3 2 3 2 4 2 2 2 2" xfId="29591"/>
    <cellStyle name="Normal 4 3 2 3 2 4 2 2 2 3" xfId="44634"/>
    <cellStyle name="Normal 4 3 2 3 2 4 2 2 3" xfId="22070"/>
    <cellStyle name="Normal 4 3 2 3 2 4 2 2 4" xfId="37113"/>
    <cellStyle name="Normal 4 3 2 3 2 4 2 3" xfId="10798"/>
    <cellStyle name="Normal 4 3 2 3 2 4 2 3 2" xfId="25842"/>
    <cellStyle name="Normal 4 3 2 3 2 4 2 3 3" xfId="40885"/>
    <cellStyle name="Normal 4 3 2 3 2 4 2 4" xfId="18321"/>
    <cellStyle name="Normal 4 3 2 3 2 4 2 5" xfId="33364"/>
    <cellStyle name="Normal 4 3 2 3 2 4 3" xfId="5159"/>
    <cellStyle name="Normal 4 3 2 3 2 4 3 2" xfId="12682"/>
    <cellStyle name="Normal 4 3 2 3 2 4 3 2 2" xfId="27726"/>
    <cellStyle name="Normal 4 3 2 3 2 4 3 2 3" xfId="42769"/>
    <cellStyle name="Normal 4 3 2 3 2 4 3 3" xfId="20205"/>
    <cellStyle name="Normal 4 3 2 3 2 4 3 4" xfId="35248"/>
    <cellStyle name="Normal 4 3 2 3 2 4 4" xfId="8933"/>
    <cellStyle name="Normal 4 3 2 3 2 4 4 2" xfId="23977"/>
    <cellStyle name="Normal 4 3 2 3 2 4 4 3" xfId="39020"/>
    <cellStyle name="Normal 4 3 2 3 2 4 5" xfId="16456"/>
    <cellStyle name="Normal 4 3 2 3 2 4 6" xfId="31499"/>
    <cellStyle name="Normal 4 3 2 3 2 5" xfId="2296"/>
    <cellStyle name="Normal 4 3 2 3 2 5 2" xfId="6092"/>
    <cellStyle name="Normal 4 3 2 3 2 5 2 2" xfId="13615"/>
    <cellStyle name="Normal 4 3 2 3 2 5 2 2 2" xfId="28659"/>
    <cellStyle name="Normal 4 3 2 3 2 5 2 2 3" xfId="43702"/>
    <cellStyle name="Normal 4 3 2 3 2 5 2 3" xfId="21138"/>
    <cellStyle name="Normal 4 3 2 3 2 5 2 4" xfId="36181"/>
    <cellStyle name="Normal 4 3 2 3 2 5 3" xfId="9866"/>
    <cellStyle name="Normal 4 3 2 3 2 5 3 2" xfId="24910"/>
    <cellStyle name="Normal 4 3 2 3 2 5 3 3" xfId="39953"/>
    <cellStyle name="Normal 4 3 2 3 2 5 4" xfId="17389"/>
    <cellStyle name="Normal 4 3 2 3 2 5 5" xfId="32432"/>
    <cellStyle name="Normal 4 3 2 3 2 6" xfId="4224"/>
    <cellStyle name="Normal 4 3 2 3 2 6 2" xfId="11748"/>
    <cellStyle name="Normal 4 3 2 3 2 6 2 2" xfId="26792"/>
    <cellStyle name="Normal 4 3 2 3 2 6 2 3" xfId="41835"/>
    <cellStyle name="Normal 4 3 2 3 2 6 3" xfId="19271"/>
    <cellStyle name="Normal 4 3 2 3 2 6 4" xfId="34314"/>
    <cellStyle name="Normal 4 3 2 3 2 7" xfId="7987"/>
    <cellStyle name="Normal 4 3 2 3 2 7 2" xfId="23031"/>
    <cellStyle name="Normal 4 3 2 3 2 7 3" xfId="38074"/>
    <cellStyle name="Normal 4 3 2 3 2 8" xfId="15510"/>
    <cellStyle name="Normal 4 3 2 3 2 9" xfId="30553"/>
    <cellStyle name="Normal 4 3 2 3 3" xfId="329"/>
    <cellStyle name="Normal 4 3 2 3 3 2" xfId="330"/>
    <cellStyle name="Normal 4 3 2 3 3 2 2" xfId="854"/>
    <cellStyle name="Normal 4 3 2 3 3 2 2 2" xfId="1813"/>
    <cellStyle name="Normal 4 3 2 3 3 2 2 2 2" xfId="3684"/>
    <cellStyle name="Normal 4 3 2 3 3 2 2 2 2 2" xfId="7479"/>
    <cellStyle name="Normal 4 3 2 3 3 2 2 2 2 2 2" xfId="15002"/>
    <cellStyle name="Normal 4 3 2 3 3 2 2 2 2 2 2 2" xfId="30046"/>
    <cellStyle name="Normal 4 3 2 3 3 2 2 2 2 2 2 3" xfId="45089"/>
    <cellStyle name="Normal 4 3 2 3 3 2 2 2 2 2 3" xfId="22525"/>
    <cellStyle name="Normal 4 3 2 3 3 2 2 2 2 2 4" xfId="37568"/>
    <cellStyle name="Normal 4 3 2 3 3 2 2 2 2 3" xfId="11253"/>
    <cellStyle name="Normal 4 3 2 3 3 2 2 2 2 3 2" xfId="26297"/>
    <cellStyle name="Normal 4 3 2 3 3 2 2 2 2 3 3" xfId="41340"/>
    <cellStyle name="Normal 4 3 2 3 3 2 2 2 2 4" xfId="18776"/>
    <cellStyle name="Normal 4 3 2 3 3 2 2 2 2 5" xfId="33819"/>
    <cellStyle name="Normal 4 3 2 3 3 2 2 2 3" xfId="5614"/>
    <cellStyle name="Normal 4 3 2 3 3 2 2 2 3 2" xfId="13137"/>
    <cellStyle name="Normal 4 3 2 3 3 2 2 2 3 2 2" xfId="28181"/>
    <cellStyle name="Normal 4 3 2 3 3 2 2 2 3 2 3" xfId="43224"/>
    <cellStyle name="Normal 4 3 2 3 3 2 2 2 3 3" xfId="20660"/>
    <cellStyle name="Normal 4 3 2 3 3 2 2 2 3 4" xfId="35703"/>
    <cellStyle name="Normal 4 3 2 3 3 2 2 2 4" xfId="9388"/>
    <cellStyle name="Normal 4 3 2 3 3 2 2 2 4 2" xfId="24432"/>
    <cellStyle name="Normal 4 3 2 3 3 2 2 2 4 3" xfId="39475"/>
    <cellStyle name="Normal 4 3 2 3 3 2 2 2 5" xfId="16911"/>
    <cellStyle name="Normal 4 3 2 3 3 2 2 2 6" xfId="31954"/>
    <cellStyle name="Normal 4 3 2 3 3 2 2 3" xfId="2752"/>
    <cellStyle name="Normal 4 3 2 3 3 2 2 3 2" xfId="6547"/>
    <cellStyle name="Normal 4 3 2 3 3 2 2 3 2 2" xfId="14070"/>
    <cellStyle name="Normal 4 3 2 3 3 2 2 3 2 2 2" xfId="29114"/>
    <cellStyle name="Normal 4 3 2 3 3 2 2 3 2 2 3" xfId="44157"/>
    <cellStyle name="Normal 4 3 2 3 3 2 2 3 2 3" xfId="21593"/>
    <cellStyle name="Normal 4 3 2 3 3 2 2 3 2 4" xfId="36636"/>
    <cellStyle name="Normal 4 3 2 3 3 2 2 3 3" xfId="10321"/>
    <cellStyle name="Normal 4 3 2 3 3 2 2 3 3 2" xfId="25365"/>
    <cellStyle name="Normal 4 3 2 3 3 2 2 3 3 3" xfId="40408"/>
    <cellStyle name="Normal 4 3 2 3 3 2 2 3 4" xfId="17844"/>
    <cellStyle name="Normal 4 3 2 3 3 2 2 3 5" xfId="32887"/>
    <cellStyle name="Normal 4 3 2 3 3 2 2 4" xfId="4682"/>
    <cellStyle name="Normal 4 3 2 3 3 2 2 4 2" xfId="12205"/>
    <cellStyle name="Normal 4 3 2 3 3 2 2 4 2 2" xfId="27249"/>
    <cellStyle name="Normal 4 3 2 3 3 2 2 4 2 3" xfId="42292"/>
    <cellStyle name="Normal 4 3 2 3 3 2 2 4 3" xfId="19728"/>
    <cellStyle name="Normal 4 3 2 3 3 2 2 4 4" xfId="34771"/>
    <cellStyle name="Normal 4 3 2 3 3 2 2 5" xfId="8456"/>
    <cellStyle name="Normal 4 3 2 3 3 2 2 5 2" xfId="23500"/>
    <cellStyle name="Normal 4 3 2 3 3 2 2 5 3" xfId="38543"/>
    <cellStyle name="Normal 4 3 2 3 3 2 2 6" xfId="15979"/>
    <cellStyle name="Normal 4 3 2 3 3 2 2 7" xfId="31022"/>
    <cellStyle name="Normal 4 3 2 3 3 2 3" xfId="1361"/>
    <cellStyle name="Normal 4 3 2 3 3 2 3 2" xfId="3232"/>
    <cellStyle name="Normal 4 3 2 3 3 2 3 2 2" xfId="7027"/>
    <cellStyle name="Normal 4 3 2 3 3 2 3 2 2 2" xfId="14550"/>
    <cellStyle name="Normal 4 3 2 3 3 2 3 2 2 2 2" xfId="29594"/>
    <cellStyle name="Normal 4 3 2 3 3 2 3 2 2 2 3" xfId="44637"/>
    <cellStyle name="Normal 4 3 2 3 3 2 3 2 2 3" xfId="22073"/>
    <cellStyle name="Normal 4 3 2 3 3 2 3 2 2 4" xfId="37116"/>
    <cellStyle name="Normal 4 3 2 3 3 2 3 2 3" xfId="10801"/>
    <cellStyle name="Normal 4 3 2 3 3 2 3 2 3 2" xfId="25845"/>
    <cellStyle name="Normal 4 3 2 3 3 2 3 2 3 3" xfId="40888"/>
    <cellStyle name="Normal 4 3 2 3 3 2 3 2 4" xfId="18324"/>
    <cellStyle name="Normal 4 3 2 3 3 2 3 2 5" xfId="33367"/>
    <cellStyle name="Normal 4 3 2 3 3 2 3 3" xfId="5162"/>
    <cellStyle name="Normal 4 3 2 3 3 2 3 3 2" xfId="12685"/>
    <cellStyle name="Normal 4 3 2 3 3 2 3 3 2 2" xfId="27729"/>
    <cellStyle name="Normal 4 3 2 3 3 2 3 3 2 3" xfId="42772"/>
    <cellStyle name="Normal 4 3 2 3 3 2 3 3 3" xfId="20208"/>
    <cellStyle name="Normal 4 3 2 3 3 2 3 3 4" xfId="35251"/>
    <cellStyle name="Normal 4 3 2 3 3 2 3 4" xfId="8936"/>
    <cellStyle name="Normal 4 3 2 3 3 2 3 4 2" xfId="23980"/>
    <cellStyle name="Normal 4 3 2 3 3 2 3 4 3" xfId="39023"/>
    <cellStyle name="Normal 4 3 2 3 3 2 3 5" xfId="16459"/>
    <cellStyle name="Normal 4 3 2 3 3 2 3 6" xfId="31502"/>
    <cellStyle name="Normal 4 3 2 3 3 2 4" xfId="2299"/>
    <cellStyle name="Normal 4 3 2 3 3 2 4 2" xfId="6095"/>
    <cellStyle name="Normal 4 3 2 3 3 2 4 2 2" xfId="13618"/>
    <cellStyle name="Normal 4 3 2 3 3 2 4 2 2 2" xfId="28662"/>
    <cellStyle name="Normal 4 3 2 3 3 2 4 2 2 3" xfId="43705"/>
    <cellStyle name="Normal 4 3 2 3 3 2 4 2 3" xfId="21141"/>
    <cellStyle name="Normal 4 3 2 3 3 2 4 2 4" xfId="36184"/>
    <cellStyle name="Normal 4 3 2 3 3 2 4 3" xfId="9869"/>
    <cellStyle name="Normal 4 3 2 3 3 2 4 3 2" xfId="24913"/>
    <cellStyle name="Normal 4 3 2 3 3 2 4 3 3" xfId="39956"/>
    <cellStyle name="Normal 4 3 2 3 3 2 4 4" xfId="17392"/>
    <cellStyle name="Normal 4 3 2 3 3 2 4 5" xfId="32435"/>
    <cellStyle name="Normal 4 3 2 3 3 2 5" xfId="4227"/>
    <cellStyle name="Normal 4 3 2 3 3 2 5 2" xfId="11751"/>
    <cellStyle name="Normal 4 3 2 3 3 2 5 2 2" xfId="26795"/>
    <cellStyle name="Normal 4 3 2 3 3 2 5 2 3" xfId="41838"/>
    <cellStyle name="Normal 4 3 2 3 3 2 5 3" xfId="19274"/>
    <cellStyle name="Normal 4 3 2 3 3 2 5 4" xfId="34317"/>
    <cellStyle name="Normal 4 3 2 3 3 2 6" xfId="7990"/>
    <cellStyle name="Normal 4 3 2 3 3 2 6 2" xfId="23034"/>
    <cellStyle name="Normal 4 3 2 3 3 2 6 3" xfId="38077"/>
    <cellStyle name="Normal 4 3 2 3 3 2 7" xfId="15513"/>
    <cellStyle name="Normal 4 3 2 3 3 2 8" xfId="30556"/>
    <cellStyle name="Normal 4 3 2 3 3 3" xfId="853"/>
    <cellStyle name="Normal 4 3 2 3 3 3 2" xfId="1812"/>
    <cellStyle name="Normal 4 3 2 3 3 3 2 2" xfId="3683"/>
    <cellStyle name="Normal 4 3 2 3 3 3 2 2 2" xfId="7478"/>
    <cellStyle name="Normal 4 3 2 3 3 3 2 2 2 2" xfId="15001"/>
    <cellStyle name="Normal 4 3 2 3 3 3 2 2 2 2 2" xfId="30045"/>
    <cellStyle name="Normal 4 3 2 3 3 3 2 2 2 2 3" xfId="45088"/>
    <cellStyle name="Normal 4 3 2 3 3 3 2 2 2 3" xfId="22524"/>
    <cellStyle name="Normal 4 3 2 3 3 3 2 2 2 4" xfId="37567"/>
    <cellStyle name="Normal 4 3 2 3 3 3 2 2 3" xfId="11252"/>
    <cellStyle name="Normal 4 3 2 3 3 3 2 2 3 2" xfId="26296"/>
    <cellStyle name="Normal 4 3 2 3 3 3 2 2 3 3" xfId="41339"/>
    <cellStyle name="Normal 4 3 2 3 3 3 2 2 4" xfId="18775"/>
    <cellStyle name="Normal 4 3 2 3 3 3 2 2 5" xfId="33818"/>
    <cellStyle name="Normal 4 3 2 3 3 3 2 3" xfId="5613"/>
    <cellStyle name="Normal 4 3 2 3 3 3 2 3 2" xfId="13136"/>
    <cellStyle name="Normal 4 3 2 3 3 3 2 3 2 2" xfId="28180"/>
    <cellStyle name="Normal 4 3 2 3 3 3 2 3 2 3" xfId="43223"/>
    <cellStyle name="Normal 4 3 2 3 3 3 2 3 3" xfId="20659"/>
    <cellStyle name="Normal 4 3 2 3 3 3 2 3 4" xfId="35702"/>
    <cellStyle name="Normal 4 3 2 3 3 3 2 4" xfId="9387"/>
    <cellStyle name="Normal 4 3 2 3 3 3 2 4 2" xfId="24431"/>
    <cellStyle name="Normal 4 3 2 3 3 3 2 4 3" xfId="39474"/>
    <cellStyle name="Normal 4 3 2 3 3 3 2 5" xfId="16910"/>
    <cellStyle name="Normal 4 3 2 3 3 3 2 6" xfId="31953"/>
    <cellStyle name="Normal 4 3 2 3 3 3 3" xfId="2751"/>
    <cellStyle name="Normal 4 3 2 3 3 3 3 2" xfId="6546"/>
    <cellStyle name="Normal 4 3 2 3 3 3 3 2 2" xfId="14069"/>
    <cellStyle name="Normal 4 3 2 3 3 3 3 2 2 2" xfId="29113"/>
    <cellStyle name="Normal 4 3 2 3 3 3 3 2 2 3" xfId="44156"/>
    <cellStyle name="Normal 4 3 2 3 3 3 3 2 3" xfId="21592"/>
    <cellStyle name="Normal 4 3 2 3 3 3 3 2 4" xfId="36635"/>
    <cellStyle name="Normal 4 3 2 3 3 3 3 3" xfId="10320"/>
    <cellStyle name="Normal 4 3 2 3 3 3 3 3 2" xfId="25364"/>
    <cellStyle name="Normal 4 3 2 3 3 3 3 3 3" xfId="40407"/>
    <cellStyle name="Normal 4 3 2 3 3 3 3 4" xfId="17843"/>
    <cellStyle name="Normal 4 3 2 3 3 3 3 5" xfId="32886"/>
    <cellStyle name="Normal 4 3 2 3 3 3 4" xfId="4681"/>
    <cellStyle name="Normal 4 3 2 3 3 3 4 2" xfId="12204"/>
    <cellStyle name="Normal 4 3 2 3 3 3 4 2 2" xfId="27248"/>
    <cellStyle name="Normal 4 3 2 3 3 3 4 2 3" xfId="42291"/>
    <cellStyle name="Normal 4 3 2 3 3 3 4 3" xfId="19727"/>
    <cellStyle name="Normal 4 3 2 3 3 3 4 4" xfId="34770"/>
    <cellStyle name="Normal 4 3 2 3 3 3 5" xfId="8455"/>
    <cellStyle name="Normal 4 3 2 3 3 3 5 2" xfId="23499"/>
    <cellStyle name="Normal 4 3 2 3 3 3 5 3" xfId="38542"/>
    <cellStyle name="Normal 4 3 2 3 3 3 6" xfId="15978"/>
    <cellStyle name="Normal 4 3 2 3 3 3 7" xfId="31021"/>
    <cellStyle name="Normal 4 3 2 3 3 4" xfId="1360"/>
    <cellStyle name="Normal 4 3 2 3 3 4 2" xfId="3231"/>
    <cellStyle name="Normal 4 3 2 3 3 4 2 2" xfId="7026"/>
    <cellStyle name="Normal 4 3 2 3 3 4 2 2 2" xfId="14549"/>
    <cellStyle name="Normal 4 3 2 3 3 4 2 2 2 2" xfId="29593"/>
    <cellStyle name="Normal 4 3 2 3 3 4 2 2 2 3" xfId="44636"/>
    <cellStyle name="Normal 4 3 2 3 3 4 2 2 3" xfId="22072"/>
    <cellStyle name="Normal 4 3 2 3 3 4 2 2 4" xfId="37115"/>
    <cellStyle name="Normal 4 3 2 3 3 4 2 3" xfId="10800"/>
    <cellStyle name="Normal 4 3 2 3 3 4 2 3 2" xfId="25844"/>
    <cellStyle name="Normal 4 3 2 3 3 4 2 3 3" xfId="40887"/>
    <cellStyle name="Normal 4 3 2 3 3 4 2 4" xfId="18323"/>
    <cellStyle name="Normal 4 3 2 3 3 4 2 5" xfId="33366"/>
    <cellStyle name="Normal 4 3 2 3 3 4 3" xfId="5161"/>
    <cellStyle name="Normal 4 3 2 3 3 4 3 2" xfId="12684"/>
    <cellStyle name="Normal 4 3 2 3 3 4 3 2 2" xfId="27728"/>
    <cellStyle name="Normal 4 3 2 3 3 4 3 2 3" xfId="42771"/>
    <cellStyle name="Normal 4 3 2 3 3 4 3 3" xfId="20207"/>
    <cellStyle name="Normal 4 3 2 3 3 4 3 4" xfId="35250"/>
    <cellStyle name="Normal 4 3 2 3 3 4 4" xfId="8935"/>
    <cellStyle name="Normal 4 3 2 3 3 4 4 2" xfId="23979"/>
    <cellStyle name="Normal 4 3 2 3 3 4 4 3" xfId="39022"/>
    <cellStyle name="Normal 4 3 2 3 3 4 5" xfId="16458"/>
    <cellStyle name="Normal 4 3 2 3 3 4 6" xfId="31501"/>
    <cellStyle name="Normal 4 3 2 3 3 5" xfId="2298"/>
    <cellStyle name="Normal 4 3 2 3 3 5 2" xfId="6094"/>
    <cellStyle name="Normal 4 3 2 3 3 5 2 2" xfId="13617"/>
    <cellStyle name="Normal 4 3 2 3 3 5 2 2 2" xfId="28661"/>
    <cellStyle name="Normal 4 3 2 3 3 5 2 2 3" xfId="43704"/>
    <cellStyle name="Normal 4 3 2 3 3 5 2 3" xfId="21140"/>
    <cellStyle name="Normal 4 3 2 3 3 5 2 4" xfId="36183"/>
    <cellStyle name="Normal 4 3 2 3 3 5 3" xfId="9868"/>
    <cellStyle name="Normal 4 3 2 3 3 5 3 2" xfId="24912"/>
    <cellStyle name="Normal 4 3 2 3 3 5 3 3" xfId="39955"/>
    <cellStyle name="Normal 4 3 2 3 3 5 4" xfId="17391"/>
    <cellStyle name="Normal 4 3 2 3 3 5 5" xfId="32434"/>
    <cellStyle name="Normal 4 3 2 3 3 6" xfId="4226"/>
    <cellStyle name="Normal 4 3 2 3 3 6 2" xfId="11750"/>
    <cellStyle name="Normal 4 3 2 3 3 6 2 2" xfId="26794"/>
    <cellStyle name="Normal 4 3 2 3 3 6 2 3" xfId="41837"/>
    <cellStyle name="Normal 4 3 2 3 3 6 3" xfId="19273"/>
    <cellStyle name="Normal 4 3 2 3 3 6 4" xfId="34316"/>
    <cellStyle name="Normal 4 3 2 3 3 7" xfId="7989"/>
    <cellStyle name="Normal 4 3 2 3 3 7 2" xfId="23033"/>
    <cellStyle name="Normal 4 3 2 3 3 7 3" xfId="38076"/>
    <cellStyle name="Normal 4 3 2 3 3 8" xfId="15512"/>
    <cellStyle name="Normal 4 3 2 3 3 9" xfId="30555"/>
    <cellStyle name="Normal 4 3 2 3 4" xfId="331"/>
    <cellStyle name="Normal 4 3 2 3 4 2" xfId="855"/>
    <cellStyle name="Normal 4 3 2 3 4 2 2" xfId="1814"/>
    <cellStyle name="Normal 4 3 2 3 4 2 2 2" xfId="3685"/>
    <cellStyle name="Normal 4 3 2 3 4 2 2 2 2" xfId="7480"/>
    <cellStyle name="Normal 4 3 2 3 4 2 2 2 2 2" xfId="15003"/>
    <cellStyle name="Normal 4 3 2 3 4 2 2 2 2 2 2" xfId="30047"/>
    <cellStyle name="Normal 4 3 2 3 4 2 2 2 2 2 3" xfId="45090"/>
    <cellStyle name="Normal 4 3 2 3 4 2 2 2 2 3" xfId="22526"/>
    <cellStyle name="Normal 4 3 2 3 4 2 2 2 2 4" xfId="37569"/>
    <cellStyle name="Normal 4 3 2 3 4 2 2 2 3" xfId="11254"/>
    <cellStyle name="Normal 4 3 2 3 4 2 2 2 3 2" xfId="26298"/>
    <cellStyle name="Normal 4 3 2 3 4 2 2 2 3 3" xfId="41341"/>
    <cellStyle name="Normal 4 3 2 3 4 2 2 2 4" xfId="18777"/>
    <cellStyle name="Normal 4 3 2 3 4 2 2 2 5" xfId="33820"/>
    <cellStyle name="Normal 4 3 2 3 4 2 2 3" xfId="5615"/>
    <cellStyle name="Normal 4 3 2 3 4 2 2 3 2" xfId="13138"/>
    <cellStyle name="Normal 4 3 2 3 4 2 2 3 2 2" xfId="28182"/>
    <cellStyle name="Normal 4 3 2 3 4 2 2 3 2 3" xfId="43225"/>
    <cellStyle name="Normal 4 3 2 3 4 2 2 3 3" xfId="20661"/>
    <cellStyle name="Normal 4 3 2 3 4 2 2 3 4" xfId="35704"/>
    <cellStyle name="Normal 4 3 2 3 4 2 2 4" xfId="9389"/>
    <cellStyle name="Normal 4 3 2 3 4 2 2 4 2" xfId="24433"/>
    <cellStyle name="Normal 4 3 2 3 4 2 2 4 3" xfId="39476"/>
    <cellStyle name="Normal 4 3 2 3 4 2 2 5" xfId="16912"/>
    <cellStyle name="Normal 4 3 2 3 4 2 2 6" xfId="31955"/>
    <cellStyle name="Normal 4 3 2 3 4 2 3" xfId="2753"/>
    <cellStyle name="Normal 4 3 2 3 4 2 3 2" xfId="6548"/>
    <cellStyle name="Normal 4 3 2 3 4 2 3 2 2" xfId="14071"/>
    <cellStyle name="Normal 4 3 2 3 4 2 3 2 2 2" xfId="29115"/>
    <cellStyle name="Normal 4 3 2 3 4 2 3 2 2 3" xfId="44158"/>
    <cellStyle name="Normal 4 3 2 3 4 2 3 2 3" xfId="21594"/>
    <cellStyle name="Normal 4 3 2 3 4 2 3 2 4" xfId="36637"/>
    <cellStyle name="Normal 4 3 2 3 4 2 3 3" xfId="10322"/>
    <cellStyle name="Normal 4 3 2 3 4 2 3 3 2" xfId="25366"/>
    <cellStyle name="Normal 4 3 2 3 4 2 3 3 3" xfId="40409"/>
    <cellStyle name="Normal 4 3 2 3 4 2 3 4" xfId="17845"/>
    <cellStyle name="Normal 4 3 2 3 4 2 3 5" xfId="32888"/>
    <cellStyle name="Normal 4 3 2 3 4 2 4" xfId="4683"/>
    <cellStyle name="Normal 4 3 2 3 4 2 4 2" xfId="12206"/>
    <cellStyle name="Normal 4 3 2 3 4 2 4 2 2" xfId="27250"/>
    <cellStyle name="Normal 4 3 2 3 4 2 4 2 3" xfId="42293"/>
    <cellStyle name="Normal 4 3 2 3 4 2 4 3" xfId="19729"/>
    <cellStyle name="Normal 4 3 2 3 4 2 4 4" xfId="34772"/>
    <cellStyle name="Normal 4 3 2 3 4 2 5" xfId="8457"/>
    <cellStyle name="Normal 4 3 2 3 4 2 5 2" xfId="23501"/>
    <cellStyle name="Normal 4 3 2 3 4 2 5 3" xfId="38544"/>
    <cellStyle name="Normal 4 3 2 3 4 2 6" xfId="15980"/>
    <cellStyle name="Normal 4 3 2 3 4 2 7" xfId="31023"/>
    <cellStyle name="Normal 4 3 2 3 4 3" xfId="1362"/>
    <cellStyle name="Normal 4 3 2 3 4 3 2" xfId="3233"/>
    <cellStyle name="Normal 4 3 2 3 4 3 2 2" xfId="7028"/>
    <cellStyle name="Normal 4 3 2 3 4 3 2 2 2" xfId="14551"/>
    <cellStyle name="Normal 4 3 2 3 4 3 2 2 2 2" xfId="29595"/>
    <cellStyle name="Normal 4 3 2 3 4 3 2 2 2 3" xfId="44638"/>
    <cellStyle name="Normal 4 3 2 3 4 3 2 2 3" xfId="22074"/>
    <cellStyle name="Normal 4 3 2 3 4 3 2 2 4" xfId="37117"/>
    <cellStyle name="Normal 4 3 2 3 4 3 2 3" xfId="10802"/>
    <cellStyle name="Normal 4 3 2 3 4 3 2 3 2" xfId="25846"/>
    <cellStyle name="Normal 4 3 2 3 4 3 2 3 3" xfId="40889"/>
    <cellStyle name="Normal 4 3 2 3 4 3 2 4" xfId="18325"/>
    <cellStyle name="Normal 4 3 2 3 4 3 2 5" xfId="33368"/>
    <cellStyle name="Normal 4 3 2 3 4 3 3" xfId="5163"/>
    <cellStyle name="Normal 4 3 2 3 4 3 3 2" xfId="12686"/>
    <cellStyle name="Normal 4 3 2 3 4 3 3 2 2" xfId="27730"/>
    <cellStyle name="Normal 4 3 2 3 4 3 3 2 3" xfId="42773"/>
    <cellStyle name="Normal 4 3 2 3 4 3 3 3" xfId="20209"/>
    <cellStyle name="Normal 4 3 2 3 4 3 3 4" xfId="35252"/>
    <cellStyle name="Normal 4 3 2 3 4 3 4" xfId="8937"/>
    <cellStyle name="Normal 4 3 2 3 4 3 4 2" xfId="23981"/>
    <cellStyle name="Normal 4 3 2 3 4 3 4 3" xfId="39024"/>
    <cellStyle name="Normal 4 3 2 3 4 3 5" xfId="16460"/>
    <cellStyle name="Normal 4 3 2 3 4 3 6" xfId="31503"/>
    <cellStyle name="Normal 4 3 2 3 4 4" xfId="2300"/>
    <cellStyle name="Normal 4 3 2 3 4 4 2" xfId="6096"/>
    <cellStyle name="Normal 4 3 2 3 4 4 2 2" xfId="13619"/>
    <cellStyle name="Normal 4 3 2 3 4 4 2 2 2" xfId="28663"/>
    <cellStyle name="Normal 4 3 2 3 4 4 2 2 3" xfId="43706"/>
    <cellStyle name="Normal 4 3 2 3 4 4 2 3" xfId="21142"/>
    <cellStyle name="Normal 4 3 2 3 4 4 2 4" xfId="36185"/>
    <cellStyle name="Normal 4 3 2 3 4 4 3" xfId="9870"/>
    <cellStyle name="Normal 4 3 2 3 4 4 3 2" xfId="24914"/>
    <cellStyle name="Normal 4 3 2 3 4 4 3 3" xfId="39957"/>
    <cellStyle name="Normal 4 3 2 3 4 4 4" xfId="17393"/>
    <cellStyle name="Normal 4 3 2 3 4 4 5" xfId="32436"/>
    <cellStyle name="Normal 4 3 2 3 4 5" xfId="4228"/>
    <cellStyle name="Normal 4 3 2 3 4 5 2" xfId="11752"/>
    <cellStyle name="Normal 4 3 2 3 4 5 2 2" xfId="26796"/>
    <cellStyle name="Normal 4 3 2 3 4 5 2 3" xfId="41839"/>
    <cellStyle name="Normal 4 3 2 3 4 5 3" xfId="19275"/>
    <cellStyle name="Normal 4 3 2 3 4 5 4" xfId="34318"/>
    <cellStyle name="Normal 4 3 2 3 4 6" xfId="7991"/>
    <cellStyle name="Normal 4 3 2 3 4 6 2" xfId="23035"/>
    <cellStyle name="Normal 4 3 2 3 4 6 3" xfId="38078"/>
    <cellStyle name="Normal 4 3 2 3 4 7" xfId="15514"/>
    <cellStyle name="Normal 4 3 2 3 4 8" xfId="30557"/>
    <cellStyle name="Normal 4 3 2 3 5" xfId="850"/>
    <cellStyle name="Normal 4 3 2 3 5 2" xfId="1809"/>
    <cellStyle name="Normal 4 3 2 3 5 2 2" xfId="3680"/>
    <cellStyle name="Normal 4 3 2 3 5 2 2 2" xfId="7475"/>
    <cellStyle name="Normal 4 3 2 3 5 2 2 2 2" xfId="14998"/>
    <cellStyle name="Normal 4 3 2 3 5 2 2 2 2 2" xfId="30042"/>
    <cellStyle name="Normal 4 3 2 3 5 2 2 2 2 3" xfId="45085"/>
    <cellStyle name="Normal 4 3 2 3 5 2 2 2 3" xfId="22521"/>
    <cellStyle name="Normal 4 3 2 3 5 2 2 2 4" xfId="37564"/>
    <cellStyle name="Normal 4 3 2 3 5 2 2 3" xfId="11249"/>
    <cellStyle name="Normal 4 3 2 3 5 2 2 3 2" xfId="26293"/>
    <cellStyle name="Normal 4 3 2 3 5 2 2 3 3" xfId="41336"/>
    <cellStyle name="Normal 4 3 2 3 5 2 2 4" xfId="18772"/>
    <cellStyle name="Normal 4 3 2 3 5 2 2 5" xfId="33815"/>
    <cellStyle name="Normal 4 3 2 3 5 2 3" xfId="5610"/>
    <cellStyle name="Normal 4 3 2 3 5 2 3 2" xfId="13133"/>
    <cellStyle name="Normal 4 3 2 3 5 2 3 2 2" xfId="28177"/>
    <cellStyle name="Normal 4 3 2 3 5 2 3 2 3" xfId="43220"/>
    <cellStyle name="Normal 4 3 2 3 5 2 3 3" xfId="20656"/>
    <cellStyle name="Normal 4 3 2 3 5 2 3 4" xfId="35699"/>
    <cellStyle name="Normal 4 3 2 3 5 2 4" xfId="9384"/>
    <cellStyle name="Normal 4 3 2 3 5 2 4 2" xfId="24428"/>
    <cellStyle name="Normal 4 3 2 3 5 2 4 3" xfId="39471"/>
    <cellStyle name="Normal 4 3 2 3 5 2 5" xfId="16907"/>
    <cellStyle name="Normal 4 3 2 3 5 2 6" xfId="31950"/>
    <cellStyle name="Normal 4 3 2 3 5 3" xfId="2748"/>
    <cellStyle name="Normal 4 3 2 3 5 3 2" xfId="6543"/>
    <cellStyle name="Normal 4 3 2 3 5 3 2 2" xfId="14066"/>
    <cellStyle name="Normal 4 3 2 3 5 3 2 2 2" xfId="29110"/>
    <cellStyle name="Normal 4 3 2 3 5 3 2 2 3" xfId="44153"/>
    <cellStyle name="Normal 4 3 2 3 5 3 2 3" xfId="21589"/>
    <cellStyle name="Normal 4 3 2 3 5 3 2 4" xfId="36632"/>
    <cellStyle name="Normal 4 3 2 3 5 3 3" xfId="10317"/>
    <cellStyle name="Normal 4 3 2 3 5 3 3 2" xfId="25361"/>
    <cellStyle name="Normal 4 3 2 3 5 3 3 3" xfId="40404"/>
    <cellStyle name="Normal 4 3 2 3 5 3 4" xfId="17840"/>
    <cellStyle name="Normal 4 3 2 3 5 3 5" xfId="32883"/>
    <cellStyle name="Normal 4 3 2 3 5 4" xfId="4678"/>
    <cellStyle name="Normal 4 3 2 3 5 4 2" xfId="12201"/>
    <cellStyle name="Normal 4 3 2 3 5 4 2 2" xfId="27245"/>
    <cellStyle name="Normal 4 3 2 3 5 4 2 3" xfId="42288"/>
    <cellStyle name="Normal 4 3 2 3 5 4 3" xfId="19724"/>
    <cellStyle name="Normal 4 3 2 3 5 4 4" xfId="34767"/>
    <cellStyle name="Normal 4 3 2 3 5 5" xfId="8452"/>
    <cellStyle name="Normal 4 3 2 3 5 5 2" xfId="23496"/>
    <cellStyle name="Normal 4 3 2 3 5 5 3" xfId="38539"/>
    <cellStyle name="Normal 4 3 2 3 5 6" xfId="15975"/>
    <cellStyle name="Normal 4 3 2 3 5 7" xfId="31018"/>
    <cellStyle name="Normal 4 3 2 3 6" xfId="1357"/>
    <cellStyle name="Normal 4 3 2 3 6 2" xfId="3228"/>
    <cellStyle name="Normal 4 3 2 3 6 2 2" xfId="7023"/>
    <cellStyle name="Normal 4 3 2 3 6 2 2 2" xfId="14546"/>
    <cellStyle name="Normal 4 3 2 3 6 2 2 2 2" xfId="29590"/>
    <cellStyle name="Normal 4 3 2 3 6 2 2 2 3" xfId="44633"/>
    <cellStyle name="Normal 4 3 2 3 6 2 2 3" xfId="22069"/>
    <cellStyle name="Normal 4 3 2 3 6 2 2 4" xfId="37112"/>
    <cellStyle name="Normal 4 3 2 3 6 2 3" xfId="10797"/>
    <cellStyle name="Normal 4 3 2 3 6 2 3 2" xfId="25841"/>
    <cellStyle name="Normal 4 3 2 3 6 2 3 3" xfId="40884"/>
    <cellStyle name="Normal 4 3 2 3 6 2 4" xfId="18320"/>
    <cellStyle name="Normal 4 3 2 3 6 2 5" xfId="33363"/>
    <cellStyle name="Normal 4 3 2 3 6 3" xfId="5158"/>
    <cellStyle name="Normal 4 3 2 3 6 3 2" xfId="12681"/>
    <cellStyle name="Normal 4 3 2 3 6 3 2 2" xfId="27725"/>
    <cellStyle name="Normal 4 3 2 3 6 3 2 3" xfId="42768"/>
    <cellStyle name="Normal 4 3 2 3 6 3 3" xfId="20204"/>
    <cellStyle name="Normal 4 3 2 3 6 3 4" xfId="35247"/>
    <cellStyle name="Normal 4 3 2 3 6 4" xfId="8932"/>
    <cellStyle name="Normal 4 3 2 3 6 4 2" xfId="23976"/>
    <cellStyle name="Normal 4 3 2 3 6 4 3" xfId="39019"/>
    <cellStyle name="Normal 4 3 2 3 6 5" xfId="16455"/>
    <cellStyle name="Normal 4 3 2 3 6 6" xfId="31498"/>
    <cellStyle name="Normal 4 3 2 3 7" xfId="2295"/>
    <cellStyle name="Normal 4 3 2 3 7 2" xfId="6091"/>
    <cellStyle name="Normal 4 3 2 3 7 2 2" xfId="13614"/>
    <cellStyle name="Normal 4 3 2 3 7 2 2 2" xfId="28658"/>
    <cellStyle name="Normal 4 3 2 3 7 2 2 3" xfId="43701"/>
    <cellStyle name="Normal 4 3 2 3 7 2 3" xfId="21137"/>
    <cellStyle name="Normal 4 3 2 3 7 2 4" xfId="36180"/>
    <cellStyle name="Normal 4 3 2 3 7 3" xfId="9865"/>
    <cellStyle name="Normal 4 3 2 3 7 3 2" xfId="24909"/>
    <cellStyle name="Normal 4 3 2 3 7 3 3" xfId="39952"/>
    <cellStyle name="Normal 4 3 2 3 7 4" xfId="17388"/>
    <cellStyle name="Normal 4 3 2 3 7 5" xfId="32431"/>
    <cellStyle name="Normal 4 3 2 3 8" xfId="4223"/>
    <cellStyle name="Normal 4 3 2 3 8 2" xfId="11747"/>
    <cellStyle name="Normal 4 3 2 3 8 2 2" xfId="26791"/>
    <cellStyle name="Normal 4 3 2 3 8 2 3" xfId="41834"/>
    <cellStyle name="Normal 4 3 2 3 8 3" xfId="19270"/>
    <cellStyle name="Normal 4 3 2 3 8 4" xfId="34313"/>
    <cellStyle name="Normal 4 3 2 3 9" xfId="7986"/>
    <cellStyle name="Normal 4 3 2 3 9 2" xfId="23030"/>
    <cellStyle name="Normal 4 3 2 3 9 3" xfId="38073"/>
    <cellStyle name="Normal 4 3 2 4" xfId="332"/>
    <cellStyle name="Normal 4 3 2 4 2" xfId="333"/>
    <cellStyle name="Normal 4 3 2 4 2 2" xfId="857"/>
    <cellStyle name="Normal 4 3 2 4 2 2 2" xfId="1816"/>
    <cellStyle name="Normal 4 3 2 4 2 2 2 2" xfId="3687"/>
    <cellStyle name="Normal 4 3 2 4 2 2 2 2 2" xfId="7482"/>
    <cellStyle name="Normal 4 3 2 4 2 2 2 2 2 2" xfId="15005"/>
    <cellStyle name="Normal 4 3 2 4 2 2 2 2 2 2 2" xfId="30049"/>
    <cellStyle name="Normal 4 3 2 4 2 2 2 2 2 2 3" xfId="45092"/>
    <cellStyle name="Normal 4 3 2 4 2 2 2 2 2 3" xfId="22528"/>
    <cellStyle name="Normal 4 3 2 4 2 2 2 2 2 4" xfId="37571"/>
    <cellStyle name="Normal 4 3 2 4 2 2 2 2 3" xfId="11256"/>
    <cellStyle name="Normal 4 3 2 4 2 2 2 2 3 2" xfId="26300"/>
    <cellStyle name="Normal 4 3 2 4 2 2 2 2 3 3" xfId="41343"/>
    <cellStyle name="Normal 4 3 2 4 2 2 2 2 4" xfId="18779"/>
    <cellStyle name="Normal 4 3 2 4 2 2 2 2 5" xfId="33822"/>
    <cellStyle name="Normal 4 3 2 4 2 2 2 3" xfId="5617"/>
    <cellStyle name="Normal 4 3 2 4 2 2 2 3 2" xfId="13140"/>
    <cellStyle name="Normal 4 3 2 4 2 2 2 3 2 2" xfId="28184"/>
    <cellStyle name="Normal 4 3 2 4 2 2 2 3 2 3" xfId="43227"/>
    <cellStyle name="Normal 4 3 2 4 2 2 2 3 3" xfId="20663"/>
    <cellStyle name="Normal 4 3 2 4 2 2 2 3 4" xfId="35706"/>
    <cellStyle name="Normal 4 3 2 4 2 2 2 4" xfId="9391"/>
    <cellStyle name="Normal 4 3 2 4 2 2 2 4 2" xfId="24435"/>
    <cellStyle name="Normal 4 3 2 4 2 2 2 4 3" xfId="39478"/>
    <cellStyle name="Normal 4 3 2 4 2 2 2 5" xfId="16914"/>
    <cellStyle name="Normal 4 3 2 4 2 2 2 6" xfId="31957"/>
    <cellStyle name="Normal 4 3 2 4 2 2 3" xfId="2755"/>
    <cellStyle name="Normal 4 3 2 4 2 2 3 2" xfId="6550"/>
    <cellStyle name="Normal 4 3 2 4 2 2 3 2 2" xfId="14073"/>
    <cellStyle name="Normal 4 3 2 4 2 2 3 2 2 2" xfId="29117"/>
    <cellStyle name="Normal 4 3 2 4 2 2 3 2 2 3" xfId="44160"/>
    <cellStyle name="Normal 4 3 2 4 2 2 3 2 3" xfId="21596"/>
    <cellStyle name="Normal 4 3 2 4 2 2 3 2 4" xfId="36639"/>
    <cellStyle name="Normal 4 3 2 4 2 2 3 3" xfId="10324"/>
    <cellStyle name="Normal 4 3 2 4 2 2 3 3 2" xfId="25368"/>
    <cellStyle name="Normal 4 3 2 4 2 2 3 3 3" xfId="40411"/>
    <cellStyle name="Normal 4 3 2 4 2 2 3 4" xfId="17847"/>
    <cellStyle name="Normal 4 3 2 4 2 2 3 5" xfId="32890"/>
    <cellStyle name="Normal 4 3 2 4 2 2 4" xfId="4685"/>
    <cellStyle name="Normal 4 3 2 4 2 2 4 2" xfId="12208"/>
    <cellStyle name="Normal 4 3 2 4 2 2 4 2 2" xfId="27252"/>
    <cellStyle name="Normal 4 3 2 4 2 2 4 2 3" xfId="42295"/>
    <cellStyle name="Normal 4 3 2 4 2 2 4 3" xfId="19731"/>
    <cellStyle name="Normal 4 3 2 4 2 2 4 4" xfId="34774"/>
    <cellStyle name="Normal 4 3 2 4 2 2 5" xfId="8459"/>
    <cellStyle name="Normal 4 3 2 4 2 2 5 2" xfId="23503"/>
    <cellStyle name="Normal 4 3 2 4 2 2 5 3" xfId="38546"/>
    <cellStyle name="Normal 4 3 2 4 2 2 6" xfId="15982"/>
    <cellStyle name="Normal 4 3 2 4 2 2 7" xfId="31025"/>
    <cellStyle name="Normal 4 3 2 4 2 3" xfId="1364"/>
    <cellStyle name="Normal 4 3 2 4 2 3 2" xfId="3235"/>
    <cellStyle name="Normal 4 3 2 4 2 3 2 2" xfId="7030"/>
    <cellStyle name="Normal 4 3 2 4 2 3 2 2 2" xfId="14553"/>
    <cellStyle name="Normal 4 3 2 4 2 3 2 2 2 2" xfId="29597"/>
    <cellStyle name="Normal 4 3 2 4 2 3 2 2 2 3" xfId="44640"/>
    <cellStyle name="Normal 4 3 2 4 2 3 2 2 3" xfId="22076"/>
    <cellStyle name="Normal 4 3 2 4 2 3 2 2 4" xfId="37119"/>
    <cellStyle name="Normal 4 3 2 4 2 3 2 3" xfId="10804"/>
    <cellStyle name="Normal 4 3 2 4 2 3 2 3 2" xfId="25848"/>
    <cellStyle name="Normal 4 3 2 4 2 3 2 3 3" xfId="40891"/>
    <cellStyle name="Normal 4 3 2 4 2 3 2 4" xfId="18327"/>
    <cellStyle name="Normal 4 3 2 4 2 3 2 5" xfId="33370"/>
    <cellStyle name="Normal 4 3 2 4 2 3 3" xfId="5165"/>
    <cellStyle name="Normal 4 3 2 4 2 3 3 2" xfId="12688"/>
    <cellStyle name="Normal 4 3 2 4 2 3 3 2 2" xfId="27732"/>
    <cellStyle name="Normal 4 3 2 4 2 3 3 2 3" xfId="42775"/>
    <cellStyle name="Normal 4 3 2 4 2 3 3 3" xfId="20211"/>
    <cellStyle name="Normal 4 3 2 4 2 3 3 4" xfId="35254"/>
    <cellStyle name="Normal 4 3 2 4 2 3 4" xfId="8939"/>
    <cellStyle name="Normal 4 3 2 4 2 3 4 2" xfId="23983"/>
    <cellStyle name="Normal 4 3 2 4 2 3 4 3" xfId="39026"/>
    <cellStyle name="Normal 4 3 2 4 2 3 5" xfId="16462"/>
    <cellStyle name="Normal 4 3 2 4 2 3 6" xfId="31505"/>
    <cellStyle name="Normal 4 3 2 4 2 4" xfId="2302"/>
    <cellStyle name="Normal 4 3 2 4 2 4 2" xfId="6098"/>
    <cellStyle name="Normal 4 3 2 4 2 4 2 2" xfId="13621"/>
    <cellStyle name="Normal 4 3 2 4 2 4 2 2 2" xfId="28665"/>
    <cellStyle name="Normal 4 3 2 4 2 4 2 2 3" xfId="43708"/>
    <cellStyle name="Normal 4 3 2 4 2 4 2 3" xfId="21144"/>
    <cellStyle name="Normal 4 3 2 4 2 4 2 4" xfId="36187"/>
    <cellStyle name="Normal 4 3 2 4 2 4 3" xfId="9872"/>
    <cellStyle name="Normal 4 3 2 4 2 4 3 2" xfId="24916"/>
    <cellStyle name="Normal 4 3 2 4 2 4 3 3" xfId="39959"/>
    <cellStyle name="Normal 4 3 2 4 2 4 4" xfId="17395"/>
    <cellStyle name="Normal 4 3 2 4 2 4 5" xfId="32438"/>
    <cellStyle name="Normal 4 3 2 4 2 5" xfId="4230"/>
    <cellStyle name="Normal 4 3 2 4 2 5 2" xfId="11754"/>
    <cellStyle name="Normal 4 3 2 4 2 5 2 2" xfId="26798"/>
    <cellStyle name="Normal 4 3 2 4 2 5 2 3" xfId="41841"/>
    <cellStyle name="Normal 4 3 2 4 2 5 3" xfId="19277"/>
    <cellStyle name="Normal 4 3 2 4 2 5 4" xfId="34320"/>
    <cellStyle name="Normal 4 3 2 4 2 6" xfId="7993"/>
    <cellStyle name="Normal 4 3 2 4 2 6 2" xfId="23037"/>
    <cellStyle name="Normal 4 3 2 4 2 6 3" xfId="38080"/>
    <cellStyle name="Normal 4 3 2 4 2 7" xfId="15516"/>
    <cellStyle name="Normal 4 3 2 4 2 8" xfId="30559"/>
    <cellStyle name="Normal 4 3 2 4 3" xfId="856"/>
    <cellStyle name="Normal 4 3 2 4 3 2" xfId="1815"/>
    <cellStyle name="Normal 4 3 2 4 3 2 2" xfId="3686"/>
    <cellStyle name="Normal 4 3 2 4 3 2 2 2" xfId="7481"/>
    <cellStyle name="Normal 4 3 2 4 3 2 2 2 2" xfId="15004"/>
    <cellStyle name="Normal 4 3 2 4 3 2 2 2 2 2" xfId="30048"/>
    <cellStyle name="Normal 4 3 2 4 3 2 2 2 2 3" xfId="45091"/>
    <cellStyle name="Normal 4 3 2 4 3 2 2 2 3" xfId="22527"/>
    <cellStyle name="Normal 4 3 2 4 3 2 2 2 4" xfId="37570"/>
    <cellStyle name="Normal 4 3 2 4 3 2 2 3" xfId="11255"/>
    <cellStyle name="Normal 4 3 2 4 3 2 2 3 2" xfId="26299"/>
    <cellStyle name="Normal 4 3 2 4 3 2 2 3 3" xfId="41342"/>
    <cellStyle name="Normal 4 3 2 4 3 2 2 4" xfId="18778"/>
    <cellStyle name="Normal 4 3 2 4 3 2 2 5" xfId="33821"/>
    <cellStyle name="Normal 4 3 2 4 3 2 3" xfId="5616"/>
    <cellStyle name="Normal 4 3 2 4 3 2 3 2" xfId="13139"/>
    <cellStyle name="Normal 4 3 2 4 3 2 3 2 2" xfId="28183"/>
    <cellStyle name="Normal 4 3 2 4 3 2 3 2 3" xfId="43226"/>
    <cellStyle name="Normal 4 3 2 4 3 2 3 3" xfId="20662"/>
    <cellStyle name="Normal 4 3 2 4 3 2 3 4" xfId="35705"/>
    <cellStyle name="Normal 4 3 2 4 3 2 4" xfId="9390"/>
    <cellStyle name="Normal 4 3 2 4 3 2 4 2" xfId="24434"/>
    <cellStyle name="Normal 4 3 2 4 3 2 4 3" xfId="39477"/>
    <cellStyle name="Normal 4 3 2 4 3 2 5" xfId="16913"/>
    <cellStyle name="Normal 4 3 2 4 3 2 6" xfId="31956"/>
    <cellStyle name="Normal 4 3 2 4 3 3" xfId="2754"/>
    <cellStyle name="Normal 4 3 2 4 3 3 2" xfId="6549"/>
    <cellStyle name="Normal 4 3 2 4 3 3 2 2" xfId="14072"/>
    <cellStyle name="Normal 4 3 2 4 3 3 2 2 2" xfId="29116"/>
    <cellStyle name="Normal 4 3 2 4 3 3 2 2 3" xfId="44159"/>
    <cellStyle name="Normal 4 3 2 4 3 3 2 3" xfId="21595"/>
    <cellStyle name="Normal 4 3 2 4 3 3 2 4" xfId="36638"/>
    <cellStyle name="Normal 4 3 2 4 3 3 3" xfId="10323"/>
    <cellStyle name="Normal 4 3 2 4 3 3 3 2" xfId="25367"/>
    <cellStyle name="Normal 4 3 2 4 3 3 3 3" xfId="40410"/>
    <cellStyle name="Normal 4 3 2 4 3 3 4" xfId="17846"/>
    <cellStyle name="Normal 4 3 2 4 3 3 5" xfId="32889"/>
    <cellStyle name="Normal 4 3 2 4 3 4" xfId="4684"/>
    <cellStyle name="Normal 4 3 2 4 3 4 2" xfId="12207"/>
    <cellStyle name="Normal 4 3 2 4 3 4 2 2" xfId="27251"/>
    <cellStyle name="Normal 4 3 2 4 3 4 2 3" xfId="42294"/>
    <cellStyle name="Normal 4 3 2 4 3 4 3" xfId="19730"/>
    <cellStyle name="Normal 4 3 2 4 3 4 4" xfId="34773"/>
    <cellStyle name="Normal 4 3 2 4 3 5" xfId="8458"/>
    <cellStyle name="Normal 4 3 2 4 3 5 2" xfId="23502"/>
    <cellStyle name="Normal 4 3 2 4 3 5 3" xfId="38545"/>
    <cellStyle name="Normal 4 3 2 4 3 6" xfId="15981"/>
    <cellStyle name="Normal 4 3 2 4 3 7" xfId="31024"/>
    <cellStyle name="Normal 4 3 2 4 4" xfId="1363"/>
    <cellStyle name="Normal 4 3 2 4 4 2" xfId="3234"/>
    <cellStyle name="Normal 4 3 2 4 4 2 2" xfId="7029"/>
    <cellStyle name="Normal 4 3 2 4 4 2 2 2" xfId="14552"/>
    <cellStyle name="Normal 4 3 2 4 4 2 2 2 2" xfId="29596"/>
    <cellStyle name="Normal 4 3 2 4 4 2 2 2 3" xfId="44639"/>
    <cellStyle name="Normal 4 3 2 4 4 2 2 3" xfId="22075"/>
    <cellStyle name="Normal 4 3 2 4 4 2 2 4" xfId="37118"/>
    <cellStyle name="Normal 4 3 2 4 4 2 3" xfId="10803"/>
    <cellStyle name="Normal 4 3 2 4 4 2 3 2" xfId="25847"/>
    <cellStyle name="Normal 4 3 2 4 4 2 3 3" xfId="40890"/>
    <cellStyle name="Normal 4 3 2 4 4 2 4" xfId="18326"/>
    <cellStyle name="Normal 4 3 2 4 4 2 5" xfId="33369"/>
    <cellStyle name="Normal 4 3 2 4 4 3" xfId="5164"/>
    <cellStyle name="Normal 4 3 2 4 4 3 2" xfId="12687"/>
    <cellStyle name="Normal 4 3 2 4 4 3 2 2" xfId="27731"/>
    <cellStyle name="Normal 4 3 2 4 4 3 2 3" xfId="42774"/>
    <cellStyle name="Normal 4 3 2 4 4 3 3" xfId="20210"/>
    <cellStyle name="Normal 4 3 2 4 4 3 4" xfId="35253"/>
    <cellStyle name="Normal 4 3 2 4 4 4" xfId="8938"/>
    <cellStyle name="Normal 4 3 2 4 4 4 2" xfId="23982"/>
    <cellStyle name="Normal 4 3 2 4 4 4 3" xfId="39025"/>
    <cellStyle name="Normal 4 3 2 4 4 5" xfId="16461"/>
    <cellStyle name="Normal 4 3 2 4 4 6" xfId="31504"/>
    <cellStyle name="Normal 4 3 2 4 5" xfId="2301"/>
    <cellStyle name="Normal 4 3 2 4 5 2" xfId="6097"/>
    <cellStyle name="Normal 4 3 2 4 5 2 2" xfId="13620"/>
    <cellStyle name="Normal 4 3 2 4 5 2 2 2" xfId="28664"/>
    <cellStyle name="Normal 4 3 2 4 5 2 2 3" xfId="43707"/>
    <cellStyle name="Normal 4 3 2 4 5 2 3" xfId="21143"/>
    <cellStyle name="Normal 4 3 2 4 5 2 4" xfId="36186"/>
    <cellStyle name="Normal 4 3 2 4 5 3" xfId="9871"/>
    <cellStyle name="Normal 4 3 2 4 5 3 2" xfId="24915"/>
    <cellStyle name="Normal 4 3 2 4 5 3 3" xfId="39958"/>
    <cellStyle name="Normal 4 3 2 4 5 4" xfId="17394"/>
    <cellStyle name="Normal 4 3 2 4 5 5" xfId="32437"/>
    <cellStyle name="Normal 4 3 2 4 6" xfId="4229"/>
    <cellStyle name="Normal 4 3 2 4 6 2" xfId="11753"/>
    <cellStyle name="Normal 4 3 2 4 6 2 2" xfId="26797"/>
    <cellStyle name="Normal 4 3 2 4 6 2 3" xfId="41840"/>
    <cellStyle name="Normal 4 3 2 4 6 3" xfId="19276"/>
    <cellStyle name="Normal 4 3 2 4 6 4" xfId="34319"/>
    <cellStyle name="Normal 4 3 2 4 7" xfId="7992"/>
    <cellStyle name="Normal 4 3 2 4 7 2" xfId="23036"/>
    <cellStyle name="Normal 4 3 2 4 7 3" xfId="38079"/>
    <cellStyle name="Normal 4 3 2 4 8" xfId="15515"/>
    <cellStyle name="Normal 4 3 2 4 9" xfId="30558"/>
    <cellStyle name="Normal 4 3 2 5" xfId="334"/>
    <cellStyle name="Normal 4 3 2 5 2" xfId="335"/>
    <cellStyle name="Normal 4 3 2 5 2 2" xfId="859"/>
    <cellStyle name="Normal 4 3 2 5 2 2 2" xfId="1818"/>
    <cellStyle name="Normal 4 3 2 5 2 2 2 2" xfId="3689"/>
    <cellStyle name="Normal 4 3 2 5 2 2 2 2 2" xfId="7484"/>
    <cellStyle name="Normal 4 3 2 5 2 2 2 2 2 2" xfId="15007"/>
    <cellStyle name="Normal 4 3 2 5 2 2 2 2 2 2 2" xfId="30051"/>
    <cellStyle name="Normal 4 3 2 5 2 2 2 2 2 2 3" xfId="45094"/>
    <cellStyle name="Normal 4 3 2 5 2 2 2 2 2 3" xfId="22530"/>
    <cellStyle name="Normal 4 3 2 5 2 2 2 2 2 4" xfId="37573"/>
    <cellStyle name="Normal 4 3 2 5 2 2 2 2 3" xfId="11258"/>
    <cellStyle name="Normal 4 3 2 5 2 2 2 2 3 2" xfId="26302"/>
    <cellStyle name="Normal 4 3 2 5 2 2 2 2 3 3" xfId="41345"/>
    <cellStyle name="Normal 4 3 2 5 2 2 2 2 4" xfId="18781"/>
    <cellStyle name="Normal 4 3 2 5 2 2 2 2 5" xfId="33824"/>
    <cellStyle name="Normal 4 3 2 5 2 2 2 3" xfId="5619"/>
    <cellStyle name="Normal 4 3 2 5 2 2 2 3 2" xfId="13142"/>
    <cellStyle name="Normal 4 3 2 5 2 2 2 3 2 2" xfId="28186"/>
    <cellStyle name="Normal 4 3 2 5 2 2 2 3 2 3" xfId="43229"/>
    <cellStyle name="Normal 4 3 2 5 2 2 2 3 3" xfId="20665"/>
    <cellStyle name="Normal 4 3 2 5 2 2 2 3 4" xfId="35708"/>
    <cellStyle name="Normal 4 3 2 5 2 2 2 4" xfId="9393"/>
    <cellStyle name="Normal 4 3 2 5 2 2 2 4 2" xfId="24437"/>
    <cellStyle name="Normal 4 3 2 5 2 2 2 4 3" xfId="39480"/>
    <cellStyle name="Normal 4 3 2 5 2 2 2 5" xfId="16916"/>
    <cellStyle name="Normal 4 3 2 5 2 2 2 6" xfId="31959"/>
    <cellStyle name="Normal 4 3 2 5 2 2 3" xfId="2757"/>
    <cellStyle name="Normal 4 3 2 5 2 2 3 2" xfId="6552"/>
    <cellStyle name="Normal 4 3 2 5 2 2 3 2 2" xfId="14075"/>
    <cellStyle name="Normal 4 3 2 5 2 2 3 2 2 2" xfId="29119"/>
    <cellStyle name="Normal 4 3 2 5 2 2 3 2 2 3" xfId="44162"/>
    <cellStyle name="Normal 4 3 2 5 2 2 3 2 3" xfId="21598"/>
    <cellStyle name="Normal 4 3 2 5 2 2 3 2 4" xfId="36641"/>
    <cellStyle name="Normal 4 3 2 5 2 2 3 3" xfId="10326"/>
    <cellStyle name="Normal 4 3 2 5 2 2 3 3 2" xfId="25370"/>
    <cellStyle name="Normal 4 3 2 5 2 2 3 3 3" xfId="40413"/>
    <cellStyle name="Normal 4 3 2 5 2 2 3 4" xfId="17849"/>
    <cellStyle name="Normal 4 3 2 5 2 2 3 5" xfId="32892"/>
    <cellStyle name="Normal 4 3 2 5 2 2 4" xfId="4687"/>
    <cellStyle name="Normal 4 3 2 5 2 2 4 2" xfId="12210"/>
    <cellStyle name="Normal 4 3 2 5 2 2 4 2 2" xfId="27254"/>
    <cellStyle name="Normal 4 3 2 5 2 2 4 2 3" xfId="42297"/>
    <cellStyle name="Normal 4 3 2 5 2 2 4 3" xfId="19733"/>
    <cellStyle name="Normal 4 3 2 5 2 2 4 4" xfId="34776"/>
    <cellStyle name="Normal 4 3 2 5 2 2 5" xfId="8461"/>
    <cellStyle name="Normal 4 3 2 5 2 2 5 2" xfId="23505"/>
    <cellStyle name="Normal 4 3 2 5 2 2 5 3" xfId="38548"/>
    <cellStyle name="Normal 4 3 2 5 2 2 6" xfId="15984"/>
    <cellStyle name="Normal 4 3 2 5 2 2 7" xfId="31027"/>
    <cellStyle name="Normal 4 3 2 5 2 3" xfId="1366"/>
    <cellStyle name="Normal 4 3 2 5 2 3 2" xfId="3237"/>
    <cellStyle name="Normal 4 3 2 5 2 3 2 2" xfId="7032"/>
    <cellStyle name="Normal 4 3 2 5 2 3 2 2 2" xfId="14555"/>
    <cellStyle name="Normal 4 3 2 5 2 3 2 2 2 2" xfId="29599"/>
    <cellStyle name="Normal 4 3 2 5 2 3 2 2 2 3" xfId="44642"/>
    <cellStyle name="Normal 4 3 2 5 2 3 2 2 3" xfId="22078"/>
    <cellStyle name="Normal 4 3 2 5 2 3 2 2 4" xfId="37121"/>
    <cellStyle name="Normal 4 3 2 5 2 3 2 3" xfId="10806"/>
    <cellStyle name="Normal 4 3 2 5 2 3 2 3 2" xfId="25850"/>
    <cellStyle name="Normal 4 3 2 5 2 3 2 3 3" xfId="40893"/>
    <cellStyle name="Normal 4 3 2 5 2 3 2 4" xfId="18329"/>
    <cellStyle name="Normal 4 3 2 5 2 3 2 5" xfId="33372"/>
    <cellStyle name="Normal 4 3 2 5 2 3 3" xfId="5167"/>
    <cellStyle name="Normal 4 3 2 5 2 3 3 2" xfId="12690"/>
    <cellStyle name="Normal 4 3 2 5 2 3 3 2 2" xfId="27734"/>
    <cellStyle name="Normal 4 3 2 5 2 3 3 2 3" xfId="42777"/>
    <cellStyle name="Normal 4 3 2 5 2 3 3 3" xfId="20213"/>
    <cellStyle name="Normal 4 3 2 5 2 3 3 4" xfId="35256"/>
    <cellStyle name="Normal 4 3 2 5 2 3 4" xfId="8941"/>
    <cellStyle name="Normal 4 3 2 5 2 3 4 2" xfId="23985"/>
    <cellStyle name="Normal 4 3 2 5 2 3 4 3" xfId="39028"/>
    <cellStyle name="Normal 4 3 2 5 2 3 5" xfId="16464"/>
    <cellStyle name="Normal 4 3 2 5 2 3 6" xfId="31507"/>
    <cellStyle name="Normal 4 3 2 5 2 4" xfId="2304"/>
    <cellStyle name="Normal 4 3 2 5 2 4 2" xfId="6100"/>
    <cellStyle name="Normal 4 3 2 5 2 4 2 2" xfId="13623"/>
    <cellStyle name="Normal 4 3 2 5 2 4 2 2 2" xfId="28667"/>
    <cellStyle name="Normal 4 3 2 5 2 4 2 2 3" xfId="43710"/>
    <cellStyle name="Normal 4 3 2 5 2 4 2 3" xfId="21146"/>
    <cellStyle name="Normal 4 3 2 5 2 4 2 4" xfId="36189"/>
    <cellStyle name="Normal 4 3 2 5 2 4 3" xfId="9874"/>
    <cellStyle name="Normal 4 3 2 5 2 4 3 2" xfId="24918"/>
    <cellStyle name="Normal 4 3 2 5 2 4 3 3" xfId="39961"/>
    <cellStyle name="Normal 4 3 2 5 2 4 4" xfId="17397"/>
    <cellStyle name="Normal 4 3 2 5 2 4 5" xfId="32440"/>
    <cellStyle name="Normal 4 3 2 5 2 5" xfId="4232"/>
    <cellStyle name="Normal 4 3 2 5 2 5 2" xfId="11756"/>
    <cellStyle name="Normal 4 3 2 5 2 5 2 2" xfId="26800"/>
    <cellStyle name="Normal 4 3 2 5 2 5 2 3" xfId="41843"/>
    <cellStyle name="Normal 4 3 2 5 2 5 3" xfId="19279"/>
    <cellStyle name="Normal 4 3 2 5 2 5 4" xfId="34322"/>
    <cellStyle name="Normal 4 3 2 5 2 6" xfId="7995"/>
    <cellStyle name="Normal 4 3 2 5 2 6 2" xfId="23039"/>
    <cellStyle name="Normal 4 3 2 5 2 6 3" xfId="38082"/>
    <cellStyle name="Normal 4 3 2 5 2 7" xfId="15518"/>
    <cellStyle name="Normal 4 3 2 5 2 8" xfId="30561"/>
    <cellStyle name="Normal 4 3 2 5 3" xfId="858"/>
    <cellStyle name="Normal 4 3 2 5 3 2" xfId="1817"/>
    <cellStyle name="Normal 4 3 2 5 3 2 2" xfId="3688"/>
    <cellStyle name="Normal 4 3 2 5 3 2 2 2" xfId="7483"/>
    <cellStyle name="Normal 4 3 2 5 3 2 2 2 2" xfId="15006"/>
    <cellStyle name="Normal 4 3 2 5 3 2 2 2 2 2" xfId="30050"/>
    <cellStyle name="Normal 4 3 2 5 3 2 2 2 2 3" xfId="45093"/>
    <cellStyle name="Normal 4 3 2 5 3 2 2 2 3" xfId="22529"/>
    <cellStyle name="Normal 4 3 2 5 3 2 2 2 4" xfId="37572"/>
    <cellStyle name="Normal 4 3 2 5 3 2 2 3" xfId="11257"/>
    <cellStyle name="Normal 4 3 2 5 3 2 2 3 2" xfId="26301"/>
    <cellStyle name="Normal 4 3 2 5 3 2 2 3 3" xfId="41344"/>
    <cellStyle name="Normal 4 3 2 5 3 2 2 4" xfId="18780"/>
    <cellStyle name="Normal 4 3 2 5 3 2 2 5" xfId="33823"/>
    <cellStyle name="Normal 4 3 2 5 3 2 3" xfId="5618"/>
    <cellStyle name="Normal 4 3 2 5 3 2 3 2" xfId="13141"/>
    <cellStyle name="Normal 4 3 2 5 3 2 3 2 2" xfId="28185"/>
    <cellStyle name="Normal 4 3 2 5 3 2 3 2 3" xfId="43228"/>
    <cellStyle name="Normal 4 3 2 5 3 2 3 3" xfId="20664"/>
    <cellStyle name="Normal 4 3 2 5 3 2 3 4" xfId="35707"/>
    <cellStyle name="Normal 4 3 2 5 3 2 4" xfId="9392"/>
    <cellStyle name="Normal 4 3 2 5 3 2 4 2" xfId="24436"/>
    <cellStyle name="Normal 4 3 2 5 3 2 4 3" xfId="39479"/>
    <cellStyle name="Normal 4 3 2 5 3 2 5" xfId="16915"/>
    <cellStyle name="Normal 4 3 2 5 3 2 6" xfId="31958"/>
    <cellStyle name="Normal 4 3 2 5 3 3" xfId="2756"/>
    <cellStyle name="Normal 4 3 2 5 3 3 2" xfId="6551"/>
    <cellStyle name="Normal 4 3 2 5 3 3 2 2" xfId="14074"/>
    <cellStyle name="Normal 4 3 2 5 3 3 2 2 2" xfId="29118"/>
    <cellStyle name="Normal 4 3 2 5 3 3 2 2 3" xfId="44161"/>
    <cellStyle name="Normal 4 3 2 5 3 3 2 3" xfId="21597"/>
    <cellStyle name="Normal 4 3 2 5 3 3 2 4" xfId="36640"/>
    <cellStyle name="Normal 4 3 2 5 3 3 3" xfId="10325"/>
    <cellStyle name="Normal 4 3 2 5 3 3 3 2" xfId="25369"/>
    <cellStyle name="Normal 4 3 2 5 3 3 3 3" xfId="40412"/>
    <cellStyle name="Normal 4 3 2 5 3 3 4" xfId="17848"/>
    <cellStyle name="Normal 4 3 2 5 3 3 5" xfId="32891"/>
    <cellStyle name="Normal 4 3 2 5 3 4" xfId="4686"/>
    <cellStyle name="Normal 4 3 2 5 3 4 2" xfId="12209"/>
    <cellStyle name="Normal 4 3 2 5 3 4 2 2" xfId="27253"/>
    <cellStyle name="Normal 4 3 2 5 3 4 2 3" xfId="42296"/>
    <cellStyle name="Normal 4 3 2 5 3 4 3" xfId="19732"/>
    <cellStyle name="Normal 4 3 2 5 3 4 4" xfId="34775"/>
    <cellStyle name="Normal 4 3 2 5 3 5" xfId="8460"/>
    <cellStyle name="Normal 4 3 2 5 3 5 2" xfId="23504"/>
    <cellStyle name="Normal 4 3 2 5 3 5 3" xfId="38547"/>
    <cellStyle name="Normal 4 3 2 5 3 6" xfId="15983"/>
    <cellStyle name="Normal 4 3 2 5 3 7" xfId="31026"/>
    <cellStyle name="Normal 4 3 2 5 4" xfId="1365"/>
    <cellStyle name="Normal 4 3 2 5 4 2" xfId="3236"/>
    <cellStyle name="Normal 4 3 2 5 4 2 2" xfId="7031"/>
    <cellStyle name="Normal 4 3 2 5 4 2 2 2" xfId="14554"/>
    <cellStyle name="Normal 4 3 2 5 4 2 2 2 2" xfId="29598"/>
    <cellStyle name="Normal 4 3 2 5 4 2 2 2 3" xfId="44641"/>
    <cellStyle name="Normal 4 3 2 5 4 2 2 3" xfId="22077"/>
    <cellStyle name="Normal 4 3 2 5 4 2 2 4" xfId="37120"/>
    <cellStyle name="Normal 4 3 2 5 4 2 3" xfId="10805"/>
    <cellStyle name="Normal 4 3 2 5 4 2 3 2" xfId="25849"/>
    <cellStyle name="Normal 4 3 2 5 4 2 3 3" xfId="40892"/>
    <cellStyle name="Normal 4 3 2 5 4 2 4" xfId="18328"/>
    <cellStyle name="Normal 4 3 2 5 4 2 5" xfId="33371"/>
    <cellStyle name="Normal 4 3 2 5 4 3" xfId="5166"/>
    <cellStyle name="Normal 4 3 2 5 4 3 2" xfId="12689"/>
    <cellStyle name="Normal 4 3 2 5 4 3 2 2" xfId="27733"/>
    <cellStyle name="Normal 4 3 2 5 4 3 2 3" xfId="42776"/>
    <cellStyle name="Normal 4 3 2 5 4 3 3" xfId="20212"/>
    <cellStyle name="Normal 4 3 2 5 4 3 4" xfId="35255"/>
    <cellStyle name="Normal 4 3 2 5 4 4" xfId="8940"/>
    <cellStyle name="Normal 4 3 2 5 4 4 2" xfId="23984"/>
    <cellStyle name="Normal 4 3 2 5 4 4 3" xfId="39027"/>
    <cellStyle name="Normal 4 3 2 5 4 5" xfId="16463"/>
    <cellStyle name="Normal 4 3 2 5 4 6" xfId="31506"/>
    <cellStyle name="Normal 4 3 2 5 5" xfId="2303"/>
    <cellStyle name="Normal 4 3 2 5 5 2" xfId="6099"/>
    <cellStyle name="Normal 4 3 2 5 5 2 2" xfId="13622"/>
    <cellStyle name="Normal 4 3 2 5 5 2 2 2" xfId="28666"/>
    <cellStyle name="Normal 4 3 2 5 5 2 2 3" xfId="43709"/>
    <cellStyle name="Normal 4 3 2 5 5 2 3" xfId="21145"/>
    <cellStyle name="Normal 4 3 2 5 5 2 4" xfId="36188"/>
    <cellStyle name="Normal 4 3 2 5 5 3" xfId="9873"/>
    <cellStyle name="Normal 4 3 2 5 5 3 2" xfId="24917"/>
    <cellStyle name="Normal 4 3 2 5 5 3 3" xfId="39960"/>
    <cellStyle name="Normal 4 3 2 5 5 4" xfId="17396"/>
    <cellStyle name="Normal 4 3 2 5 5 5" xfId="32439"/>
    <cellStyle name="Normal 4 3 2 5 6" xfId="4231"/>
    <cellStyle name="Normal 4 3 2 5 6 2" xfId="11755"/>
    <cellStyle name="Normal 4 3 2 5 6 2 2" xfId="26799"/>
    <cellStyle name="Normal 4 3 2 5 6 2 3" xfId="41842"/>
    <cellStyle name="Normal 4 3 2 5 6 3" xfId="19278"/>
    <cellStyle name="Normal 4 3 2 5 6 4" xfId="34321"/>
    <cellStyle name="Normal 4 3 2 5 7" xfId="7994"/>
    <cellStyle name="Normal 4 3 2 5 7 2" xfId="23038"/>
    <cellStyle name="Normal 4 3 2 5 7 3" xfId="38081"/>
    <cellStyle name="Normal 4 3 2 5 8" xfId="15517"/>
    <cellStyle name="Normal 4 3 2 5 9" xfId="30560"/>
    <cellStyle name="Normal 4 3 2 6" xfId="336"/>
    <cellStyle name="Normal 4 3 2 6 2" xfId="860"/>
    <cellStyle name="Normal 4 3 2 6 2 2" xfId="1819"/>
    <cellStyle name="Normal 4 3 2 6 2 2 2" xfId="3690"/>
    <cellStyle name="Normal 4 3 2 6 2 2 2 2" xfId="7485"/>
    <cellStyle name="Normal 4 3 2 6 2 2 2 2 2" xfId="15008"/>
    <cellStyle name="Normal 4 3 2 6 2 2 2 2 2 2" xfId="30052"/>
    <cellStyle name="Normal 4 3 2 6 2 2 2 2 2 3" xfId="45095"/>
    <cellStyle name="Normal 4 3 2 6 2 2 2 2 3" xfId="22531"/>
    <cellStyle name="Normal 4 3 2 6 2 2 2 2 4" xfId="37574"/>
    <cellStyle name="Normal 4 3 2 6 2 2 2 3" xfId="11259"/>
    <cellStyle name="Normal 4 3 2 6 2 2 2 3 2" xfId="26303"/>
    <cellStyle name="Normal 4 3 2 6 2 2 2 3 3" xfId="41346"/>
    <cellStyle name="Normal 4 3 2 6 2 2 2 4" xfId="18782"/>
    <cellStyle name="Normal 4 3 2 6 2 2 2 5" xfId="33825"/>
    <cellStyle name="Normal 4 3 2 6 2 2 3" xfId="5620"/>
    <cellStyle name="Normal 4 3 2 6 2 2 3 2" xfId="13143"/>
    <cellStyle name="Normal 4 3 2 6 2 2 3 2 2" xfId="28187"/>
    <cellStyle name="Normal 4 3 2 6 2 2 3 2 3" xfId="43230"/>
    <cellStyle name="Normal 4 3 2 6 2 2 3 3" xfId="20666"/>
    <cellStyle name="Normal 4 3 2 6 2 2 3 4" xfId="35709"/>
    <cellStyle name="Normal 4 3 2 6 2 2 4" xfId="9394"/>
    <cellStyle name="Normal 4 3 2 6 2 2 4 2" xfId="24438"/>
    <cellStyle name="Normal 4 3 2 6 2 2 4 3" xfId="39481"/>
    <cellStyle name="Normal 4 3 2 6 2 2 5" xfId="16917"/>
    <cellStyle name="Normal 4 3 2 6 2 2 6" xfId="31960"/>
    <cellStyle name="Normal 4 3 2 6 2 3" xfId="2758"/>
    <cellStyle name="Normal 4 3 2 6 2 3 2" xfId="6553"/>
    <cellStyle name="Normal 4 3 2 6 2 3 2 2" xfId="14076"/>
    <cellStyle name="Normal 4 3 2 6 2 3 2 2 2" xfId="29120"/>
    <cellStyle name="Normal 4 3 2 6 2 3 2 2 3" xfId="44163"/>
    <cellStyle name="Normal 4 3 2 6 2 3 2 3" xfId="21599"/>
    <cellStyle name="Normal 4 3 2 6 2 3 2 4" xfId="36642"/>
    <cellStyle name="Normal 4 3 2 6 2 3 3" xfId="10327"/>
    <cellStyle name="Normal 4 3 2 6 2 3 3 2" xfId="25371"/>
    <cellStyle name="Normal 4 3 2 6 2 3 3 3" xfId="40414"/>
    <cellStyle name="Normal 4 3 2 6 2 3 4" xfId="17850"/>
    <cellStyle name="Normal 4 3 2 6 2 3 5" xfId="32893"/>
    <cellStyle name="Normal 4 3 2 6 2 4" xfId="4688"/>
    <cellStyle name="Normal 4 3 2 6 2 4 2" xfId="12211"/>
    <cellStyle name="Normal 4 3 2 6 2 4 2 2" xfId="27255"/>
    <cellStyle name="Normal 4 3 2 6 2 4 2 3" xfId="42298"/>
    <cellStyle name="Normal 4 3 2 6 2 4 3" xfId="19734"/>
    <cellStyle name="Normal 4 3 2 6 2 4 4" xfId="34777"/>
    <cellStyle name="Normal 4 3 2 6 2 5" xfId="8462"/>
    <cellStyle name="Normal 4 3 2 6 2 5 2" xfId="23506"/>
    <cellStyle name="Normal 4 3 2 6 2 5 3" xfId="38549"/>
    <cellStyle name="Normal 4 3 2 6 2 6" xfId="15985"/>
    <cellStyle name="Normal 4 3 2 6 2 7" xfId="31028"/>
    <cellStyle name="Normal 4 3 2 6 3" xfId="1367"/>
    <cellStyle name="Normal 4 3 2 6 3 2" xfId="3238"/>
    <cellStyle name="Normal 4 3 2 6 3 2 2" xfId="7033"/>
    <cellStyle name="Normal 4 3 2 6 3 2 2 2" xfId="14556"/>
    <cellStyle name="Normal 4 3 2 6 3 2 2 2 2" xfId="29600"/>
    <cellStyle name="Normal 4 3 2 6 3 2 2 2 3" xfId="44643"/>
    <cellStyle name="Normal 4 3 2 6 3 2 2 3" xfId="22079"/>
    <cellStyle name="Normal 4 3 2 6 3 2 2 4" xfId="37122"/>
    <cellStyle name="Normal 4 3 2 6 3 2 3" xfId="10807"/>
    <cellStyle name="Normal 4 3 2 6 3 2 3 2" xfId="25851"/>
    <cellStyle name="Normal 4 3 2 6 3 2 3 3" xfId="40894"/>
    <cellStyle name="Normal 4 3 2 6 3 2 4" xfId="18330"/>
    <cellStyle name="Normal 4 3 2 6 3 2 5" xfId="33373"/>
    <cellStyle name="Normal 4 3 2 6 3 3" xfId="5168"/>
    <cellStyle name="Normal 4 3 2 6 3 3 2" xfId="12691"/>
    <cellStyle name="Normal 4 3 2 6 3 3 2 2" xfId="27735"/>
    <cellStyle name="Normal 4 3 2 6 3 3 2 3" xfId="42778"/>
    <cellStyle name="Normal 4 3 2 6 3 3 3" xfId="20214"/>
    <cellStyle name="Normal 4 3 2 6 3 3 4" xfId="35257"/>
    <cellStyle name="Normal 4 3 2 6 3 4" xfId="8942"/>
    <cellStyle name="Normal 4 3 2 6 3 4 2" xfId="23986"/>
    <cellStyle name="Normal 4 3 2 6 3 4 3" xfId="39029"/>
    <cellStyle name="Normal 4 3 2 6 3 5" xfId="16465"/>
    <cellStyle name="Normal 4 3 2 6 3 6" xfId="31508"/>
    <cellStyle name="Normal 4 3 2 6 4" xfId="2305"/>
    <cellStyle name="Normal 4 3 2 6 4 2" xfId="6101"/>
    <cellStyle name="Normal 4 3 2 6 4 2 2" xfId="13624"/>
    <cellStyle name="Normal 4 3 2 6 4 2 2 2" xfId="28668"/>
    <cellStyle name="Normal 4 3 2 6 4 2 2 3" xfId="43711"/>
    <cellStyle name="Normal 4 3 2 6 4 2 3" xfId="21147"/>
    <cellStyle name="Normal 4 3 2 6 4 2 4" xfId="36190"/>
    <cellStyle name="Normal 4 3 2 6 4 3" xfId="9875"/>
    <cellStyle name="Normal 4 3 2 6 4 3 2" xfId="24919"/>
    <cellStyle name="Normal 4 3 2 6 4 3 3" xfId="39962"/>
    <cellStyle name="Normal 4 3 2 6 4 4" xfId="17398"/>
    <cellStyle name="Normal 4 3 2 6 4 5" xfId="32441"/>
    <cellStyle name="Normal 4 3 2 6 5" xfId="4233"/>
    <cellStyle name="Normal 4 3 2 6 5 2" xfId="11757"/>
    <cellStyle name="Normal 4 3 2 6 5 2 2" xfId="26801"/>
    <cellStyle name="Normal 4 3 2 6 5 2 3" xfId="41844"/>
    <cellStyle name="Normal 4 3 2 6 5 3" xfId="19280"/>
    <cellStyle name="Normal 4 3 2 6 5 4" xfId="34323"/>
    <cellStyle name="Normal 4 3 2 6 6" xfId="7996"/>
    <cellStyle name="Normal 4 3 2 6 6 2" xfId="23040"/>
    <cellStyle name="Normal 4 3 2 6 6 3" xfId="38083"/>
    <cellStyle name="Normal 4 3 2 6 7" xfId="15519"/>
    <cellStyle name="Normal 4 3 2 6 8" xfId="30562"/>
    <cellStyle name="Normal 4 3 2 7" xfId="839"/>
    <cellStyle name="Normal 4 3 2 7 2" xfId="1798"/>
    <cellStyle name="Normal 4 3 2 7 2 2" xfId="3669"/>
    <cellStyle name="Normal 4 3 2 7 2 2 2" xfId="7464"/>
    <cellStyle name="Normal 4 3 2 7 2 2 2 2" xfId="14987"/>
    <cellStyle name="Normal 4 3 2 7 2 2 2 2 2" xfId="30031"/>
    <cellStyle name="Normal 4 3 2 7 2 2 2 2 3" xfId="45074"/>
    <cellStyle name="Normal 4 3 2 7 2 2 2 3" xfId="22510"/>
    <cellStyle name="Normal 4 3 2 7 2 2 2 4" xfId="37553"/>
    <cellStyle name="Normal 4 3 2 7 2 2 3" xfId="11238"/>
    <cellStyle name="Normal 4 3 2 7 2 2 3 2" xfId="26282"/>
    <cellStyle name="Normal 4 3 2 7 2 2 3 3" xfId="41325"/>
    <cellStyle name="Normal 4 3 2 7 2 2 4" xfId="18761"/>
    <cellStyle name="Normal 4 3 2 7 2 2 5" xfId="33804"/>
    <cellStyle name="Normal 4 3 2 7 2 3" xfId="5599"/>
    <cellStyle name="Normal 4 3 2 7 2 3 2" xfId="13122"/>
    <cellStyle name="Normal 4 3 2 7 2 3 2 2" xfId="28166"/>
    <cellStyle name="Normal 4 3 2 7 2 3 2 3" xfId="43209"/>
    <cellStyle name="Normal 4 3 2 7 2 3 3" xfId="20645"/>
    <cellStyle name="Normal 4 3 2 7 2 3 4" xfId="35688"/>
    <cellStyle name="Normal 4 3 2 7 2 4" xfId="9373"/>
    <cellStyle name="Normal 4 3 2 7 2 4 2" xfId="24417"/>
    <cellStyle name="Normal 4 3 2 7 2 4 3" xfId="39460"/>
    <cellStyle name="Normal 4 3 2 7 2 5" xfId="16896"/>
    <cellStyle name="Normal 4 3 2 7 2 6" xfId="31939"/>
    <cellStyle name="Normal 4 3 2 7 3" xfId="2737"/>
    <cellStyle name="Normal 4 3 2 7 3 2" xfId="6532"/>
    <cellStyle name="Normal 4 3 2 7 3 2 2" xfId="14055"/>
    <cellStyle name="Normal 4 3 2 7 3 2 2 2" xfId="29099"/>
    <cellStyle name="Normal 4 3 2 7 3 2 2 3" xfId="44142"/>
    <cellStyle name="Normal 4 3 2 7 3 2 3" xfId="21578"/>
    <cellStyle name="Normal 4 3 2 7 3 2 4" xfId="36621"/>
    <cellStyle name="Normal 4 3 2 7 3 3" xfId="10306"/>
    <cellStyle name="Normal 4 3 2 7 3 3 2" xfId="25350"/>
    <cellStyle name="Normal 4 3 2 7 3 3 3" xfId="40393"/>
    <cellStyle name="Normal 4 3 2 7 3 4" xfId="17829"/>
    <cellStyle name="Normal 4 3 2 7 3 5" xfId="32872"/>
    <cellStyle name="Normal 4 3 2 7 4" xfId="4667"/>
    <cellStyle name="Normal 4 3 2 7 4 2" xfId="12190"/>
    <cellStyle name="Normal 4 3 2 7 4 2 2" xfId="27234"/>
    <cellStyle name="Normal 4 3 2 7 4 2 3" xfId="42277"/>
    <cellStyle name="Normal 4 3 2 7 4 3" xfId="19713"/>
    <cellStyle name="Normal 4 3 2 7 4 4" xfId="34756"/>
    <cellStyle name="Normal 4 3 2 7 5" xfId="8441"/>
    <cellStyle name="Normal 4 3 2 7 5 2" xfId="23485"/>
    <cellStyle name="Normal 4 3 2 7 5 3" xfId="38528"/>
    <cellStyle name="Normal 4 3 2 7 6" xfId="15964"/>
    <cellStyle name="Normal 4 3 2 7 7" xfId="31007"/>
    <cellStyle name="Normal 4 3 2 8" xfId="1346"/>
    <cellStyle name="Normal 4 3 2 8 2" xfId="3217"/>
    <cellStyle name="Normal 4 3 2 8 2 2" xfId="7012"/>
    <cellStyle name="Normal 4 3 2 8 2 2 2" xfId="14535"/>
    <cellStyle name="Normal 4 3 2 8 2 2 2 2" xfId="29579"/>
    <cellStyle name="Normal 4 3 2 8 2 2 2 3" xfId="44622"/>
    <cellStyle name="Normal 4 3 2 8 2 2 3" xfId="22058"/>
    <cellStyle name="Normal 4 3 2 8 2 2 4" xfId="37101"/>
    <cellStyle name="Normal 4 3 2 8 2 3" xfId="10786"/>
    <cellStyle name="Normal 4 3 2 8 2 3 2" xfId="25830"/>
    <cellStyle name="Normal 4 3 2 8 2 3 3" xfId="40873"/>
    <cellStyle name="Normal 4 3 2 8 2 4" xfId="18309"/>
    <cellStyle name="Normal 4 3 2 8 2 5" xfId="33352"/>
    <cellStyle name="Normal 4 3 2 8 3" xfId="5147"/>
    <cellStyle name="Normal 4 3 2 8 3 2" xfId="12670"/>
    <cellStyle name="Normal 4 3 2 8 3 2 2" xfId="27714"/>
    <cellStyle name="Normal 4 3 2 8 3 2 3" xfId="42757"/>
    <cellStyle name="Normal 4 3 2 8 3 3" xfId="20193"/>
    <cellStyle name="Normal 4 3 2 8 3 4" xfId="35236"/>
    <cellStyle name="Normal 4 3 2 8 4" xfId="8921"/>
    <cellStyle name="Normal 4 3 2 8 4 2" xfId="23965"/>
    <cellStyle name="Normal 4 3 2 8 4 3" xfId="39008"/>
    <cellStyle name="Normal 4 3 2 8 5" xfId="16444"/>
    <cellStyle name="Normal 4 3 2 8 6" xfId="31487"/>
    <cellStyle name="Normal 4 3 2 9" xfId="2284"/>
    <cellStyle name="Normal 4 3 2 9 2" xfId="6080"/>
    <cellStyle name="Normal 4 3 2 9 2 2" xfId="13603"/>
    <cellStyle name="Normal 4 3 2 9 2 2 2" xfId="28647"/>
    <cellStyle name="Normal 4 3 2 9 2 2 3" xfId="43690"/>
    <cellStyle name="Normal 4 3 2 9 2 3" xfId="21126"/>
    <cellStyle name="Normal 4 3 2 9 2 4" xfId="36169"/>
    <cellStyle name="Normal 4 3 2 9 3" xfId="9854"/>
    <cellStyle name="Normal 4 3 2 9 3 2" xfId="24898"/>
    <cellStyle name="Normal 4 3 2 9 3 3" xfId="39941"/>
    <cellStyle name="Normal 4 3 2 9 4" xfId="17377"/>
    <cellStyle name="Normal 4 3 2 9 5" xfId="32420"/>
    <cellStyle name="Normal 4 3 3" xfId="337"/>
    <cellStyle name="Normal 4 3 3 10" xfId="7997"/>
    <cellStyle name="Normal 4 3 3 10 2" xfId="23041"/>
    <cellStyle name="Normal 4 3 3 10 3" xfId="38084"/>
    <cellStyle name="Normal 4 3 3 11" xfId="15520"/>
    <cellStyle name="Normal 4 3 3 12" xfId="30563"/>
    <cellStyle name="Normal 4 3 3 2" xfId="338"/>
    <cellStyle name="Normal 4 3 3 2 10" xfId="15521"/>
    <cellStyle name="Normal 4 3 3 2 11" xfId="30564"/>
    <cellStyle name="Normal 4 3 3 2 2" xfId="339"/>
    <cellStyle name="Normal 4 3 3 2 2 2" xfId="340"/>
    <cellStyle name="Normal 4 3 3 2 2 2 2" xfId="864"/>
    <cellStyle name="Normal 4 3 3 2 2 2 2 2" xfId="1823"/>
    <cellStyle name="Normal 4 3 3 2 2 2 2 2 2" xfId="3694"/>
    <cellStyle name="Normal 4 3 3 2 2 2 2 2 2 2" xfId="7489"/>
    <cellStyle name="Normal 4 3 3 2 2 2 2 2 2 2 2" xfId="15012"/>
    <cellStyle name="Normal 4 3 3 2 2 2 2 2 2 2 2 2" xfId="30056"/>
    <cellStyle name="Normal 4 3 3 2 2 2 2 2 2 2 2 3" xfId="45099"/>
    <cellStyle name="Normal 4 3 3 2 2 2 2 2 2 2 3" xfId="22535"/>
    <cellStyle name="Normal 4 3 3 2 2 2 2 2 2 2 4" xfId="37578"/>
    <cellStyle name="Normal 4 3 3 2 2 2 2 2 2 3" xfId="11263"/>
    <cellStyle name="Normal 4 3 3 2 2 2 2 2 2 3 2" xfId="26307"/>
    <cellStyle name="Normal 4 3 3 2 2 2 2 2 2 3 3" xfId="41350"/>
    <cellStyle name="Normal 4 3 3 2 2 2 2 2 2 4" xfId="18786"/>
    <cellStyle name="Normal 4 3 3 2 2 2 2 2 2 5" xfId="33829"/>
    <cellStyle name="Normal 4 3 3 2 2 2 2 2 3" xfId="5624"/>
    <cellStyle name="Normal 4 3 3 2 2 2 2 2 3 2" xfId="13147"/>
    <cellStyle name="Normal 4 3 3 2 2 2 2 2 3 2 2" xfId="28191"/>
    <cellStyle name="Normal 4 3 3 2 2 2 2 2 3 2 3" xfId="43234"/>
    <cellStyle name="Normal 4 3 3 2 2 2 2 2 3 3" xfId="20670"/>
    <cellStyle name="Normal 4 3 3 2 2 2 2 2 3 4" xfId="35713"/>
    <cellStyle name="Normal 4 3 3 2 2 2 2 2 4" xfId="9398"/>
    <cellStyle name="Normal 4 3 3 2 2 2 2 2 4 2" xfId="24442"/>
    <cellStyle name="Normal 4 3 3 2 2 2 2 2 4 3" xfId="39485"/>
    <cellStyle name="Normal 4 3 3 2 2 2 2 2 5" xfId="16921"/>
    <cellStyle name="Normal 4 3 3 2 2 2 2 2 6" xfId="31964"/>
    <cellStyle name="Normal 4 3 3 2 2 2 2 3" xfId="2762"/>
    <cellStyle name="Normal 4 3 3 2 2 2 2 3 2" xfId="6557"/>
    <cellStyle name="Normal 4 3 3 2 2 2 2 3 2 2" xfId="14080"/>
    <cellStyle name="Normal 4 3 3 2 2 2 2 3 2 2 2" xfId="29124"/>
    <cellStyle name="Normal 4 3 3 2 2 2 2 3 2 2 3" xfId="44167"/>
    <cellStyle name="Normal 4 3 3 2 2 2 2 3 2 3" xfId="21603"/>
    <cellStyle name="Normal 4 3 3 2 2 2 2 3 2 4" xfId="36646"/>
    <cellStyle name="Normal 4 3 3 2 2 2 2 3 3" xfId="10331"/>
    <cellStyle name="Normal 4 3 3 2 2 2 2 3 3 2" xfId="25375"/>
    <cellStyle name="Normal 4 3 3 2 2 2 2 3 3 3" xfId="40418"/>
    <cellStyle name="Normal 4 3 3 2 2 2 2 3 4" xfId="17854"/>
    <cellStyle name="Normal 4 3 3 2 2 2 2 3 5" xfId="32897"/>
    <cellStyle name="Normal 4 3 3 2 2 2 2 4" xfId="4692"/>
    <cellStyle name="Normal 4 3 3 2 2 2 2 4 2" xfId="12215"/>
    <cellStyle name="Normal 4 3 3 2 2 2 2 4 2 2" xfId="27259"/>
    <cellStyle name="Normal 4 3 3 2 2 2 2 4 2 3" xfId="42302"/>
    <cellStyle name="Normal 4 3 3 2 2 2 2 4 3" xfId="19738"/>
    <cellStyle name="Normal 4 3 3 2 2 2 2 4 4" xfId="34781"/>
    <cellStyle name="Normal 4 3 3 2 2 2 2 5" xfId="8466"/>
    <cellStyle name="Normal 4 3 3 2 2 2 2 5 2" xfId="23510"/>
    <cellStyle name="Normal 4 3 3 2 2 2 2 5 3" xfId="38553"/>
    <cellStyle name="Normal 4 3 3 2 2 2 2 6" xfId="15989"/>
    <cellStyle name="Normal 4 3 3 2 2 2 2 7" xfId="31032"/>
    <cellStyle name="Normal 4 3 3 2 2 2 3" xfId="1371"/>
    <cellStyle name="Normal 4 3 3 2 2 2 3 2" xfId="3242"/>
    <cellStyle name="Normal 4 3 3 2 2 2 3 2 2" xfId="7037"/>
    <cellStyle name="Normal 4 3 3 2 2 2 3 2 2 2" xfId="14560"/>
    <cellStyle name="Normal 4 3 3 2 2 2 3 2 2 2 2" xfId="29604"/>
    <cellStyle name="Normal 4 3 3 2 2 2 3 2 2 2 3" xfId="44647"/>
    <cellStyle name="Normal 4 3 3 2 2 2 3 2 2 3" xfId="22083"/>
    <cellStyle name="Normal 4 3 3 2 2 2 3 2 2 4" xfId="37126"/>
    <cellStyle name="Normal 4 3 3 2 2 2 3 2 3" xfId="10811"/>
    <cellStyle name="Normal 4 3 3 2 2 2 3 2 3 2" xfId="25855"/>
    <cellStyle name="Normal 4 3 3 2 2 2 3 2 3 3" xfId="40898"/>
    <cellStyle name="Normal 4 3 3 2 2 2 3 2 4" xfId="18334"/>
    <cellStyle name="Normal 4 3 3 2 2 2 3 2 5" xfId="33377"/>
    <cellStyle name="Normal 4 3 3 2 2 2 3 3" xfId="5172"/>
    <cellStyle name="Normal 4 3 3 2 2 2 3 3 2" xfId="12695"/>
    <cellStyle name="Normal 4 3 3 2 2 2 3 3 2 2" xfId="27739"/>
    <cellStyle name="Normal 4 3 3 2 2 2 3 3 2 3" xfId="42782"/>
    <cellStyle name="Normal 4 3 3 2 2 2 3 3 3" xfId="20218"/>
    <cellStyle name="Normal 4 3 3 2 2 2 3 3 4" xfId="35261"/>
    <cellStyle name="Normal 4 3 3 2 2 2 3 4" xfId="8946"/>
    <cellStyle name="Normal 4 3 3 2 2 2 3 4 2" xfId="23990"/>
    <cellStyle name="Normal 4 3 3 2 2 2 3 4 3" xfId="39033"/>
    <cellStyle name="Normal 4 3 3 2 2 2 3 5" xfId="16469"/>
    <cellStyle name="Normal 4 3 3 2 2 2 3 6" xfId="31512"/>
    <cellStyle name="Normal 4 3 3 2 2 2 4" xfId="2309"/>
    <cellStyle name="Normal 4 3 3 2 2 2 4 2" xfId="6105"/>
    <cellStyle name="Normal 4 3 3 2 2 2 4 2 2" xfId="13628"/>
    <cellStyle name="Normal 4 3 3 2 2 2 4 2 2 2" xfId="28672"/>
    <cellStyle name="Normal 4 3 3 2 2 2 4 2 2 3" xfId="43715"/>
    <cellStyle name="Normal 4 3 3 2 2 2 4 2 3" xfId="21151"/>
    <cellStyle name="Normal 4 3 3 2 2 2 4 2 4" xfId="36194"/>
    <cellStyle name="Normal 4 3 3 2 2 2 4 3" xfId="9879"/>
    <cellStyle name="Normal 4 3 3 2 2 2 4 3 2" xfId="24923"/>
    <cellStyle name="Normal 4 3 3 2 2 2 4 3 3" xfId="39966"/>
    <cellStyle name="Normal 4 3 3 2 2 2 4 4" xfId="17402"/>
    <cellStyle name="Normal 4 3 3 2 2 2 4 5" xfId="32445"/>
    <cellStyle name="Normal 4 3 3 2 2 2 5" xfId="4237"/>
    <cellStyle name="Normal 4 3 3 2 2 2 5 2" xfId="11761"/>
    <cellStyle name="Normal 4 3 3 2 2 2 5 2 2" xfId="26805"/>
    <cellStyle name="Normal 4 3 3 2 2 2 5 2 3" xfId="41848"/>
    <cellStyle name="Normal 4 3 3 2 2 2 5 3" xfId="19284"/>
    <cellStyle name="Normal 4 3 3 2 2 2 5 4" xfId="34327"/>
    <cellStyle name="Normal 4 3 3 2 2 2 6" xfId="8000"/>
    <cellStyle name="Normal 4 3 3 2 2 2 6 2" xfId="23044"/>
    <cellStyle name="Normal 4 3 3 2 2 2 6 3" xfId="38087"/>
    <cellStyle name="Normal 4 3 3 2 2 2 7" xfId="15523"/>
    <cellStyle name="Normal 4 3 3 2 2 2 8" xfId="30566"/>
    <cellStyle name="Normal 4 3 3 2 2 3" xfId="863"/>
    <cellStyle name="Normal 4 3 3 2 2 3 2" xfId="1822"/>
    <cellStyle name="Normal 4 3 3 2 2 3 2 2" xfId="3693"/>
    <cellStyle name="Normal 4 3 3 2 2 3 2 2 2" xfId="7488"/>
    <cellStyle name="Normal 4 3 3 2 2 3 2 2 2 2" xfId="15011"/>
    <cellStyle name="Normal 4 3 3 2 2 3 2 2 2 2 2" xfId="30055"/>
    <cellStyle name="Normal 4 3 3 2 2 3 2 2 2 2 3" xfId="45098"/>
    <cellStyle name="Normal 4 3 3 2 2 3 2 2 2 3" xfId="22534"/>
    <cellStyle name="Normal 4 3 3 2 2 3 2 2 2 4" xfId="37577"/>
    <cellStyle name="Normal 4 3 3 2 2 3 2 2 3" xfId="11262"/>
    <cellStyle name="Normal 4 3 3 2 2 3 2 2 3 2" xfId="26306"/>
    <cellStyle name="Normal 4 3 3 2 2 3 2 2 3 3" xfId="41349"/>
    <cellStyle name="Normal 4 3 3 2 2 3 2 2 4" xfId="18785"/>
    <cellStyle name="Normal 4 3 3 2 2 3 2 2 5" xfId="33828"/>
    <cellStyle name="Normal 4 3 3 2 2 3 2 3" xfId="5623"/>
    <cellStyle name="Normal 4 3 3 2 2 3 2 3 2" xfId="13146"/>
    <cellStyle name="Normal 4 3 3 2 2 3 2 3 2 2" xfId="28190"/>
    <cellStyle name="Normal 4 3 3 2 2 3 2 3 2 3" xfId="43233"/>
    <cellStyle name="Normal 4 3 3 2 2 3 2 3 3" xfId="20669"/>
    <cellStyle name="Normal 4 3 3 2 2 3 2 3 4" xfId="35712"/>
    <cellStyle name="Normal 4 3 3 2 2 3 2 4" xfId="9397"/>
    <cellStyle name="Normal 4 3 3 2 2 3 2 4 2" xfId="24441"/>
    <cellStyle name="Normal 4 3 3 2 2 3 2 4 3" xfId="39484"/>
    <cellStyle name="Normal 4 3 3 2 2 3 2 5" xfId="16920"/>
    <cellStyle name="Normal 4 3 3 2 2 3 2 6" xfId="31963"/>
    <cellStyle name="Normal 4 3 3 2 2 3 3" xfId="2761"/>
    <cellStyle name="Normal 4 3 3 2 2 3 3 2" xfId="6556"/>
    <cellStyle name="Normal 4 3 3 2 2 3 3 2 2" xfId="14079"/>
    <cellStyle name="Normal 4 3 3 2 2 3 3 2 2 2" xfId="29123"/>
    <cellStyle name="Normal 4 3 3 2 2 3 3 2 2 3" xfId="44166"/>
    <cellStyle name="Normal 4 3 3 2 2 3 3 2 3" xfId="21602"/>
    <cellStyle name="Normal 4 3 3 2 2 3 3 2 4" xfId="36645"/>
    <cellStyle name="Normal 4 3 3 2 2 3 3 3" xfId="10330"/>
    <cellStyle name="Normal 4 3 3 2 2 3 3 3 2" xfId="25374"/>
    <cellStyle name="Normal 4 3 3 2 2 3 3 3 3" xfId="40417"/>
    <cellStyle name="Normal 4 3 3 2 2 3 3 4" xfId="17853"/>
    <cellStyle name="Normal 4 3 3 2 2 3 3 5" xfId="32896"/>
    <cellStyle name="Normal 4 3 3 2 2 3 4" xfId="4691"/>
    <cellStyle name="Normal 4 3 3 2 2 3 4 2" xfId="12214"/>
    <cellStyle name="Normal 4 3 3 2 2 3 4 2 2" xfId="27258"/>
    <cellStyle name="Normal 4 3 3 2 2 3 4 2 3" xfId="42301"/>
    <cellStyle name="Normal 4 3 3 2 2 3 4 3" xfId="19737"/>
    <cellStyle name="Normal 4 3 3 2 2 3 4 4" xfId="34780"/>
    <cellStyle name="Normal 4 3 3 2 2 3 5" xfId="8465"/>
    <cellStyle name="Normal 4 3 3 2 2 3 5 2" xfId="23509"/>
    <cellStyle name="Normal 4 3 3 2 2 3 5 3" xfId="38552"/>
    <cellStyle name="Normal 4 3 3 2 2 3 6" xfId="15988"/>
    <cellStyle name="Normal 4 3 3 2 2 3 7" xfId="31031"/>
    <cellStyle name="Normal 4 3 3 2 2 4" xfId="1370"/>
    <cellStyle name="Normal 4 3 3 2 2 4 2" xfId="3241"/>
    <cellStyle name="Normal 4 3 3 2 2 4 2 2" xfId="7036"/>
    <cellStyle name="Normal 4 3 3 2 2 4 2 2 2" xfId="14559"/>
    <cellStyle name="Normal 4 3 3 2 2 4 2 2 2 2" xfId="29603"/>
    <cellStyle name="Normal 4 3 3 2 2 4 2 2 2 3" xfId="44646"/>
    <cellStyle name="Normal 4 3 3 2 2 4 2 2 3" xfId="22082"/>
    <cellStyle name="Normal 4 3 3 2 2 4 2 2 4" xfId="37125"/>
    <cellStyle name="Normal 4 3 3 2 2 4 2 3" xfId="10810"/>
    <cellStyle name="Normal 4 3 3 2 2 4 2 3 2" xfId="25854"/>
    <cellStyle name="Normal 4 3 3 2 2 4 2 3 3" xfId="40897"/>
    <cellStyle name="Normal 4 3 3 2 2 4 2 4" xfId="18333"/>
    <cellStyle name="Normal 4 3 3 2 2 4 2 5" xfId="33376"/>
    <cellStyle name="Normal 4 3 3 2 2 4 3" xfId="5171"/>
    <cellStyle name="Normal 4 3 3 2 2 4 3 2" xfId="12694"/>
    <cellStyle name="Normal 4 3 3 2 2 4 3 2 2" xfId="27738"/>
    <cellStyle name="Normal 4 3 3 2 2 4 3 2 3" xfId="42781"/>
    <cellStyle name="Normal 4 3 3 2 2 4 3 3" xfId="20217"/>
    <cellStyle name="Normal 4 3 3 2 2 4 3 4" xfId="35260"/>
    <cellStyle name="Normal 4 3 3 2 2 4 4" xfId="8945"/>
    <cellStyle name="Normal 4 3 3 2 2 4 4 2" xfId="23989"/>
    <cellStyle name="Normal 4 3 3 2 2 4 4 3" xfId="39032"/>
    <cellStyle name="Normal 4 3 3 2 2 4 5" xfId="16468"/>
    <cellStyle name="Normal 4 3 3 2 2 4 6" xfId="31511"/>
    <cellStyle name="Normal 4 3 3 2 2 5" xfId="2308"/>
    <cellStyle name="Normal 4 3 3 2 2 5 2" xfId="6104"/>
    <cellStyle name="Normal 4 3 3 2 2 5 2 2" xfId="13627"/>
    <cellStyle name="Normal 4 3 3 2 2 5 2 2 2" xfId="28671"/>
    <cellStyle name="Normal 4 3 3 2 2 5 2 2 3" xfId="43714"/>
    <cellStyle name="Normal 4 3 3 2 2 5 2 3" xfId="21150"/>
    <cellStyle name="Normal 4 3 3 2 2 5 2 4" xfId="36193"/>
    <cellStyle name="Normal 4 3 3 2 2 5 3" xfId="9878"/>
    <cellStyle name="Normal 4 3 3 2 2 5 3 2" xfId="24922"/>
    <cellStyle name="Normal 4 3 3 2 2 5 3 3" xfId="39965"/>
    <cellStyle name="Normal 4 3 3 2 2 5 4" xfId="17401"/>
    <cellStyle name="Normal 4 3 3 2 2 5 5" xfId="32444"/>
    <cellStyle name="Normal 4 3 3 2 2 6" xfId="4236"/>
    <cellStyle name="Normal 4 3 3 2 2 6 2" xfId="11760"/>
    <cellStyle name="Normal 4 3 3 2 2 6 2 2" xfId="26804"/>
    <cellStyle name="Normal 4 3 3 2 2 6 2 3" xfId="41847"/>
    <cellStyle name="Normal 4 3 3 2 2 6 3" xfId="19283"/>
    <cellStyle name="Normal 4 3 3 2 2 6 4" xfId="34326"/>
    <cellStyle name="Normal 4 3 3 2 2 7" xfId="7999"/>
    <cellStyle name="Normal 4 3 3 2 2 7 2" xfId="23043"/>
    <cellStyle name="Normal 4 3 3 2 2 7 3" xfId="38086"/>
    <cellStyle name="Normal 4 3 3 2 2 8" xfId="15522"/>
    <cellStyle name="Normal 4 3 3 2 2 9" xfId="30565"/>
    <cellStyle name="Normal 4 3 3 2 3" xfId="341"/>
    <cellStyle name="Normal 4 3 3 2 3 2" xfId="342"/>
    <cellStyle name="Normal 4 3 3 2 3 2 2" xfId="866"/>
    <cellStyle name="Normal 4 3 3 2 3 2 2 2" xfId="1825"/>
    <cellStyle name="Normal 4 3 3 2 3 2 2 2 2" xfId="3696"/>
    <cellStyle name="Normal 4 3 3 2 3 2 2 2 2 2" xfId="7491"/>
    <cellStyle name="Normal 4 3 3 2 3 2 2 2 2 2 2" xfId="15014"/>
    <cellStyle name="Normal 4 3 3 2 3 2 2 2 2 2 2 2" xfId="30058"/>
    <cellStyle name="Normal 4 3 3 2 3 2 2 2 2 2 2 3" xfId="45101"/>
    <cellStyle name="Normal 4 3 3 2 3 2 2 2 2 2 3" xfId="22537"/>
    <cellStyle name="Normal 4 3 3 2 3 2 2 2 2 2 4" xfId="37580"/>
    <cellStyle name="Normal 4 3 3 2 3 2 2 2 2 3" xfId="11265"/>
    <cellStyle name="Normal 4 3 3 2 3 2 2 2 2 3 2" xfId="26309"/>
    <cellStyle name="Normal 4 3 3 2 3 2 2 2 2 3 3" xfId="41352"/>
    <cellStyle name="Normal 4 3 3 2 3 2 2 2 2 4" xfId="18788"/>
    <cellStyle name="Normal 4 3 3 2 3 2 2 2 2 5" xfId="33831"/>
    <cellStyle name="Normal 4 3 3 2 3 2 2 2 3" xfId="5626"/>
    <cellStyle name="Normal 4 3 3 2 3 2 2 2 3 2" xfId="13149"/>
    <cellStyle name="Normal 4 3 3 2 3 2 2 2 3 2 2" xfId="28193"/>
    <cellStyle name="Normal 4 3 3 2 3 2 2 2 3 2 3" xfId="43236"/>
    <cellStyle name="Normal 4 3 3 2 3 2 2 2 3 3" xfId="20672"/>
    <cellStyle name="Normal 4 3 3 2 3 2 2 2 3 4" xfId="35715"/>
    <cellStyle name="Normal 4 3 3 2 3 2 2 2 4" xfId="9400"/>
    <cellStyle name="Normal 4 3 3 2 3 2 2 2 4 2" xfId="24444"/>
    <cellStyle name="Normal 4 3 3 2 3 2 2 2 4 3" xfId="39487"/>
    <cellStyle name="Normal 4 3 3 2 3 2 2 2 5" xfId="16923"/>
    <cellStyle name="Normal 4 3 3 2 3 2 2 2 6" xfId="31966"/>
    <cellStyle name="Normal 4 3 3 2 3 2 2 3" xfId="2764"/>
    <cellStyle name="Normal 4 3 3 2 3 2 2 3 2" xfId="6559"/>
    <cellStyle name="Normal 4 3 3 2 3 2 2 3 2 2" xfId="14082"/>
    <cellStyle name="Normal 4 3 3 2 3 2 2 3 2 2 2" xfId="29126"/>
    <cellStyle name="Normal 4 3 3 2 3 2 2 3 2 2 3" xfId="44169"/>
    <cellStyle name="Normal 4 3 3 2 3 2 2 3 2 3" xfId="21605"/>
    <cellStyle name="Normal 4 3 3 2 3 2 2 3 2 4" xfId="36648"/>
    <cellStyle name="Normal 4 3 3 2 3 2 2 3 3" xfId="10333"/>
    <cellStyle name="Normal 4 3 3 2 3 2 2 3 3 2" xfId="25377"/>
    <cellStyle name="Normal 4 3 3 2 3 2 2 3 3 3" xfId="40420"/>
    <cellStyle name="Normal 4 3 3 2 3 2 2 3 4" xfId="17856"/>
    <cellStyle name="Normal 4 3 3 2 3 2 2 3 5" xfId="32899"/>
    <cellStyle name="Normal 4 3 3 2 3 2 2 4" xfId="4694"/>
    <cellStyle name="Normal 4 3 3 2 3 2 2 4 2" xfId="12217"/>
    <cellStyle name="Normal 4 3 3 2 3 2 2 4 2 2" xfId="27261"/>
    <cellStyle name="Normal 4 3 3 2 3 2 2 4 2 3" xfId="42304"/>
    <cellStyle name="Normal 4 3 3 2 3 2 2 4 3" xfId="19740"/>
    <cellStyle name="Normal 4 3 3 2 3 2 2 4 4" xfId="34783"/>
    <cellStyle name="Normal 4 3 3 2 3 2 2 5" xfId="8468"/>
    <cellStyle name="Normal 4 3 3 2 3 2 2 5 2" xfId="23512"/>
    <cellStyle name="Normal 4 3 3 2 3 2 2 5 3" xfId="38555"/>
    <cellStyle name="Normal 4 3 3 2 3 2 2 6" xfId="15991"/>
    <cellStyle name="Normal 4 3 3 2 3 2 2 7" xfId="31034"/>
    <cellStyle name="Normal 4 3 3 2 3 2 3" xfId="1373"/>
    <cellStyle name="Normal 4 3 3 2 3 2 3 2" xfId="3244"/>
    <cellStyle name="Normal 4 3 3 2 3 2 3 2 2" xfId="7039"/>
    <cellStyle name="Normal 4 3 3 2 3 2 3 2 2 2" xfId="14562"/>
    <cellStyle name="Normal 4 3 3 2 3 2 3 2 2 2 2" xfId="29606"/>
    <cellStyle name="Normal 4 3 3 2 3 2 3 2 2 2 3" xfId="44649"/>
    <cellStyle name="Normal 4 3 3 2 3 2 3 2 2 3" xfId="22085"/>
    <cellStyle name="Normal 4 3 3 2 3 2 3 2 2 4" xfId="37128"/>
    <cellStyle name="Normal 4 3 3 2 3 2 3 2 3" xfId="10813"/>
    <cellStyle name="Normal 4 3 3 2 3 2 3 2 3 2" xfId="25857"/>
    <cellStyle name="Normal 4 3 3 2 3 2 3 2 3 3" xfId="40900"/>
    <cellStyle name="Normal 4 3 3 2 3 2 3 2 4" xfId="18336"/>
    <cellStyle name="Normal 4 3 3 2 3 2 3 2 5" xfId="33379"/>
    <cellStyle name="Normal 4 3 3 2 3 2 3 3" xfId="5174"/>
    <cellStyle name="Normal 4 3 3 2 3 2 3 3 2" xfId="12697"/>
    <cellStyle name="Normal 4 3 3 2 3 2 3 3 2 2" xfId="27741"/>
    <cellStyle name="Normal 4 3 3 2 3 2 3 3 2 3" xfId="42784"/>
    <cellStyle name="Normal 4 3 3 2 3 2 3 3 3" xfId="20220"/>
    <cellStyle name="Normal 4 3 3 2 3 2 3 3 4" xfId="35263"/>
    <cellStyle name="Normal 4 3 3 2 3 2 3 4" xfId="8948"/>
    <cellStyle name="Normal 4 3 3 2 3 2 3 4 2" xfId="23992"/>
    <cellStyle name="Normal 4 3 3 2 3 2 3 4 3" xfId="39035"/>
    <cellStyle name="Normal 4 3 3 2 3 2 3 5" xfId="16471"/>
    <cellStyle name="Normal 4 3 3 2 3 2 3 6" xfId="31514"/>
    <cellStyle name="Normal 4 3 3 2 3 2 4" xfId="2311"/>
    <cellStyle name="Normal 4 3 3 2 3 2 4 2" xfId="6107"/>
    <cellStyle name="Normal 4 3 3 2 3 2 4 2 2" xfId="13630"/>
    <cellStyle name="Normal 4 3 3 2 3 2 4 2 2 2" xfId="28674"/>
    <cellStyle name="Normal 4 3 3 2 3 2 4 2 2 3" xfId="43717"/>
    <cellStyle name="Normal 4 3 3 2 3 2 4 2 3" xfId="21153"/>
    <cellStyle name="Normal 4 3 3 2 3 2 4 2 4" xfId="36196"/>
    <cellStyle name="Normal 4 3 3 2 3 2 4 3" xfId="9881"/>
    <cellStyle name="Normal 4 3 3 2 3 2 4 3 2" xfId="24925"/>
    <cellStyle name="Normal 4 3 3 2 3 2 4 3 3" xfId="39968"/>
    <cellStyle name="Normal 4 3 3 2 3 2 4 4" xfId="17404"/>
    <cellStyle name="Normal 4 3 3 2 3 2 4 5" xfId="32447"/>
    <cellStyle name="Normal 4 3 3 2 3 2 5" xfId="4239"/>
    <cellStyle name="Normal 4 3 3 2 3 2 5 2" xfId="11763"/>
    <cellStyle name="Normal 4 3 3 2 3 2 5 2 2" xfId="26807"/>
    <cellStyle name="Normal 4 3 3 2 3 2 5 2 3" xfId="41850"/>
    <cellStyle name="Normal 4 3 3 2 3 2 5 3" xfId="19286"/>
    <cellStyle name="Normal 4 3 3 2 3 2 5 4" xfId="34329"/>
    <cellStyle name="Normal 4 3 3 2 3 2 6" xfId="8002"/>
    <cellStyle name="Normal 4 3 3 2 3 2 6 2" xfId="23046"/>
    <cellStyle name="Normal 4 3 3 2 3 2 6 3" xfId="38089"/>
    <cellStyle name="Normal 4 3 3 2 3 2 7" xfId="15525"/>
    <cellStyle name="Normal 4 3 3 2 3 2 8" xfId="30568"/>
    <cellStyle name="Normal 4 3 3 2 3 3" xfId="865"/>
    <cellStyle name="Normal 4 3 3 2 3 3 2" xfId="1824"/>
    <cellStyle name="Normal 4 3 3 2 3 3 2 2" xfId="3695"/>
    <cellStyle name="Normal 4 3 3 2 3 3 2 2 2" xfId="7490"/>
    <cellStyle name="Normal 4 3 3 2 3 3 2 2 2 2" xfId="15013"/>
    <cellStyle name="Normal 4 3 3 2 3 3 2 2 2 2 2" xfId="30057"/>
    <cellStyle name="Normal 4 3 3 2 3 3 2 2 2 2 3" xfId="45100"/>
    <cellStyle name="Normal 4 3 3 2 3 3 2 2 2 3" xfId="22536"/>
    <cellStyle name="Normal 4 3 3 2 3 3 2 2 2 4" xfId="37579"/>
    <cellStyle name="Normal 4 3 3 2 3 3 2 2 3" xfId="11264"/>
    <cellStyle name="Normal 4 3 3 2 3 3 2 2 3 2" xfId="26308"/>
    <cellStyle name="Normal 4 3 3 2 3 3 2 2 3 3" xfId="41351"/>
    <cellStyle name="Normal 4 3 3 2 3 3 2 2 4" xfId="18787"/>
    <cellStyle name="Normal 4 3 3 2 3 3 2 2 5" xfId="33830"/>
    <cellStyle name="Normal 4 3 3 2 3 3 2 3" xfId="5625"/>
    <cellStyle name="Normal 4 3 3 2 3 3 2 3 2" xfId="13148"/>
    <cellStyle name="Normal 4 3 3 2 3 3 2 3 2 2" xfId="28192"/>
    <cellStyle name="Normal 4 3 3 2 3 3 2 3 2 3" xfId="43235"/>
    <cellStyle name="Normal 4 3 3 2 3 3 2 3 3" xfId="20671"/>
    <cellStyle name="Normal 4 3 3 2 3 3 2 3 4" xfId="35714"/>
    <cellStyle name="Normal 4 3 3 2 3 3 2 4" xfId="9399"/>
    <cellStyle name="Normal 4 3 3 2 3 3 2 4 2" xfId="24443"/>
    <cellStyle name="Normal 4 3 3 2 3 3 2 4 3" xfId="39486"/>
    <cellStyle name="Normal 4 3 3 2 3 3 2 5" xfId="16922"/>
    <cellStyle name="Normal 4 3 3 2 3 3 2 6" xfId="31965"/>
    <cellStyle name="Normal 4 3 3 2 3 3 3" xfId="2763"/>
    <cellStyle name="Normal 4 3 3 2 3 3 3 2" xfId="6558"/>
    <cellStyle name="Normal 4 3 3 2 3 3 3 2 2" xfId="14081"/>
    <cellStyle name="Normal 4 3 3 2 3 3 3 2 2 2" xfId="29125"/>
    <cellStyle name="Normal 4 3 3 2 3 3 3 2 2 3" xfId="44168"/>
    <cellStyle name="Normal 4 3 3 2 3 3 3 2 3" xfId="21604"/>
    <cellStyle name="Normal 4 3 3 2 3 3 3 2 4" xfId="36647"/>
    <cellStyle name="Normal 4 3 3 2 3 3 3 3" xfId="10332"/>
    <cellStyle name="Normal 4 3 3 2 3 3 3 3 2" xfId="25376"/>
    <cellStyle name="Normal 4 3 3 2 3 3 3 3 3" xfId="40419"/>
    <cellStyle name="Normal 4 3 3 2 3 3 3 4" xfId="17855"/>
    <cellStyle name="Normal 4 3 3 2 3 3 3 5" xfId="32898"/>
    <cellStyle name="Normal 4 3 3 2 3 3 4" xfId="4693"/>
    <cellStyle name="Normal 4 3 3 2 3 3 4 2" xfId="12216"/>
    <cellStyle name="Normal 4 3 3 2 3 3 4 2 2" xfId="27260"/>
    <cellStyle name="Normal 4 3 3 2 3 3 4 2 3" xfId="42303"/>
    <cellStyle name="Normal 4 3 3 2 3 3 4 3" xfId="19739"/>
    <cellStyle name="Normal 4 3 3 2 3 3 4 4" xfId="34782"/>
    <cellStyle name="Normal 4 3 3 2 3 3 5" xfId="8467"/>
    <cellStyle name="Normal 4 3 3 2 3 3 5 2" xfId="23511"/>
    <cellStyle name="Normal 4 3 3 2 3 3 5 3" xfId="38554"/>
    <cellStyle name="Normal 4 3 3 2 3 3 6" xfId="15990"/>
    <cellStyle name="Normal 4 3 3 2 3 3 7" xfId="31033"/>
    <cellStyle name="Normal 4 3 3 2 3 4" xfId="1372"/>
    <cellStyle name="Normal 4 3 3 2 3 4 2" xfId="3243"/>
    <cellStyle name="Normal 4 3 3 2 3 4 2 2" xfId="7038"/>
    <cellStyle name="Normal 4 3 3 2 3 4 2 2 2" xfId="14561"/>
    <cellStyle name="Normal 4 3 3 2 3 4 2 2 2 2" xfId="29605"/>
    <cellStyle name="Normal 4 3 3 2 3 4 2 2 2 3" xfId="44648"/>
    <cellStyle name="Normal 4 3 3 2 3 4 2 2 3" xfId="22084"/>
    <cellStyle name="Normal 4 3 3 2 3 4 2 2 4" xfId="37127"/>
    <cellStyle name="Normal 4 3 3 2 3 4 2 3" xfId="10812"/>
    <cellStyle name="Normal 4 3 3 2 3 4 2 3 2" xfId="25856"/>
    <cellStyle name="Normal 4 3 3 2 3 4 2 3 3" xfId="40899"/>
    <cellStyle name="Normal 4 3 3 2 3 4 2 4" xfId="18335"/>
    <cellStyle name="Normal 4 3 3 2 3 4 2 5" xfId="33378"/>
    <cellStyle name="Normal 4 3 3 2 3 4 3" xfId="5173"/>
    <cellStyle name="Normal 4 3 3 2 3 4 3 2" xfId="12696"/>
    <cellStyle name="Normal 4 3 3 2 3 4 3 2 2" xfId="27740"/>
    <cellStyle name="Normal 4 3 3 2 3 4 3 2 3" xfId="42783"/>
    <cellStyle name="Normal 4 3 3 2 3 4 3 3" xfId="20219"/>
    <cellStyle name="Normal 4 3 3 2 3 4 3 4" xfId="35262"/>
    <cellStyle name="Normal 4 3 3 2 3 4 4" xfId="8947"/>
    <cellStyle name="Normal 4 3 3 2 3 4 4 2" xfId="23991"/>
    <cellStyle name="Normal 4 3 3 2 3 4 4 3" xfId="39034"/>
    <cellStyle name="Normal 4 3 3 2 3 4 5" xfId="16470"/>
    <cellStyle name="Normal 4 3 3 2 3 4 6" xfId="31513"/>
    <cellStyle name="Normal 4 3 3 2 3 5" xfId="2310"/>
    <cellStyle name="Normal 4 3 3 2 3 5 2" xfId="6106"/>
    <cellStyle name="Normal 4 3 3 2 3 5 2 2" xfId="13629"/>
    <cellStyle name="Normal 4 3 3 2 3 5 2 2 2" xfId="28673"/>
    <cellStyle name="Normal 4 3 3 2 3 5 2 2 3" xfId="43716"/>
    <cellStyle name="Normal 4 3 3 2 3 5 2 3" xfId="21152"/>
    <cellStyle name="Normal 4 3 3 2 3 5 2 4" xfId="36195"/>
    <cellStyle name="Normal 4 3 3 2 3 5 3" xfId="9880"/>
    <cellStyle name="Normal 4 3 3 2 3 5 3 2" xfId="24924"/>
    <cellStyle name="Normal 4 3 3 2 3 5 3 3" xfId="39967"/>
    <cellStyle name="Normal 4 3 3 2 3 5 4" xfId="17403"/>
    <cellStyle name="Normal 4 3 3 2 3 5 5" xfId="32446"/>
    <cellStyle name="Normal 4 3 3 2 3 6" xfId="4238"/>
    <cellStyle name="Normal 4 3 3 2 3 6 2" xfId="11762"/>
    <cellStyle name="Normal 4 3 3 2 3 6 2 2" xfId="26806"/>
    <cellStyle name="Normal 4 3 3 2 3 6 2 3" xfId="41849"/>
    <cellStyle name="Normal 4 3 3 2 3 6 3" xfId="19285"/>
    <cellStyle name="Normal 4 3 3 2 3 6 4" xfId="34328"/>
    <cellStyle name="Normal 4 3 3 2 3 7" xfId="8001"/>
    <cellStyle name="Normal 4 3 3 2 3 7 2" xfId="23045"/>
    <cellStyle name="Normal 4 3 3 2 3 7 3" xfId="38088"/>
    <cellStyle name="Normal 4 3 3 2 3 8" xfId="15524"/>
    <cellStyle name="Normal 4 3 3 2 3 9" xfId="30567"/>
    <cellStyle name="Normal 4 3 3 2 4" xfId="343"/>
    <cellStyle name="Normal 4 3 3 2 4 2" xfId="867"/>
    <cellStyle name="Normal 4 3 3 2 4 2 2" xfId="1826"/>
    <cellStyle name="Normal 4 3 3 2 4 2 2 2" xfId="3697"/>
    <cellStyle name="Normal 4 3 3 2 4 2 2 2 2" xfId="7492"/>
    <cellStyle name="Normal 4 3 3 2 4 2 2 2 2 2" xfId="15015"/>
    <cellStyle name="Normal 4 3 3 2 4 2 2 2 2 2 2" xfId="30059"/>
    <cellStyle name="Normal 4 3 3 2 4 2 2 2 2 2 3" xfId="45102"/>
    <cellStyle name="Normal 4 3 3 2 4 2 2 2 2 3" xfId="22538"/>
    <cellStyle name="Normal 4 3 3 2 4 2 2 2 2 4" xfId="37581"/>
    <cellStyle name="Normal 4 3 3 2 4 2 2 2 3" xfId="11266"/>
    <cellStyle name="Normal 4 3 3 2 4 2 2 2 3 2" xfId="26310"/>
    <cellStyle name="Normal 4 3 3 2 4 2 2 2 3 3" xfId="41353"/>
    <cellStyle name="Normal 4 3 3 2 4 2 2 2 4" xfId="18789"/>
    <cellStyle name="Normal 4 3 3 2 4 2 2 2 5" xfId="33832"/>
    <cellStyle name="Normal 4 3 3 2 4 2 2 3" xfId="5627"/>
    <cellStyle name="Normal 4 3 3 2 4 2 2 3 2" xfId="13150"/>
    <cellStyle name="Normal 4 3 3 2 4 2 2 3 2 2" xfId="28194"/>
    <cellStyle name="Normal 4 3 3 2 4 2 2 3 2 3" xfId="43237"/>
    <cellStyle name="Normal 4 3 3 2 4 2 2 3 3" xfId="20673"/>
    <cellStyle name="Normal 4 3 3 2 4 2 2 3 4" xfId="35716"/>
    <cellStyle name="Normal 4 3 3 2 4 2 2 4" xfId="9401"/>
    <cellStyle name="Normal 4 3 3 2 4 2 2 4 2" xfId="24445"/>
    <cellStyle name="Normal 4 3 3 2 4 2 2 4 3" xfId="39488"/>
    <cellStyle name="Normal 4 3 3 2 4 2 2 5" xfId="16924"/>
    <cellStyle name="Normal 4 3 3 2 4 2 2 6" xfId="31967"/>
    <cellStyle name="Normal 4 3 3 2 4 2 3" xfId="2765"/>
    <cellStyle name="Normal 4 3 3 2 4 2 3 2" xfId="6560"/>
    <cellStyle name="Normal 4 3 3 2 4 2 3 2 2" xfId="14083"/>
    <cellStyle name="Normal 4 3 3 2 4 2 3 2 2 2" xfId="29127"/>
    <cellStyle name="Normal 4 3 3 2 4 2 3 2 2 3" xfId="44170"/>
    <cellStyle name="Normal 4 3 3 2 4 2 3 2 3" xfId="21606"/>
    <cellStyle name="Normal 4 3 3 2 4 2 3 2 4" xfId="36649"/>
    <cellStyle name="Normal 4 3 3 2 4 2 3 3" xfId="10334"/>
    <cellStyle name="Normal 4 3 3 2 4 2 3 3 2" xfId="25378"/>
    <cellStyle name="Normal 4 3 3 2 4 2 3 3 3" xfId="40421"/>
    <cellStyle name="Normal 4 3 3 2 4 2 3 4" xfId="17857"/>
    <cellStyle name="Normal 4 3 3 2 4 2 3 5" xfId="32900"/>
    <cellStyle name="Normal 4 3 3 2 4 2 4" xfId="4695"/>
    <cellStyle name="Normal 4 3 3 2 4 2 4 2" xfId="12218"/>
    <cellStyle name="Normal 4 3 3 2 4 2 4 2 2" xfId="27262"/>
    <cellStyle name="Normal 4 3 3 2 4 2 4 2 3" xfId="42305"/>
    <cellStyle name="Normal 4 3 3 2 4 2 4 3" xfId="19741"/>
    <cellStyle name="Normal 4 3 3 2 4 2 4 4" xfId="34784"/>
    <cellStyle name="Normal 4 3 3 2 4 2 5" xfId="8469"/>
    <cellStyle name="Normal 4 3 3 2 4 2 5 2" xfId="23513"/>
    <cellStyle name="Normal 4 3 3 2 4 2 5 3" xfId="38556"/>
    <cellStyle name="Normal 4 3 3 2 4 2 6" xfId="15992"/>
    <cellStyle name="Normal 4 3 3 2 4 2 7" xfId="31035"/>
    <cellStyle name="Normal 4 3 3 2 4 3" xfId="1374"/>
    <cellStyle name="Normal 4 3 3 2 4 3 2" xfId="3245"/>
    <cellStyle name="Normal 4 3 3 2 4 3 2 2" xfId="7040"/>
    <cellStyle name="Normal 4 3 3 2 4 3 2 2 2" xfId="14563"/>
    <cellStyle name="Normal 4 3 3 2 4 3 2 2 2 2" xfId="29607"/>
    <cellStyle name="Normal 4 3 3 2 4 3 2 2 2 3" xfId="44650"/>
    <cellStyle name="Normal 4 3 3 2 4 3 2 2 3" xfId="22086"/>
    <cellStyle name="Normal 4 3 3 2 4 3 2 2 4" xfId="37129"/>
    <cellStyle name="Normal 4 3 3 2 4 3 2 3" xfId="10814"/>
    <cellStyle name="Normal 4 3 3 2 4 3 2 3 2" xfId="25858"/>
    <cellStyle name="Normal 4 3 3 2 4 3 2 3 3" xfId="40901"/>
    <cellStyle name="Normal 4 3 3 2 4 3 2 4" xfId="18337"/>
    <cellStyle name="Normal 4 3 3 2 4 3 2 5" xfId="33380"/>
    <cellStyle name="Normal 4 3 3 2 4 3 3" xfId="5175"/>
    <cellStyle name="Normal 4 3 3 2 4 3 3 2" xfId="12698"/>
    <cellStyle name="Normal 4 3 3 2 4 3 3 2 2" xfId="27742"/>
    <cellStyle name="Normal 4 3 3 2 4 3 3 2 3" xfId="42785"/>
    <cellStyle name="Normal 4 3 3 2 4 3 3 3" xfId="20221"/>
    <cellStyle name="Normal 4 3 3 2 4 3 3 4" xfId="35264"/>
    <cellStyle name="Normal 4 3 3 2 4 3 4" xfId="8949"/>
    <cellStyle name="Normal 4 3 3 2 4 3 4 2" xfId="23993"/>
    <cellStyle name="Normal 4 3 3 2 4 3 4 3" xfId="39036"/>
    <cellStyle name="Normal 4 3 3 2 4 3 5" xfId="16472"/>
    <cellStyle name="Normal 4 3 3 2 4 3 6" xfId="31515"/>
    <cellStyle name="Normal 4 3 3 2 4 4" xfId="2312"/>
    <cellStyle name="Normal 4 3 3 2 4 4 2" xfId="6108"/>
    <cellStyle name="Normal 4 3 3 2 4 4 2 2" xfId="13631"/>
    <cellStyle name="Normal 4 3 3 2 4 4 2 2 2" xfId="28675"/>
    <cellStyle name="Normal 4 3 3 2 4 4 2 2 3" xfId="43718"/>
    <cellStyle name="Normal 4 3 3 2 4 4 2 3" xfId="21154"/>
    <cellStyle name="Normal 4 3 3 2 4 4 2 4" xfId="36197"/>
    <cellStyle name="Normal 4 3 3 2 4 4 3" xfId="9882"/>
    <cellStyle name="Normal 4 3 3 2 4 4 3 2" xfId="24926"/>
    <cellStyle name="Normal 4 3 3 2 4 4 3 3" xfId="39969"/>
    <cellStyle name="Normal 4 3 3 2 4 4 4" xfId="17405"/>
    <cellStyle name="Normal 4 3 3 2 4 4 5" xfId="32448"/>
    <cellStyle name="Normal 4 3 3 2 4 5" xfId="4240"/>
    <cellStyle name="Normal 4 3 3 2 4 5 2" xfId="11764"/>
    <cellStyle name="Normal 4 3 3 2 4 5 2 2" xfId="26808"/>
    <cellStyle name="Normal 4 3 3 2 4 5 2 3" xfId="41851"/>
    <cellStyle name="Normal 4 3 3 2 4 5 3" xfId="19287"/>
    <cellStyle name="Normal 4 3 3 2 4 5 4" xfId="34330"/>
    <cellStyle name="Normal 4 3 3 2 4 6" xfId="8003"/>
    <cellStyle name="Normal 4 3 3 2 4 6 2" xfId="23047"/>
    <cellStyle name="Normal 4 3 3 2 4 6 3" xfId="38090"/>
    <cellStyle name="Normal 4 3 3 2 4 7" xfId="15526"/>
    <cellStyle name="Normal 4 3 3 2 4 8" xfId="30569"/>
    <cellStyle name="Normal 4 3 3 2 5" xfId="862"/>
    <cellStyle name="Normal 4 3 3 2 5 2" xfId="1821"/>
    <cellStyle name="Normal 4 3 3 2 5 2 2" xfId="3692"/>
    <cellStyle name="Normal 4 3 3 2 5 2 2 2" xfId="7487"/>
    <cellStyle name="Normal 4 3 3 2 5 2 2 2 2" xfId="15010"/>
    <cellStyle name="Normal 4 3 3 2 5 2 2 2 2 2" xfId="30054"/>
    <cellStyle name="Normal 4 3 3 2 5 2 2 2 2 3" xfId="45097"/>
    <cellStyle name="Normal 4 3 3 2 5 2 2 2 3" xfId="22533"/>
    <cellStyle name="Normal 4 3 3 2 5 2 2 2 4" xfId="37576"/>
    <cellStyle name="Normal 4 3 3 2 5 2 2 3" xfId="11261"/>
    <cellStyle name="Normal 4 3 3 2 5 2 2 3 2" xfId="26305"/>
    <cellStyle name="Normal 4 3 3 2 5 2 2 3 3" xfId="41348"/>
    <cellStyle name="Normal 4 3 3 2 5 2 2 4" xfId="18784"/>
    <cellStyle name="Normal 4 3 3 2 5 2 2 5" xfId="33827"/>
    <cellStyle name="Normal 4 3 3 2 5 2 3" xfId="5622"/>
    <cellStyle name="Normal 4 3 3 2 5 2 3 2" xfId="13145"/>
    <cellStyle name="Normal 4 3 3 2 5 2 3 2 2" xfId="28189"/>
    <cellStyle name="Normal 4 3 3 2 5 2 3 2 3" xfId="43232"/>
    <cellStyle name="Normal 4 3 3 2 5 2 3 3" xfId="20668"/>
    <cellStyle name="Normal 4 3 3 2 5 2 3 4" xfId="35711"/>
    <cellStyle name="Normal 4 3 3 2 5 2 4" xfId="9396"/>
    <cellStyle name="Normal 4 3 3 2 5 2 4 2" xfId="24440"/>
    <cellStyle name="Normal 4 3 3 2 5 2 4 3" xfId="39483"/>
    <cellStyle name="Normal 4 3 3 2 5 2 5" xfId="16919"/>
    <cellStyle name="Normal 4 3 3 2 5 2 6" xfId="31962"/>
    <cellStyle name="Normal 4 3 3 2 5 3" xfId="2760"/>
    <cellStyle name="Normal 4 3 3 2 5 3 2" xfId="6555"/>
    <cellStyle name="Normal 4 3 3 2 5 3 2 2" xfId="14078"/>
    <cellStyle name="Normal 4 3 3 2 5 3 2 2 2" xfId="29122"/>
    <cellStyle name="Normal 4 3 3 2 5 3 2 2 3" xfId="44165"/>
    <cellStyle name="Normal 4 3 3 2 5 3 2 3" xfId="21601"/>
    <cellStyle name="Normal 4 3 3 2 5 3 2 4" xfId="36644"/>
    <cellStyle name="Normal 4 3 3 2 5 3 3" xfId="10329"/>
    <cellStyle name="Normal 4 3 3 2 5 3 3 2" xfId="25373"/>
    <cellStyle name="Normal 4 3 3 2 5 3 3 3" xfId="40416"/>
    <cellStyle name="Normal 4 3 3 2 5 3 4" xfId="17852"/>
    <cellStyle name="Normal 4 3 3 2 5 3 5" xfId="32895"/>
    <cellStyle name="Normal 4 3 3 2 5 4" xfId="4690"/>
    <cellStyle name="Normal 4 3 3 2 5 4 2" xfId="12213"/>
    <cellStyle name="Normal 4 3 3 2 5 4 2 2" xfId="27257"/>
    <cellStyle name="Normal 4 3 3 2 5 4 2 3" xfId="42300"/>
    <cellStyle name="Normal 4 3 3 2 5 4 3" xfId="19736"/>
    <cellStyle name="Normal 4 3 3 2 5 4 4" xfId="34779"/>
    <cellStyle name="Normal 4 3 3 2 5 5" xfId="8464"/>
    <cellStyle name="Normal 4 3 3 2 5 5 2" xfId="23508"/>
    <cellStyle name="Normal 4 3 3 2 5 5 3" xfId="38551"/>
    <cellStyle name="Normal 4 3 3 2 5 6" xfId="15987"/>
    <cellStyle name="Normal 4 3 3 2 5 7" xfId="31030"/>
    <cellStyle name="Normal 4 3 3 2 6" xfId="1369"/>
    <cellStyle name="Normal 4 3 3 2 6 2" xfId="3240"/>
    <cellStyle name="Normal 4 3 3 2 6 2 2" xfId="7035"/>
    <cellStyle name="Normal 4 3 3 2 6 2 2 2" xfId="14558"/>
    <cellStyle name="Normal 4 3 3 2 6 2 2 2 2" xfId="29602"/>
    <cellStyle name="Normal 4 3 3 2 6 2 2 2 3" xfId="44645"/>
    <cellStyle name="Normal 4 3 3 2 6 2 2 3" xfId="22081"/>
    <cellStyle name="Normal 4 3 3 2 6 2 2 4" xfId="37124"/>
    <cellStyle name="Normal 4 3 3 2 6 2 3" xfId="10809"/>
    <cellStyle name="Normal 4 3 3 2 6 2 3 2" xfId="25853"/>
    <cellStyle name="Normal 4 3 3 2 6 2 3 3" xfId="40896"/>
    <cellStyle name="Normal 4 3 3 2 6 2 4" xfId="18332"/>
    <cellStyle name="Normal 4 3 3 2 6 2 5" xfId="33375"/>
    <cellStyle name="Normal 4 3 3 2 6 3" xfId="5170"/>
    <cellStyle name="Normal 4 3 3 2 6 3 2" xfId="12693"/>
    <cellStyle name="Normal 4 3 3 2 6 3 2 2" xfId="27737"/>
    <cellStyle name="Normal 4 3 3 2 6 3 2 3" xfId="42780"/>
    <cellStyle name="Normal 4 3 3 2 6 3 3" xfId="20216"/>
    <cellStyle name="Normal 4 3 3 2 6 3 4" xfId="35259"/>
    <cellStyle name="Normal 4 3 3 2 6 4" xfId="8944"/>
    <cellStyle name="Normal 4 3 3 2 6 4 2" xfId="23988"/>
    <cellStyle name="Normal 4 3 3 2 6 4 3" xfId="39031"/>
    <cellStyle name="Normal 4 3 3 2 6 5" xfId="16467"/>
    <cellStyle name="Normal 4 3 3 2 6 6" xfId="31510"/>
    <cellStyle name="Normal 4 3 3 2 7" xfId="2307"/>
    <cellStyle name="Normal 4 3 3 2 7 2" xfId="6103"/>
    <cellStyle name="Normal 4 3 3 2 7 2 2" xfId="13626"/>
    <cellStyle name="Normal 4 3 3 2 7 2 2 2" xfId="28670"/>
    <cellStyle name="Normal 4 3 3 2 7 2 2 3" xfId="43713"/>
    <cellStyle name="Normal 4 3 3 2 7 2 3" xfId="21149"/>
    <cellStyle name="Normal 4 3 3 2 7 2 4" xfId="36192"/>
    <cellStyle name="Normal 4 3 3 2 7 3" xfId="9877"/>
    <cellStyle name="Normal 4 3 3 2 7 3 2" xfId="24921"/>
    <cellStyle name="Normal 4 3 3 2 7 3 3" xfId="39964"/>
    <cellStyle name="Normal 4 3 3 2 7 4" xfId="17400"/>
    <cellStyle name="Normal 4 3 3 2 7 5" xfId="32443"/>
    <cellStyle name="Normal 4 3 3 2 8" xfId="4235"/>
    <cellStyle name="Normal 4 3 3 2 8 2" xfId="11759"/>
    <cellStyle name="Normal 4 3 3 2 8 2 2" xfId="26803"/>
    <cellStyle name="Normal 4 3 3 2 8 2 3" xfId="41846"/>
    <cellStyle name="Normal 4 3 3 2 8 3" xfId="19282"/>
    <cellStyle name="Normal 4 3 3 2 8 4" xfId="34325"/>
    <cellStyle name="Normal 4 3 3 2 9" xfId="7998"/>
    <cellStyle name="Normal 4 3 3 2 9 2" xfId="23042"/>
    <cellStyle name="Normal 4 3 3 2 9 3" xfId="38085"/>
    <cellStyle name="Normal 4 3 3 3" xfId="344"/>
    <cellStyle name="Normal 4 3 3 3 2" xfId="345"/>
    <cellStyle name="Normal 4 3 3 3 2 2" xfId="869"/>
    <cellStyle name="Normal 4 3 3 3 2 2 2" xfId="1828"/>
    <cellStyle name="Normal 4 3 3 3 2 2 2 2" xfId="3699"/>
    <cellStyle name="Normal 4 3 3 3 2 2 2 2 2" xfId="7494"/>
    <cellStyle name="Normal 4 3 3 3 2 2 2 2 2 2" xfId="15017"/>
    <cellStyle name="Normal 4 3 3 3 2 2 2 2 2 2 2" xfId="30061"/>
    <cellStyle name="Normal 4 3 3 3 2 2 2 2 2 2 3" xfId="45104"/>
    <cellStyle name="Normal 4 3 3 3 2 2 2 2 2 3" xfId="22540"/>
    <cellStyle name="Normal 4 3 3 3 2 2 2 2 2 4" xfId="37583"/>
    <cellStyle name="Normal 4 3 3 3 2 2 2 2 3" xfId="11268"/>
    <cellStyle name="Normal 4 3 3 3 2 2 2 2 3 2" xfId="26312"/>
    <cellStyle name="Normal 4 3 3 3 2 2 2 2 3 3" xfId="41355"/>
    <cellStyle name="Normal 4 3 3 3 2 2 2 2 4" xfId="18791"/>
    <cellStyle name="Normal 4 3 3 3 2 2 2 2 5" xfId="33834"/>
    <cellStyle name="Normal 4 3 3 3 2 2 2 3" xfId="5629"/>
    <cellStyle name="Normal 4 3 3 3 2 2 2 3 2" xfId="13152"/>
    <cellStyle name="Normal 4 3 3 3 2 2 2 3 2 2" xfId="28196"/>
    <cellStyle name="Normal 4 3 3 3 2 2 2 3 2 3" xfId="43239"/>
    <cellStyle name="Normal 4 3 3 3 2 2 2 3 3" xfId="20675"/>
    <cellStyle name="Normal 4 3 3 3 2 2 2 3 4" xfId="35718"/>
    <cellStyle name="Normal 4 3 3 3 2 2 2 4" xfId="9403"/>
    <cellStyle name="Normal 4 3 3 3 2 2 2 4 2" xfId="24447"/>
    <cellStyle name="Normal 4 3 3 3 2 2 2 4 3" xfId="39490"/>
    <cellStyle name="Normal 4 3 3 3 2 2 2 5" xfId="16926"/>
    <cellStyle name="Normal 4 3 3 3 2 2 2 6" xfId="31969"/>
    <cellStyle name="Normal 4 3 3 3 2 2 3" xfId="2767"/>
    <cellStyle name="Normal 4 3 3 3 2 2 3 2" xfId="6562"/>
    <cellStyle name="Normal 4 3 3 3 2 2 3 2 2" xfId="14085"/>
    <cellStyle name="Normal 4 3 3 3 2 2 3 2 2 2" xfId="29129"/>
    <cellStyle name="Normal 4 3 3 3 2 2 3 2 2 3" xfId="44172"/>
    <cellStyle name="Normal 4 3 3 3 2 2 3 2 3" xfId="21608"/>
    <cellStyle name="Normal 4 3 3 3 2 2 3 2 4" xfId="36651"/>
    <cellStyle name="Normal 4 3 3 3 2 2 3 3" xfId="10336"/>
    <cellStyle name="Normal 4 3 3 3 2 2 3 3 2" xfId="25380"/>
    <cellStyle name="Normal 4 3 3 3 2 2 3 3 3" xfId="40423"/>
    <cellStyle name="Normal 4 3 3 3 2 2 3 4" xfId="17859"/>
    <cellStyle name="Normal 4 3 3 3 2 2 3 5" xfId="32902"/>
    <cellStyle name="Normal 4 3 3 3 2 2 4" xfId="4697"/>
    <cellStyle name="Normal 4 3 3 3 2 2 4 2" xfId="12220"/>
    <cellStyle name="Normal 4 3 3 3 2 2 4 2 2" xfId="27264"/>
    <cellStyle name="Normal 4 3 3 3 2 2 4 2 3" xfId="42307"/>
    <cellStyle name="Normal 4 3 3 3 2 2 4 3" xfId="19743"/>
    <cellStyle name="Normal 4 3 3 3 2 2 4 4" xfId="34786"/>
    <cellStyle name="Normal 4 3 3 3 2 2 5" xfId="8471"/>
    <cellStyle name="Normal 4 3 3 3 2 2 5 2" xfId="23515"/>
    <cellStyle name="Normal 4 3 3 3 2 2 5 3" xfId="38558"/>
    <cellStyle name="Normal 4 3 3 3 2 2 6" xfId="15994"/>
    <cellStyle name="Normal 4 3 3 3 2 2 7" xfId="31037"/>
    <cellStyle name="Normal 4 3 3 3 2 3" xfId="1376"/>
    <cellStyle name="Normal 4 3 3 3 2 3 2" xfId="3247"/>
    <cellStyle name="Normal 4 3 3 3 2 3 2 2" xfId="7042"/>
    <cellStyle name="Normal 4 3 3 3 2 3 2 2 2" xfId="14565"/>
    <cellStyle name="Normal 4 3 3 3 2 3 2 2 2 2" xfId="29609"/>
    <cellStyle name="Normal 4 3 3 3 2 3 2 2 2 3" xfId="44652"/>
    <cellStyle name="Normal 4 3 3 3 2 3 2 2 3" xfId="22088"/>
    <cellStyle name="Normal 4 3 3 3 2 3 2 2 4" xfId="37131"/>
    <cellStyle name="Normal 4 3 3 3 2 3 2 3" xfId="10816"/>
    <cellStyle name="Normal 4 3 3 3 2 3 2 3 2" xfId="25860"/>
    <cellStyle name="Normal 4 3 3 3 2 3 2 3 3" xfId="40903"/>
    <cellStyle name="Normal 4 3 3 3 2 3 2 4" xfId="18339"/>
    <cellStyle name="Normal 4 3 3 3 2 3 2 5" xfId="33382"/>
    <cellStyle name="Normal 4 3 3 3 2 3 3" xfId="5177"/>
    <cellStyle name="Normal 4 3 3 3 2 3 3 2" xfId="12700"/>
    <cellStyle name="Normal 4 3 3 3 2 3 3 2 2" xfId="27744"/>
    <cellStyle name="Normal 4 3 3 3 2 3 3 2 3" xfId="42787"/>
    <cellStyle name="Normal 4 3 3 3 2 3 3 3" xfId="20223"/>
    <cellStyle name="Normal 4 3 3 3 2 3 3 4" xfId="35266"/>
    <cellStyle name="Normal 4 3 3 3 2 3 4" xfId="8951"/>
    <cellStyle name="Normal 4 3 3 3 2 3 4 2" xfId="23995"/>
    <cellStyle name="Normal 4 3 3 3 2 3 4 3" xfId="39038"/>
    <cellStyle name="Normal 4 3 3 3 2 3 5" xfId="16474"/>
    <cellStyle name="Normal 4 3 3 3 2 3 6" xfId="31517"/>
    <cellStyle name="Normal 4 3 3 3 2 4" xfId="2314"/>
    <cellStyle name="Normal 4 3 3 3 2 4 2" xfId="6110"/>
    <cellStyle name="Normal 4 3 3 3 2 4 2 2" xfId="13633"/>
    <cellStyle name="Normal 4 3 3 3 2 4 2 2 2" xfId="28677"/>
    <cellStyle name="Normal 4 3 3 3 2 4 2 2 3" xfId="43720"/>
    <cellStyle name="Normal 4 3 3 3 2 4 2 3" xfId="21156"/>
    <cellStyle name="Normal 4 3 3 3 2 4 2 4" xfId="36199"/>
    <cellStyle name="Normal 4 3 3 3 2 4 3" xfId="9884"/>
    <cellStyle name="Normal 4 3 3 3 2 4 3 2" xfId="24928"/>
    <cellStyle name="Normal 4 3 3 3 2 4 3 3" xfId="39971"/>
    <cellStyle name="Normal 4 3 3 3 2 4 4" xfId="17407"/>
    <cellStyle name="Normal 4 3 3 3 2 4 5" xfId="32450"/>
    <cellStyle name="Normal 4 3 3 3 2 5" xfId="4242"/>
    <cellStyle name="Normal 4 3 3 3 2 5 2" xfId="11766"/>
    <cellStyle name="Normal 4 3 3 3 2 5 2 2" xfId="26810"/>
    <cellStyle name="Normal 4 3 3 3 2 5 2 3" xfId="41853"/>
    <cellStyle name="Normal 4 3 3 3 2 5 3" xfId="19289"/>
    <cellStyle name="Normal 4 3 3 3 2 5 4" xfId="34332"/>
    <cellStyle name="Normal 4 3 3 3 2 6" xfId="8005"/>
    <cellStyle name="Normal 4 3 3 3 2 6 2" xfId="23049"/>
    <cellStyle name="Normal 4 3 3 3 2 6 3" xfId="38092"/>
    <cellStyle name="Normal 4 3 3 3 2 7" xfId="15528"/>
    <cellStyle name="Normal 4 3 3 3 2 8" xfId="30571"/>
    <cellStyle name="Normal 4 3 3 3 3" xfId="868"/>
    <cellStyle name="Normal 4 3 3 3 3 2" xfId="1827"/>
    <cellStyle name="Normal 4 3 3 3 3 2 2" xfId="3698"/>
    <cellStyle name="Normal 4 3 3 3 3 2 2 2" xfId="7493"/>
    <cellStyle name="Normal 4 3 3 3 3 2 2 2 2" xfId="15016"/>
    <cellStyle name="Normal 4 3 3 3 3 2 2 2 2 2" xfId="30060"/>
    <cellStyle name="Normal 4 3 3 3 3 2 2 2 2 3" xfId="45103"/>
    <cellStyle name="Normal 4 3 3 3 3 2 2 2 3" xfId="22539"/>
    <cellStyle name="Normal 4 3 3 3 3 2 2 2 4" xfId="37582"/>
    <cellStyle name="Normal 4 3 3 3 3 2 2 3" xfId="11267"/>
    <cellStyle name="Normal 4 3 3 3 3 2 2 3 2" xfId="26311"/>
    <cellStyle name="Normal 4 3 3 3 3 2 2 3 3" xfId="41354"/>
    <cellStyle name="Normal 4 3 3 3 3 2 2 4" xfId="18790"/>
    <cellStyle name="Normal 4 3 3 3 3 2 2 5" xfId="33833"/>
    <cellStyle name="Normal 4 3 3 3 3 2 3" xfId="5628"/>
    <cellStyle name="Normal 4 3 3 3 3 2 3 2" xfId="13151"/>
    <cellStyle name="Normal 4 3 3 3 3 2 3 2 2" xfId="28195"/>
    <cellStyle name="Normal 4 3 3 3 3 2 3 2 3" xfId="43238"/>
    <cellStyle name="Normal 4 3 3 3 3 2 3 3" xfId="20674"/>
    <cellStyle name="Normal 4 3 3 3 3 2 3 4" xfId="35717"/>
    <cellStyle name="Normal 4 3 3 3 3 2 4" xfId="9402"/>
    <cellStyle name="Normal 4 3 3 3 3 2 4 2" xfId="24446"/>
    <cellStyle name="Normal 4 3 3 3 3 2 4 3" xfId="39489"/>
    <cellStyle name="Normal 4 3 3 3 3 2 5" xfId="16925"/>
    <cellStyle name="Normal 4 3 3 3 3 2 6" xfId="31968"/>
    <cellStyle name="Normal 4 3 3 3 3 3" xfId="2766"/>
    <cellStyle name="Normal 4 3 3 3 3 3 2" xfId="6561"/>
    <cellStyle name="Normal 4 3 3 3 3 3 2 2" xfId="14084"/>
    <cellStyle name="Normal 4 3 3 3 3 3 2 2 2" xfId="29128"/>
    <cellStyle name="Normal 4 3 3 3 3 3 2 2 3" xfId="44171"/>
    <cellStyle name="Normal 4 3 3 3 3 3 2 3" xfId="21607"/>
    <cellStyle name="Normal 4 3 3 3 3 3 2 4" xfId="36650"/>
    <cellStyle name="Normal 4 3 3 3 3 3 3" xfId="10335"/>
    <cellStyle name="Normal 4 3 3 3 3 3 3 2" xfId="25379"/>
    <cellStyle name="Normal 4 3 3 3 3 3 3 3" xfId="40422"/>
    <cellStyle name="Normal 4 3 3 3 3 3 4" xfId="17858"/>
    <cellStyle name="Normal 4 3 3 3 3 3 5" xfId="32901"/>
    <cellStyle name="Normal 4 3 3 3 3 4" xfId="4696"/>
    <cellStyle name="Normal 4 3 3 3 3 4 2" xfId="12219"/>
    <cellStyle name="Normal 4 3 3 3 3 4 2 2" xfId="27263"/>
    <cellStyle name="Normal 4 3 3 3 3 4 2 3" xfId="42306"/>
    <cellStyle name="Normal 4 3 3 3 3 4 3" xfId="19742"/>
    <cellStyle name="Normal 4 3 3 3 3 4 4" xfId="34785"/>
    <cellStyle name="Normal 4 3 3 3 3 5" xfId="8470"/>
    <cellStyle name="Normal 4 3 3 3 3 5 2" xfId="23514"/>
    <cellStyle name="Normal 4 3 3 3 3 5 3" xfId="38557"/>
    <cellStyle name="Normal 4 3 3 3 3 6" xfId="15993"/>
    <cellStyle name="Normal 4 3 3 3 3 7" xfId="31036"/>
    <cellStyle name="Normal 4 3 3 3 4" xfId="1375"/>
    <cellStyle name="Normal 4 3 3 3 4 2" xfId="3246"/>
    <cellStyle name="Normal 4 3 3 3 4 2 2" xfId="7041"/>
    <cellStyle name="Normal 4 3 3 3 4 2 2 2" xfId="14564"/>
    <cellStyle name="Normal 4 3 3 3 4 2 2 2 2" xfId="29608"/>
    <cellStyle name="Normal 4 3 3 3 4 2 2 2 3" xfId="44651"/>
    <cellStyle name="Normal 4 3 3 3 4 2 2 3" xfId="22087"/>
    <cellStyle name="Normal 4 3 3 3 4 2 2 4" xfId="37130"/>
    <cellStyle name="Normal 4 3 3 3 4 2 3" xfId="10815"/>
    <cellStyle name="Normal 4 3 3 3 4 2 3 2" xfId="25859"/>
    <cellStyle name="Normal 4 3 3 3 4 2 3 3" xfId="40902"/>
    <cellStyle name="Normal 4 3 3 3 4 2 4" xfId="18338"/>
    <cellStyle name="Normal 4 3 3 3 4 2 5" xfId="33381"/>
    <cellStyle name="Normal 4 3 3 3 4 3" xfId="5176"/>
    <cellStyle name="Normal 4 3 3 3 4 3 2" xfId="12699"/>
    <cellStyle name="Normal 4 3 3 3 4 3 2 2" xfId="27743"/>
    <cellStyle name="Normal 4 3 3 3 4 3 2 3" xfId="42786"/>
    <cellStyle name="Normal 4 3 3 3 4 3 3" xfId="20222"/>
    <cellStyle name="Normal 4 3 3 3 4 3 4" xfId="35265"/>
    <cellStyle name="Normal 4 3 3 3 4 4" xfId="8950"/>
    <cellStyle name="Normal 4 3 3 3 4 4 2" xfId="23994"/>
    <cellStyle name="Normal 4 3 3 3 4 4 3" xfId="39037"/>
    <cellStyle name="Normal 4 3 3 3 4 5" xfId="16473"/>
    <cellStyle name="Normal 4 3 3 3 4 6" xfId="31516"/>
    <cellStyle name="Normal 4 3 3 3 5" xfId="2313"/>
    <cellStyle name="Normal 4 3 3 3 5 2" xfId="6109"/>
    <cellStyle name="Normal 4 3 3 3 5 2 2" xfId="13632"/>
    <cellStyle name="Normal 4 3 3 3 5 2 2 2" xfId="28676"/>
    <cellStyle name="Normal 4 3 3 3 5 2 2 3" xfId="43719"/>
    <cellStyle name="Normal 4 3 3 3 5 2 3" xfId="21155"/>
    <cellStyle name="Normal 4 3 3 3 5 2 4" xfId="36198"/>
    <cellStyle name="Normal 4 3 3 3 5 3" xfId="9883"/>
    <cellStyle name="Normal 4 3 3 3 5 3 2" xfId="24927"/>
    <cellStyle name="Normal 4 3 3 3 5 3 3" xfId="39970"/>
    <cellStyle name="Normal 4 3 3 3 5 4" xfId="17406"/>
    <cellStyle name="Normal 4 3 3 3 5 5" xfId="32449"/>
    <cellStyle name="Normal 4 3 3 3 6" xfId="4241"/>
    <cellStyle name="Normal 4 3 3 3 6 2" xfId="11765"/>
    <cellStyle name="Normal 4 3 3 3 6 2 2" xfId="26809"/>
    <cellStyle name="Normal 4 3 3 3 6 2 3" xfId="41852"/>
    <cellStyle name="Normal 4 3 3 3 6 3" xfId="19288"/>
    <cellStyle name="Normal 4 3 3 3 6 4" xfId="34331"/>
    <cellStyle name="Normal 4 3 3 3 7" xfId="8004"/>
    <cellStyle name="Normal 4 3 3 3 7 2" xfId="23048"/>
    <cellStyle name="Normal 4 3 3 3 7 3" xfId="38091"/>
    <cellStyle name="Normal 4 3 3 3 8" xfId="15527"/>
    <cellStyle name="Normal 4 3 3 3 9" xfId="30570"/>
    <cellStyle name="Normal 4 3 3 4" xfId="346"/>
    <cellStyle name="Normal 4 3 3 4 2" xfId="347"/>
    <cellStyle name="Normal 4 3 3 4 2 2" xfId="871"/>
    <cellStyle name="Normal 4 3 3 4 2 2 2" xfId="1830"/>
    <cellStyle name="Normal 4 3 3 4 2 2 2 2" xfId="3701"/>
    <cellStyle name="Normal 4 3 3 4 2 2 2 2 2" xfId="7496"/>
    <cellStyle name="Normal 4 3 3 4 2 2 2 2 2 2" xfId="15019"/>
    <cellStyle name="Normal 4 3 3 4 2 2 2 2 2 2 2" xfId="30063"/>
    <cellStyle name="Normal 4 3 3 4 2 2 2 2 2 2 3" xfId="45106"/>
    <cellStyle name="Normal 4 3 3 4 2 2 2 2 2 3" xfId="22542"/>
    <cellStyle name="Normal 4 3 3 4 2 2 2 2 2 4" xfId="37585"/>
    <cellStyle name="Normal 4 3 3 4 2 2 2 2 3" xfId="11270"/>
    <cellStyle name="Normal 4 3 3 4 2 2 2 2 3 2" xfId="26314"/>
    <cellStyle name="Normal 4 3 3 4 2 2 2 2 3 3" xfId="41357"/>
    <cellStyle name="Normal 4 3 3 4 2 2 2 2 4" xfId="18793"/>
    <cellStyle name="Normal 4 3 3 4 2 2 2 2 5" xfId="33836"/>
    <cellStyle name="Normal 4 3 3 4 2 2 2 3" xfId="5631"/>
    <cellStyle name="Normal 4 3 3 4 2 2 2 3 2" xfId="13154"/>
    <cellStyle name="Normal 4 3 3 4 2 2 2 3 2 2" xfId="28198"/>
    <cellStyle name="Normal 4 3 3 4 2 2 2 3 2 3" xfId="43241"/>
    <cellStyle name="Normal 4 3 3 4 2 2 2 3 3" xfId="20677"/>
    <cellStyle name="Normal 4 3 3 4 2 2 2 3 4" xfId="35720"/>
    <cellStyle name="Normal 4 3 3 4 2 2 2 4" xfId="9405"/>
    <cellStyle name="Normal 4 3 3 4 2 2 2 4 2" xfId="24449"/>
    <cellStyle name="Normal 4 3 3 4 2 2 2 4 3" xfId="39492"/>
    <cellStyle name="Normal 4 3 3 4 2 2 2 5" xfId="16928"/>
    <cellStyle name="Normal 4 3 3 4 2 2 2 6" xfId="31971"/>
    <cellStyle name="Normal 4 3 3 4 2 2 3" xfId="2769"/>
    <cellStyle name="Normal 4 3 3 4 2 2 3 2" xfId="6564"/>
    <cellStyle name="Normal 4 3 3 4 2 2 3 2 2" xfId="14087"/>
    <cellStyle name="Normal 4 3 3 4 2 2 3 2 2 2" xfId="29131"/>
    <cellStyle name="Normal 4 3 3 4 2 2 3 2 2 3" xfId="44174"/>
    <cellStyle name="Normal 4 3 3 4 2 2 3 2 3" xfId="21610"/>
    <cellStyle name="Normal 4 3 3 4 2 2 3 2 4" xfId="36653"/>
    <cellStyle name="Normal 4 3 3 4 2 2 3 3" xfId="10338"/>
    <cellStyle name="Normal 4 3 3 4 2 2 3 3 2" xfId="25382"/>
    <cellStyle name="Normal 4 3 3 4 2 2 3 3 3" xfId="40425"/>
    <cellStyle name="Normal 4 3 3 4 2 2 3 4" xfId="17861"/>
    <cellStyle name="Normal 4 3 3 4 2 2 3 5" xfId="32904"/>
    <cellStyle name="Normal 4 3 3 4 2 2 4" xfId="4699"/>
    <cellStyle name="Normal 4 3 3 4 2 2 4 2" xfId="12222"/>
    <cellStyle name="Normal 4 3 3 4 2 2 4 2 2" xfId="27266"/>
    <cellStyle name="Normal 4 3 3 4 2 2 4 2 3" xfId="42309"/>
    <cellStyle name="Normal 4 3 3 4 2 2 4 3" xfId="19745"/>
    <cellStyle name="Normal 4 3 3 4 2 2 4 4" xfId="34788"/>
    <cellStyle name="Normal 4 3 3 4 2 2 5" xfId="8473"/>
    <cellStyle name="Normal 4 3 3 4 2 2 5 2" xfId="23517"/>
    <cellStyle name="Normal 4 3 3 4 2 2 5 3" xfId="38560"/>
    <cellStyle name="Normal 4 3 3 4 2 2 6" xfId="15996"/>
    <cellStyle name="Normal 4 3 3 4 2 2 7" xfId="31039"/>
    <cellStyle name="Normal 4 3 3 4 2 3" xfId="1378"/>
    <cellStyle name="Normal 4 3 3 4 2 3 2" xfId="3249"/>
    <cellStyle name="Normal 4 3 3 4 2 3 2 2" xfId="7044"/>
    <cellStyle name="Normal 4 3 3 4 2 3 2 2 2" xfId="14567"/>
    <cellStyle name="Normal 4 3 3 4 2 3 2 2 2 2" xfId="29611"/>
    <cellStyle name="Normal 4 3 3 4 2 3 2 2 2 3" xfId="44654"/>
    <cellStyle name="Normal 4 3 3 4 2 3 2 2 3" xfId="22090"/>
    <cellStyle name="Normal 4 3 3 4 2 3 2 2 4" xfId="37133"/>
    <cellStyle name="Normal 4 3 3 4 2 3 2 3" xfId="10818"/>
    <cellStyle name="Normal 4 3 3 4 2 3 2 3 2" xfId="25862"/>
    <cellStyle name="Normal 4 3 3 4 2 3 2 3 3" xfId="40905"/>
    <cellStyle name="Normal 4 3 3 4 2 3 2 4" xfId="18341"/>
    <cellStyle name="Normal 4 3 3 4 2 3 2 5" xfId="33384"/>
    <cellStyle name="Normal 4 3 3 4 2 3 3" xfId="5179"/>
    <cellStyle name="Normal 4 3 3 4 2 3 3 2" xfId="12702"/>
    <cellStyle name="Normal 4 3 3 4 2 3 3 2 2" xfId="27746"/>
    <cellStyle name="Normal 4 3 3 4 2 3 3 2 3" xfId="42789"/>
    <cellStyle name="Normal 4 3 3 4 2 3 3 3" xfId="20225"/>
    <cellStyle name="Normal 4 3 3 4 2 3 3 4" xfId="35268"/>
    <cellStyle name="Normal 4 3 3 4 2 3 4" xfId="8953"/>
    <cellStyle name="Normal 4 3 3 4 2 3 4 2" xfId="23997"/>
    <cellStyle name="Normal 4 3 3 4 2 3 4 3" xfId="39040"/>
    <cellStyle name="Normal 4 3 3 4 2 3 5" xfId="16476"/>
    <cellStyle name="Normal 4 3 3 4 2 3 6" xfId="31519"/>
    <cellStyle name="Normal 4 3 3 4 2 4" xfId="2316"/>
    <cellStyle name="Normal 4 3 3 4 2 4 2" xfId="6112"/>
    <cellStyle name="Normal 4 3 3 4 2 4 2 2" xfId="13635"/>
    <cellStyle name="Normal 4 3 3 4 2 4 2 2 2" xfId="28679"/>
    <cellStyle name="Normal 4 3 3 4 2 4 2 2 3" xfId="43722"/>
    <cellStyle name="Normal 4 3 3 4 2 4 2 3" xfId="21158"/>
    <cellStyle name="Normal 4 3 3 4 2 4 2 4" xfId="36201"/>
    <cellStyle name="Normal 4 3 3 4 2 4 3" xfId="9886"/>
    <cellStyle name="Normal 4 3 3 4 2 4 3 2" xfId="24930"/>
    <cellStyle name="Normal 4 3 3 4 2 4 3 3" xfId="39973"/>
    <cellStyle name="Normal 4 3 3 4 2 4 4" xfId="17409"/>
    <cellStyle name="Normal 4 3 3 4 2 4 5" xfId="32452"/>
    <cellStyle name="Normal 4 3 3 4 2 5" xfId="4244"/>
    <cellStyle name="Normal 4 3 3 4 2 5 2" xfId="11768"/>
    <cellStyle name="Normal 4 3 3 4 2 5 2 2" xfId="26812"/>
    <cellStyle name="Normal 4 3 3 4 2 5 2 3" xfId="41855"/>
    <cellStyle name="Normal 4 3 3 4 2 5 3" xfId="19291"/>
    <cellStyle name="Normal 4 3 3 4 2 5 4" xfId="34334"/>
    <cellStyle name="Normal 4 3 3 4 2 6" xfId="8007"/>
    <cellStyle name="Normal 4 3 3 4 2 6 2" xfId="23051"/>
    <cellStyle name="Normal 4 3 3 4 2 6 3" xfId="38094"/>
    <cellStyle name="Normal 4 3 3 4 2 7" xfId="15530"/>
    <cellStyle name="Normal 4 3 3 4 2 8" xfId="30573"/>
    <cellStyle name="Normal 4 3 3 4 3" xfId="870"/>
    <cellStyle name="Normal 4 3 3 4 3 2" xfId="1829"/>
    <cellStyle name="Normal 4 3 3 4 3 2 2" xfId="3700"/>
    <cellStyle name="Normal 4 3 3 4 3 2 2 2" xfId="7495"/>
    <cellStyle name="Normal 4 3 3 4 3 2 2 2 2" xfId="15018"/>
    <cellStyle name="Normal 4 3 3 4 3 2 2 2 2 2" xfId="30062"/>
    <cellStyle name="Normal 4 3 3 4 3 2 2 2 2 3" xfId="45105"/>
    <cellStyle name="Normal 4 3 3 4 3 2 2 2 3" xfId="22541"/>
    <cellStyle name="Normal 4 3 3 4 3 2 2 2 4" xfId="37584"/>
    <cellStyle name="Normal 4 3 3 4 3 2 2 3" xfId="11269"/>
    <cellStyle name="Normal 4 3 3 4 3 2 2 3 2" xfId="26313"/>
    <cellStyle name="Normal 4 3 3 4 3 2 2 3 3" xfId="41356"/>
    <cellStyle name="Normal 4 3 3 4 3 2 2 4" xfId="18792"/>
    <cellStyle name="Normal 4 3 3 4 3 2 2 5" xfId="33835"/>
    <cellStyle name="Normal 4 3 3 4 3 2 3" xfId="5630"/>
    <cellStyle name="Normal 4 3 3 4 3 2 3 2" xfId="13153"/>
    <cellStyle name="Normal 4 3 3 4 3 2 3 2 2" xfId="28197"/>
    <cellStyle name="Normal 4 3 3 4 3 2 3 2 3" xfId="43240"/>
    <cellStyle name="Normal 4 3 3 4 3 2 3 3" xfId="20676"/>
    <cellStyle name="Normal 4 3 3 4 3 2 3 4" xfId="35719"/>
    <cellStyle name="Normal 4 3 3 4 3 2 4" xfId="9404"/>
    <cellStyle name="Normal 4 3 3 4 3 2 4 2" xfId="24448"/>
    <cellStyle name="Normal 4 3 3 4 3 2 4 3" xfId="39491"/>
    <cellStyle name="Normal 4 3 3 4 3 2 5" xfId="16927"/>
    <cellStyle name="Normal 4 3 3 4 3 2 6" xfId="31970"/>
    <cellStyle name="Normal 4 3 3 4 3 3" xfId="2768"/>
    <cellStyle name="Normal 4 3 3 4 3 3 2" xfId="6563"/>
    <cellStyle name="Normal 4 3 3 4 3 3 2 2" xfId="14086"/>
    <cellStyle name="Normal 4 3 3 4 3 3 2 2 2" xfId="29130"/>
    <cellStyle name="Normal 4 3 3 4 3 3 2 2 3" xfId="44173"/>
    <cellStyle name="Normal 4 3 3 4 3 3 2 3" xfId="21609"/>
    <cellStyle name="Normal 4 3 3 4 3 3 2 4" xfId="36652"/>
    <cellStyle name="Normal 4 3 3 4 3 3 3" xfId="10337"/>
    <cellStyle name="Normal 4 3 3 4 3 3 3 2" xfId="25381"/>
    <cellStyle name="Normal 4 3 3 4 3 3 3 3" xfId="40424"/>
    <cellStyle name="Normal 4 3 3 4 3 3 4" xfId="17860"/>
    <cellStyle name="Normal 4 3 3 4 3 3 5" xfId="32903"/>
    <cellStyle name="Normal 4 3 3 4 3 4" xfId="4698"/>
    <cellStyle name="Normal 4 3 3 4 3 4 2" xfId="12221"/>
    <cellStyle name="Normal 4 3 3 4 3 4 2 2" xfId="27265"/>
    <cellStyle name="Normal 4 3 3 4 3 4 2 3" xfId="42308"/>
    <cellStyle name="Normal 4 3 3 4 3 4 3" xfId="19744"/>
    <cellStyle name="Normal 4 3 3 4 3 4 4" xfId="34787"/>
    <cellStyle name="Normal 4 3 3 4 3 5" xfId="8472"/>
    <cellStyle name="Normal 4 3 3 4 3 5 2" xfId="23516"/>
    <cellStyle name="Normal 4 3 3 4 3 5 3" xfId="38559"/>
    <cellStyle name="Normal 4 3 3 4 3 6" xfId="15995"/>
    <cellStyle name="Normal 4 3 3 4 3 7" xfId="31038"/>
    <cellStyle name="Normal 4 3 3 4 4" xfId="1377"/>
    <cellStyle name="Normal 4 3 3 4 4 2" xfId="3248"/>
    <cellStyle name="Normal 4 3 3 4 4 2 2" xfId="7043"/>
    <cellStyle name="Normal 4 3 3 4 4 2 2 2" xfId="14566"/>
    <cellStyle name="Normal 4 3 3 4 4 2 2 2 2" xfId="29610"/>
    <cellStyle name="Normal 4 3 3 4 4 2 2 2 3" xfId="44653"/>
    <cellStyle name="Normal 4 3 3 4 4 2 2 3" xfId="22089"/>
    <cellStyle name="Normal 4 3 3 4 4 2 2 4" xfId="37132"/>
    <cellStyle name="Normal 4 3 3 4 4 2 3" xfId="10817"/>
    <cellStyle name="Normal 4 3 3 4 4 2 3 2" xfId="25861"/>
    <cellStyle name="Normal 4 3 3 4 4 2 3 3" xfId="40904"/>
    <cellStyle name="Normal 4 3 3 4 4 2 4" xfId="18340"/>
    <cellStyle name="Normal 4 3 3 4 4 2 5" xfId="33383"/>
    <cellStyle name="Normal 4 3 3 4 4 3" xfId="5178"/>
    <cellStyle name="Normal 4 3 3 4 4 3 2" xfId="12701"/>
    <cellStyle name="Normal 4 3 3 4 4 3 2 2" xfId="27745"/>
    <cellStyle name="Normal 4 3 3 4 4 3 2 3" xfId="42788"/>
    <cellStyle name="Normal 4 3 3 4 4 3 3" xfId="20224"/>
    <cellStyle name="Normal 4 3 3 4 4 3 4" xfId="35267"/>
    <cellStyle name="Normal 4 3 3 4 4 4" xfId="8952"/>
    <cellStyle name="Normal 4 3 3 4 4 4 2" xfId="23996"/>
    <cellStyle name="Normal 4 3 3 4 4 4 3" xfId="39039"/>
    <cellStyle name="Normal 4 3 3 4 4 5" xfId="16475"/>
    <cellStyle name="Normal 4 3 3 4 4 6" xfId="31518"/>
    <cellStyle name="Normal 4 3 3 4 5" xfId="2315"/>
    <cellStyle name="Normal 4 3 3 4 5 2" xfId="6111"/>
    <cellStyle name="Normal 4 3 3 4 5 2 2" xfId="13634"/>
    <cellStyle name="Normal 4 3 3 4 5 2 2 2" xfId="28678"/>
    <cellStyle name="Normal 4 3 3 4 5 2 2 3" xfId="43721"/>
    <cellStyle name="Normal 4 3 3 4 5 2 3" xfId="21157"/>
    <cellStyle name="Normal 4 3 3 4 5 2 4" xfId="36200"/>
    <cellStyle name="Normal 4 3 3 4 5 3" xfId="9885"/>
    <cellStyle name="Normal 4 3 3 4 5 3 2" xfId="24929"/>
    <cellStyle name="Normal 4 3 3 4 5 3 3" xfId="39972"/>
    <cellStyle name="Normal 4 3 3 4 5 4" xfId="17408"/>
    <cellStyle name="Normal 4 3 3 4 5 5" xfId="32451"/>
    <cellStyle name="Normal 4 3 3 4 6" xfId="4243"/>
    <cellStyle name="Normal 4 3 3 4 6 2" xfId="11767"/>
    <cellStyle name="Normal 4 3 3 4 6 2 2" xfId="26811"/>
    <cellStyle name="Normal 4 3 3 4 6 2 3" xfId="41854"/>
    <cellStyle name="Normal 4 3 3 4 6 3" xfId="19290"/>
    <cellStyle name="Normal 4 3 3 4 6 4" xfId="34333"/>
    <cellStyle name="Normal 4 3 3 4 7" xfId="8006"/>
    <cellStyle name="Normal 4 3 3 4 7 2" xfId="23050"/>
    <cellStyle name="Normal 4 3 3 4 7 3" xfId="38093"/>
    <cellStyle name="Normal 4 3 3 4 8" xfId="15529"/>
    <cellStyle name="Normal 4 3 3 4 9" xfId="30572"/>
    <cellStyle name="Normal 4 3 3 5" xfId="348"/>
    <cellStyle name="Normal 4 3 3 5 2" xfId="872"/>
    <cellStyle name="Normal 4 3 3 5 2 2" xfId="1831"/>
    <cellStyle name="Normal 4 3 3 5 2 2 2" xfId="3702"/>
    <cellStyle name="Normal 4 3 3 5 2 2 2 2" xfId="7497"/>
    <cellStyle name="Normal 4 3 3 5 2 2 2 2 2" xfId="15020"/>
    <cellStyle name="Normal 4 3 3 5 2 2 2 2 2 2" xfId="30064"/>
    <cellStyle name="Normal 4 3 3 5 2 2 2 2 2 3" xfId="45107"/>
    <cellStyle name="Normal 4 3 3 5 2 2 2 2 3" xfId="22543"/>
    <cellStyle name="Normal 4 3 3 5 2 2 2 2 4" xfId="37586"/>
    <cellStyle name="Normal 4 3 3 5 2 2 2 3" xfId="11271"/>
    <cellStyle name="Normal 4 3 3 5 2 2 2 3 2" xfId="26315"/>
    <cellStyle name="Normal 4 3 3 5 2 2 2 3 3" xfId="41358"/>
    <cellStyle name="Normal 4 3 3 5 2 2 2 4" xfId="18794"/>
    <cellStyle name="Normal 4 3 3 5 2 2 2 5" xfId="33837"/>
    <cellStyle name="Normal 4 3 3 5 2 2 3" xfId="5632"/>
    <cellStyle name="Normal 4 3 3 5 2 2 3 2" xfId="13155"/>
    <cellStyle name="Normal 4 3 3 5 2 2 3 2 2" xfId="28199"/>
    <cellStyle name="Normal 4 3 3 5 2 2 3 2 3" xfId="43242"/>
    <cellStyle name="Normal 4 3 3 5 2 2 3 3" xfId="20678"/>
    <cellStyle name="Normal 4 3 3 5 2 2 3 4" xfId="35721"/>
    <cellStyle name="Normal 4 3 3 5 2 2 4" xfId="9406"/>
    <cellStyle name="Normal 4 3 3 5 2 2 4 2" xfId="24450"/>
    <cellStyle name="Normal 4 3 3 5 2 2 4 3" xfId="39493"/>
    <cellStyle name="Normal 4 3 3 5 2 2 5" xfId="16929"/>
    <cellStyle name="Normal 4 3 3 5 2 2 6" xfId="31972"/>
    <cellStyle name="Normal 4 3 3 5 2 3" xfId="2770"/>
    <cellStyle name="Normal 4 3 3 5 2 3 2" xfId="6565"/>
    <cellStyle name="Normal 4 3 3 5 2 3 2 2" xfId="14088"/>
    <cellStyle name="Normal 4 3 3 5 2 3 2 2 2" xfId="29132"/>
    <cellStyle name="Normal 4 3 3 5 2 3 2 2 3" xfId="44175"/>
    <cellStyle name="Normal 4 3 3 5 2 3 2 3" xfId="21611"/>
    <cellStyle name="Normal 4 3 3 5 2 3 2 4" xfId="36654"/>
    <cellStyle name="Normal 4 3 3 5 2 3 3" xfId="10339"/>
    <cellStyle name="Normal 4 3 3 5 2 3 3 2" xfId="25383"/>
    <cellStyle name="Normal 4 3 3 5 2 3 3 3" xfId="40426"/>
    <cellStyle name="Normal 4 3 3 5 2 3 4" xfId="17862"/>
    <cellStyle name="Normal 4 3 3 5 2 3 5" xfId="32905"/>
    <cellStyle name="Normal 4 3 3 5 2 4" xfId="4700"/>
    <cellStyle name="Normal 4 3 3 5 2 4 2" xfId="12223"/>
    <cellStyle name="Normal 4 3 3 5 2 4 2 2" xfId="27267"/>
    <cellStyle name="Normal 4 3 3 5 2 4 2 3" xfId="42310"/>
    <cellStyle name="Normal 4 3 3 5 2 4 3" xfId="19746"/>
    <cellStyle name="Normal 4 3 3 5 2 4 4" xfId="34789"/>
    <cellStyle name="Normal 4 3 3 5 2 5" xfId="8474"/>
    <cellStyle name="Normal 4 3 3 5 2 5 2" xfId="23518"/>
    <cellStyle name="Normal 4 3 3 5 2 5 3" xfId="38561"/>
    <cellStyle name="Normal 4 3 3 5 2 6" xfId="15997"/>
    <cellStyle name="Normal 4 3 3 5 2 7" xfId="31040"/>
    <cellStyle name="Normal 4 3 3 5 3" xfId="1379"/>
    <cellStyle name="Normal 4 3 3 5 3 2" xfId="3250"/>
    <cellStyle name="Normal 4 3 3 5 3 2 2" xfId="7045"/>
    <cellStyle name="Normal 4 3 3 5 3 2 2 2" xfId="14568"/>
    <cellStyle name="Normal 4 3 3 5 3 2 2 2 2" xfId="29612"/>
    <cellStyle name="Normal 4 3 3 5 3 2 2 2 3" xfId="44655"/>
    <cellStyle name="Normal 4 3 3 5 3 2 2 3" xfId="22091"/>
    <cellStyle name="Normal 4 3 3 5 3 2 2 4" xfId="37134"/>
    <cellStyle name="Normal 4 3 3 5 3 2 3" xfId="10819"/>
    <cellStyle name="Normal 4 3 3 5 3 2 3 2" xfId="25863"/>
    <cellStyle name="Normal 4 3 3 5 3 2 3 3" xfId="40906"/>
    <cellStyle name="Normal 4 3 3 5 3 2 4" xfId="18342"/>
    <cellStyle name="Normal 4 3 3 5 3 2 5" xfId="33385"/>
    <cellStyle name="Normal 4 3 3 5 3 3" xfId="5180"/>
    <cellStyle name="Normal 4 3 3 5 3 3 2" xfId="12703"/>
    <cellStyle name="Normal 4 3 3 5 3 3 2 2" xfId="27747"/>
    <cellStyle name="Normal 4 3 3 5 3 3 2 3" xfId="42790"/>
    <cellStyle name="Normal 4 3 3 5 3 3 3" xfId="20226"/>
    <cellStyle name="Normal 4 3 3 5 3 3 4" xfId="35269"/>
    <cellStyle name="Normal 4 3 3 5 3 4" xfId="8954"/>
    <cellStyle name="Normal 4 3 3 5 3 4 2" xfId="23998"/>
    <cellStyle name="Normal 4 3 3 5 3 4 3" xfId="39041"/>
    <cellStyle name="Normal 4 3 3 5 3 5" xfId="16477"/>
    <cellStyle name="Normal 4 3 3 5 3 6" xfId="31520"/>
    <cellStyle name="Normal 4 3 3 5 4" xfId="2317"/>
    <cellStyle name="Normal 4 3 3 5 4 2" xfId="6113"/>
    <cellStyle name="Normal 4 3 3 5 4 2 2" xfId="13636"/>
    <cellStyle name="Normal 4 3 3 5 4 2 2 2" xfId="28680"/>
    <cellStyle name="Normal 4 3 3 5 4 2 2 3" xfId="43723"/>
    <cellStyle name="Normal 4 3 3 5 4 2 3" xfId="21159"/>
    <cellStyle name="Normal 4 3 3 5 4 2 4" xfId="36202"/>
    <cellStyle name="Normal 4 3 3 5 4 3" xfId="9887"/>
    <cellStyle name="Normal 4 3 3 5 4 3 2" xfId="24931"/>
    <cellStyle name="Normal 4 3 3 5 4 3 3" xfId="39974"/>
    <cellStyle name="Normal 4 3 3 5 4 4" xfId="17410"/>
    <cellStyle name="Normal 4 3 3 5 4 5" xfId="32453"/>
    <cellStyle name="Normal 4 3 3 5 5" xfId="4245"/>
    <cellStyle name="Normal 4 3 3 5 5 2" xfId="11769"/>
    <cellStyle name="Normal 4 3 3 5 5 2 2" xfId="26813"/>
    <cellStyle name="Normal 4 3 3 5 5 2 3" xfId="41856"/>
    <cellStyle name="Normal 4 3 3 5 5 3" xfId="19292"/>
    <cellStyle name="Normal 4 3 3 5 5 4" xfId="34335"/>
    <cellStyle name="Normal 4 3 3 5 6" xfId="8008"/>
    <cellStyle name="Normal 4 3 3 5 6 2" xfId="23052"/>
    <cellStyle name="Normal 4 3 3 5 6 3" xfId="38095"/>
    <cellStyle name="Normal 4 3 3 5 7" xfId="15531"/>
    <cellStyle name="Normal 4 3 3 5 8" xfId="30574"/>
    <cellStyle name="Normal 4 3 3 6" xfId="861"/>
    <cellStyle name="Normal 4 3 3 6 2" xfId="1820"/>
    <cellStyle name="Normal 4 3 3 6 2 2" xfId="3691"/>
    <cellStyle name="Normal 4 3 3 6 2 2 2" xfId="7486"/>
    <cellStyle name="Normal 4 3 3 6 2 2 2 2" xfId="15009"/>
    <cellStyle name="Normal 4 3 3 6 2 2 2 2 2" xfId="30053"/>
    <cellStyle name="Normal 4 3 3 6 2 2 2 2 3" xfId="45096"/>
    <cellStyle name="Normal 4 3 3 6 2 2 2 3" xfId="22532"/>
    <cellStyle name="Normal 4 3 3 6 2 2 2 4" xfId="37575"/>
    <cellStyle name="Normal 4 3 3 6 2 2 3" xfId="11260"/>
    <cellStyle name="Normal 4 3 3 6 2 2 3 2" xfId="26304"/>
    <cellStyle name="Normal 4 3 3 6 2 2 3 3" xfId="41347"/>
    <cellStyle name="Normal 4 3 3 6 2 2 4" xfId="18783"/>
    <cellStyle name="Normal 4 3 3 6 2 2 5" xfId="33826"/>
    <cellStyle name="Normal 4 3 3 6 2 3" xfId="5621"/>
    <cellStyle name="Normal 4 3 3 6 2 3 2" xfId="13144"/>
    <cellStyle name="Normal 4 3 3 6 2 3 2 2" xfId="28188"/>
    <cellStyle name="Normal 4 3 3 6 2 3 2 3" xfId="43231"/>
    <cellStyle name="Normal 4 3 3 6 2 3 3" xfId="20667"/>
    <cellStyle name="Normal 4 3 3 6 2 3 4" xfId="35710"/>
    <cellStyle name="Normal 4 3 3 6 2 4" xfId="9395"/>
    <cellStyle name="Normal 4 3 3 6 2 4 2" xfId="24439"/>
    <cellStyle name="Normal 4 3 3 6 2 4 3" xfId="39482"/>
    <cellStyle name="Normal 4 3 3 6 2 5" xfId="16918"/>
    <cellStyle name="Normal 4 3 3 6 2 6" xfId="31961"/>
    <cellStyle name="Normal 4 3 3 6 3" xfId="2759"/>
    <cellStyle name="Normal 4 3 3 6 3 2" xfId="6554"/>
    <cellStyle name="Normal 4 3 3 6 3 2 2" xfId="14077"/>
    <cellStyle name="Normal 4 3 3 6 3 2 2 2" xfId="29121"/>
    <cellStyle name="Normal 4 3 3 6 3 2 2 3" xfId="44164"/>
    <cellStyle name="Normal 4 3 3 6 3 2 3" xfId="21600"/>
    <cellStyle name="Normal 4 3 3 6 3 2 4" xfId="36643"/>
    <cellStyle name="Normal 4 3 3 6 3 3" xfId="10328"/>
    <cellStyle name="Normal 4 3 3 6 3 3 2" xfId="25372"/>
    <cellStyle name="Normal 4 3 3 6 3 3 3" xfId="40415"/>
    <cellStyle name="Normal 4 3 3 6 3 4" xfId="17851"/>
    <cellStyle name="Normal 4 3 3 6 3 5" xfId="32894"/>
    <cellStyle name="Normal 4 3 3 6 4" xfId="4689"/>
    <cellStyle name="Normal 4 3 3 6 4 2" xfId="12212"/>
    <cellStyle name="Normal 4 3 3 6 4 2 2" xfId="27256"/>
    <cellStyle name="Normal 4 3 3 6 4 2 3" xfId="42299"/>
    <cellStyle name="Normal 4 3 3 6 4 3" xfId="19735"/>
    <cellStyle name="Normal 4 3 3 6 4 4" xfId="34778"/>
    <cellStyle name="Normal 4 3 3 6 5" xfId="8463"/>
    <cellStyle name="Normal 4 3 3 6 5 2" xfId="23507"/>
    <cellStyle name="Normal 4 3 3 6 5 3" xfId="38550"/>
    <cellStyle name="Normal 4 3 3 6 6" xfId="15986"/>
    <cellStyle name="Normal 4 3 3 6 7" xfId="31029"/>
    <cellStyle name="Normal 4 3 3 7" xfId="1368"/>
    <cellStyle name="Normal 4 3 3 7 2" xfId="3239"/>
    <cellStyle name="Normal 4 3 3 7 2 2" xfId="7034"/>
    <cellStyle name="Normal 4 3 3 7 2 2 2" xfId="14557"/>
    <cellStyle name="Normal 4 3 3 7 2 2 2 2" xfId="29601"/>
    <cellStyle name="Normal 4 3 3 7 2 2 2 3" xfId="44644"/>
    <cellStyle name="Normal 4 3 3 7 2 2 3" xfId="22080"/>
    <cellStyle name="Normal 4 3 3 7 2 2 4" xfId="37123"/>
    <cellStyle name="Normal 4 3 3 7 2 3" xfId="10808"/>
    <cellStyle name="Normal 4 3 3 7 2 3 2" xfId="25852"/>
    <cellStyle name="Normal 4 3 3 7 2 3 3" xfId="40895"/>
    <cellStyle name="Normal 4 3 3 7 2 4" xfId="18331"/>
    <cellStyle name="Normal 4 3 3 7 2 5" xfId="33374"/>
    <cellStyle name="Normal 4 3 3 7 3" xfId="5169"/>
    <cellStyle name="Normal 4 3 3 7 3 2" xfId="12692"/>
    <cellStyle name="Normal 4 3 3 7 3 2 2" xfId="27736"/>
    <cellStyle name="Normal 4 3 3 7 3 2 3" xfId="42779"/>
    <cellStyle name="Normal 4 3 3 7 3 3" xfId="20215"/>
    <cellStyle name="Normal 4 3 3 7 3 4" xfId="35258"/>
    <cellStyle name="Normal 4 3 3 7 4" xfId="8943"/>
    <cellStyle name="Normal 4 3 3 7 4 2" xfId="23987"/>
    <cellStyle name="Normal 4 3 3 7 4 3" xfId="39030"/>
    <cellStyle name="Normal 4 3 3 7 5" xfId="16466"/>
    <cellStyle name="Normal 4 3 3 7 6" xfId="31509"/>
    <cellStyle name="Normal 4 3 3 8" xfId="2306"/>
    <cellStyle name="Normal 4 3 3 8 2" xfId="6102"/>
    <cellStyle name="Normal 4 3 3 8 2 2" xfId="13625"/>
    <cellStyle name="Normal 4 3 3 8 2 2 2" xfId="28669"/>
    <cellStyle name="Normal 4 3 3 8 2 2 3" xfId="43712"/>
    <cellStyle name="Normal 4 3 3 8 2 3" xfId="21148"/>
    <cellStyle name="Normal 4 3 3 8 2 4" xfId="36191"/>
    <cellStyle name="Normal 4 3 3 8 3" xfId="9876"/>
    <cellStyle name="Normal 4 3 3 8 3 2" xfId="24920"/>
    <cellStyle name="Normal 4 3 3 8 3 3" xfId="39963"/>
    <cellStyle name="Normal 4 3 3 8 4" xfId="17399"/>
    <cellStyle name="Normal 4 3 3 8 5" xfId="32442"/>
    <cellStyle name="Normal 4 3 3 9" xfId="4234"/>
    <cellStyle name="Normal 4 3 3 9 2" xfId="11758"/>
    <cellStyle name="Normal 4 3 3 9 2 2" xfId="26802"/>
    <cellStyle name="Normal 4 3 3 9 2 3" xfId="41845"/>
    <cellStyle name="Normal 4 3 3 9 3" xfId="19281"/>
    <cellStyle name="Normal 4 3 3 9 4" xfId="34324"/>
    <cellStyle name="Normal 4 3 4" xfId="349"/>
    <cellStyle name="Normal 4 3 4 10" xfId="15532"/>
    <cellStyle name="Normal 4 3 4 11" xfId="30575"/>
    <cellStyle name="Normal 4 3 4 2" xfId="350"/>
    <cellStyle name="Normal 4 3 4 2 2" xfId="351"/>
    <cellStyle name="Normal 4 3 4 2 2 2" xfId="875"/>
    <cellStyle name="Normal 4 3 4 2 2 2 2" xfId="1834"/>
    <cellStyle name="Normal 4 3 4 2 2 2 2 2" xfId="3705"/>
    <cellStyle name="Normal 4 3 4 2 2 2 2 2 2" xfId="7500"/>
    <cellStyle name="Normal 4 3 4 2 2 2 2 2 2 2" xfId="15023"/>
    <cellStyle name="Normal 4 3 4 2 2 2 2 2 2 2 2" xfId="30067"/>
    <cellStyle name="Normal 4 3 4 2 2 2 2 2 2 2 3" xfId="45110"/>
    <cellStyle name="Normal 4 3 4 2 2 2 2 2 2 3" xfId="22546"/>
    <cellStyle name="Normal 4 3 4 2 2 2 2 2 2 4" xfId="37589"/>
    <cellStyle name="Normal 4 3 4 2 2 2 2 2 3" xfId="11274"/>
    <cellStyle name="Normal 4 3 4 2 2 2 2 2 3 2" xfId="26318"/>
    <cellStyle name="Normal 4 3 4 2 2 2 2 2 3 3" xfId="41361"/>
    <cellStyle name="Normal 4 3 4 2 2 2 2 2 4" xfId="18797"/>
    <cellStyle name="Normal 4 3 4 2 2 2 2 2 5" xfId="33840"/>
    <cellStyle name="Normal 4 3 4 2 2 2 2 3" xfId="5635"/>
    <cellStyle name="Normal 4 3 4 2 2 2 2 3 2" xfId="13158"/>
    <cellStyle name="Normal 4 3 4 2 2 2 2 3 2 2" xfId="28202"/>
    <cellStyle name="Normal 4 3 4 2 2 2 2 3 2 3" xfId="43245"/>
    <cellStyle name="Normal 4 3 4 2 2 2 2 3 3" xfId="20681"/>
    <cellStyle name="Normal 4 3 4 2 2 2 2 3 4" xfId="35724"/>
    <cellStyle name="Normal 4 3 4 2 2 2 2 4" xfId="9409"/>
    <cellStyle name="Normal 4 3 4 2 2 2 2 4 2" xfId="24453"/>
    <cellStyle name="Normal 4 3 4 2 2 2 2 4 3" xfId="39496"/>
    <cellStyle name="Normal 4 3 4 2 2 2 2 5" xfId="16932"/>
    <cellStyle name="Normal 4 3 4 2 2 2 2 6" xfId="31975"/>
    <cellStyle name="Normal 4 3 4 2 2 2 3" xfId="2773"/>
    <cellStyle name="Normal 4 3 4 2 2 2 3 2" xfId="6568"/>
    <cellStyle name="Normal 4 3 4 2 2 2 3 2 2" xfId="14091"/>
    <cellStyle name="Normal 4 3 4 2 2 2 3 2 2 2" xfId="29135"/>
    <cellStyle name="Normal 4 3 4 2 2 2 3 2 2 3" xfId="44178"/>
    <cellStyle name="Normal 4 3 4 2 2 2 3 2 3" xfId="21614"/>
    <cellStyle name="Normal 4 3 4 2 2 2 3 2 4" xfId="36657"/>
    <cellStyle name="Normal 4 3 4 2 2 2 3 3" xfId="10342"/>
    <cellStyle name="Normal 4 3 4 2 2 2 3 3 2" xfId="25386"/>
    <cellStyle name="Normal 4 3 4 2 2 2 3 3 3" xfId="40429"/>
    <cellStyle name="Normal 4 3 4 2 2 2 3 4" xfId="17865"/>
    <cellStyle name="Normal 4 3 4 2 2 2 3 5" xfId="32908"/>
    <cellStyle name="Normal 4 3 4 2 2 2 4" xfId="4703"/>
    <cellStyle name="Normal 4 3 4 2 2 2 4 2" xfId="12226"/>
    <cellStyle name="Normal 4 3 4 2 2 2 4 2 2" xfId="27270"/>
    <cellStyle name="Normal 4 3 4 2 2 2 4 2 3" xfId="42313"/>
    <cellStyle name="Normal 4 3 4 2 2 2 4 3" xfId="19749"/>
    <cellStyle name="Normal 4 3 4 2 2 2 4 4" xfId="34792"/>
    <cellStyle name="Normal 4 3 4 2 2 2 5" xfId="8477"/>
    <cellStyle name="Normal 4 3 4 2 2 2 5 2" xfId="23521"/>
    <cellStyle name="Normal 4 3 4 2 2 2 5 3" xfId="38564"/>
    <cellStyle name="Normal 4 3 4 2 2 2 6" xfId="16000"/>
    <cellStyle name="Normal 4 3 4 2 2 2 7" xfId="31043"/>
    <cellStyle name="Normal 4 3 4 2 2 3" xfId="1382"/>
    <cellStyle name="Normal 4 3 4 2 2 3 2" xfId="3253"/>
    <cellStyle name="Normal 4 3 4 2 2 3 2 2" xfId="7048"/>
    <cellStyle name="Normal 4 3 4 2 2 3 2 2 2" xfId="14571"/>
    <cellStyle name="Normal 4 3 4 2 2 3 2 2 2 2" xfId="29615"/>
    <cellStyle name="Normal 4 3 4 2 2 3 2 2 2 3" xfId="44658"/>
    <cellStyle name="Normal 4 3 4 2 2 3 2 2 3" xfId="22094"/>
    <cellStyle name="Normal 4 3 4 2 2 3 2 2 4" xfId="37137"/>
    <cellStyle name="Normal 4 3 4 2 2 3 2 3" xfId="10822"/>
    <cellStyle name="Normal 4 3 4 2 2 3 2 3 2" xfId="25866"/>
    <cellStyle name="Normal 4 3 4 2 2 3 2 3 3" xfId="40909"/>
    <cellStyle name="Normal 4 3 4 2 2 3 2 4" xfId="18345"/>
    <cellStyle name="Normal 4 3 4 2 2 3 2 5" xfId="33388"/>
    <cellStyle name="Normal 4 3 4 2 2 3 3" xfId="5183"/>
    <cellStyle name="Normal 4 3 4 2 2 3 3 2" xfId="12706"/>
    <cellStyle name="Normal 4 3 4 2 2 3 3 2 2" xfId="27750"/>
    <cellStyle name="Normal 4 3 4 2 2 3 3 2 3" xfId="42793"/>
    <cellStyle name="Normal 4 3 4 2 2 3 3 3" xfId="20229"/>
    <cellStyle name="Normal 4 3 4 2 2 3 3 4" xfId="35272"/>
    <cellStyle name="Normal 4 3 4 2 2 3 4" xfId="8957"/>
    <cellStyle name="Normal 4 3 4 2 2 3 4 2" xfId="24001"/>
    <cellStyle name="Normal 4 3 4 2 2 3 4 3" xfId="39044"/>
    <cellStyle name="Normal 4 3 4 2 2 3 5" xfId="16480"/>
    <cellStyle name="Normal 4 3 4 2 2 3 6" xfId="31523"/>
    <cellStyle name="Normal 4 3 4 2 2 4" xfId="2320"/>
    <cellStyle name="Normal 4 3 4 2 2 4 2" xfId="6116"/>
    <cellStyle name="Normal 4 3 4 2 2 4 2 2" xfId="13639"/>
    <cellStyle name="Normal 4 3 4 2 2 4 2 2 2" xfId="28683"/>
    <cellStyle name="Normal 4 3 4 2 2 4 2 2 3" xfId="43726"/>
    <cellStyle name="Normal 4 3 4 2 2 4 2 3" xfId="21162"/>
    <cellStyle name="Normal 4 3 4 2 2 4 2 4" xfId="36205"/>
    <cellStyle name="Normal 4 3 4 2 2 4 3" xfId="9890"/>
    <cellStyle name="Normal 4 3 4 2 2 4 3 2" xfId="24934"/>
    <cellStyle name="Normal 4 3 4 2 2 4 3 3" xfId="39977"/>
    <cellStyle name="Normal 4 3 4 2 2 4 4" xfId="17413"/>
    <cellStyle name="Normal 4 3 4 2 2 4 5" xfId="32456"/>
    <cellStyle name="Normal 4 3 4 2 2 5" xfId="4248"/>
    <cellStyle name="Normal 4 3 4 2 2 5 2" xfId="11772"/>
    <cellStyle name="Normal 4 3 4 2 2 5 2 2" xfId="26816"/>
    <cellStyle name="Normal 4 3 4 2 2 5 2 3" xfId="41859"/>
    <cellStyle name="Normal 4 3 4 2 2 5 3" xfId="19295"/>
    <cellStyle name="Normal 4 3 4 2 2 5 4" xfId="34338"/>
    <cellStyle name="Normal 4 3 4 2 2 6" xfId="8011"/>
    <cellStyle name="Normal 4 3 4 2 2 6 2" xfId="23055"/>
    <cellStyle name="Normal 4 3 4 2 2 6 3" xfId="38098"/>
    <cellStyle name="Normal 4 3 4 2 2 7" xfId="15534"/>
    <cellStyle name="Normal 4 3 4 2 2 8" xfId="30577"/>
    <cellStyle name="Normal 4 3 4 2 3" xfId="874"/>
    <cellStyle name="Normal 4 3 4 2 3 2" xfId="1833"/>
    <cellStyle name="Normal 4 3 4 2 3 2 2" xfId="3704"/>
    <cellStyle name="Normal 4 3 4 2 3 2 2 2" xfId="7499"/>
    <cellStyle name="Normal 4 3 4 2 3 2 2 2 2" xfId="15022"/>
    <cellStyle name="Normal 4 3 4 2 3 2 2 2 2 2" xfId="30066"/>
    <cellStyle name="Normal 4 3 4 2 3 2 2 2 2 3" xfId="45109"/>
    <cellStyle name="Normal 4 3 4 2 3 2 2 2 3" xfId="22545"/>
    <cellStyle name="Normal 4 3 4 2 3 2 2 2 4" xfId="37588"/>
    <cellStyle name="Normal 4 3 4 2 3 2 2 3" xfId="11273"/>
    <cellStyle name="Normal 4 3 4 2 3 2 2 3 2" xfId="26317"/>
    <cellStyle name="Normal 4 3 4 2 3 2 2 3 3" xfId="41360"/>
    <cellStyle name="Normal 4 3 4 2 3 2 2 4" xfId="18796"/>
    <cellStyle name="Normal 4 3 4 2 3 2 2 5" xfId="33839"/>
    <cellStyle name="Normal 4 3 4 2 3 2 3" xfId="5634"/>
    <cellStyle name="Normal 4 3 4 2 3 2 3 2" xfId="13157"/>
    <cellStyle name="Normal 4 3 4 2 3 2 3 2 2" xfId="28201"/>
    <cellStyle name="Normal 4 3 4 2 3 2 3 2 3" xfId="43244"/>
    <cellStyle name="Normal 4 3 4 2 3 2 3 3" xfId="20680"/>
    <cellStyle name="Normal 4 3 4 2 3 2 3 4" xfId="35723"/>
    <cellStyle name="Normal 4 3 4 2 3 2 4" xfId="9408"/>
    <cellStyle name="Normal 4 3 4 2 3 2 4 2" xfId="24452"/>
    <cellStyle name="Normal 4 3 4 2 3 2 4 3" xfId="39495"/>
    <cellStyle name="Normal 4 3 4 2 3 2 5" xfId="16931"/>
    <cellStyle name="Normal 4 3 4 2 3 2 6" xfId="31974"/>
    <cellStyle name="Normal 4 3 4 2 3 3" xfId="2772"/>
    <cellStyle name="Normal 4 3 4 2 3 3 2" xfId="6567"/>
    <cellStyle name="Normal 4 3 4 2 3 3 2 2" xfId="14090"/>
    <cellStyle name="Normal 4 3 4 2 3 3 2 2 2" xfId="29134"/>
    <cellStyle name="Normal 4 3 4 2 3 3 2 2 3" xfId="44177"/>
    <cellStyle name="Normal 4 3 4 2 3 3 2 3" xfId="21613"/>
    <cellStyle name="Normal 4 3 4 2 3 3 2 4" xfId="36656"/>
    <cellStyle name="Normal 4 3 4 2 3 3 3" xfId="10341"/>
    <cellStyle name="Normal 4 3 4 2 3 3 3 2" xfId="25385"/>
    <cellStyle name="Normal 4 3 4 2 3 3 3 3" xfId="40428"/>
    <cellStyle name="Normal 4 3 4 2 3 3 4" xfId="17864"/>
    <cellStyle name="Normal 4 3 4 2 3 3 5" xfId="32907"/>
    <cellStyle name="Normal 4 3 4 2 3 4" xfId="4702"/>
    <cellStyle name="Normal 4 3 4 2 3 4 2" xfId="12225"/>
    <cellStyle name="Normal 4 3 4 2 3 4 2 2" xfId="27269"/>
    <cellStyle name="Normal 4 3 4 2 3 4 2 3" xfId="42312"/>
    <cellStyle name="Normal 4 3 4 2 3 4 3" xfId="19748"/>
    <cellStyle name="Normal 4 3 4 2 3 4 4" xfId="34791"/>
    <cellStyle name="Normal 4 3 4 2 3 5" xfId="8476"/>
    <cellStyle name="Normal 4 3 4 2 3 5 2" xfId="23520"/>
    <cellStyle name="Normal 4 3 4 2 3 5 3" xfId="38563"/>
    <cellStyle name="Normal 4 3 4 2 3 6" xfId="15999"/>
    <cellStyle name="Normal 4 3 4 2 3 7" xfId="31042"/>
    <cellStyle name="Normal 4 3 4 2 4" xfId="1381"/>
    <cellStyle name="Normal 4 3 4 2 4 2" xfId="3252"/>
    <cellStyle name="Normal 4 3 4 2 4 2 2" xfId="7047"/>
    <cellStyle name="Normal 4 3 4 2 4 2 2 2" xfId="14570"/>
    <cellStyle name="Normal 4 3 4 2 4 2 2 2 2" xfId="29614"/>
    <cellStyle name="Normal 4 3 4 2 4 2 2 2 3" xfId="44657"/>
    <cellStyle name="Normal 4 3 4 2 4 2 2 3" xfId="22093"/>
    <cellStyle name="Normal 4 3 4 2 4 2 2 4" xfId="37136"/>
    <cellStyle name="Normal 4 3 4 2 4 2 3" xfId="10821"/>
    <cellStyle name="Normal 4 3 4 2 4 2 3 2" xfId="25865"/>
    <cellStyle name="Normal 4 3 4 2 4 2 3 3" xfId="40908"/>
    <cellStyle name="Normal 4 3 4 2 4 2 4" xfId="18344"/>
    <cellStyle name="Normal 4 3 4 2 4 2 5" xfId="33387"/>
    <cellStyle name="Normal 4 3 4 2 4 3" xfId="5182"/>
    <cellStyle name="Normal 4 3 4 2 4 3 2" xfId="12705"/>
    <cellStyle name="Normal 4 3 4 2 4 3 2 2" xfId="27749"/>
    <cellStyle name="Normal 4 3 4 2 4 3 2 3" xfId="42792"/>
    <cellStyle name="Normal 4 3 4 2 4 3 3" xfId="20228"/>
    <cellStyle name="Normal 4 3 4 2 4 3 4" xfId="35271"/>
    <cellStyle name="Normal 4 3 4 2 4 4" xfId="8956"/>
    <cellStyle name="Normal 4 3 4 2 4 4 2" xfId="24000"/>
    <cellStyle name="Normal 4 3 4 2 4 4 3" xfId="39043"/>
    <cellStyle name="Normal 4 3 4 2 4 5" xfId="16479"/>
    <cellStyle name="Normal 4 3 4 2 4 6" xfId="31522"/>
    <cellStyle name="Normal 4 3 4 2 5" xfId="2319"/>
    <cellStyle name="Normal 4 3 4 2 5 2" xfId="6115"/>
    <cellStyle name="Normal 4 3 4 2 5 2 2" xfId="13638"/>
    <cellStyle name="Normal 4 3 4 2 5 2 2 2" xfId="28682"/>
    <cellStyle name="Normal 4 3 4 2 5 2 2 3" xfId="43725"/>
    <cellStyle name="Normal 4 3 4 2 5 2 3" xfId="21161"/>
    <cellStyle name="Normal 4 3 4 2 5 2 4" xfId="36204"/>
    <cellStyle name="Normal 4 3 4 2 5 3" xfId="9889"/>
    <cellStyle name="Normal 4 3 4 2 5 3 2" xfId="24933"/>
    <cellStyle name="Normal 4 3 4 2 5 3 3" xfId="39976"/>
    <cellStyle name="Normal 4 3 4 2 5 4" xfId="17412"/>
    <cellStyle name="Normal 4 3 4 2 5 5" xfId="32455"/>
    <cellStyle name="Normal 4 3 4 2 6" xfId="4247"/>
    <cellStyle name="Normal 4 3 4 2 6 2" xfId="11771"/>
    <cellStyle name="Normal 4 3 4 2 6 2 2" xfId="26815"/>
    <cellStyle name="Normal 4 3 4 2 6 2 3" xfId="41858"/>
    <cellStyle name="Normal 4 3 4 2 6 3" xfId="19294"/>
    <cellStyle name="Normal 4 3 4 2 6 4" xfId="34337"/>
    <cellStyle name="Normal 4 3 4 2 7" xfId="8010"/>
    <cellStyle name="Normal 4 3 4 2 7 2" xfId="23054"/>
    <cellStyle name="Normal 4 3 4 2 7 3" xfId="38097"/>
    <cellStyle name="Normal 4 3 4 2 8" xfId="15533"/>
    <cellStyle name="Normal 4 3 4 2 9" xfId="30576"/>
    <cellStyle name="Normal 4 3 4 3" xfId="352"/>
    <cellStyle name="Normal 4 3 4 3 2" xfId="353"/>
    <cellStyle name="Normal 4 3 4 3 2 2" xfId="877"/>
    <cellStyle name="Normal 4 3 4 3 2 2 2" xfId="1836"/>
    <cellStyle name="Normal 4 3 4 3 2 2 2 2" xfId="3707"/>
    <cellStyle name="Normal 4 3 4 3 2 2 2 2 2" xfId="7502"/>
    <cellStyle name="Normal 4 3 4 3 2 2 2 2 2 2" xfId="15025"/>
    <cellStyle name="Normal 4 3 4 3 2 2 2 2 2 2 2" xfId="30069"/>
    <cellStyle name="Normal 4 3 4 3 2 2 2 2 2 2 3" xfId="45112"/>
    <cellStyle name="Normal 4 3 4 3 2 2 2 2 2 3" xfId="22548"/>
    <cellStyle name="Normal 4 3 4 3 2 2 2 2 2 4" xfId="37591"/>
    <cellStyle name="Normal 4 3 4 3 2 2 2 2 3" xfId="11276"/>
    <cellStyle name="Normal 4 3 4 3 2 2 2 2 3 2" xfId="26320"/>
    <cellStyle name="Normal 4 3 4 3 2 2 2 2 3 3" xfId="41363"/>
    <cellStyle name="Normal 4 3 4 3 2 2 2 2 4" xfId="18799"/>
    <cellStyle name="Normal 4 3 4 3 2 2 2 2 5" xfId="33842"/>
    <cellStyle name="Normal 4 3 4 3 2 2 2 3" xfId="5637"/>
    <cellStyle name="Normal 4 3 4 3 2 2 2 3 2" xfId="13160"/>
    <cellStyle name="Normal 4 3 4 3 2 2 2 3 2 2" xfId="28204"/>
    <cellStyle name="Normal 4 3 4 3 2 2 2 3 2 3" xfId="43247"/>
    <cellStyle name="Normal 4 3 4 3 2 2 2 3 3" xfId="20683"/>
    <cellStyle name="Normal 4 3 4 3 2 2 2 3 4" xfId="35726"/>
    <cellStyle name="Normal 4 3 4 3 2 2 2 4" xfId="9411"/>
    <cellStyle name="Normal 4 3 4 3 2 2 2 4 2" xfId="24455"/>
    <cellStyle name="Normal 4 3 4 3 2 2 2 4 3" xfId="39498"/>
    <cellStyle name="Normal 4 3 4 3 2 2 2 5" xfId="16934"/>
    <cellStyle name="Normal 4 3 4 3 2 2 2 6" xfId="31977"/>
    <cellStyle name="Normal 4 3 4 3 2 2 3" xfId="2775"/>
    <cellStyle name="Normal 4 3 4 3 2 2 3 2" xfId="6570"/>
    <cellStyle name="Normal 4 3 4 3 2 2 3 2 2" xfId="14093"/>
    <cellStyle name="Normal 4 3 4 3 2 2 3 2 2 2" xfId="29137"/>
    <cellStyle name="Normal 4 3 4 3 2 2 3 2 2 3" xfId="44180"/>
    <cellStyle name="Normal 4 3 4 3 2 2 3 2 3" xfId="21616"/>
    <cellStyle name="Normal 4 3 4 3 2 2 3 2 4" xfId="36659"/>
    <cellStyle name="Normal 4 3 4 3 2 2 3 3" xfId="10344"/>
    <cellStyle name="Normal 4 3 4 3 2 2 3 3 2" xfId="25388"/>
    <cellStyle name="Normal 4 3 4 3 2 2 3 3 3" xfId="40431"/>
    <cellStyle name="Normal 4 3 4 3 2 2 3 4" xfId="17867"/>
    <cellStyle name="Normal 4 3 4 3 2 2 3 5" xfId="32910"/>
    <cellStyle name="Normal 4 3 4 3 2 2 4" xfId="4705"/>
    <cellStyle name="Normal 4 3 4 3 2 2 4 2" xfId="12228"/>
    <cellStyle name="Normal 4 3 4 3 2 2 4 2 2" xfId="27272"/>
    <cellStyle name="Normal 4 3 4 3 2 2 4 2 3" xfId="42315"/>
    <cellStyle name="Normal 4 3 4 3 2 2 4 3" xfId="19751"/>
    <cellStyle name="Normal 4 3 4 3 2 2 4 4" xfId="34794"/>
    <cellStyle name="Normal 4 3 4 3 2 2 5" xfId="8479"/>
    <cellStyle name="Normal 4 3 4 3 2 2 5 2" xfId="23523"/>
    <cellStyle name="Normal 4 3 4 3 2 2 5 3" xfId="38566"/>
    <cellStyle name="Normal 4 3 4 3 2 2 6" xfId="16002"/>
    <cellStyle name="Normal 4 3 4 3 2 2 7" xfId="31045"/>
    <cellStyle name="Normal 4 3 4 3 2 3" xfId="1384"/>
    <cellStyle name="Normal 4 3 4 3 2 3 2" xfId="3255"/>
    <cellStyle name="Normal 4 3 4 3 2 3 2 2" xfId="7050"/>
    <cellStyle name="Normal 4 3 4 3 2 3 2 2 2" xfId="14573"/>
    <cellStyle name="Normal 4 3 4 3 2 3 2 2 2 2" xfId="29617"/>
    <cellStyle name="Normal 4 3 4 3 2 3 2 2 2 3" xfId="44660"/>
    <cellStyle name="Normal 4 3 4 3 2 3 2 2 3" xfId="22096"/>
    <cellStyle name="Normal 4 3 4 3 2 3 2 2 4" xfId="37139"/>
    <cellStyle name="Normal 4 3 4 3 2 3 2 3" xfId="10824"/>
    <cellStyle name="Normal 4 3 4 3 2 3 2 3 2" xfId="25868"/>
    <cellStyle name="Normal 4 3 4 3 2 3 2 3 3" xfId="40911"/>
    <cellStyle name="Normal 4 3 4 3 2 3 2 4" xfId="18347"/>
    <cellStyle name="Normal 4 3 4 3 2 3 2 5" xfId="33390"/>
    <cellStyle name="Normal 4 3 4 3 2 3 3" xfId="5185"/>
    <cellStyle name="Normal 4 3 4 3 2 3 3 2" xfId="12708"/>
    <cellStyle name="Normal 4 3 4 3 2 3 3 2 2" xfId="27752"/>
    <cellStyle name="Normal 4 3 4 3 2 3 3 2 3" xfId="42795"/>
    <cellStyle name="Normal 4 3 4 3 2 3 3 3" xfId="20231"/>
    <cellStyle name="Normal 4 3 4 3 2 3 3 4" xfId="35274"/>
    <cellStyle name="Normal 4 3 4 3 2 3 4" xfId="8959"/>
    <cellStyle name="Normal 4 3 4 3 2 3 4 2" xfId="24003"/>
    <cellStyle name="Normal 4 3 4 3 2 3 4 3" xfId="39046"/>
    <cellStyle name="Normal 4 3 4 3 2 3 5" xfId="16482"/>
    <cellStyle name="Normal 4 3 4 3 2 3 6" xfId="31525"/>
    <cellStyle name="Normal 4 3 4 3 2 4" xfId="2322"/>
    <cellStyle name="Normal 4 3 4 3 2 4 2" xfId="6118"/>
    <cellStyle name="Normal 4 3 4 3 2 4 2 2" xfId="13641"/>
    <cellStyle name="Normal 4 3 4 3 2 4 2 2 2" xfId="28685"/>
    <cellStyle name="Normal 4 3 4 3 2 4 2 2 3" xfId="43728"/>
    <cellStyle name="Normal 4 3 4 3 2 4 2 3" xfId="21164"/>
    <cellStyle name="Normal 4 3 4 3 2 4 2 4" xfId="36207"/>
    <cellStyle name="Normal 4 3 4 3 2 4 3" xfId="9892"/>
    <cellStyle name="Normal 4 3 4 3 2 4 3 2" xfId="24936"/>
    <cellStyle name="Normal 4 3 4 3 2 4 3 3" xfId="39979"/>
    <cellStyle name="Normal 4 3 4 3 2 4 4" xfId="17415"/>
    <cellStyle name="Normal 4 3 4 3 2 4 5" xfId="32458"/>
    <cellStyle name="Normal 4 3 4 3 2 5" xfId="4250"/>
    <cellStyle name="Normal 4 3 4 3 2 5 2" xfId="11774"/>
    <cellStyle name="Normal 4 3 4 3 2 5 2 2" xfId="26818"/>
    <cellStyle name="Normal 4 3 4 3 2 5 2 3" xfId="41861"/>
    <cellStyle name="Normal 4 3 4 3 2 5 3" xfId="19297"/>
    <cellStyle name="Normal 4 3 4 3 2 5 4" xfId="34340"/>
    <cellStyle name="Normal 4 3 4 3 2 6" xfId="8013"/>
    <cellStyle name="Normal 4 3 4 3 2 6 2" xfId="23057"/>
    <cellStyle name="Normal 4 3 4 3 2 6 3" xfId="38100"/>
    <cellStyle name="Normal 4 3 4 3 2 7" xfId="15536"/>
    <cellStyle name="Normal 4 3 4 3 2 8" xfId="30579"/>
    <cellStyle name="Normal 4 3 4 3 3" xfId="876"/>
    <cellStyle name="Normal 4 3 4 3 3 2" xfId="1835"/>
    <cellStyle name="Normal 4 3 4 3 3 2 2" xfId="3706"/>
    <cellStyle name="Normal 4 3 4 3 3 2 2 2" xfId="7501"/>
    <cellStyle name="Normal 4 3 4 3 3 2 2 2 2" xfId="15024"/>
    <cellStyle name="Normal 4 3 4 3 3 2 2 2 2 2" xfId="30068"/>
    <cellStyle name="Normal 4 3 4 3 3 2 2 2 2 3" xfId="45111"/>
    <cellStyle name="Normal 4 3 4 3 3 2 2 2 3" xfId="22547"/>
    <cellStyle name="Normal 4 3 4 3 3 2 2 2 4" xfId="37590"/>
    <cellStyle name="Normal 4 3 4 3 3 2 2 3" xfId="11275"/>
    <cellStyle name="Normal 4 3 4 3 3 2 2 3 2" xfId="26319"/>
    <cellStyle name="Normal 4 3 4 3 3 2 2 3 3" xfId="41362"/>
    <cellStyle name="Normal 4 3 4 3 3 2 2 4" xfId="18798"/>
    <cellStyle name="Normal 4 3 4 3 3 2 2 5" xfId="33841"/>
    <cellStyle name="Normal 4 3 4 3 3 2 3" xfId="5636"/>
    <cellStyle name="Normal 4 3 4 3 3 2 3 2" xfId="13159"/>
    <cellStyle name="Normal 4 3 4 3 3 2 3 2 2" xfId="28203"/>
    <cellStyle name="Normal 4 3 4 3 3 2 3 2 3" xfId="43246"/>
    <cellStyle name="Normal 4 3 4 3 3 2 3 3" xfId="20682"/>
    <cellStyle name="Normal 4 3 4 3 3 2 3 4" xfId="35725"/>
    <cellStyle name="Normal 4 3 4 3 3 2 4" xfId="9410"/>
    <cellStyle name="Normal 4 3 4 3 3 2 4 2" xfId="24454"/>
    <cellStyle name="Normal 4 3 4 3 3 2 4 3" xfId="39497"/>
    <cellStyle name="Normal 4 3 4 3 3 2 5" xfId="16933"/>
    <cellStyle name="Normal 4 3 4 3 3 2 6" xfId="31976"/>
    <cellStyle name="Normal 4 3 4 3 3 3" xfId="2774"/>
    <cellStyle name="Normal 4 3 4 3 3 3 2" xfId="6569"/>
    <cellStyle name="Normal 4 3 4 3 3 3 2 2" xfId="14092"/>
    <cellStyle name="Normal 4 3 4 3 3 3 2 2 2" xfId="29136"/>
    <cellStyle name="Normal 4 3 4 3 3 3 2 2 3" xfId="44179"/>
    <cellStyle name="Normal 4 3 4 3 3 3 2 3" xfId="21615"/>
    <cellStyle name="Normal 4 3 4 3 3 3 2 4" xfId="36658"/>
    <cellStyle name="Normal 4 3 4 3 3 3 3" xfId="10343"/>
    <cellStyle name="Normal 4 3 4 3 3 3 3 2" xfId="25387"/>
    <cellStyle name="Normal 4 3 4 3 3 3 3 3" xfId="40430"/>
    <cellStyle name="Normal 4 3 4 3 3 3 4" xfId="17866"/>
    <cellStyle name="Normal 4 3 4 3 3 3 5" xfId="32909"/>
    <cellStyle name="Normal 4 3 4 3 3 4" xfId="4704"/>
    <cellStyle name="Normal 4 3 4 3 3 4 2" xfId="12227"/>
    <cellStyle name="Normal 4 3 4 3 3 4 2 2" xfId="27271"/>
    <cellStyle name="Normal 4 3 4 3 3 4 2 3" xfId="42314"/>
    <cellStyle name="Normal 4 3 4 3 3 4 3" xfId="19750"/>
    <cellStyle name="Normal 4 3 4 3 3 4 4" xfId="34793"/>
    <cellStyle name="Normal 4 3 4 3 3 5" xfId="8478"/>
    <cellStyle name="Normal 4 3 4 3 3 5 2" xfId="23522"/>
    <cellStyle name="Normal 4 3 4 3 3 5 3" xfId="38565"/>
    <cellStyle name="Normal 4 3 4 3 3 6" xfId="16001"/>
    <cellStyle name="Normal 4 3 4 3 3 7" xfId="31044"/>
    <cellStyle name="Normal 4 3 4 3 4" xfId="1383"/>
    <cellStyle name="Normal 4 3 4 3 4 2" xfId="3254"/>
    <cellStyle name="Normal 4 3 4 3 4 2 2" xfId="7049"/>
    <cellStyle name="Normal 4 3 4 3 4 2 2 2" xfId="14572"/>
    <cellStyle name="Normal 4 3 4 3 4 2 2 2 2" xfId="29616"/>
    <cellStyle name="Normal 4 3 4 3 4 2 2 2 3" xfId="44659"/>
    <cellStyle name="Normal 4 3 4 3 4 2 2 3" xfId="22095"/>
    <cellStyle name="Normal 4 3 4 3 4 2 2 4" xfId="37138"/>
    <cellStyle name="Normal 4 3 4 3 4 2 3" xfId="10823"/>
    <cellStyle name="Normal 4 3 4 3 4 2 3 2" xfId="25867"/>
    <cellStyle name="Normal 4 3 4 3 4 2 3 3" xfId="40910"/>
    <cellStyle name="Normal 4 3 4 3 4 2 4" xfId="18346"/>
    <cellStyle name="Normal 4 3 4 3 4 2 5" xfId="33389"/>
    <cellStyle name="Normal 4 3 4 3 4 3" xfId="5184"/>
    <cellStyle name="Normal 4 3 4 3 4 3 2" xfId="12707"/>
    <cellStyle name="Normal 4 3 4 3 4 3 2 2" xfId="27751"/>
    <cellStyle name="Normal 4 3 4 3 4 3 2 3" xfId="42794"/>
    <cellStyle name="Normal 4 3 4 3 4 3 3" xfId="20230"/>
    <cellStyle name="Normal 4 3 4 3 4 3 4" xfId="35273"/>
    <cellStyle name="Normal 4 3 4 3 4 4" xfId="8958"/>
    <cellStyle name="Normal 4 3 4 3 4 4 2" xfId="24002"/>
    <cellStyle name="Normal 4 3 4 3 4 4 3" xfId="39045"/>
    <cellStyle name="Normal 4 3 4 3 4 5" xfId="16481"/>
    <cellStyle name="Normal 4 3 4 3 4 6" xfId="31524"/>
    <cellStyle name="Normal 4 3 4 3 5" xfId="2321"/>
    <cellStyle name="Normal 4 3 4 3 5 2" xfId="6117"/>
    <cellStyle name="Normal 4 3 4 3 5 2 2" xfId="13640"/>
    <cellStyle name="Normal 4 3 4 3 5 2 2 2" xfId="28684"/>
    <cellStyle name="Normal 4 3 4 3 5 2 2 3" xfId="43727"/>
    <cellStyle name="Normal 4 3 4 3 5 2 3" xfId="21163"/>
    <cellStyle name="Normal 4 3 4 3 5 2 4" xfId="36206"/>
    <cellStyle name="Normal 4 3 4 3 5 3" xfId="9891"/>
    <cellStyle name="Normal 4 3 4 3 5 3 2" xfId="24935"/>
    <cellStyle name="Normal 4 3 4 3 5 3 3" xfId="39978"/>
    <cellStyle name="Normal 4 3 4 3 5 4" xfId="17414"/>
    <cellStyle name="Normal 4 3 4 3 5 5" xfId="32457"/>
    <cellStyle name="Normal 4 3 4 3 6" xfId="4249"/>
    <cellStyle name="Normal 4 3 4 3 6 2" xfId="11773"/>
    <cellStyle name="Normal 4 3 4 3 6 2 2" xfId="26817"/>
    <cellStyle name="Normal 4 3 4 3 6 2 3" xfId="41860"/>
    <cellStyle name="Normal 4 3 4 3 6 3" xfId="19296"/>
    <cellStyle name="Normal 4 3 4 3 6 4" xfId="34339"/>
    <cellStyle name="Normal 4 3 4 3 7" xfId="8012"/>
    <cellStyle name="Normal 4 3 4 3 7 2" xfId="23056"/>
    <cellStyle name="Normal 4 3 4 3 7 3" xfId="38099"/>
    <cellStyle name="Normal 4 3 4 3 8" xfId="15535"/>
    <cellStyle name="Normal 4 3 4 3 9" xfId="30578"/>
    <cellStyle name="Normal 4 3 4 4" xfId="354"/>
    <cellStyle name="Normal 4 3 4 4 2" xfId="878"/>
    <cellStyle name="Normal 4 3 4 4 2 2" xfId="1837"/>
    <cellStyle name="Normal 4 3 4 4 2 2 2" xfId="3708"/>
    <cellStyle name="Normal 4 3 4 4 2 2 2 2" xfId="7503"/>
    <cellStyle name="Normal 4 3 4 4 2 2 2 2 2" xfId="15026"/>
    <cellStyle name="Normal 4 3 4 4 2 2 2 2 2 2" xfId="30070"/>
    <cellStyle name="Normal 4 3 4 4 2 2 2 2 2 3" xfId="45113"/>
    <cellStyle name="Normal 4 3 4 4 2 2 2 2 3" xfId="22549"/>
    <cellStyle name="Normal 4 3 4 4 2 2 2 2 4" xfId="37592"/>
    <cellStyle name="Normal 4 3 4 4 2 2 2 3" xfId="11277"/>
    <cellStyle name="Normal 4 3 4 4 2 2 2 3 2" xfId="26321"/>
    <cellStyle name="Normal 4 3 4 4 2 2 2 3 3" xfId="41364"/>
    <cellStyle name="Normal 4 3 4 4 2 2 2 4" xfId="18800"/>
    <cellStyle name="Normal 4 3 4 4 2 2 2 5" xfId="33843"/>
    <cellStyle name="Normal 4 3 4 4 2 2 3" xfId="5638"/>
    <cellStyle name="Normal 4 3 4 4 2 2 3 2" xfId="13161"/>
    <cellStyle name="Normal 4 3 4 4 2 2 3 2 2" xfId="28205"/>
    <cellStyle name="Normal 4 3 4 4 2 2 3 2 3" xfId="43248"/>
    <cellStyle name="Normal 4 3 4 4 2 2 3 3" xfId="20684"/>
    <cellStyle name="Normal 4 3 4 4 2 2 3 4" xfId="35727"/>
    <cellStyle name="Normal 4 3 4 4 2 2 4" xfId="9412"/>
    <cellStyle name="Normal 4 3 4 4 2 2 4 2" xfId="24456"/>
    <cellStyle name="Normal 4 3 4 4 2 2 4 3" xfId="39499"/>
    <cellStyle name="Normal 4 3 4 4 2 2 5" xfId="16935"/>
    <cellStyle name="Normal 4 3 4 4 2 2 6" xfId="31978"/>
    <cellStyle name="Normal 4 3 4 4 2 3" xfId="2776"/>
    <cellStyle name="Normal 4 3 4 4 2 3 2" xfId="6571"/>
    <cellStyle name="Normal 4 3 4 4 2 3 2 2" xfId="14094"/>
    <cellStyle name="Normal 4 3 4 4 2 3 2 2 2" xfId="29138"/>
    <cellStyle name="Normal 4 3 4 4 2 3 2 2 3" xfId="44181"/>
    <cellStyle name="Normal 4 3 4 4 2 3 2 3" xfId="21617"/>
    <cellStyle name="Normal 4 3 4 4 2 3 2 4" xfId="36660"/>
    <cellStyle name="Normal 4 3 4 4 2 3 3" xfId="10345"/>
    <cellStyle name="Normal 4 3 4 4 2 3 3 2" xfId="25389"/>
    <cellStyle name="Normal 4 3 4 4 2 3 3 3" xfId="40432"/>
    <cellStyle name="Normal 4 3 4 4 2 3 4" xfId="17868"/>
    <cellStyle name="Normal 4 3 4 4 2 3 5" xfId="32911"/>
    <cellStyle name="Normal 4 3 4 4 2 4" xfId="4706"/>
    <cellStyle name="Normal 4 3 4 4 2 4 2" xfId="12229"/>
    <cellStyle name="Normal 4 3 4 4 2 4 2 2" xfId="27273"/>
    <cellStyle name="Normal 4 3 4 4 2 4 2 3" xfId="42316"/>
    <cellStyle name="Normal 4 3 4 4 2 4 3" xfId="19752"/>
    <cellStyle name="Normal 4 3 4 4 2 4 4" xfId="34795"/>
    <cellStyle name="Normal 4 3 4 4 2 5" xfId="8480"/>
    <cellStyle name="Normal 4 3 4 4 2 5 2" xfId="23524"/>
    <cellStyle name="Normal 4 3 4 4 2 5 3" xfId="38567"/>
    <cellStyle name="Normal 4 3 4 4 2 6" xfId="16003"/>
    <cellStyle name="Normal 4 3 4 4 2 7" xfId="31046"/>
    <cellStyle name="Normal 4 3 4 4 3" xfId="1385"/>
    <cellStyle name="Normal 4 3 4 4 3 2" xfId="3256"/>
    <cellStyle name="Normal 4 3 4 4 3 2 2" xfId="7051"/>
    <cellStyle name="Normal 4 3 4 4 3 2 2 2" xfId="14574"/>
    <cellStyle name="Normal 4 3 4 4 3 2 2 2 2" xfId="29618"/>
    <cellStyle name="Normal 4 3 4 4 3 2 2 2 3" xfId="44661"/>
    <cellStyle name="Normal 4 3 4 4 3 2 2 3" xfId="22097"/>
    <cellStyle name="Normal 4 3 4 4 3 2 2 4" xfId="37140"/>
    <cellStyle name="Normal 4 3 4 4 3 2 3" xfId="10825"/>
    <cellStyle name="Normal 4 3 4 4 3 2 3 2" xfId="25869"/>
    <cellStyle name="Normal 4 3 4 4 3 2 3 3" xfId="40912"/>
    <cellStyle name="Normal 4 3 4 4 3 2 4" xfId="18348"/>
    <cellStyle name="Normal 4 3 4 4 3 2 5" xfId="33391"/>
    <cellStyle name="Normal 4 3 4 4 3 3" xfId="5186"/>
    <cellStyle name="Normal 4 3 4 4 3 3 2" xfId="12709"/>
    <cellStyle name="Normal 4 3 4 4 3 3 2 2" xfId="27753"/>
    <cellStyle name="Normal 4 3 4 4 3 3 2 3" xfId="42796"/>
    <cellStyle name="Normal 4 3 4 4 3 3 3" xfId="20232"/>
    <cellStyle name="Normal 4 3 4 4 3 3 4" xfId="35275"/>
    <cellStyle name="Normal 4 3 4 4 3 4" xfId="8960"/>
    <cellStyle name="Normal 4 3 4 4 3 4 2" xfId="24004"/>
    <cellStyle name="Normal 4 3 4 4 3 4 3" xfId="39047"/>
    <cellStyle name="Normal 4 3 4 4 3 5" xfId="16483"/>
    <cellStyle name="Normal 4 3 4 4 3 6" xfId="31526"/>
    <cellStyle name="Normal 4 3 4 4 4" xfId="2323"/>
    <cellStyle name="Normal 4 3 4 4 4 2" xfId="6119"/>
    <cellStyle name="Normal 4 3 4 4 4 2 2" xfId="13642"/>
    <cellStyle name="Normal 4 3 4 4 4 2 2 2" xfId="28686"/>
    <cellStyle name="Normal 4 3 4 4 4 2 2 3" xfId="43729"/>
    <cellStyle name="Normal 4 3 4 4 4 2 3" xfId="21165"/>
    <cellStyle name="Normal 4 3 4 4 4 2 4" xfId="36208"/>
    <cellStyle name="Normal 4 3 4 4 4 3" xfId="9893"/>
    <cellStyle name="Normal 4 3 4 4 4 3 2" xfId="24937"/>
    <cellStyle name="Normal 4 3 4 4 4 3 3" xfId="39980"/>
    <cellStyle name="Normal 4 3 4 4 4 4" xfId="17416"/>
    <cellStyle name="Normal 4 3 4 4 4 5" xfId="32459"/>
    <cellStyle name="Normal 4 3 4 4 5" xfId="4251"/>
    <cellStyle name="Normal 4 3 4 4 5 2" xfId="11775"/>
    <cellStyle name="Normal 4 3 4 4 5 2 2" xfId="26819"/>
    <cellStyle name="Normal 4 3 4 4 5 2 3" xfId="41862"/>
    <cellStyle name="Normal 4 3 4 4 5 3" xfId="19298"/>
    <cellStyle name="Normal 4 3 4 4 5 4" xfId="34341"/>
    <cellStyle name="Normal 4 3 4 4 6" xfId="8014"/>
    <cellStyle name="Normal 4 3 4 4 6 2" xfId="23058"/>
    <cellStyle name="Normal 4 3 4 4 6 3" xfId="38101"/>
    <cellStyle name="Normal 4 3 4 4 7" xfId="15537"/>
    <cellStyle name="Normal 4 3 4 4 8" xfId="30580"/>
    <cellStyle name="Normal 4 3 4 5" xfId="873"/>
    <cellStyle name="Normal 4 3 4 5 2" xfId="1832"/>
    <cellStyle name="Normal 4 3 4 5 2 2" xfId="3703"/>
    <cellStyle name="Normal 4 3 4 5 2 2 2" xfId="7498"/>
    <cellStyle name="Normal 4 3 4 5 2 2 2 2" xfId="15021"/>
    <cellStyle name="Normal 4 3 4 5 2 2 2 2 2" xfId="30065"/>
    <cellStyle name="Normal 4 3 4 5 2 2 2 2 3" xfId="45108"/>
    <cellStyle name="Normal 4 3 4 5 2 2 2 3" xfId="22544"/>
    <cellStyle name="Normal 4 3 4 5 2 2 2 4" xfId="37587"/>
    <cellStyle name="Normal 4 3 4 5 2 2 3" xfId="11272"/>
    <cellStyle name="Normal 4 3 4 5 2 2 3 2" xfId="26316"/>
    <cellStyle name="Normal 4 3 4 5 2 2 3 3" xfId="41359"/>
    <cellStyle name="Normal 4 3 4 5 2 2 4" xfId="18795"/>
    <cellStyle name="Normal 4 3 4 5 2 2 5" xfId="33838"/>
    <cellStyle name="Normal 4 3 4 5 2 3" xfId="5633"/>
    <cellStyle name="Normal 4 3 4 5 2 3 2" xfId="13156"/>
    <cellStyle name="Normal 4 3 4 5 2 3 2 2" xfId="28200"/>
    <cellStyle name="Normal 4 3 4 5 2 3 2 3" xfId="43243"/>
    <cellStyle name="Normal 4 3 4 5 2 3 3" xfId="20679"/>
    <cellStyle name="Normal 4 3 4 5 2 3 4" xfId="35722"/>
    <cellStyle name="Normal 4 3 4 5 2 4" xfId="9407"/>
    <cellStyle name="Normal 4 3 4 5 2 4 2" xfId="24451"/>
    <cellStyle name="Normal 4 3 4 5 2 4 3" xfId="39494"/>
    <cellStyle name="Normal 4 3 4 5 2 5" xfId="16930"/>
    <cellStyle name="Normal 4 3 4 5 2 6" xfId="31973"/>
    <cellStyle name="Normal 4 3 4 5 3" xfId="2771"/>
    <cellStyle name="Normal 4 3 4 5 3 2" xfId="6566"/>
    <cellStyle name="Normal 4 3 4 5 3 2 2" xfId="14089"/>
    <cellStyle name="Normal 4 3 4 5 3 2 2 2" xfId="29133"/>
    <cellStyle name="Normal 4 3 4 5 3 2 2 3" xfId="44176"/>
    <cellStyle name="Normal 4 3 4 5 3 2 3" xfId="21612"/>
    <cellStyle name="Normal 4 3 4 5 3 2 4" xfId="36655"/>
    <cellStyle name="Normal 4 3 4 5 3 3" xfId="10340"/>
    <cellStyle name="Normal 4 3 4 5 3 3 2" xfId="25384"/>
    <cellStyle name="Normal 4 3 4 5 3 3 3" xfId="40427"/>
    <cellStyle name="Normal 4 3 4 5 3 4" xfId="17863"/>
    <cellStyle name="Normal 4 3 4 5 3 5" xfId="32906"/>
    <cellStyle name="Normal 4 3 4 5 4" xfId="4701"/>
    <cellStyle name="Normal 4 3 4 5 4 2" xfId="12224"/>
    <cellStyle name="Normal 4 3 4 5 4 2 2" xfId="27268"/>
    <cellStyle name="Normal 4 3 4 5 4 2 3" xfId="42311"/>
    <cellStyle name="Normal 4 3 4 5 4 3" xfId="19747"/>
    <cellStyle name="Normal 4 3 4 5 4 4" xfId="34790"/>
    <cellStyle name="Normal 4 3 4 5 5" xfId="8475"/>
    <cellStyle name="Normal 4 3 4 5 5 2" xfId="23519"/>
    <cellStyle name="Normal 4 3 4 5 5 3" xfId="38562"/>
    <cellStyle name="Normal 4 3 4 5 6" xfId="15998"/>
    <cellStyle name="Normal 4 3 4 5 7" xfId="31041"/>
    <cellStyle name="Normal 4 3 4 6" xfId="1380"/>
    <cellStyle name="Normal 4 3 4 6 2" xfId="3251"/>
    <cellStyle name="Normal 4 3 4 6 2 2" xfId="7046"/>
    <cellStyle name="Normal 4 3 4 6 2 2 2" xfId="14569"/>
    <cellStyle name="Normal 4 3 4 6 2 2 2 2" xfId="29613"/>
    <cellStyle name="Normal 4 3 4 6 2 2 2 3" xfId="44656"/>
    <cellStyle name="Normal 4 3 4 6 2 2 3" xfId="22092"/>
    <cellStyle name="Normal 4 3 4 6 2 2 4" xfId="37135"/>
    <cellStyle name="Normal 4 3 4 6 2 3" xfId="10820"/>
    <cellStyle name="Normal 4 3 4 6 2 3 2" xfId="25864"/>
    <cellStyle name="Normal 4 3 4 6 2 3 3" xfId="40907"/>
    <cellStyle name="Normal 4 3 4 6 2 4" xfId="18343"/>
    <cellStyle name="Normal 4 3 4 6 2 5" xfId="33386"/>
    <cellStyle name="Normal 4 3 4 6 3" xfId="5181"/>
    <cellStyle name="Normal 4 3 4 6 3 2" xfId="12704"/>
    <cellStyle name="Normal 4 3 4 6 3 2 2" xfId="27748"/>
    <cellStyle name="Normal 4 3 4 6 3 2 3" xfId="42791"/>
    <cellStyle name="Normal 4 3 4 6 3 3" xfId="20227"/>
    <cellStyle name="Normal 4 3 4 6 3 4" xfId="35270"/>
    <cellStyle name="Normal 4 3 4 6 4" xfId="8955"/>
    <cellStyle name="Normal 4 3 4 6 4 2" xfId="23999"/>
    <cellStyle name="Normal 4 3 4 6 4 3" xfId="39042"/>
    <cellStyle name="Normal 4 3 4 6 5" xfId="16478"/>
    <cellStyle name="Normal 4 3 4 6 6" xfId="31521"/>
    <cellStyle name="Normal 4 3 4 7" xfId="2318"/>
    <cellStyle name="Normal 4 3 4 7 2" xfId="6114"/>
    <cellStyle name="Normal 4 3 4 7 2 2" xfId="13637"/>
    <cellStyle name="Normal 4 3 4 7 2 2 2" xfId="28681"/>
    <cellStyle name="Normal 4 3 4 7 2 2 3" xfId="43724"/>
    <cellStyle name="Normal 4 3 4 7 2 3" xfId="21160"/>
    <cellStyle name="Normal 4 3 4 7 2 4" xfId="36203"/>
    <cellStyle name="Normal 4 3 4 7 3" xfId="9888"/>
    <cellStyle name="Normal 4 3 4 7 3 2" xfId="24932"/>
    <cellStyle name="Normal 4 3 4 7 3 3" xfId="39975"/>
    <cellStyle name="Normal 4 3 4 7 4" xfId="17411"/>
    <cellStyle name="Normal 4 3 4 7 5" xfId="32454"/>
    <cellStyle name="Normal 4 3 4 8" xfId="4246"/>
    <cellStyle name="Normal 4 3 4 8 2" xfId="11770"/>
    <cellStyle name="Normal 4 3 4 8 2 2" xfId="26814"/>
    <cellStyle name="Normal 4 3 4 8 2 3" xfId="41857"/>
    <cellStyle name="Normal 4 3 4 8 3" xfId="19293"/>
    <cellStyle name="Normal 4 3 4 8 4" xfId="34336"/>
    <cellStyle name="Normal 4 3 4 9" xfId="8009"/>
    <cellStyle name="Normal 4 3 4 9 2" xfId="23053"/>
    <cellStyle name="Normal 4 3 4 9 3" xfId="38096"/>
    <cellStyle name="Normal 4 3 5" xfId="355"/>
    <cellStyle name="Normal 4 3 5 2" xfId="356"/>
    <cellStyle name="Normal 4 3 5 2 2" xfId="880"/>
    <cellStyle name="Normal 4 3 5 2 2 2" xfId="1839"/>
    <cellStyle name="Normal 4 3 5 2 2 2 2" xfId="3710"/>
    <cellStyle name="Normal 4 3 5 2 2 2 2 2" xfId="7505"/>
    <cellStyle name="Normal 4 3 5 2 2 2 2 2 2" xfId="15028"/>
    <cellStyle name="Normal 4 3 5 2 2 2 2 2 2 2" xfId="30072"/>
    <cellStyle name="Normal 4 3 5 2 2 2 2 2 2 3" xfId="45115"/>
    <cellStyle name="Normal 4 3 5 2 2 2 2 2 3" xfId="22551"/>
    <cellStyle name="Normal 4 3 5 2 2 2 2 2 4" xfId="37594"/>
    <cellStyle name="Normal 4 3 5 2 2 2 2 3" xfId="11279"/>
    <cellStyle name="Normal 4 3 5 2 2 2 2 3 2" xfId="26323"/>
    <cellStyle name="Normal 4 3 5 2 2 2 2 3 3" xfId="41366"/>
    <cellStyle name="Normal 4 3 5 2 2 2 2 4" xfId="18802"/>
    <cellStyle name="Normal 4 3 5 2 2 2 2 5" xfId="33845"/>
    <cellStyle name="Normal 4 3 5 2 2 2 3" xfId="5640"/>
    <cellStyle name="Normal 4 3 5 2 2 2 3 2" xfId="13163"/>
    <cellStyle name="Normal 4 3 5 2 2 2 3 2 2" xfId="28207"/>
    <cellStyle name="Normal 4 3 5 2 2 2 3 2 3" xfId="43250"/>
    <cellStyle name="Normal 4 3 5 2 2 2 3 3" xfId="20686"/>
    <cellStyle name="Normal 4 3 5 2 2 2 3 4" xfId="35729"/>
    <cellStyle name="Normal 4 3 5 2 2 2 4" xfId="9414"/>
    <cellStyle name="Normal 4 3 5 2 2 2 4 2" xfId="24458"/>
    <cellStyle name="Normal 4 3 5 2 2 2 4 3" xfId="39501"/>
    <cellStyle name="Normal 4 3 5 2 2 2 5" xfId="16937"/>
    <cellStyle name="Normal 4 3 5 2 2 2 6" xfId="31980"/>
    <cellStyle name="Normal 4 3 5 2 2 3" xfId="2778"/>
    <cellStyle name="Normal 4 3 5 2 2 3 2" xfId="6573"/>
    <cellStyle name="Normal 4 3 5 2 2 3 2 2" xfId="14096"/>
    <cellStyle name="Normal 4 3 5 2 2 3 2 2 2" xfId="29140"/>
    <cellStyle name="Normal 4 3 5 2 2 3 2 2 3" xfId="44183"/>
    <cellStyle name="Normal 4 3 5 2 2 3 2 3" xfId="21619"/>
    <cellStyle name="Normal 4 3 5 2 2 3 2 4" xfId="36662"/>
    <cellStyle name="Normal 4 3 5 2 2 3 3" xfId="10347"/>
    <cellStyle name="Normal 4 3 5 2 2 3 3 2" xfId="25391"/>
    <cellStyle name="Normal 4 3 5 2 2 3 3 3" xfId="40434"/>
    <cellStyle name="Normal 4 3 5 2 2 3 4" xfId="17870"/>
    <cellStyle name="Normal 4 3 5 2 2 3 5" xfId="32913"/>
    <cellStyle name="Normal 4 3 5 2 2 4" xfId="4708"/>
    <cellStyle name="Normal 4 3 5 2 2 4 2" xfId="12231"/>
    <cellStyle name="Normal 4 3 5 2 2 4 2 2" xfId="27275"/>
    <cellStyle name="Normal 4 3 5 2 2 4 2 3" xfId="42318"/>
    <cellStyle name="Normal 4 3 5 2 2 4 3" xfId="19754"/>
    <cellStyle name="Normal 4 3 5 2 2 4 4" xfId="34797"/>
    <cellStyle name="Normal 4 3 5 2 2 5" xfId="8482"/>
    <cellStyle name="Normal 4 3 5 2 2 5 2" xfId="23526"/>
    <cellStyle name="Normal 4 3 5 2 2 5 3" xfId="38569"/>
    <cellStyle name="Normal 4 3 5 2 2 6" xfId="16005"/>
    <cellStyle name="Normal 4 3 5 2 2 7" xfId="31048"/>
    <cellStyle name="Normal 4 3 5 2 3" xfId="1387"/>
    <cellStyle name="Normal 4 3 5 2 3 2" xfId="3258"/>
    <cellStyle name="Normal 4 3 5 2 3 2 2" xfId="7053"/>
    <cellStyle name="Normal 4 3 5 2 3 2 2 2" xfId="14576"/>
    <cellStyle name="Normal 4 3 5 2 3 2 2 2 2" xfId="29620"/>
    <cellStyle name="Normal 4 3 5 2 3 2 2 2 3" xfId="44663"/>
    <cellStyle name="Normal 4 3 5 2 3 2 2 3" xfId="22099"/>
    <cellStyle name="Normal 4 3 5 2 3 2 2 4" xfId="37142"/>
    <cellStyle name="Normal 4 3 5 2 3 2 3" xfId="10827"/>
    <cellStyle name="Normal 4 3 5 2 3 2 3 2" xfId="25871"/>
    <cellStyle name="Normal 4 3 5 2 3 2 3 3" xfId="40914"/>
    <cellStyle name="Normal 4 3 5 2 3 2 4" xfId="18350"/>
    <cellStyle name="Normal 4 3 5 2 3 2 5" xfId="33393"/>
    <cellStyle name="Normal 4 3 5 2 3 3" xfId="5188"/>
    <cellStyle name="Normal 4 3 5 2 3 3 2" xfId="12711"/>
    <cellStyle name="Normal 4 3 5 2 3 3 2 2" xfId="27755"/>
    <cellStyle name="Normal 4 3 5 2 3 3 2 3" xfId="42798"/>
    <cellStyle name="Normal 4 3 5 2 3 3 3" xfId="20234"/>
    <cellStyle name="Normal 4 3 5 2 3 3 4" xfId="35277"/>
    <cellStyle name="Normal 4 3 5 2 3 4" xfId="8962"/>
    <cellStyle name="Normal 4 3 5 2 3 4 2" xfId="24006"/>
    <cellStyle name="Normal 4 3 5 2 3 4 3" xfId="39049"/>
    <cellStyle name="Normal 4 3 5 2 3 5" xfId="16485"/>
    <cellStyle name="Normal 4 3 5 2 3 6" xfId="31528"/>
    <cellStyle name="Normal 4 3 5 2 4" xfId="2325"/>
    <cellStyle name="Normal 4 3 5 2 4 2" xfId="6121"/>
    <cellStyle name="Normal 4 3 5 2 4 2 2" xfId="13644"/>
    <cellStyle name="Normal 4 3 5 2 4 2 2 2" xfId="28688"/>
    <cellStyle name="Normal 4 3 5 2 4 2 2 3" xfId="43731"/>
    <cellStyle name="Normal 4 3 5 2 4 2 3" xfId="21167"/>
    <cellStyle name="Normal 4 3 5 2 4 2 4" xfId="36210"/>
    <cellStyle name="Normal 4 3 5 2 4 3" xfId="9895"/>
    <cellStyle name="Normal 4 3 5 2 4 3 2" xfId="24939"/>
    <cellStyle name="Normal 4 3 5 2 4 3 3" xfId="39982"/>
    <cellStyle name="Normal 4 3 5 2 4 4" xfId="17418"/>
    <cellStyle name="Normal 4 3 5 2 4 5" xfId="32461"/>
    <cellStyle name="Normal 4 3 5 2 5" xfId="4253"/>
    <cellStyle name="Normal 4 3 5 2 5 2" xfId="11777"/>
    <cellStyle name="Normal 4 3 5 2 5 2 2" xfId="26821"/>
    <cellStyle name="Normal 4 3 5 2 5 2 3" xfId="41864"/>
    <cellStyle name="Normal 4 3 5 2 5 3" xfId="19300"/>
    <cellStyle name="Normal 4 3 5 2 5 4" xfId="34343"/>
    <cellStyle name="Normal 4 3 5 2 6" xfId="8016"/>
    <cellStyle name="Normal 4 3 5 2 6 2" xfId="23060"/>
    <cellStyle name="Normal 4 3 5 2 6 3" xfId="38103"/>
    <cellStyle name="Normal 4 3 5 2 7" xfId="15539"/>
    <cellStyle name="Normal 4 3 5 2 8" xfId="30582"/>
    <cellStyle name="Normal 4 3 5 3" xfId="879"/>
    <cellStyle name="Normal 4 3 5 3 2" xfId="1838"/>
    <cellStyle name="Normal 4 3 5 3 2 2" xfId="3709"/>
    <cellStyle name="Normal 4 3 5 3 2 2 2" xfId="7504"/>
    <cellStyle name="Normal 4 3 5 3 2 2 2 2" xfId="15027"/>
    <cellStyle name="Normal 4 3 5 3 2 2 2 2 2" xfId="30071"/>
    <cellStyle name="Normal 4 3 5 3 2 2 2 2 3" xfId="45114"/>
    <cellStyle name="Normal 4 3 5 3 2 2 2 3" xfId="22550"/>
    <cellStyle name="Normal 4 3 5 3 2 2 2 4" xfId="37593"/>
    <cellStyle name="Normal 4 3 5 3 2 2 3" xfId="11278"/>
    <cellStyle name="Normal 4 3 5 3 2 2 3 2" xfId="26322"/>
    <cellStyle name="Normal 4 3 5 3 2 2 3 3" xfId="41365"/>
    <cellStyle name="Normal 4 3 5 3 2 2 4" xfId="18801"/>
    <cellStyle name="Normal 4 3 5 3 2 2 5" xfId="33844"/>
    <cellStyle name="Normal 4 3 5 3 2 3" xfId="5639"/>
    <cellStyle name="Normal 4 3 5 3 2 3 2" xfId="13162"/>
    <cellStyle name="Normal 4 3 5 3 2 3 2 2" xfId="28206"/>
    <cellStyle name="Normal 4 3 5 3 2 3 2 3" xfId="43249"/>
    <cellStyle name="Normal 4 3 5 3 2 3 3" xfId="20685"/>
    <cellStyle name="Normal 4 3 5 3 2 3 4" xfId="35728"/>
    <cellStyle name="Normal 4 3 5 3 2 4" xfId="9413"/>
    <cellStyle name="Normal 4 3 5 3 2 4 2" xfId="24457"/>
    <cellStyle name="Normal 4 3 5 3 2 4 3" xfId="39500"/>
    <cellStyle name="Normal 4 3 5 3 2 5" xfId="16936"/>
    <cellStyle name="Normal 4 3 5 3 2 6" xfId="31979"/>
    <cellStyle name="Normal 4 3 5 3 3" xfId="2777"/>
    <cellStyle name="Normal 4 3 5 3 3 2" xfId="6572"/>
    <cellStyle name="Normal 4 3 5 3 3 2 2" xfId="14095"/>
    <cellStyle name="Normal 4 3 5 3 3 2 2 2" xfId="29139"/>
    <cellStyle name="Normal 4 3 5 3 3 2 2 3" xfId="44182"/>
    <cellStyle name="Normal 4 3 5 3 3 2 3" xfId="21618"/>
    <cellStyle name="Normal 4 3 5 3 3 2 4" xfId="36661"/>
    <cellStyle name="Normal 4 3 5 3 3 3" xfId="10346"/>
    <cellStyle name="Normal 4 3 5 3 3 3 2" xfId="25390"/>
    <cellStyle name="Normal 4 3 5 3 3 3 3" xfId="40433"/>
    <cellStyle name="Normal 4 3 5 3 3 4" xfId="17869"/>
    <cellStyle name="Normal 4 3 5 3 3 5" xfId="32912"/>
    <cellStyle name="Normal 4 3 5 3 4" xfId="4707"/>
    <cellStyle name="Normal 4 3 5 3 4 2" xfId="12230"/>
    <cellStyle name="Normal 4 3 5 3 4 2 2" xfId="27274"/>
    <cellStyle name="Normal 4 3 5 3 4 2 3" xfId="42317"/>
    <cellStyle name="Normal 4 3 5 3 4 3" xfId="19753"/>
    <cellStyle name="Normal 4 3 5 3 4 4" xfId="34796"/>
    <cellStyle name="Normal 4 3 5 3 5" xfId="8481"/>
    <cellStyle name="Normal 4 3 5 3 5 2" xfId="23525"/>
    <cellStyle name="Normal 4 3 5 3 5 3" xfId="38568"/>
    <cellStyle name="Normal 4 3 5 3 6" xfId="16004"/>
    <cellStyle name="Normal 4 3 5 3 7" xfId="31047"/>
    <cellStyle name="Normal 4 3 5 4" xfId="1386"/>
    <cellStyle name="Normal 4 3 5 4 2" xfId="3257"/>
    <cellStyle name="Normal 4 3 5 4 2 2" xfId="7052"/>
    <cellStyle name="Normal 4 3 5 4 2 2 2" xfId="14575"/>
    <cellStyle name="Normal 4 3 5 4 2 2 2 2" xfId="29619"/>
    <cellStyle name="Normal 4 3 5 4 2 2 2 3" xfId="44662"/>
    <cellStyle name="Normal 4 3 5 4 2 2 3" xfId="22098"/>
    <cellStyle name="Normal 4 3 5 4 2 2 4" xfId="37141"/>
    <cellStyle name="Normal 4 3 5 4 2 3" xfId="10826"/>
    <cellStyle name="Normal 4 3 5 4 2 3 2" xfId="25870"/>
    <cellStyle name="Normal 4 3 5 4 2 3 3" xfId="40913"/>
    <cellStyle name="Normal 4 3 5 4 2 4" xfId="18349"/>
    <cellStyle name="Normal 4 3 5 4 2 5" xfId="33392"/>
    <cellStyle name="Normal 4 3 5 4 3" xfId="5187"/>
    <cellStyle name="Normal 4 3 5 4 3 2" xfId="12710"/>
    <cellStyle name="Normal 4 3 5 4 3 2 2" xfId="27754"/>
    <cellStyle name="Normal 4 3 5 4 3 2 3" xfId="42797"/>
    <cellStyle name="Normal 4 3 5 4 3 3" xfId="20233"/>
    <cellStyle name="Normal 4 3 5 4 3 4" xfId="35276"/>
    <cellStyle name="Normal 4 3 5 4 4" xfId="8961"/>
    <cellStyle name="Normal 4 3 5 4 4 2" xfId="24005"/>
    <cellStyle name="Normal 4 3 5 4 4 3" xfId="39048"/>
    <cellStyle name="Normal 4 3 5 4 5" xfId="16484"/>
    <cellStyle name="Normal 4 3 5 4 6" xfId="31527"/>
    <cellStyle name="Normal 4 3 5 5" xfId="2324"/>
    <cellStyle name="Normal 4 3 5 5 2" xfId="6120"/>
    <cellStyle name="Normal 4 3 5 5 2 2" xfId="13643"/>
    <cellStyle name="Normal 4 3 5 5 2 2 2" xfId="28687"/>
    <cellStyle name="Normal 4 3 5 5 2 2 3" xfId="43730"/>
    <cellStyle name="Normal 4 3 5 5 2 3" xfId="21166"/>
    <cellStyle name="Normal 4 3 5 5 2 4" xfId="36209"/>
    <cellStyle name="Normal 4 3 5 5 3" xfId="9894"/>
    <cellStyle name="Normal 4 3 5 5 3 2" xfId="24938"/>
    <cellStyle name="Normal 4 3 5 5 3 3" xfId="39981"/>
    <cellStyle name="Normal 4 3 5 5 4" xfId="17417"/>
    <cellStyle name="Normal 4 3 5 5 5" xfId="32460"/>
    <cellStyle name="Normal 4 3 5 6" xfId="4252"/>
    <cellStyle name="Normal 4 3 5 6 2" xfId="11776"/>
    <cellStyle name="Normal 4 3 5 6 2 2" xfId="26820"/>
    <cellStyle name="Normal 4 3 5 6 2 3" xfId="41863"/>
    <cellStyle name="Normal 4 3 5 6 3" xfId="19299"/>
    <cellStyle name="Normal 4 3 5 6 4" xfId="34342"/>
    <cellStyle name="Normal 4 3 5 7" xfId="8015"/>
    <cellStyle name="Normal 4 3 5 7 2" xfId="23059"/>
    <cellStyle name="Normal 4 3 5 7 3" xfId="38102"/>
    <cellStyle name="Normal 4 3 5 8" xfId="15538"/>
    <cellStyle name="Normal 4 3 5 9" xfId="30581"/>
    <cellStyle name="Normal 4 3 6" xfId="357"/>
    <cellStyle name="Normal 4 3 6 2" xfId="358"/>
    <cellStyle name="Normal 4 3 6 2 2" xfId="882"/>
    <cellStyle name="Normal 4 3 6 2 2 2" xfId="1841"/>
    <cellStyle name="Normal 4 3 6 2 2 2 2" xfId="3712"/>
    <cellStyle name="Normal 4 3 6 2 2 2 2 2" xfId="7507"/>
    <cellStyle name="Normal 4 3 6 2 2 2 2 2 2" xfId="15030"/>
    <cellStyle name="Normal 4 3 6 2 2 2 2 2 2 2" xfId="30074"/>
    <cellStyle name="Normal 4 3 6 2 2 2 2 2 2 3" xfId="45117"/>
    <cellStyle name="Normal 4 3 6 2 2 2 2 2 3" xfId="22553"/>
    <cellStyle name="Normal 4 3 6 2 2 2 2 2 4" xfId="37596"/>
    <cellStyle name="Normal 4 3 6 2 2 2 2 3" xfId="11281"/>
    <cellStyle name="Normal 4 3 6 2 2 2 2 3 2" xfId="26325"/>
    <cellStyle name="Normal 4 3 6 2 2 2 2 3 3" xfId="41368"/>
    <cellStyle name="Normal 4 3 6 2 2 2 2 4" xfId="18804"/>
    <cellStyle name="Normal 4 3 6 2 2 2 2 5" xfId="33847"/>
    <cellStyle name="Normal 4 3 6 2 2 2 3" xfId="5642"/>
    <cellStyle name="Normal 4 3 6 2 2 2 3 2" xfId="13165"/>
    <cellStyle name="Normal 4 3 6 2 2 2 3 2 2" xfId="28209"/>
    <cellStyle name="Normal 4 3 6 2 2 2 3 2 3" xfId="43252"/>
    <cellStyle name="Normal 4 3 6 2 2 2 3 3" xfId="20688"/>
    <cellStyle name="Normal 4 3 6 2 2 2 3 4" xfId="35731"/>
    <cellStyle name="Normal 4 3 6 2 2 2 4" xfId="9416"/>
    <cellStyle name="Normal 4 3 6 2 2 2 4 2" xfId="24460"/>
    <cellStyle name="Normal 4 3 6 2 2 2 4 3" xfId="39503"/>
    <cellStyle name="Normal 4 3 6 2 2 2 5" xfId="16939"/>
    <cellStyle name="Normal 4 3 6 2 2 2 6" xfId="31982"/>
    <cellStyle name="Normal 4 3 6 2 2 3" xfId="2780"/>
    <cellStyle name="Normal 4 3 6 2 2 3 2" xfId="6575"/>
    <cellStyle name="Normal 4 3 6 2 2 3 2 2" xfId="14098"/>
    <cellStyle name="Normal 4 3 6 2 2 3 2 2 2" xfId="29142"/>
    <cellStyle name="Normal 4 3 6 2 2 3 2 2 3" xfId="44185"/>
    <cellStyle name="Normal 4 3 6 2 2 3 2 3" xfId="21621"/>
    <cellStyle name="Normal 4 3 6 2 2 3 2 4" xfId="36664"/>
    <cellStyle name="Normal 4 3 6 2 2 3 3" xfId="10349"/>
    <cellStyle name="Normal 4 3 6 2 2 3 3 2" xfId="25393"/>
    <cellStyle name="Normal 4 3 6 2 2 3 3 3" xfId="40436"/>
    <cellStyle name="Normal 4 3 6 2 2 3 4" xfId="17872"/>
    <cellStyle name="Normal 4 3 6 2 2 3 5" xfId="32915"/>
    <cellStyle name="Normal 4 3 6 2 2 4" xfId="4710"/>
    <cellStyle name="Normal 4 3 6 2 2 4 2" xfId="12233"/>
    <cellStyle name="Normal 4 3 6 2 2 4 2 2" xfId="27277"/>
    <cellStyle name="Normal 4 3 6 2 2 4 2 3" xfId="42320"/>
    <cellStyle name="Normal 4 3 6 2 2 4 3" xfId="19756"/>
    <cellStyle name="Normal 4 3 6 2 2 4 4" xfId="34799"/>
    <cellStyle name="Normal 4 3 6 2 2 5" xfId="8484"/>
    <cellStyle name="Normal 4 3 6 2 2 5 2" xfId="23528"/>
    <cellStyle name="Normal 4 3 6 2 2 5 3" xfId="38571"/>
    <cellStyle name="Normal 4 3 6 2 2 6" xfId="16007"/>
    <cellStyle name="Normal 4 3 6 2 2 7" xfId="31050"/>
    <cellStyle name="Normal 4 3 6 2 3" xfId="1389"/>
    <cellStyle name="Normal 4 3 6 2 3 2" xfId="3260"/>
    <cellStyle name="Normal 4 3 6 2 3 2 2" xfId="7055"/>
    <cellStyle name="Normal 4 3 6 2 3 2 2 2" xfId="14578"/>
    <cellStyle name="Normal 4 3 6 2 3 2 2 2 2" xfId="29622"/>
    <cellStyle name="Normal 4 3 6 2 3 2 2 2 3" xfId="44665"/>
    <cellStyle name="Normal 4 3 6 2 3 2 2 3" xfId="22101"/>
    <cellStyle name="Normal 4 3 6 2 3 2 2 4" xfId="37144"/>
    <cellStyle name="Normal 4 3 6 2 3 2 3" xfId="10829"/>
    <cellStyle name="Normal 4 3 6 2 3 2 3 2" xfId="25873"/>
    <cellStyle name="Normal 4 3 6 2 3 2 3 3" xfId="40916"/>
    <cellStyle name="Normal 4 3 6 2 3 2 4" xfId="18352"/>
    <cellStyle name="Normal 4 3 6 2 3 2 5" xfId="33395"/>
    <cellStyle name="Normal 4 3 6 2 3 3" xfId="5190"/>
    <cellStyle name="Normal 4 3 6 2 3 3 2" xfId="12713"/>
    <cellStyle name="Normal 4 3 6 2 3 3 2 2" xfId="27757"/>
    <cellStyle name="Normal 4 3 6 2 3 3 2 3" xfId="42800"/>
    <cellStyle name="Normal 4 3 6 2 3 3 3" xfId="20236"/>
    <cellStyle name="Normal 4 3 6 2 3 3 4" xfId="35279"/>
    <cellStyle name="Normal 4 3 6 2 3 4" xfId="8964"/>
    <cellStyle name="Normal 4 3 6 2 3 4 2" xfId="24008"/>
    <cellStyle name="Normal 4 3 6 2 3 4 3" xfId="39051"/>
    <cellStyle name="Normal 4 3 6 2 3 5" xfId="16487"/>
    <cellStyle name="Normal 4 3 6 2 3 6" xfId="31530"/>
    <cellStyle name="Normal 4 3 6 2 4" xfId="2327"/>
    <cellStyle name="Normal 4 3 6 2 4 2" xfId="6123"/>
    <cellStyle name="Normal 4 3 6 2 4 2 2" xfId="13646"/>
    <cellStyle name="Normal 4 3 6 2 4 2 2 2" xfId="28690"/>
    <cellStyle name="Normal 4 3 6 2 4 2 2 3" xfId="43733"/>
    <cellStyle name="Normal 4 3 6 2 4 2 3" xfId="21169"/>
    <cellStyle name="Normal 4 3 6 2 4 2 4" xfId="36212"/>
    <cellStyle name="Normal 4 3 6 2 4 3" xfId="9897"/>
    <cellStyle name="Normal 4 3 6 2 4 3 2" xfId="24941"/>
    <cellStyle name="Normal 4 3 6 2 4 3 3" xfId="39984"/>
    <cellStyle name="Normal 4 3 6 2 4 4" xfId="17420"/>
    <cellStyle name="Normal 4 3 6 2 4 5" xfId="32463"/>
    <cellStyle name="Normal 4 3 6 2 5" xfId="4255"/>
    <cellStyle name="Normal 4 3 6 2 5 2" xfId="11779"/>
    <cellStyle name="Normal 4 3 6 2 5 2 2" xfId="26823"/>
    <cellStyle name="Normal 4 3 6 2 5 2 3" xfId="41866"/>
    <cellStyle name="Normal 4 3 6 2 5 3" xfId="19302"/>
    <cellStyle name="Normal 4 3 6 2 5 4" xfId="34345"/>
    <cellStyle name="Normal 4 3 6 2 6" xfId="8018"/>
    <cellStyle name="Normal 4 3 6 2 6 2" xfId="23062"/>
    <cellStyle name="Normal 4 3 6 2 6 3" xfId="38105"/>
    <cellStyle name="Normal 4 3 6 2 7" xfId="15541"/>
    <cellStyle name="Normal 4 3 6 2 8" xfId="30584"/>
    <cellStyle name="Normal 4 3 6 3" xfId="881"/>
    <cellStyle name="Normal 4 3 6 3 2" xfId="1840"/>
    <cellStyle name="Normal 4 3 6 3 2 2" xfId="3711"/>
    <cellStyle name="Normal 4 3 6 3 2 2 2" xfId="7506"/>
    <cellStyle name="Normal 4 3 6 3 2 2 2 2" xfId="15029"/>
    <cellStyle name="Normal 4 3 6 3 2 2 2 2 2" xfId="30073"/>
    <cellStyle name="Normal 4 3 6 3 2 2 2 2 3" xfId="45116"/>
    <cellStyle name="Normal 4 3 6 3 2 2 2 3" xfId="22552"/>
    <cellStyle name="Normal 4 3 6 3 2 2 2 4" xfId="37595"/>
    <cellStyle name="Normal 4 3 6 3 2 2 3" xfId="11280"/>
    <cellStyle name="Normal 4 3 6 3 2 2 3 2" xfId="26324"/>
    <cellStyle name="Normal 4 3 6 3 2 2 3 3" xfId="41367"/>
    <cellStyle name="Normal 4 3 6 3 2 2 4" xfId="18803"/>
    <cellStyle name="Normal 4 3 6 3 2 2 5" xfId="33846"/>
    <cellStyle name="Normal 4 3 6 3 2 3" xfId="5641"/>
    <cellStyle name="Normal 4 3 6 3 2 3 2" xfId="13164"/>
    <cellStyle name="Normal 4 3 6 3 2 3 2 2" xfId="28208"/>
    <cellStyle name="Normal 4 3 6 3 2 3 2 3" xfId="43251"/>
    <cellStyle name="Normal 4 3 6 3 2 3 3" xfId="20687"/>
    <cellStyle name="Normal 4 3 6 3 2 3 4" xfId="35730"/>
    <cellStyle name="Normal 4 3 6 3 2 4" xfId="9415"/>
    <cellStyle name="Normal 4 3 6 3 2 4 2" xfId="24459"/>
    <cellStyle name="Normal 4 3 6 3 2 4 3" xfId="39502"/>
    <cellStyle name="Normal 4 3 6 3 2 5" xfId="16938"/>
    <cellStyle name="Normal 4 3 6 3 2 6" xfId="31981"/>
    <cellStyle name="Normal 4 3 6 3 3" xfId="2779"/>
    <cellStyle name="Normal 4 3 6 3 3 2" xfId="6574"/>
    <cellStyle name="Normal 4 3 6 3 3 2 2" xfId="14097"/>
    <cellStyle name="Normal 4 3 6 3 3 2 2 2" xfId="29141"/>
    <cellStyle name="Normal 4 3 6 3 3 2 2 3" xfId="44184"/>
    <cellStyle name="Normal 4 3 6 3 3 2 3" xfId="21620"/>
    <cellStyle name="Normal 4 3 6 3 3 2 4" xfId="36663"/>
    <cellStyle name="Normal 4 3 6 3 3 3" xfId="10348"/>
    <cellStyle name="Normal 4 3 6 3 3 3 2" xfId="25392"/>
    <cellStyle name="Normal 4 3 6 3 3 3 3" xfId="40435"/>
    <cellStyle name="Normal 4 3 6 3 3 4" xfId="17871"/>
    <cellStyle name="Normal 4 3 6 3 3 5" xfId="32914"/>
    <cellStyle name="Normal 4 3 6 3 4" xfId="4709"/>
    <cellStyle name="Normal 4 3 6 3 4 2" xfId="12232"/>
    <cellStyle name="Normal 4 3 6 3 4 2 2" xfId="27276"/>
    <cellStyle name="Normal 4 3 6 3 4 2 3" xfId="42319"/>
    <cellStyle name="Normal 4 3 6 3 4 3" xfId="19755"/>
    <cellStyle name="Normal 4 3 6 3 4 4" xfId="34798"/>
    <cellStyle name="Normal 4 3 6 3 5" xfId="8483"/>
    <cellStyle name="Normal 4 3 6 3 5 2" xfId="23527"/>
    <cellStyle name="Normal 4 3 6 3 5 3" xfId="38570"/>
    <cellStyle name="Normal 4 3 6 3 6" xfId="16006"/>
    <cellStyle name="Normal 4 3 6 3 7" xfId="31049"/>
    <cellStyle name="Normal 4 3 6 4" xfId="1388"/>
    <cellStyle name="Normal 4 3 6 4 2" xfId="3259"/>
    <cellStyle name="Normal 4 3 6 4 2 2" xfId="7054"/>
    <cellStyle name="Normal 4 3 6 4 2 2 2" xfId="14577"/>
    <cellStyle name="Normal 4 3 6 4 2 2 2 2" xfId="29621"/>
    <cellStyle name="Normal 4 3 6 4 2 2 2 3" xfId="44664"/>
    <cellStyle name="Normal 4 3 6 4 2 2 3" xfId="22100"/>
    <cellStyle name="Normal 4 3 6 4 2 2 4" xfId="37143"/>
    <cellStyle name="Normal 4 3 6 4 2 3" xfId="10828"/>
    <cellStyle name="Normal 4 3 6 4 2 3 2" xfId="25872"/>
    <cellStyle name="Normal 4 3 6 4 2 3 3" xfId="40915"/>
    <cellStyle name="Normal 4 3 6 4 2 4" xfId="18351"/>
    <cellStyle name="Normal 4 3 6 4 2 5" xfId="33394"/>
    <cellStyle name="Normal 4 3 6 4 3" xfId="5189"/>
    <cellStyle name="Normal 4 3 6 4 3 2" xfId="12712"/>
    <cellStyle name="Normal 4 3 6 4 3 2 2" xfId="27756"/>
    <cellStyle name="Normal 4 3 6 4 3 2 3" xfId="42799"/>
    <cellStyle name="Normal 4 3 6 4 3 3" xfId="20235"/>
    <cellStyle name="Normal 4 3 6 4 3 4" xfId="35278"/>
    <cellStyle name="Normal 4 3 6 4 4" xfId="8963"/>
    <cellStyle name="Normal 4 3 6 4 4 2" xfId="24007"/>
    <cellStyle name="Normal 4 3 6 4 4 3" xfId="39050"/>
    <cellStyle name="Normal 4 3 6 4 5" xfId="16486"/>
    <cellStyle name="Normal 4 3 6 4 6" xfId="31529"/>
    <cellStyle name="Normal 4 3 6 5" xfId="2326"/>
    <cellStyle name="Normal 4 3 6 5 2" xfId="6122"/>
    <cellStyle name="Normal 4 3 6 5 2 2" xfId="13645"/>
    <cellStyle name="Normal 4 3 6 5 2 2 2" xfId="28689"/>
    <cellStyle name="Normal 4 3 6 5 2 2 3" xfId="43732"/>
    <cellStyle name="Normal 4 3 6 5 2 3" xfId="21168"/>
    <cellStyle name="Normal 4 3 6 5 2 4" xfId="36211"/>
    <cellStyle name="Normal 4 3 6 5 3" xfId="9896"/>
    <cellStyle name="Normal 4 3 6 5 3 2" xfId="24940"/>
    <cellStyle name="Normal 4 3 6 5 3 3" xfId="39983"/>
    <cellStyle name="Normal 4 3 6 5 4" xfId="17419"/>
    <cellStyle name="Normal 4 3 6 5 5" xfId="32462"/>
    <cellStyle name="Normal 4 3 6 6" xfId="4254"/>
    <cellStyle name="Normal 4 3 6 6 2" xfId="11778"/>
    <cellStyle name="Normal 4 3 6 6 2 2" xfId="26822"/>
    <cellStyle name="Normal 4 3 6 6 2 3" xfId="41865"/>
    <cellStyle name="Normal 4 3 6 6 3" xfId="19301"/>
    <cellStyle name="Normal 4 3 6 6 4" xfId="34344"/>
    <cellStyle name="Normal 4 3 6 7" xfId="8017"/>
    <cellStyle name="Normal 4 3 6 7 2" xfId="23061"/>
    <cellStyle name="Normal 4 3 6 7 3" xfId="38104"/>
    <cellStyle name="Normal 4 3 6 8" xfId="15540"/>
    <cellStyle name="Normal 4 3 6 9" xfId="30583"/>
    <cellStyle name="Normal 4 3 7" xfId="359"/>
    <cellStyle name="Normal 4 3 7 2" xfId="883"/>
    <cellStyle name="Normal 4 3 7 2 2" xfId="1842"/>
    <cellStyle name="Normal 4 3 7 2 2 2" xfId="3713"/>
    <cellStyle name="Normal 4 3 7 2 2 2 2" xfId="7508"/>
    <cellStyle name="Normal 4 3 7 2 2 2 2 2" xfId="15031"/>
    <cellStyle name="Normal 4 3 7 2 2 2 2 2 2" xfId="30075"/>
    <cellStyle name="Normal 4 3 7 2 2 2 2 2 3" xfId="45118"/>
    <cellStyle name="Normal 4 3 7 2 2 2 2 3" xfId="22554"/>
    <cellStyle name="Normal 4 3 7 2 2 2 2 4" xfId="37597"/>
    <cellStyle name="Normal 4 3 7 2 2 2 3" xfId="11282"/>
    <cellStyle name="Normal 4 3 7 2 2 2 3 2" xfId="26326"/>
    <cellStyle name="Normal 4 3 7 2 2 2 3 3" xfId="41369"/>
    <cellStyle name="Normal 4 3 7 2 2 2 4" xfId="18805"/>
    <cellStyle name="Normal 4 3 7 2 2 2 5" xfId="33848"/>
    <cellStyle name="Normal 4 3 7 2 2 3" xfId="5643"/>
    <cellStyle name="Normal 4 3 7 2 2 3 2" xfId="13166"/>
    <cellStyle name="Normal 4 3 7 2 2 3 2 2" xfId="28210"/>
    <cellStyle name="Normal 4 3 7 2 2 3 2 3" xfId="43253"/>
    <cellStyle name="Normal 4 3 7 2 2 3 3" xfId="20689"/>
    <cellStyle name="Normal 4 3 7 2 2 3 4" xfId="35732"/>
    <cellStyle name="Normal 4 3 7 2 2 4" xfId="9417"/>
    <cellStyle name="Normal 4 3 7 2 2 4 2" xfId="24461"/>
    <cellStyle name="Normal 4 3 7 2 2 4 3" xfId="39504"/>
    <cellStyle name="Normal 4 3 7 2 2 5" xfId="16940"/>
    <cellStyle name="Normal 4 3 7 2 2 6" xfId="31983"/>
    <cellStyle name="Normal 4 3 7 2 3" xfId="2781"/>
    <cellStyle name="Normal 4 3 7 2 3 2" xfId="6576"/>
    <cellStyle name="Normal 4 3 7 2 3 2 2" xfId="14099"/>
    <cellStyle name="Normal 4 3 7 2 3 2 2 2" xfId="29143"/>
    <cellStyle name="Normal 4 3 7 2 3 2 2 3" xfId="44186"/>
    <cellStyle name="Normal 4 3 7 2 3 2 3" xfId="21622"/>
    <cellStyle name="Normal 4 3 7 2 3 2 4" xfId="36665"/>
    <cellStyle name="Normal 4 3 7 2 3 3" xfId="10350"/>
    <cellStyle name="Normal 4 3 7 2 3 3 2" xfId="25394"/>
    <cellStyle name="Normal 4 3 7 2 3 3 3" xfId="40437"/>
    <cellStyle name="Normal 4 3 7 2 3 4" xfId="17873"/>
    <cellStyle name="Normal 4 3 7 2 3 5" xfId="32916"/>
    <cellStyle name="Normal 4 3 7 2 4" xfId="4711"/>
    <cellStyle name="Normal 4 3 7 2 4 2" xfId="12234"/>
    <cellStyle name="Normal 4 3 7 2 4 2 2" xfId="27278"/>
    <cellStyle name="Normal 4 3 7 2 4 2 3" xfId="42321"/>
    <cellStyle name="Normal 4 3 7 2 4 3" xfId="19757"/>
    <cellStyle name="Normal 4 3 7 2 4 4" xfId="34800"/>
    <cellStyle name="Normal 4 3 7 2 5" xfId="8485"/>
    <cellStyle name="Normal 4 3 7 2 5 2" xfId="23529"/>
    <cellStyle name="Normal 4 3 7 2 5 3" xfId="38572"/>
    <cellStyle name="Normal 4 3 7 2 6" xfId="16008"/>
    <cellStyle name="Normal 4 3 7 2 7" xfId="31051"/>
    <cellStyle name="Normal 4 3 7 3" xfId="1390"/>
    <cellStyle name="Normal 4 3 7 3 2" xfId="3261"/>
    <cellStyle name="Normal 4 3 7 3 2 2" xfId="7056"/>
    <cellStyle name="Normal 4 3 7 3 2 2 2" xfId="14579"/>
    <cellStyle name="Normal 4 3 7 3 2 2 2 2" xfId="29623"/>
    <cellStyle name="Normal 4 3 7 3 2 2 2 3" xfId="44666"/>
    <cellStyle name="Normal 4 3 7 3 2 2 3" xfId="22102"/>
    <cellStyle name="Normal 4 3 7 3 2 2 4" xfId="37145"/>
    <cellStyle name="Normal 4 3 7 3 2 3" xfId="10830"/>
    <cellStyle name="Normal 4 3 7 3 2 3 2" xfId="25874"/>
    <cellStyle name="Normal 4 3 7 3 2 3 3" xfId="40917"/>
    <cellStyle name="Normal 4 3 7 3 2 4" xfId="18353"/>
    <cellStyle name="Normal 4 3 7 3 2 5" xfId="33396"/>
    <cellStyle name="Normal 4 3 7 3 3" xfId="5191"/>
    <cellStyle name="Normal 4 3 7 3 3 2" xfId="12714"/>
    <cellStyle name="Normal 4 3 7 3 3 2 2" xfId="27758"/>
    <cellStyle name="Normal 4 3 7 3 3 2 3" xfId="42801"/>
    <cellStyle name="Normal 4 3 7 3 3 3" xfId="20237"/>
    <cellStyle name="Normal 4 3 7 3 3 4" xfId="35280"/>
    <cellStyle name="Normal 4 3 7 3 4" xfId="8965"/>
    <cellStyle name="Normal 4 3 7 3 4 2" xfId="24009"/>
    <cellStyle name="Normal 4 3 7 3 4 3" xfId="39052"/>
    <cellStyle name="Normal 4 3 7 3 5" xfId="16488"/>
    <cellStyle name="Normal 4 3 7 3 6" xfId="31531"/>
    <cellStyle name="Normal 4 3 7 4" xfId="2328"/>
    <cellStyle name="Normal 4 3 7 4 2" xfId="6124"/>
    <cellStyle name="Normal 4 3 7 4 2 2" xfId="13647"/>
    <cellStyle name="Normal 4 3 7 4 2 2 2" xfId="28691"/>
    <cellStyle name="Normal 4 3 7 4 2 2 3" xfId="43734"/>
    <cellStyle name="Normal 4 3 7 4 2 3" xfId="21170"/>
    <cellStyle name="Normal 4 3 7 4 2 4" xfId="36213"/>
    <cellStyle name="Normal 4 3 7 4 3" xfId="9898"/>
    <cellStyle name="Normal 4 3 7 4 3 2" xfId="24942"/>
    <cellStyle name="Normal 4 3 7 4 3 3" xfId="39985"/>
    <cellStyle name="Normal 4 3 7 4 4" xfId="17421"/>
    <cellStyle name="Normal 4 3 7 4 5" xfId="32464"/>
    <cellStyle name="Normal 4 3 7 5" xfId="4256"/>
    <cellStyle name="Normal 4 3 7 5 2" xfId="11780"/>
    <cellStyle name="Normal 4 3 7 5 2 2" xfId="26824"/>
    <cellStyle name="Normal 4 3 7 5 2 3" xfId="41867"/>
    <cellStyle name="Normal 4 3 7 5 3" xfId="19303"/>
    <cellStyle name="Normal 4 3 7 5 4" xfId="34346"/>
    <cellStyle name="Normal 4 3 7 6" xfId="8019"/>
    <cellStyle name="Normal 4 3 7 6 2" xfId="23063"/>
    <cellStyle name="Normal 4 3 7 6 3" xfId="38106"/>
    <cellStyle name="Normal 4 3 7 7" xfId="15542"/>
    <cellStyle name="Normal 4 3 7 8" xfId="30585"/>
    <cellStyle name="Normal 4 3 8" xfId="838"/>
    <cellStyle name="Normal 4 3 8 2" xfId="1797"/>
    <cellStyle name="Normal 4 3 8 2 2" xfId="3668"/>
    <cellStyle name="Normal 4 3 8 2 2 2" xfId="7463"/>
    <cellStyle name="Normal 4 3 8 2 2 2 2" xfId="14986"/>
    <cellStyle name="Normal 4 3 8 2 2 2 2 2" xfId="30030"/>
    <cellStyle name="Normal 4 3 8 2 2 2 2 3" xfId="45073"/>
    <cellStyle name="Normal 4 3 8 2 2 2 3" xfId="22509"/>
    <cellStyle name="Normal 4 3 8 2 2 2 4" xfId="37552"/>
    <cellStyle name="Normal 4 3 8 2 2 3" xfId="11237"/>
    <cellStyle name="Normal 4 3 8 2 2 3 2" xfId="26281"/>
    <cellStyle name="Normal 4 3 8 2 2 3 3" xfId="41324"/>
    <cellStyle name="Normal 4 3 8 2 2 4" xfId="18760"/>
    <cellStyle name="Normal 4 3 8 2 2 5" xfId="33803"/>
    <cellStyle name="Normal 4 3 8 2 3" xfId="5598"/>
    <cellStyle name="Normal 4 3 8 2 3 2" xfId="13121"/>
    <cellStyle name="Normal 4 3 8 2 3 2 2" xfId="28165"/>
    <cellStyle name="Normal 4 3 8 2 3 2 3" xfId="43208"/>
    <cellStyle name="Normal 4 3 8 2 3 3" xfId="20644"/>
    <cellStyle name="Normal 4 3 8 2 3 4" xfId="35687"/>
    <cellStyle name="Normal 4 3 8 2 4" xfId="9372"/>
    <cellStyle name="Normal 4 3 8 2 4 2" xfId="24416"/>
    <cellStyle name="Normal 4 3 8 2 4 3" xfId="39459"/>
    <cellStyle name="Normal 4 3 8 2 5" xfId="16895"/>
    <cellStyle name="Normal 4 3 8 2 6" xfId="31938"/>
    <cellStyle name="Normal 4 3 8 3" xfId="2736"/>
    <cellStyle name="Normal 4 3 8 3 2" xfId="6531"/>
    <cellStyle name="Normal 4 3 8 3 2 2" xfId="14054"/>
    <cellStyle name="Normal 4 3 8 3 2 2 2" xfId="29098"/>
    <cellStyle name="Normal 4 3 8 3 2 2 3" xfId="44141"/>
    <cellStyle name="Normal 4 3 8 3 2 3" xfId="21577"/>
    <cellStyle name="Normal 4 3 8 3 2 4" xfId="36620"/>
    <cellStyle name="Normal 4 3 8 3 3" xfId="10305"/>
    <cellStyle name="Normal 4 3 8 3 3 2" xfId="25349"/>
    <cellStyle name="Normal 4 3 8 3 3 3" xfId="40392"/>
    <cellStyle name="Normal 4 3 8 3 4" xfId="17828"/>
    <cellStyle name="Normal 4 3 8 3 5" xfId="32871"/>
    <cellStyle name="Normal 4 3 8 4" xfId="4666"/>
    <cellStyle name="Normal 4 3 8 4 2" xfId="12189"/>
    <cellStyle name="Normal 4 3 8 4 2 2" xfId="27233"/>
    <cellStyle name="Normal 4 3 8 4 2 3" xfId="42276"/>
    <cellStyle name="Normal 4 3 8 4 3" xfId="19712"/>
    <cellStyle name="Normal 4 3 8 4 4" xfId="34755"/>
    <cellStyle name="Normal 4 3 8 5" xfId="8440"/>
    <cellStyle name="Normal 4 3 8 5 2" xfId="23484"/>
    <cellStyle name="Normal 4 3 8 5 3" xfId="38527"/>
    <cellStyle name="Normal 4 3 8 6" xfId="15963"/>
    <cellStyle name="Normal 4 3 8 7" xfId="31006"/>
    <cellStyle name="Normal 4 3 9" xfId="1345"/>
    <cellStyle name="Normal 4 3 9 2" xfId="3216"/>
    <cellStyle name="Normal 4 3 9 2 2" xfId="7011"/>
    <cellStyle name="Normal 4 3 9 2 2 2" xfId="14534"/>
    <cellStyle name="Normal 4 3 9 2 2 2 2" xfId="29578"/>
    <cellStyle name="Normal 4 3 9 2 2 2 3" xfId="44621"/>
    <cellStyle name="Normal 4 3 9 2 2 3" xfId="22057"/>
    <cellStyle name="Normal 4 3 9 2 2 4" xfId="37100"/>
    <cellStyle name="Normal 4 3 9 2 3" xfId="10785"/>
    <cellStyle name="Normal 4 3 9 2 3 2" xfId="25829"/>
    <cellStyle name="Normal 4 3 9 2 3 3" xfId="40872"/>
    <cellStyle name="Normal 4 3 9 2 4" xfId="18308"/>
    <cellStyle name="Normal 4 3 9 2 5" xfId="33351"/>
    <cellStyle name="Normal 4 3 9 3" xfId="5146"/>
    <cellStyle name="Normal 4 3 9 3 2" xfId="12669"/>
    <cellStyle name="Normal 4 3 9 3 2 2" xfId="27713"/>
    <cellStyle name="Normal 4 3 9 3 2 3" xfId="42756"/>
    <cellStyle name="Normal 4 3 9 3 3" xfId="20192"/>
    <cellStyle name="Normal 4 3 9 3 4" xfId="35235"/>
    <cellStyle name="Normal 4 3 9 4" xfId="8920"/>
    <cellStyle name="Normal 4 3 9 4 2" xfId="23964"/>
    <cellStyle name="Normal 4 3 9 4 3" xfId="39007"/>
    <cellStyle name="Normal 4 3 9 5" xfId="16443"/>
    <cellStyle name="Normal 4 3 9 6" xfId="31486"/>
    <cellStyle name="Normal 4 4" xfId="360"/>
    <cellStyle name="Normal 4 4 10" xfId="4257"/>
    <cellStyle name="Normal 4 4 10 2" xfId="11781"/>
    <cellStyle name="Normal 4 4 10 2 2" xfId="26825"/>
    <cellStyle name="Normal 4 4 10 2 3" xfId="41868"/>
    <cellStyle name="Normal 4 4 10 3" xfId="19304"/>
    <cellStyle name="Normal 4 4 10 4" xfId="34347"/>
    <cellStyle name="Normal 4 4 11" xfId="8020"/>
    <cellStyle name="Normal 4 4 11 2" xfId="23064"/>
    <cellStyle name="Normal 4 4 11 3" xfId="38107"/>
    <cellStyle name="Normal 4 4 12" xfId="15543"/>
    <cellStyle name="Normal 4 4 13" xfId="30586"/>
    <cellStyle name="Normal 4 4 2" xfId="361"/>
    <cellStyle name="Normal 4 4 2 10" xfId="8021"/>
    <cellStyle name="Normal 4 4 2 10 2" xfId="23065"/>
    <cellStyle name="Normal 4 4 2 10 3" xfId="38108"/>
    <cellStyle name="Normal 4 4 2 11" xfId="15544"/>
    <cellStyle name="Normal 4 4 2 12" xfId="30587"/>
    <cellStyle name="Normal 4 4 2 2" xfId="362"/>
    <cellStyle name="Normal 4 4 2 2 10" xfId="15545"/>
    <cellStyle name="Normal 4 4 2 2 11" xfId="30588"/>
    <cellStyle name="Normal 4 4 2 2 2" xfId="363"/>
    <cellStyle name="Normal 4 4 2 2 2 2" xfId="364"/>
    <cellStyle name="Normal 4 4 2 2 2 2 2" xfId="888"/>
    <cellStyle name="Normal 4 4 2 2 2 2 2 2" xfId="1847"/>
    <cellStyle name="Normal 4 4 2 2 2 2 2 2 2" xfId="3718"/>
    <cellStyle name="Normal 4 4 2 2 2 2 2 2 2 2" xfId="7513"/>
    <cellStyle name="Normal 4 4 2 2 2 2 2 2 2 2 2" xfId="15036"/>
    <cellStyle name="Normal 4 4 2 2 2 2 2 2 2 2 2 2" xfId="30080"/>
    <cellStyle name="Normal 4 4 2 2 2 2 2 2 2 2 2 3" xfId="45123"/>
    <cellStyle name="Normal 4 4 2 2 2 2 2 2 2 2 3" xfId="22559"/>
    <cellStyle name="Normal 4 4 2 2 2 2 2 2 2 2 4" xfId="37602"/>
    <cellStyle name="Normal 4 4 2 2 2 2 2 2 2 3" xfId="11287"/>
    <cellStyle name="Normal 4 4 2 2 2 2 2 2 2 3 2" xfId="26331"/>
    <cellStyle name="Normal 4 4 2 2 2 2 2 2 2 3 3" xfId="41374"/>
    <cellStyle name="Normal 4 4 2 2 2 2 2 2 2 4" xfId="18810"/>
    <cellStyle name="Normal 4 4 2 2 2 2 2 2 2 5" xfId="33853"/>
    <cellStyle name="Normal 4 4 2 2 2 2 2 2 3" xfId="5648"/>
    <cellStyle name="Normal 4 4 2 2 2 2 2 2 3 2" xfId="13171"/>
    <cellStyle name="Normal 4 4 2 2 2 2 2 2 3 2 2" xfId="28215"/>
    <cellStyle name="Normal 4 4 2 2 2 2 2 2 3 2 3" xfId="43258"/>
    <cellStyle name="Normal 4 4 2 2 2 2 2 2 3 3" xfId="20694"/>
    <cellStyle name="Normal 4 4 2 2 2 2 2 2 3 4" xfId="35737"/>
    <cellStyle name="Normal 4 4 2 2 2 2 2 2 4" xfId="9422"/>
    <cellStyle name="Normal 4 4 2 2 2 2 2 2 4 2" xfId="24466"/>
    <cellStyle name="Normal 4 4 2 2 2 2 2 2 4 3" xfId="39509"/>
    <cellStyle name="Normal 4 4 2 2 2 2 2 2 5" xfId="16945"/>
    <cellStyle name="Normal 4 4 2 2 2 2 2 2 6" xfId="31988"/>
    <cellStyle name="Normal 4 4 2 2 2 2 2 3" xfId="2786"/>
    <cellStyle name="Normal 4 4 2 2 2 2 2 3 2" xfId="6581"/>
    <cellStyle name="Normal 4 4 2 2 2 2 2 3 2 2" xfId="14104"/>
    <cellStyle name="Normal 4 4 2 2 2 2 2 3 2 2 2" xfId="29148"/>
    <cellStyle name="Normal 4 4 2 2 2 2 2 3 2 2 3" xfId="44191"/>
    <cellStyle name="Normal 4 4 2 2 2 2 2 3 2 3" xfId="21627"/>
    <cellStyle name="Normal 4 4 2 2 2 2 2 3 2 4" xfId="36670"/>
    <cellStyle name="Normal 4 4 2 2 2 2 2 3 3" xfId="10355"/>
    <cellStyle name="Normal 4 4 2 2 2 2 2 3 3 2" xfId="25399"/>
    <cellStyle name="Normal 4 4 2 2 2 2 2 3 3 3" xfId="40442"/>
    <cellStyle name="Normal 4 4 2 2 2 2 2 3 4" xfId="17878"/>
    <cellStyle name="Normal 4 4 2 2 2 2 2 3 5" xfId="32921"/>
    <cellStyle name="Normal 4 4 2 2 2 2 2 4" xfId="4716"/>
    <cellStyle name="Normal 4 4 2 2 2 2 2 4 2" xfId="12239"/>
    <cellStyle name="Normal 4 4 2 2 2 2 2 4 2 2" xfId="27283"/>
    <cellStyle name="Normal 4 4 2 2 2 2 2 4 2 3" xfId="42326"/>
    <cellStyle name="Normal 4 4 2 2 2 2 2 4 3" xfId="19762"/>
    <cellStyle name="Normal 4 4 2 2 2 2 2 4 4" xfId="34805"/>
    <cellStyle name="Normal 4 4 2 2 2 2 2 5" xfId="8490"/>
    <cellStyle name="Normal 4 4 2 2 2 2 2 5 2" xfId="23534"/>
    <cellStyle name="Normal 4 4 2 2 2 2 2 5 3" xfId="38577"/>
    <cellStyle name="Normal 4 4 2 2 2 2 2 6" xfId="16013"/>
    <cellStyle name="Normal 4 4 2 2 2 2 2 7" xfId="31056"/>
    <cellStyle name="Normal 4 4 2 2 2 2 3" xfId="1395"/>
    <cellStyle name="Normal 4 4 2 2 2 2 3 2" xfId="3266"/>
    <cellStyle name="Normal 4 4 2 2 2 2 3 2 2" xfId="7061"/>
    <cellStyle name="Normal 4 4 2 2 2 2 3 2 2 2" xfId="14584"/>
    <cellStyle name="Normal 4 4 2 2 2 2 3 2 2 2 2" xfId="29628"/>
    <cellStyle name="Normal 4 4 2 2 2 2 3 2 2 2 3" xfId="44671"/>
    <cellStyle name="Normal 4 4 2 2 2 2 3 2 2 3" xfId="22107"/>
    <cellStyle name="Normal 4 4 2 2 2 2 3 2 2 4" xfId="37150"/>
    <cellStyle name="Normal 4 4 2 2 2 2 3 2 3" xfId="10835"/>
    <cellStyle name="Normal 4 4 2 2 2 2 3 2 3 2" xfId="25879"/>
    <cellStyle name="Normal 4 4 2 2 2 2 3 2 3 3" xfId="40922"/>
    <cellStyle name="Normal 4 4 2 2 2 2 3 2 4" xfId="18358"/>
    <cellStyle name="Normal 4 4 2 2 2 2 3 2 5" xfId="33401"/>
    <cellStyle name="Normal 4 4 2 2 2 2 3 3" xfId="5196"/>
    <cellStyle name="Normal 4 4 2 2 2 2 3 3 2" xfId="12719"/>
    <cellStyle name="Normal 4 4 2 2 2 2 3 3 2 2" xfId="27763"/>
    <cellStyle name="Normal 4 4 2 2 2 2 3 3 2 3" xfId="42806"/>
    <cellStyle name="Normal 4 4 2 2 2 2 3 3 3" xfId="20242"/>
    <cellStyle name="Normal 4 4 2 2 2 2 3 3 4" xfId="35285"/>
    <cellStyle name="Normal 4 4 2 2 2 2 3 4" xfId="8970"/>
    <cellStyle name="Normal 4 4 2 2 2 2 3 4 2" xfId="24014"/>
    <cellStyle name="Normal 4 4 2 2 2 2 3 4 3" xfId="39057"/>
    <cellStyle name="Normal 4 4 2 2 2 2 3 5" xfId="16493"/>
    <cellStyle name="Normal 4 4 2 2 2 2 3 6" xfId="31536"/>
    <cellStyle name="Normal 4 4 2 2 2 2 4" xfId="2333"/>
    <cellStyle name="Normal 4 4 2 2 2 2 4 2" xfId="6129"/>
    <cellStyle name="Normal 4 4 2 2 2 2 4 2 2" xfId="13652"/>
    <cellStyle name="Normal 4 4 2 2 2 2 4 2 2 2" xfId="28696"/>
    <cellStyle name="Normal 4 4 2 2 2 2 4 2 2 3" xfId="43739"/>
    <cellStyle name="Normal 4 4 2 2 2 2 4 2 3" xfId="21175"/>
    <cellStyle name="Normal 4 4 2 2 2 2 4 2 4" xfId="36218"/>
    <cellStyle name="Normal 4 4 2 2 2 2 4 3" xfId="9903"/>
    <cellStyle name="Normal 4 4 2 2 2 2 4 3 2" xfId="24947"/>
    <cellStyle name="Normal 4 4 2 2 2 2 4 3 3" xfId="39990"/>
    <cellStyle name="Normal 4 4 2 2 2 2 4 4" xfId="17426"/>
    <cellStyle name="Normal 4 4 2 2 2 2 4 5" xfId="32469"/>
    <cellStyle name="Normal 4 4 2 2 2 2 5" xfId="4261"/>
    <cellStyle name="Normal 4 4 2 2 2 2 5 2" xfId="11785"/>
    <cellStyle name="Normal 4 4 2 2 2 2 5 2 2" xfId="26829"/>
    <cellStyle name="Normal 4 4 2 2 2 2 5 2 3" xfId="41872"/>
    <cellStyle name="Normal 4 4 2 2 2 2 5 3" xfId="19308"/>
    <cellStyle name="Normal 4 4 2 2 2 2 5 4" xfId="34351"/>
    <cellStyle name="Normal 4 4 2 2 2 2 6" xfId="8024"/>
    <cellStyle name="Normal 4 4 2 2 2 2 6 2" xfId="23068"/>
    <cellStyle name="Normal 4 4 2 2 2 2 6 3" xfId="38111"/>
    <cellStyle name="Normal 4 4 2 2 2 2 7" xfId="15547"/>
    <cellStyle name="Normal 4 4 2 2 2 2 8" xfId="30590"/>
    <cellStyle name="Normal 4 4 2 2 2 3" xfId="887"/>
    <cellStyle name="Normal 4 4 2 2 2 3 2" xfId="1846"/>
    <cellStyle name="Normal 4 4 2 2 2 3 2 2" xfId="3717"/>
    <cellStyle name="Normal 4 4 2 2 2 3 2 2 2" xfId="7512"/>
    <cellStyle name="Normal 4 4 2 2 2 3 2 2 2 2" xfId="15035"/>
    <cellStyle name="Normal 4 4 2 2 2 3 2 2 2 2 2" xfId="30079"/>
    <cellStyle name="Normal 4 4 2 2 2 3 2 2 2 2 3" xfId="45122"/>
    <cellStyle name="Normal 4 4 2 2 2 3 2 2 2 3" xfId="22558"/>
    <cellStyle name="Normal 4 4 2 2 2 3 2 2 2 4" xfId="37601"/>
    <cellStyle name="Normal 4 4 2 2 2 3 2 2 3" xfId="11286"/>
    <cellStyle name="Normal 4 4 2 2 2 3 2 2 3 2" xfId="26330"/>
    <cellStyle name="Normal 4 4 2 2 2 3 2 2 3 3" xfId="41373"/>
    <cellStyle name="Normal 4 4 2 2 2 3 2 2 4" xfId="18809"/>
    <cellStyle name="Normal 4 4 2 2 2 3 2 2 5" xfId="33852"/>
    <cellStyle name="Normal 4 4 2 2 2 3 2 3" xfId="5647"/>
    <cellStyle name="Normal 4 4 2 2 2 3 2 3 2" xfId="13170"/>
    <cellStyle name="Normal 4 4 2 2 2 3 2 3 2 2" xfId="28214"/>
    <cellStyle name="Normal 4 4 2 2 2 3 2 3 2 3" xfId="43257"/>
    <cellStyle name="Normal 4 4 2 2 2 3 2 3 3" xfId="20693"/>
    <cellStyle name="Normal 4 4 2 2 2 3 2 3 4" xfId="35736"/>
    <cellStyle name="Normal 4 4 2 2 2 3 2 4" xfId="9421"/>
    <cellStyle name="Normal 4 4 2 2 2 3 2 4 2" xfId="24465"/>
    <cellStyle name="Normal 4 4 2 2 2 3 2 4 3" xfId="39508"/>
    <cellStyle name="Normal 4 4 2 2 2 3 2 5" xfId="16944"/>
    <cellStyle name="Normal 4 4 2 2 2 3 2 6" xfId="31987"/>
    <cellStyle name="Normal 4 4 2 2 2 3 3" xfId="2785"/>
    <cellStyle name="Normal 4 4 2 2 2 3 3 2" xfId="6580"/>
    <cellStyle name="Normal 4 4 2 2 2 3 3 2 2" xfId="14103"/>
    <cellStyle name="Normal 4 4 2 2 2 3 3 2 2 2" xfId="29147"/>
    <cellStyle name="Normal 4 4 2 2 2 3 3 2 2 3" xfId="44190"/>
    <cellStyle name="Normal 4 4 2 2 2 3 3 2 3" xfId="21626"/>
    <cellStyle name="Normal 4 4 2 2 2 3 3 2 4" xfId="36669"/>
    <cellStyle name="Normal 4 4 2 2 2 3 3 3" xfId="10354"/>
    <cellStyle name="Normal 4 4 2 2 2 3 3 3 2" xfId="25398"/>
    <cellStyle name="Normal 4 4 2 2 2 3 3 3 3" xfId="40441"/>
    <cellStyle name="Normal 4 4 2 2 2 3 3 4" xfId="17877"/>
    <cellStyle name="Normal 4 4 2 2 2 3 3 5" xfId="32920"/>
    <cellStyle name="Normal 4 4 2 2 2 3 4" xfId="4715"/>
    <cellStyle name="Normal 4 4 2 2 2 3 4 2" xfId="12238"/>
    <cellStyle name="Normal 4 4 2 2 2 3 4 2 2" xfId="27282"/>
    <cellStyle name="Normal 4 4 2 2 2 3 4 2 3" xfId="42325"/>
    <cellStyle name="Normal 4 4 2 2 2 3 4 3" xfId="19761"/>
    <cellStyle name="Normal 4 4 2 2 2 3 4 4" xfId="34804"/>
    <cellStyle name="Normal 4 4 2 2 2 3 5" xfId="8489"/>
    <cellStyle name="Normal 4 4 2 2 2 3 5 2" xfId="23533"/>
    <cellStyle name="Normal 4 4 2 2 2 3 5 3" xfId="38576"/>
    <cellStyle name="Normal 4 4 2 2 2 3 6" xfId="16012"/>
    <cellStyle name="Normal 4 4 2 2 2 3 7" xfId="31055"/>
    <cellStyle name="Normal 4 4 2 2 2 4" xfId="1394"/>
    <cellStyle name="Normal 4 4 2 2 2 4 2" xfId="3265"/>
    <cellStyle name="Normal 4 4 2 2 2 4 2 2" xfId="7060"/>
    <cellStyle name="Normal 4 4 2 2 2 4 2 2 2" xfId="14583"/>
    <cellStyle name="Normal 4 4 2 2 2 4 2 2 2 2" xfId="29627"/>
    <cellStyle name="Normal 4 4 2 2 2 4 2 2 2 3" xfId="44670"/>
    <cellStyle name="Normal 4 4 2 2 2 4 2 2 3" xfId="22106"/>
    <cellStyle name="Normal 4 4 2 2 2 4 2 2 4" xfId="37149"/>
    <cellStyle name="Normal 4 4 2 2 2 4 2 3" xfId="10834"/>
    <cellStyle name="Normal 4 4 2 2 2 4 2 3 2" xfId="25878"/>
    <cellStyle name="Normal 4 4 2 2 2 4 2 3 3" xfId="40921"/>
    <cellStyle name="Normal 4 4 2 2 2 4 2 4" xfId="18357"/>
    <cellStyle name="Normal 4 4 2 2 2 4 2 5" xfId="33400"/>
    <cellStyle name="Normal 4 4 2 2 2 4 3" xfId="5195"/>
    <cellStyle name="Normal 4 4 2 2 2 4 3 2" xfId="12718"/>
    <cellStyle name="Normal 4 4 2 2 2 4 3 2 2" xfId="27762"/>
    <cellStyle name="Normal 4 4 2 2 2 4 3 2 3" xfId="42805"/>
    <cellStyle name="Normal 4 4 2 2 2 4 3 3" xfId="20241"/>
    <cellStyle name="Normal 4 4 2 2 2 4 3 4" xfId="35284"/>
    <cellStyle name="Normal 4 4 2 2 2 4 4" xfId="8969"/>
    <cellStyle name="Normal 4 4 2 2 2 4 4 2" xfId="24013"/>
    <cellStyle name="Normal 4 4 2 2 2 4 4 3" xfId="39056"/>
    <cellStyle name="Normal 4 4 2 2 2 4 5" xfId="16492"/>
    <cellStyle name="Normal 4 4 2 2 2 4 6" xfId="31535"/>
    <cellStyle name="Normal 4 4 2 2 2 5" xfId="2332"/>
    <cellStyle name="Normal 4 4 2 2 2 5 2" xfId="6128"/>
    <cellStyle name="Normal 4 4 2 2 2 5 2 2" xfId="13651"/>
    <cellStyle name="Normal 4 4 2 2 2 5 2 2 2" xfId="28695"/>
    <cellStyle name="Normal 4 4 2 2 2 5 2 2 3" xfId="43738"/>
    <cellStyle name="Normal 4 4 2 2 2 5 2 3" xfId="21174"/>
    <cellStyle name="Normal 4 4 2 2 2 5 2 4" xfId="36217"/>
    <cellStyle name="Normal 4 4 2 2 2 5 3" xfId="9902"/>
    <cellStyle name="Normal 4 4 2 2 2 5 3 2" xfId="24946"/>
    <cellStyle name="Normal 4 4 2 2 2 5 3 3" xfId="39989"/>
    <cellStyle name="Normal 4 4 2 2 2 5 4" xfId="17425"/>
    <cellStyle name="Normal 4 4 2 2 2 5 5" xfId="32468"/>
    <cellStyle name="Normal 4 4 2 2 2 6" xfId="4260"/>
    <cellStyle name="Normal 4 4 2 2 2 6 2" xfId="11784"/>
    <cellStyle name="Normal 4 4 2 2 2 6 2 2" xfId="26828"/>
    <cellStyle name="Normal 4 4 2 2 2 6 2 3" xfId="41871"/>
    <cellStyle name="Normal 4 4 2 2 2 6 3" xfId="19307"/>
    <cellStyle name="Normal 4 4 2 2 2 6 4" xfId="34350"/>
    <cellStyle name="Normal 4 4 2 2 2 7" xfId="8023"/>
    <cellStyle name="Normal 4 4 2 2 2 7 2" xfId="23067"/>
    <cellStyle name="Normal 4 4 2 2 2 7 3" xfId="38110"/>
    <cellStyle name="Normal 4 4 2 2 2 8" xfId="15546"/>
    <cellStyle name="Normal 4 4 2 2 2 9" xfId="30589"/>
    <cellStyle name="Normal 4 4 2 2 3" xfId="365"/>
    <cellStyle name="Normal 4 4 2 2 3 2" xfId="366"/>
    <cellStyle name="Normal 4 4 2 2 3 2 2" xfId="890"/>
    <cellStyle name="Normal 4 4 2 2 3 2 2 2" xfId="1849"/>
    <cellStyle name="Normal 4 4 2 2 3 2 2 2 2" xfId="3720"/>
    <cellStyle name="Normal 4 4 2 2 3 2 2 2 2 2" xfId="7515"/>
    <cellStyle name="Normal 4 4 2 2 3 2 2 2 2 2 2" xfId="15038"/>
    <cellStyle name="Normal 4 4 2 2 3 2 2 2 2 2 2 2" xfId="30082"/>
    <cellStyle name="Normal 4 4 2 2 3 2 2 2 2 2 2 3" xfId="45125"/>
    <cellStyle name="Normal 4 4 2 2 3 2 2 2 2 2 3" xfId="22561"/>
    <cellStyle name="Normal 4 4 2 2 3 2 2 2 2 2 4" xfId="37604"/>
    <cellStyle name="Normal 4 4 2 2 3 2 2 2 2 3" xfId="11289"/>
    <cellStyle name="Normal 4 4 2 2 3 2 2 2 2 3 2" xfId="26333"/>
    <cellStyle name="Normal 4 4 2 2 3 2 2 2 2 3 3" xfId="41376"/>
    <cellStyle name="Normal 4 4 2 2 3 2 2 2 2 4" xfId="18812"/>
    <cellStyle name="Normal 4 4 2 2 3 2 2 2 2 5" xfId="33855"/>
    <cellStyle name="Normal 4 4 2 2 3 2 2 2 3" xfId="5650"/>
    <cellStyle name="Normal 4 4 2 2 3 2 2 2 3 2" xfId="13173"/>
    <cellStyle name="Normal 4 4 2 2 3 2 2 2 3 2 2" xfId="28217"/>
    <cellStyle name="Normal 4 4 2 2 3 2 2 2 3 2 3" xfId="43260"/>
    <cellStyle name="Normal 4 4 2 2 3 2 2 2 3 3" xfId="20696"/>
    <cellStyle name="Normal 4 4 2 2 3 2 2 2 3 4" xfId="35739"/>
    <cellStyle name="Normal 4 4 2 2 3 2 2 2 4" xfId="9424"/>
    <cellStyle name="Normal 4 4 2 2 3 2 2 2 4 2" xfId="24468"/>
    <cellStyle name="Normal 4 4 2 2 3 2 2 2 4 3" xfId="39511"/>
    <cellStyle name="Normal 4 4 2 2 3 2 2 2 5" xfId="16947"/>
    <cellStyle name="Normal 4 4 2 2 3 2 2 2 6" xfId="31990"/>
    <cellStyle name="Normal 4 4 2 2 3 2 2 3" xfId="2788"/>
    <cellStyle name="Normal 4 4 2 2 3 2 2 3 2" xfId="6583"/>
    <cellStyle name="Normal 4 4 2 2 3 2 2 3 2 2" xfId="14106"/>
    <cellStyle name="Normal 4 4 2 2 3 2 2 3 2 2 2" xfId="29150"/>
    <cellStyle name="Normal 4 4 2 2 3 2 2 3 2 2 3" xfId="44193"/>
    <cellStyle name="Normal 4 4 2 2 3 2 2 3 2 3" xfId="21629"/>
    <cellStyle name="Normal 4 4 2 2 3 2 2 3 2 4" xfId="36672"/>
    <cellStyle name="Normal 4 4 2 2 3 2 2 3 3" xfId="10357"/>
    <cellStyle name="Normal 4 4 2 2 3 2 2 3 3 2" xfId="25401"/>
    <cellStyle name="Normal 4 4 2 2 3 2 2 3 3 3" xfId="40444"/>
    <cellStyle name="Normal 4 4 2 2 3 2 2 3 4" xfId="17880"/>
    <cellStyle name="Normal 4 4 2 2 3 2 2 3 5" xfId="32923"/>
    <cellStyle name="Normal 4 4 2 2 3 2 2 4" xfId="4718"/>
    <cellStyle name="Normal 4 4 2 2 3 2 2 4 2" xfId="12241"/>
    <cellStyle name="Normal 4 4 2 2 3 2 2 4 2 2" xfId="27285"/>
    <cellStyle name="Normal 4 4 2 2 3 2 2 4 2 3" xfId="42328"/>
    <cellStyle name="Normal 4 4 2 2 3 2 2 4 3" xfId="19764"/>
    <cellStyle name="Normal 4 4 2 2 3 2 2 4 4" xfId="34807"/>
    <cellStyle name="Normal 4 4 2 2 3 2 2 5" xfId="8492"/>
    <cellStyle name="Normal 4 4 2 2 3 2 2 5 2" xfId="23536"/>
    <cellStyle name="Normal 4 4 2 2 3 2 2 5 3" xfId="38579"/>
    <cellStyle name="Normal 4 4 2 2 3 2 2 6" xfId="16015"/>
    <cellStyle name="Normal 4 4 2 2 3 2 2 7" xfId="31058"/>
    <cellStyle name="Normal 4 4 2 2 3 2 3" xfId="1397"/>
    <cellStyle name="Normal 4 4 2 2 3 2 3 2" xfId="3268"/>
    <cellStyle name="Normal 4 4 2 2 3 2 3 2 2" xfId="7063"/>
    <cellStyle name="Normal 4 4 2 2 3 2 3 2 2 2" xfId="14586"/>
    <cellStyle name="Normal 4 4 2 2 3 2 3 2 2 2 2" xfId="29630"/>
    <cellStyle name="Normal 4 4 2 2 3 2 3 2 2 2 3" xfId="44673"/>
    <cellStyle name="Normal 4 4 2 2 3 2 3 2 2 3" xfId="22109"/>
    <cellStyle name="Normal 4 4 2 2 3 2 3 2 2 4" xfId="37152"/>
    <cellStyle name="Normal 4 4 2 2 3 2 3 2 3" xfId="10837"/>
    <cellStyle name="Normal 4 4 2 2 3 2 3 2 3 2" xfId="25881"/>
    <cellStyle name="Normal 4 4 2 2 3 2 3 2 3 3" xfId="40924"/>
    <cellStyle name="Normal 4 4 2 2 3 2 3 2 4" xfId="18360"/>
    <cellStyle name="Normal 4 4 2 2 3 2 3 2 5" xfId="33403"/>
    <cellStyle name="Normal 4 4 2 2 3 2 3 3" xfId="5198"/>
    <cellStyle name="Normal 4 4 2 2 3 2 3 3 2" xfId="12721"/>
    <cellStyle name="Normal 4 4 2 2 3 2 3 3 2 2" xfId="27765"/>
    <cellStyle name="Normal 4 4 2 2 3 2 3 3 2 3" xfId="42808"/>
    <cellStyle name="Normal 4 4 2 2 3 2 3 3 3" xfId="20244"/>
    <cellStyle name="Normal 4 4 2 2 3 2 3 3 4" xfId="35287"/>
    <cellStyle name="Normal 4 4 2 2 3 2 3 4" xfId="8972"/>
    <cellStyle name="Normal 4 4 2 2 3 2 3 4 2" xfId="24016"/>
    <cellStyle name="Normal 4 4 2 2 3 2 3 4 3" xfId="39059"/>
    <cellStyle name="Normal 4 4 2 2 3 2 3 5" xfId="16495"/>
    <cellStyle name="Normal 4 4 2 2 3 2 3 6" xfId="31538"/>
    <cellStyle name="Normal 4 4 2 2 3 2 4" xfId="2335"/>
    <cellStyle name="Normal 4 4 2 2 3 2 4 2" xfId="6131"/>
    <cellStyle name="Normal 4 4 2 2 3 2 4 2 2" xfId="13654"/>
    <cellStyle name="Normal 4 4 2 2 3 2 4 2 2 2" xfId="28698"/>
    <cellStyle name="Normal 4 4 2 2 3 2 4 2 2 3" xfId="43741"/>
    <cellStyle name="Normal 4 4 2 2 3 2 4 2 3" xfId="21177"/>
    <cellStyle name="Normal 4 4 2 2 3 2 4 2 4" xfId="36220"/>
    <cellStyle name="Normal 4 4 2 2 3 2 4 3" xfId="9905"/>
    <cellStyle name="Normal 4 4 2 2 3 2 4 3 2" xfId="24949"/>
    <cellStyle name="Normal 4 4 2 2 3 2 4 3 3" xfId="39992"/>
    <cellStyle name="Normal 4 4 2 2 3 2 4 4" xfId="17428"/>
    <cellStyle name="Normal 4 4 2 2 3 2 4 5" xfId="32471"/>
    <cellStyle name="Normal 4 4 2 2 3 2 5" xfId="4263"/>
    <cellStyle name="Normal 4 4 2 2 3 2 5 2" xfId="11787"/>
    <cellStyle name="Normal 4 4 2 2 3 2 5 2 2" xfId="26831"/>
    <cellStyle name="Normal 4 4 2 2 3 2 5 2 3" xfId="41874"/>
    <cellStyle name="Normal 4 4 2 2 3 2 5 3" xfId="19310"/>
    <cellStyle name="Normal 4 4 2 2 3 2 5 4" xfId="34353"/>
    <cellStyle name="Normal 4 4 2 2 3 2 6" xfId="8026"/>
    <cellStyle name="Normal 4 4 2 2 3 2 6 2" xfId="23070"/>
    <cellStyle name="Normal 4 4 2 2 3 2 6 3" xfId="38113"/>
    <cellStyle name="Normal 4 4 2 2 3 2 7" xfId="15549"/>
    <cellStyle name="Normal 4 4 2 2 3 2 8" xfId="30592"/>
    <cellStyle name="Normal 4 4 2 2 3 3" xfId="889"/>
    <cellStyle name="Normal 4 4 2 2 3 3 2" xfId="1848"/>
    <cellStyle name="Normal 4 4 2 2 3 3 2 2" xfId="3719"/>
    <cellStyle name="Normal 4 4 2 2 3 3 2 2 2" xfId="7514"/>
    <cellStyle name="Normal 4 4 2 2 3 3 2 2 2 2" xfId="15037"/>
    <cellStyle name="Normal 4 4 2 2 3 3 2 2 2 2 2" xfId="30081"/>
    <cellStyle name="Normal 4 4 2 2 3 3 2 2 2 2 3" xfId="45124"/>
    <cellStyle name="Normal 4 4 2 2 3 3 2 2 2 3" xfId="22560"/>
    <cellStyle name="Normal 4 4 2 2 3 3 2 2 2 4" xfId="37603"/>
    <cellStyle name="Normal 4 4 2 2 3 3 2 2 3" xfId="11288"/>
    <cellStyle name="Normal 4 4 2 2 3 3 2 2 3 2" xfId="26332"/>
    <cellStyle name="Normal 4 4 2 2 3 3 2 2 3 3" xfId="41375"/>
    <cellStyle name="Normal 4 4 2 2 3 3 2 2 4" xfId="18811"/>
    <cellStyle name="Normal 4 4 2 2 3 3 2 2 5" xfId="33854"/>
    <cellStyle name="Normal 4 4 2 2 3 3 2 3" xfId="5649"/>
    <cellStyle name="Normal 4 4 2 2 3 3 2 3 2" xfId="13172"/>
    <cellStyle name="Normal 4 4 2 2 3 3 2 3 2 2" xfId="28216"/>
    <cellStyle name="Normal 4 4 2 2 3 3 2 3 2 3" xfId="43259"/>
    <cellStyle name="Normal 4 4 2 2 3 3 2 3 3" xfId="20695"/>
    <cellStyle name="Normal 4 4 2 2 3 3 2 3 4" xfId="35738"/>
    <cellStyle name="Normal 4 4 2 2 3 3 2 4" xfId="9423"/>
    <cellStyle name="Normal 4 4 2 2 3 3 2 4 2" xfId="24467"/>
    <cellStyle name="Normal 4 4 2 2 3 3 2 4 3" xfId="39510"/>
    <cellStyle name="Normal 4 4 2 2 3 3 2 5" xfId="16946"/>
    <cellStyle name="Normal 4 4 2 2 3 3 2 6" xfId="31989"/>
    <cellStyle name="Normal 4 4 2 2 3 3 3" xfId="2787"/>
    <cellStyle name="Normal 4 4 2 2 3 3 3 2" xfId="6582"/>
    <cellStyle name="Normal 4 4 2 2 3 3 3 2 2" xfId="14105"/>
    <cellStyle name="Normal 4 4 2 2 3 3 3 2 2 2" xfId="29149"/>
    <cellStyle name="Normal 4 4 2 2 3 3 3 2 2 3" xfId="44192"/>
    <cellStyle name="Normal 4 4 2 2 3 3 3 2 3" xfId="21628"/>
    <cellStyle name="Normal 4 4 2 2 3 3 3 2 4" xfId="36671"/>
    <cellStyle name="Normal 4 4 2 2 3 3 3 3" xfId="10356"/>
    <cellStyle name="Normal 4 4 2 2 3 3 3 3 2" xfId="25400"/>
    <cellStyle name="Normal 4 4 2 2 3 3 3 3 3" xfId="40443"/>
    <cellStyle name="Normal 4 4 2 2 3 3 3 4" xfId="17879"/>
    <cellStyle name="Normal 4 4 2 2 3 3 3 5" xfId="32922"/>
    <cellStyle name="Normal 4 4 2 2 3 3 4" xfId="4717"/>
    <cellStyle name="Normal 4 4 2 2 3 3 4 2" xfId="12240"/>
    <cellStyle name="Normal 4 4 2 2 3 3 4 2 2" xfId="27284"/>
    <cellStyle name="Normal 4 4 2 2 3 3 4 2 3" xfId="42327"/>
    <cellStyle name="Normal 4 4 2 2 3 3 4 3" xfId="19763"/>
    <cellStyle name="Normal 4 4 2 2 3 3 4 4" xfId="34806"/>
    <cellStyle name="Normal 4 4 2 2 3 3 5" xfId="8491"/>
    <cellStyle name="Normal 4 4 2 2 3 3 5 2" xfId="23535"/>
    <cellStyle name="Normal 4 4 2 2 3 3 5 3" xfId="38578"/>
    <cellStyle name="Normal 4 4 2 2 3 3 6" xfId="16014"/>
    <cellStyle name="Normal 4 4 2 2 3 3 7" xfId="31057"/>
    <cellStyle name="Normal 4 4 2 2 3 4" xfId="1396"/>
    <cellStyle name="Normal 4 4 2 2 3 4 2" xfId="3267"/>
    <cellStyle name="Normal 4 4 2 2 3 4 2 2" xfId="7062"/>
    <cellStyle name="Normal 4 4 2 2 3 4 2 2 2" xfId="14585"/>
    <cellStyle name="Normal 4 4 2 2 3 4 2 2 2 2" xfId="29629"/>
    <cellStyle name="Normal 4 4 2 2 3 4 2 2 2 3" xfId="44672"/>
    <cellStyle name="Normal 4 4 2 2 3 4 2 2 3" xfId="22108"/>
    <cellStyle name="Normal 4 4 2 2 3 4 2 2 4" xfId="37151"/>
    <cellStyle name="Normal 4 4 2 2 3 4 2 3" xfId="10836"/>
    <cellStyle name="Normal 4 4 2 2 3 4 2 3 2" xfId="25880"/>
    <cellStyle name="Normal 4 4 2 2 3 4 2 3 3" xfId="40923"/>
    <cellStyle name="Normal 4 4 2 2 3 4 2 4" xfId="18359"/>
    <cellStyle name="Normal 4 4 2 2 3 4 2 5" xfId="33402"/>
    <cellStyle name="Normal 4 4 2 2 3 4 3" xfId="5197"/>
    <cellStyle name="Normal 4 4 2 2 3 4 3 2" xfId="12720"/>
    <cellStyle name="Normal 4 4 2 2 3 4 3 2 2" xfId="27764"/>
    <cellStyle name="Normal 4 4 2 2 3 4 3 2 3" xfId="42807"/>
    <cellStyle name="Normal 4 4 2 2 3 4 3 3" xfId="20243"/>
    <cellStyle name="Normal 4 4 2 2 3 4 3 4" xfId="35286"/>
    <cellStyle name="Normal 4 4 2 2 3 4 4" xfId="8971"/>
    <cellStyle name="Normal 4 4 2 2 3 4 4 2" xfId="24015"/>
    <cellStyle name="Normal 4 4 2 2 3 4 4 3" xfId="39058"/>
    <cellStyle name="Normal 4 4 2 2 3 4 5" xfId="16494"/>
    <cellStyle name="Normal 4 4 2 2 3 4 6" xfId="31537"/>
    <cellStyle name="Normal 4 4 2 2 3 5" xfId="2334"/>
    <cellStyle name="Normal 4 4 2 2 3 5 2" xfId="6130"/>
    <cellStyle name="Normal 4 4 2 2 3 5 2 2" xfId="13653"/>
    <cellStyle name="Normal 4 4 2 2 3 5 2 2 2" xfId="28697"/>
    <cellStyle name="Normal 4 4 2 2 3 5 2 2 3" xfId="43740"/>
    <cellStyle name="Normal 4 4 2 2 3 5 2 3" xfId="21176"/>
    <cellStyle name="Normal 4 4 2 2 3 5 2 4" xfId="36219"/>
    <cellStyle name="Normal 4 4 2 2 3 5 3" xfId="9904"/>
    <cellStyle name="Normal 4 4 2 2 3 5 3 2" xfId="24948"/>
    <cellStyle name="Normal 4 4 2 2 3 5 3 3" xfId="39991"/>
    <cellStyle name="Normal 4 4 2 2 3 5 4" xfId="17427"/>
    <cellStyle name="Normal 4 4 2 2 3 5 5" xfId="32470"/>
    <cellStyle name="Normal 4 4 2 2 3 6" xfId="4262"/>
    <cellStyle name="Normal 4 4 2 2 3 6 2" xfId="11786"/>
    <cellStyle name="Normal 4 4 2 2 3 6 2 2" xfId="26830"/>
    <cellStyle name="Normal 4 4 2 2 3 6 2 3" xfId="41873"/>
    <cellStyle name="Normal 4 4 2 2 3 6 3" xfId="19309"/>
    <cellStyle name="Normal 4 4 2 2 3 6 4" xfId="34352"/>
    <cellStyle name="Normal 4 4 2 2 3 7" xfId="8025"/>
    <cellStyle name="Normal 4 4 2 2 3 7 2" xfId="23069"/>
    <cellStyle name="Normal 4 4 2 2 3 7 3" xfId="38112"/>
    <cellStyle name="Normal 4 4 2 2 3 8" xfId="15548"/>
    <cellStyle name="Normal 4 4 2 2 3 9" xfId="30591"/>
    <cellStyle name="Normal 4 4 2 2 4" xfId="367"/>
    <cellStyle name="Normal 4 4 2 2 4 2" xfId="891"/>
    <cellStyle name="Normal 4 4 2 2 4 2 2" xfId="1850"/>
    <cellStyle name="Normal 4 4 2 2 4 2 2 2" xfId="3721"/>
    <cellStyle name="Normal 4 4 2 2 4 2 2 2 2" xfId="7516"/>
    <cellStyle name="Normal 4 4 2 2 4 2 2 2 2 2" xfId="15039"/>
    <cellStyle name="Normal 4 4 2 2 4 2 2 2 2 2 2" xfId="30083"/>
    <cellStyle name="Normal 4 4 2 2 4 2 2 2 2 2 3" xfId="45126"/>
    <cellStyle name="Normal 4 4 2 2 4 2 2 2 2 3" xfId="22562"/>
    <cellStyle name="Normal 4 4 2 2 4 2 2 2 2 4" xfId="37605"/>
    <cellStyle name="Normal 4 4 2 2 4 2 2 2 3" xfId="11290"/>
    <cellStyle name="Normal 4 4 2 2 4 2 2 2 3 2" xfId="26334"/>
    <cellStyle name="Normal 4 4 2 2 4 2 2 2 3 3" xfId="41377"/>
    <cellStyle name="Normal 4 4 2 2 4 2 2 2 4" xfId="18813"/>
    <cellStyle name="Normal 4 4 2 2 4 2 2 2 5" xfId="33856"/>
    <cellStyle name="Normal 4 4 2 2 4 2 2 3" xfId="5651"/>
    <cellStyle name="Normal 4 4 2 2 4 2 2 3 2" xfId="13174"/>
    <cellStyle name="Normal 4 4 2 2 4 2 2 3 2 2" xfId="28218"/>
    <cellStyle name="Normal 4 4 2 2 4 2 2 3 2 3" xfId="43261"/>
    <cellStyle name="Normal 4 4 2 2 4 2 2 3 3" xfId="20697"/>
    <cellStyle name="Normal 4 4 2 2 4 2 2 3 4" xfId="35740"/>
    <cellStyle name="Normal 4 4 2 2 4 2 2 4" xfId="9425"/>
    <cellStyle name="Normal 4 4 2 2 4 2 2 4 2" xfId="24469"/>
    <cellStyle name="Normal 4 4 2 2 4 2 2 4 3" xfId="39512"/>
    <cellStyle name="Normal 4 4 2 2 4 2 2 5" xfId="16948"/>
    <cellStyle name="Normal 4 4 2 2 4 2 2 6" xfId="31991"/>
    <cellStyle name="Normal 4 4 2 2 4 2 3" xfId="2789"/>
    <cellStyle name="Normal 4 4 2 2 4 2 3 2" xfId="6584"/>
    <cellStyle name="Normal 4 4 2 2 4 2 3 2 2" xfId="14107"/>
    <cellStyle name="Normal 4 4 2 2 4 2 3 2 2 2" xfId="29151"/>
    <cellStyle name="Normal 4 4 2 2 4 2 3 2 2 3" xfId="44194"/>
    <cellStyle name="Normal 4 4 2 2 4 2 3 2 3" xfId="21630"/>
    <cellStyle name="Normal 4 4 2 2 4 2 3 2 4" xfId="36673"/>
    <cellStyle name="Normal 4 4 2 2 4 2 3 3" xfId="10358"/>
    <cellStyle name="Normal 4 4 2 2 4 2 3 3 2" xfId="25402"/>
    <cellStyle name="Normal 4 4 2 2 4 2 3 3 3" xfId="40445"/>
    <cellStyle name="Normal 4 4 2 2 4 2 3 4" xfId="17881"/>
    <cellStyle name="Normal 4 4 2 2 4 2 3 5" xfId="32924"/>
    <cellStyle name="Normal 4 4 2 2 4 2 4" xfId="4719"/>
    <cellStyle name="Normal 4 4 2 2 4 2 4 2" xfId="12242"/>
    <cellStyle name="Normal 4 4 2 2 4 2 4 2 2" xfId="27286"/>
    <cellStyle name="Normal 4 4 2 2 4 2 4 2 3" xfId="42329"/>
    <cellStyle name="Normal 4 4 2 2 4 2 4 3" xfId="19765"/>
    <cellStyle name="Normal 4 4 2 2 4 2 4 4" xfId="34808"/>
    <cellStyle name="Normal 4 4 2 2 4 2 5" xfId="8493"/>
    <cellStyle name="Normal 4 4 2 2 4 2 5 2" xfId="23537"/>
    <cellStyle name="Normal 4 4 2 2 4 2 5 3" xfId="38580"/>
    <cellStyle name="Normal 4 4 2 2 4 2 6" xfId="16016"/>
    <cellStyle name="Normal 4 4 2 2 4 2 7" xfId="31059"/>
    <cellStyle name="Normal 4 4 2 2 4 3" xfId="1398"/>
    <cellStyle name="Normal 4 4 2 2 4 3 2" xfId="3269"/>
    <cellStyle name="Normal 4 4 2 2 4 3 2 2" xfId="7064"/>
    <cellStyle name="Normal 4 4 2 2 4 3 2 2 2" xfId="14587"/>
    <cellStyle name="Normal 4 4 2 2 4 3 2 2 2 2" xfId="29631"/>
    <cellStyle name="Normal 4 4 2 2 4 3 2 2 2 3" xfId="44674"/>
    <cellStyle name="Normal 4 4 2 2 4 3 2 2 3" xfId="22110"/>
    <cellStyle name="Normal 4 4 2 2 4 3 2 2 4" xfId="37153"/>
    <cellStyle name="Normal 4 4 2 2 4 3 2 3" xfId="10838"/>
    <cellStyle name="Normal 4 4 2 2 4 3 2 3 2" xfId="25882"/>
    <cellStyle name="Normal 4 4 2 2 4 3 2 3 3" xfId="40925"/>
    <cellStyle name="Normal 4 4 2 2 4 3 2 4" xfId="18361"/>
    <cellStyle name="Normal 4 4 2 2 4 3 2 5" xfId="33404"/>
    <cellStyle name="Normal 4 4 2 2 4 3 3" xfId="5199"/>
    <cellStyle name="Normal 4 4 2 2 4 3 3 2" xfId="12722"/>
    <cellStyle name="Normal 4 4 2 2 4 3 3 2 2" xfId="27766"/>
    <cellStyle name="Normal 4 4 2 2 4 3 3 2 3" xfId="42809"/>
    <cellStyle name="Normal 4 4 2 2 4 3 3 3" xfId="20245"/>
    <cellStyle name="Normal 4 4 2 2 4 3 3 4" xfId="35288"/>
    <cellStyle name="Normal 4 4 2 2 4 3 4" xfId="8973"/>
    <cellStyle name="Normal 4 4 2 2 4 3 4 2" xfId="24017"/>
    <cellStyle name="Normal 4 4 2 2 4 3 4 3" xfId="39060"/>
    <cellStyle name="Normal 4 4 2 2 4 3 5" xfId="16496"/>
    <cellStyle name="Normal 4 4 2 2 4 3 6" xfId="31539"/>
    <cellStyle name="Normal 4 4 2 2 4 4" xfId="2336"/>
    <cellStyle name="Normal 4 4 2 2 4 4 2" xfId="6132"/>
    <cellStyle name="Normal 4 4 2 2 4 4 2 2" xfId="13655"/>
    <cellStyle name="Normal 4 4 2 2 4 4 2 2 2" xfId="28699"/>
    <cellStyle name="Normal 4 4 2 2 4 4 2 2 3" xfId="43742"/>
    <cellStyle name="Normal 4 4 2 2 4 4 2 3" xfId="21178"/>
    <cellStyle name="Normal 4 4 2 2 4 4 2 4" xfId="36221"/>
    <cellStyle name="Normal 4 4 2 2 4 4 3" xfId="9906"/>
    <cellStyle name="Normal 4 4 2 2 4 4 3 2" xfId="24950"/>
    <cellStyle name="Normal 4 4 2 2 4 4 3 3" xfId="39993"/>
    <cellStyle name="Normal 4 4 2 2 4 4 4" xfId="17429"/>
    <cellStyle name="Normal 4 4 2 2 4 4 5" xfId="32472"/>
    <cellStyle name="Normal 4 4 2 2 4 5" xfId="4264"/>
    <cellStyle name="Normal 4 4 2 2 4 5 2" xfId="11788"/>
    <cellStyle name="Normal 4 4 2 2 4 5 2 2" xfId="26832"/>
    <cellStyle name="Normal 4 4 2 2 4 5 2 3" xfId="41875"/>
    <cellStyle name="Normal 4 4 2 2 4 5 3" xfId="19311"/>
    <cellStyle name="Normal 4 4 2 2 4 5 4" xfId="34354"/>
    <cellStyle name="Normal 4 4 2 2 4 6" xfId="8027"/>
    <cellStyle name="Normal 4 4 2 2 4 6 2" xfId="23071"/>
    <cellStyle name="Normal 4 4 2 2 4 6 3" xfId="38114"/>
    <cellStyle name="Normal 4 4 2 2 4 7" xfId="15550"/>
    <cellStyle name="Normal 4 4 2 2 4 8" xfId="30593"/>
    <cellStyle name="Normal 4 4 2 2 5" xfId="886"/>
    <cellStyle name="Normal 4 4 2 2 5 2" xfId="1845"/>
    <cellStyle name="Normal 4 4 2 2 5 2 2" xfId="3716"/>
    <cellStyle name="Normal 4 4 2 2 5 2 2 2" xfId="7511"/>
    <cellStyle name="Normal 4 4 2 2 5 2 2 2 2" xfId="15034"/>
    <cellStyle name="Normal 4 4 2 2 5 2 2 2 2 2" xfId="30078"/>
    <cellStyle name="Normal 4 4 2 2 5 2 2 2 2 3" xfId="45121"/>
    <cellStyle name="Normal 4 4 2 2 5 2 2 2 3" xfId="22557"/>
    <cellStyle name="Normal 4 4 2 2 5 2 2 2 4" xfId="37600"/>
    <cellStyle name="Normal 4 4 2 2 5 2 2 3" xfId="11285"/>
    <cellStyle name="Normal 4 4 2 2 5 2 2 3 2" xfId="26329"/>
    <cellStyle name="Normal 4 4 2 2 5 2 2 3 3" xfId="41372"/>
    <cellStyle name="Normal 4 4 2 2 5 2 2 4" xfId="18808"/>
    <cellStyle name="Normal 4 4 2 2 5 2 2 5" xfId="33851"/>
    <cellStyle name="Normal 4 4 2 2 5 2 3" xfId="5646"/>
    <cellStyle name="Normal 4 4 2 2 5 2 3 2" xfId="13169"/>
    <cellStyle name="Normal 4 4 2 2 5 2 3 2 2" xfId="28213"/>
    <cellStyle name="Normal 4 4 2 2 5 2 3 2 3" xfId="43256"/>
    <cellStyle name="Normal 4 4 2 2 5 2 3 3" xfId="20692"/>
    <cellStyle name="Normal 4 4 2 2 5 2 3 4" xfId="35735"/>
    <cellStyle name="Normal 4 4 2 2 5 2 4" xfId="9420"/>
    <cellStyle name="Normal 4 4 2 2 5 2 4 2" xfId="24464"/>
    <cellStyle name="Normal 4 4 2 2 5 2 4 3" xfId="39507"/>
    <cellStyle name="Normal 4 4 2 2 5 2 5" xfId="16943"/>
    <cellStyle name="Normal 4 4 2 2 5 2 6" xfId="31986"/>
    <cellStyle name="Normal 4 4 2 2 5 3" xfId="2784"/>
    <cellStyle name="Normal 4 4 2 2 5 3 2" xfId="6579"/>
    <cellStyle name="Normal 4 4 2 2 5 3 2 2" xfId="14102"/>
    <cellStyle name="Normal 4 4 2 2 5 3 2 2 2" xfId="29146"/>
    <cellStyle name="Normal 4 4 2 2 5 3 2 2 3" xfId="44189"/>
    <cellStyle name="Normal 4 4 2 2 5 3 2 3" xfId="21625"/>
    <cellStyle name="Normal 4 4 2 2 5 3 2 4" xfId="36668"/>
    <cellStyle name="Normal 4 4 2 2 5 3 3" xfId="10353"/>
    <cellStyle name="Normal 4 4 2 2 5 3 3 2" xfId="25397"/>
    <cellStyle name="Normal 4 4 2 2 5 3 3 3" xfId="40440"/>
    <cellStyle name="Normal 4 4 2 2 5 3 4" xfId="17876"/>
    <cellStyle name="Normal 4 4 2 2 5 3 5" xfId="32919"/>
    <cellStyle name="Normal 4 4 2 2 5 4" xfId="4714"/>
    <cellStyle name="Normal 4 4 2 2 5 4 2" xfId="12237"/>
    <cellStyle name="Normal 4 4 2 2 5 4 2 2" xfId="27281"/>
    <cellStyle name="Normal 4 4 2 2 5 4 2 3" xfId="42324"/>
    <cellStyle name="Normal 4 4 2 2 5 4 3" xfId="19760"/>
    <cellStyle name="Normal 4 4 2 2 5 4 4" xfId="34803"/>
    <cellStyle name="Normal 4 4 2 2 5 5" xfId="8488"/>
    <cellStyle name="Normal 4 4 2 2 5 5 2" xfId="23532"/>
    <cellStyle name="Normal 4 4 2 2 5 5 3" xfId="38575"/>
    <cellStyle name="Normal 4 4 2 2 5 6" xfId="16011"/>
    <cellStyle name="Normal 4 4 2 2 5 7" xfId="31054"/>
    <cellStyle name="Normal 4 4 2 2 6" xfId="1393"/>
    <cellStyle name="Normal 4 4 2 2 6 2" xfId="3264"/>
    <cellStyle name="Normal 4 4 2 2 6 2 2" xfId="7059"/>
    <cellStyle name="Normal 4 4 2 2 6 2 2 2" xfId="14582"/>
    <cellStyle name="Normal 4 4 2 2 6 2 2 2 2" xfId="29626"/>
    <cellStyle name="Normal 4 4 2 2 6 2 2 2 3" xfId="44669"/>
    <cellStyle name="Normal 4 4 2 2 6 2 2 3" xfId="22105"/>
    <cellStyle name="Normal 4 4 2 2 6 2 2 4" xfId="37148"/>
    <cellStyle name="Normal 4 4 2 2 6 2 3" xfId="10833"/>
    <cellStyle name="Normal 4 4 2 2 6 2 3 2" xfId="25877"/>
    <cellStyle name="Normal 4 4 2 2 6 2 3 3" xfId="40920"/>
    <cellStyle name="Normal 4 4 2 2 6 2 4" xfId="18356"/>
    <cellStyle name="Normal 4 4 2 2 6 2 5" xfId="33399"/>
    <cellStyle name="Normal 4 4 2 2 6 3" xfId="5194"/>
    <cellStyle name="Normal 4 4 2 2 6 3 2" xfId="12717"/>
    <cellStyle name="Normal 4 4 2 2 6 3 2 2" xfId="27761"/>
    <cellStyle name="Normal 4 4 2 2 6 3 2 3" xfId="42804"/>
    <cellStyle name="Normal 4 4 2 2 6 3 3" xfId="20240"/>
    <cellStyle name="Normal 4 4 2 2 6 3 4" xfId="35283"/>
    <cellStyle name="Normal 4 4 2 2 6 4" xfId="8968"/>
    <cellStyle name="Normal 4 4 2 2 6 4 2" xfId="24012"/>
    <cellStyle name="Normal 4 4 2 2 6 4 3" xfId="39055"/>
    <cellStyle name="Normal 4 4 2 2 6 5" xfId="16491"/>
    <cellStyle name="Normal 4 4 2 2 6 6" xfId="31534"/>
    <cellStyle name="Normal 4 4 2 2 7" xfId="2331"/>
    <cellStyle name="Normal 4 4 2 2 7 2" xfId="6127"/>
    <cellStyle name="Normal 4 4 2 2 7 2 2" xfId="13650"/>
    <cellStyle name="Normal 4 4 2 2 7 2 2 2" xfId="28694"/>
    <cellStyle name="Normal 4 4 2 2 7 2 2 3" xfId="43737"/>
    <cellStyle name="Normal 4 4 2 2 7 2 3" xfId="21173"/>
    <cellStyle name="Normal 4 4 2 2 7 2 4" xfId="36216"/>
    <cellStyle name="Normal 4 4 2 2 7 3" xfId="9901"/>
    <cellStyle name="Normal 4 4 2 2 7 3 2" xfId="24945"/>
    <cellStyle name="Normal 4 4 2 2 7 3 3" xfId="39988"/>
    <cellStyle name="Normal 4 4 2 2 7 4" xfId="17424"/>
    <cellStyle name="Normal 4 4 2 2 7 5" xfId="32467"/>
    <cellStyle name="Normal 4 4 2 2 8" xfId="4259"/>
    <cellStyle name="Normal 4 4 2 2 8 2" xfId="11783"/>
    <cellStyle name="Normal 4 4 2 2 8 2 2" xfId="26827"/>
    <cellStyle name="Normal 4 4 2 2 8 2 3" xfId="41870"/>
    <cellStyle name="Normal 4 4 2 2 8 3" xfId="19306"/>
    <cellStyle name="Normal 4 4 2 2 8 4" xfId="34349"/>
    <cellStyle name="Normal 4 4 2 2 9" xfId="8022"/>
    <cellStyle name="Normal 4 4 2 2 9 2" xfId="23066"/>
    <cellStyle name="Normal 4 4 2 2 9 3" xfId="38109"/>
    <cellStyle name="Normal 4 4 2 3" xfId="368"/>
    <cellStyle name="Normal 4 4 2 3 2" xfId="369"/>
    <cellStyle name="Normal 4 4 2 3 2 2" xfId="893"/>
    <cellStyle name="Normal 4 4 2 3 2 2 2" xfId="1852"/>
    <cellStyle name="Normal 4 4 2 3 2 2 2 2" xfId="3723"/>
    <cellStyle name="Normal 4 4 2 3 2 2 2 2 2" xfId="7518"/>
    <cellStyle name="Normal 4 4 2 3 2 2 2 2 2 2" xfId="15041"/>
    <cellStyle name="Normal 4 4 2 3 2 2 2 2 2 2 2" xfId="30085"/>
    <cellStyle name="Normal 4 4 2 3 2 2 2 2 2 2 3" xfId="45128"/>
    <cellStyle name="Normal 4 4 2 3 2 2 2 2 2 3" xfId="22564"/>
    <cellStyle name="Normal 4 4 2 3 2 2 2 2 2 4" xfId="37607"/>
    <cellStyle name="Normal 4 4 2 3 2 2 2 2 3" xfId="11292"/>
    <cellStyle name="Normal 4 4 2 3 2 2 2 2 3 2" xfId="26336"/>
    <cellStyle name="Normal 4 4 2 3 2 2 2 2 3 3" xfId="41379"/>
    <cellStyle name="Normal 4 4 2 3 2 2 2 2 4" xfId="18815"/>
    <cellStyle name="Normal 4 4 2 3 2 2 2 2 5" xfId="33858"/>
    <cellStyle name="Normal 4 4 2 3 2 2 2 3" xfId="5653"/>
    <cellStyle name="Normal 4 4 2 3 2 2 2 3 2" xfId="13176"/>
    <cellStyle name="Normal 4 4 2 3 2 2 2 3 2 2" xfId="28220"/>
    <cellStyle name="Normal 4 4 2 3 2 2 2 3 2 3" xfId="43263"/>
    <cellStyle name="Normal 4 4 2 3 2 2 2 3 3" xfId="20699"/>
    <cellStyle name="Normal 4 4 2 3 2 2 2 3 4" xfId="35742"/>
    <cellStyle name="Normal 4 4 2 3 2 2 2 4" xfId="9427"/>
    <cellStyle name="Normal 4 4 2 3 2 2 2 4 2" xfId="24471"/>
    <cellStyle name="Normal 4 4 2 3 2 2 2 4 3" xfId="39514"/>
    <cellStyle name="Normal 4 4 2 3 2 2 2 5" xfId="16950"/>
    <cellStyle name="Normal 4 4 2 3 2 2 2 6" xfId="31993"/>
    <cellStyle name="Normal 4 4 2 3 2 2 3" xfId="2791"/>
    <cellStyle name="Normal 4 4 2 3 2 2 3 2" xfId="6586"/>
    <cellStyle name="Normal 4 4 2 3 2 2 3 2 2" xfId="14109"/>
    <cellStyle name="Normal 4 4 2 3 2 2 3 2 2 2" xfId="29153"/>
    <cellStyle name="Normal 4 4 2 3 2 2 3 2 2 3" xfId="44196"/>
    <cellStyle name="Normal 4 4 2 3 2 2 3 2 3" xfId="21632"/>
    <cellStyle name="Normal 4 4 2 3 2 2 3 2 4" xfId="36675"/>
    <cellStyle name="Normal 4 4 2 3 2 2 3 3" xfId="10360"/>
    <cellStyle name="Normal 4 4 2 3 2 2 3 3 2" xfId="25404"/>
    <cellStyle name="Normal 4 4 2 3 2 2 3 3 3" xfId="40447"/>
    <cellStyle name="Normal 4 4 2 3 2 2 3 4" xfId="17883"/>
    <cellStyle name="Normal 4 4 2 3 2 2 3 5" xfId="32926"/>
    <cellStyle name="Normal 4 4 2 3 2 2 4" xfId="4721"/>
    <cellStyle name="Normal 4 4 2 3 2 2 4 2" xfId="12244"/>
    <cellStyle name="Normal 4 4 2 3 2 2 4 2 2" xfId="27288"/>
    <cellStyle name="Normal 4 4 2 3 2 2 4 2 3" xfId="42331"/>
    <cellStyle name="Normal 4 4 2 3 2 2 4 3" xfId="19767"/>
    <cellStyle name="Normal 4 4 2 3 2 2 4 4" xfId="34810"/>
    <cellStyle name="Normal 4 4 2 3 2 2 5" xfId="8495"/>
    <cellStyle name="Normal 4 4 2 3 2 2 5 2" xfId="23539"/>
    <cellStyle name="Normal 4 4 2 3 2 2 5 3" xfId="38582"/>
    <cellStyle name="Normal 4 4 2 3 2 2 6" xfId="16018"/>
    <cellStyle name="Normal 4 4 2 3 2 2 7" xfId="31061"/>
    <cellStyle name="Normal 4 4 2 3 2 3" xfId="1400"/>
    <cellStyle name="Normal 4 4 2 3 2 3 2" xfId="3271"/>
    <cellStyle name="Normal 4 4 2 3 2 3 2 2" xfId="7066"/>
    <cellStyle name="Normal 4 4 2 3 2 3 2 2 2" xfId="14589"/>
    <cellStyle name="Normal 4 4 2 3 2 3 2 2 2 2" xfId="29633"/>
    <cellStyle name="Normal 4 4 2 3 2 3 2 2 2 3" xfId="44676"/>
    <cellStyle name="Normal 4 4 2 3 2 3 2 2 3" xfId="22112"/>
    <cellStyle name="Normal 4 4 2 3 2 3 2 2 4" xfId="37155"/>
    <cellStyle name="Normal 4 4 2 3 2 3 2 3" xfId="10840"/>
    <cellStyle name="Normal 4 4 2 3 2 3 2 3 2" xfId="25884"/>
    <cellStyle name="Normal 4 4 2 3 2 3 2 3 3" xfId="40927"/>
    <cellStyle name="Normal 4 4 2 3 2 3 2 4" xfId="18363"/>
    <cellStyle name="Normal 4 4 2 3 2 3 2 5" xfId="33406"/>
    <cellStyle name="Normal 4 4 2 3 2 3 3" xfId="5201"/>
    <cellStyle name="Normal 4 4 2 3 2 3 3 2" xfId="12724"/>
    <cellStyle name="Normal 4 4 2 3 2 3 3 2 2" xfId="27768"/>
    <cellStyle name="Normal 4 4 2 3 2 3 3 2 3" xfId="42811"/>
    <cellStyle name="Normal 4 4 2 3 2 3 3 3" xfId="20247"/>
    <cellStyle name="Normal 4 4 2 3 2 3 3 4" xfId="35290"/>
    <cellStyle name="Normal 4 4 2 3 2 3 4" xfId="8975"/>
    <cellStyle name="Normal 4 4 2 3 2 3 4 2" xfId="24019"/>
    <cellStyle name="Normal 4 4 2 3 2 3 4 3" xfId="39062"/>
    <cellStyle name="Normal 4 4 2 3 2 3 5" xfId="16498"/>
    <cellStyle name="Normal 4 4 2 3 2 3 6" xfId="31541"/>
    <cellStyle name="Normal 4 4 2 3 2 4" xfId="2338"/>
    <cellStyle name="Normal 4 4 2 3 2 4 2" xfId="6134"/>
    <cellStyle name="Normal 4 4 2 3 2 4 2 2" xfId="13657"/>
    <cellStyle name="Normal 4 4 2 3 2 4 2 2 2" xfId="28701"/>
    <cellStyle name="Normal 4 4 2 3 2 4 2 2 3" xfId="43744"/>
    <cellStyle name="Normal 4 4 2 3 2 4 2 3" xfId="21180"/>
    <cellStyle name="Normal 4 4 2 3 2 4 2 4" xfId="36223"/>
    <cellStyle name="Normal 4 4 2 3 2 4 3" xfId="9908"/>
    <cellStyle name="Normal 4 4 2 3 2 4 3 2" xfId="24952"/>
    <cellStyle name="Normal 4 4 2 3 2 4 3 3" xfId="39995"/>
    <cellStyle name="Normal 4 4 2 3 2 4 4" xfId="17431"/>
    <cellStyle name="Normal 4 4 2 3 2 4 5" xfId="32474"/>
    <cellStyle name="Normal 4 4 2 3 2 5" xfId="4266"/>
    <cellStyle name="Normal 4 4 2 3 2 5 2" xfId="11790"/>
    <cellStyle name="Normal 4 4 2 3 2 5 2 2" xfId="26834"/>
    <cellStyle name="Normal 4 4 2 3 2 5 2 3" xfId="41877"/>
    <cellStyle name="Normal 4 4 2 3 2 5 3" xfId="19313"/>
    <cellStyle name="Normal 4 4 2 3 2 5 4" xfId="34356"/>
    <cellStyle name="Normal 4 4 2 3 2 6" xfId="8029"/>
    <cellStyle name="Normal 4 4 2 3 2 6 2" xfId="23073"/>
    <cellStyle name="Normal 4 4 2 3 2 6 3" xfId="38116"/>
    <cellStyle name="Normal 4 4 2 3 2 7" xfId="15552"/>
    <cellStyle name="Normal 4 4 2 3 2 8" xfId="30595"/>
    <cellStyle name="Normal 4 4 2 3 3" xfId="892"/>
    <cellStyle name="Normal 4 4 2 3 3 2" xfId="1851"/>
    <cellStyle name="Normal 4 4 2 3 3 2 2" xfId="3722"/>
    <cellStyle name="Normal 4 4 2 3 3 2 2 2" xfId="7517"/>
    <cellStyle name="Normal 4 4 2 3 3 2 2 2 2" xfId="15040"/>
    <cellStyle name="Normal 4 4 2 3 3 2 2 2 2 2" xfId="30084"/>
    <cellStyle name="Normal 4 4 2 3 3 2 2 2 2 3" xfId="45127"/>
    <cellStyle name="Normal 4 4 2 3 3 2 2 2 3" xfId="22563"/>
    <cellStyle name="Normal 4 4 2 3 3 2 2 2 4" xfId="37606"/>
    <cellStyle name="Normal 4 4 2 3 3 2 2 3" xfId="11291"/>
    <cellStyle name="Normal 4 4 2 3 3 2 2 3 2" xfId="26335"/>
    <cellStyle name="Normal 4 4 2 3 3 2 2 3 3" xfId="41378"/>
    <cellStyle name="Normal 4 4 2 3 3 2 2 4" xfId="18814"/>
    <cellStyle name="Normal 4 4 2 3 3 2 2 5" xfId="33857"/>
    <cellStyle name="Normal 4 4 2 3 3 2 3" xfId="5652"/>
    <cellStyle name="Normal 4 4 2 3 3 2 3 2" xfId="13175"/>
    <cellStyle name="Normal 4 4 2 3 3 2 3 2 2" xfId="28219"/>
    <cellStyle name="Normal 4 4 2 3 3 2 3 2 3" xfId="43262"/>
    <cellStyle name="Normal 4 4 2 3 3 2 3 3" xfId="20698"/>
    <cellStyle name="Normal 4 4 2 3 3 2 3 4" xfId="35741"/>
    <cellStyle name="Normal 4 4 2 3 3 2 4" xfId="9426"/>
    <cellStyle name="Normal 4 4 2 3 3 2 4 2" xfId="24470"/>
    <cellStyle name="Normal 4 4 2 3 3 2 4 3" xfId="39513"/>
    <cellStyle name="Normal 4 4 2 3 3 2 5" xfId="16949"/>
    <cellStyle name="Normal 4 4 2 3 3 2 6" xfId="31992"/>
    <cellStyle name="Normal 4 4 2 3 3 3" xfId="2790"/>
    <cellStyle name="Normal 4 4 2 3 3 3 2" xfId="6585"/>
    <cellStyle name="Normal 4 4 2 3 3 3 2 2" xfId="14108"/>
    <cellStyle name="Normal 4 4 2 3 3 3 2 2 2" xfId="29152"/>
    <cellStyle name="Normal 4 4 2 3 3 3 2 2 3" xfId="44195"/>
    <cellStyle name="Normal 4 4 2 3 3 3 2 3" xfId="21631"/>
    <cellStyle name="Normal 4 4 2 3 3 3 2 4" xfId="36674"/>
    <cellStyle name="Normal 4 4 2 3 3 3 3" xfId="10359"/>
    <cellStyle name="Normal 4 4 2 3 3 3 3 2" xfId="25403"/>
    <cellStyle name="Normal 4 4 2 3 3 3 3 3" xfId="40446"/>
    <cellStyle name="Normal 4 4 2 3 3 3 4" xfId="17882"/>
    <cellStyle name="Normal 4 4 2 3 3 3 5" xfId="32925"/>
    <cellStyle name="Normal 4 4 2 3 3 4" xfId="4720"/>
    <cellStyle name="Normal 4 4 2 3 3 4 2" xfId="12243"/>
    <cellStyle name="Normal 4 4 2 3 3 4 2 2" xfId="27287"/>
    <cellStyle name="Normal 4 4 2 3 3 4 2 3" xfId="42330"/>
    <cellStyle name="Normal 4 4 2 3 3 4 3" xfId="19766"/>
    <cellStyle name="Normal 4 4 2 3 3 4 4" xfId="34809"/>
    <cellStyle name="Normal 4 4 2 3 3 5" xfId="8494"/>
    <cellStyle name="Normal 4 4 2 3 3 5 2" xfId="23538"/>
    <cellStyle name="Normal 4 4 2 3 3 5 3" xfId="38581"/>
    <cellStyle name="Normal 4 4 2 3 3 6" xfId="16017"/>
    <cellStyle name="Normal 4 4 2 3 3 7" xfId="31060"/>
    <cellStyle name="Normal 4 4 2 3 4" xfId="1399"/>
    <cellStyle name="Normal 4 4 2 3 4 2" xfId="3270"/>
    <cellStyle name="Normal 4 4 2 3 4 2 2" xfId="7065"/>
    <cellStyle name="Normal 4 4 2 3 4 2 2 2" xfId="14588"/>
    <cellStyle name="Normal 4 4 2 3 4 2 2 2 2" xfId="29632"/>
    <cellStyle name="Normal 4 4 2 3 4 2 2 2 3" xfId="44675"/>
    <cellStyle name="Normal 4 4 2 3 4 2 2 3" xfId="22111"/>
    <cellStyle name="Normal 4 4 2 3 4 2 2 4" xfId="37154"/>
    <cellStyle name="Normal 4 4 2 3 4 2 3" xfId="10839"/>
    <cellStyle name="Normal 4 4 2 3 4 2 3 2" xfId="25883"/>
    <cellStyle name="Normal 4 4 2 3 4 2 3 3" xfId="40926"/>
    <cellStyle name="Normal 4 4 2 3 4 2 4" xfId="18362"/>
    <cellStyle name="Normal 4 4 2 3 4 2 5" xfId="33405"/>
    <cellStyle name="Normal 4 4 2 3 4 3" xfId="5200"/>
    <cellStyle name="Normal 4 4 2 3 4 3 2" xfId="12723"/>
    <cellStyle name="Normal 4 4 2 3 4 3 2 2" xfId="27767"/>
    <cellStyle name="Normal 4 4 2 3 4 3 2 3" xfId="42810"/>
    <cellStyle name="Normal 4 4 2 3 4 3 3" xfId="20246"/>
    <cellStyle name="Normal 4 4 2 3 4 3 4" xfId="35289"/>
    <cellStyle name="Normal 4 4 2 3 4 4" xfId="8974"/>
    <cellStyle name="Normal 4 4 2 3 4 4 2" xfId="24018"/>
    <cellStyle name="Normal 4 4 2 3 4 4 3" xfId="39061"/>
    <cellStyle name="Normal 4 4 2 3 4 5" xfId="16497"/>
    <cellStyle name="Normal 4 4 2 3 4 6" xfId="31540"/>
    <cellStyle name="Normal 4 4 2 3 5" xfId="2337"/>
    <cellStyle name="Normal 4 4 2 3 5 2" xfId="6133"/>
    <cellStyle name="Normal 4 4 2 3 5 2 2" xfId="13656"/>
    <cellStyle name="Normal 4 4 2 3 5 2 2 2" xfId="28700"/>
    <cellStyle name="Normal 4 4 2 3 5 2 2 3" xfId="43743"/>
    <cellStyle name="Normal 4 4 2 3 5 2 3" xfId="21179"/>
    <cellStyle name="Normal 4 4 2 3 5 2 4" xfId="36222"/>
    <cellStyle name="Normal 4 4 2 3 5 3" xfId="9907"/>
    <cellStyle name="Normal 4 4 2 3 5 3 2" xfId="24951"/>
    <cellStyle name="Normal 4 4 2 3 5 3 3" xfId="39994"/>
    <cellStyle name="Normal 4 4 2 3 5 4" xfId="17430"/>
    <cellStyle name="Normal 4 4 2 3 5 5" xfId="32473"/>
    <cellStyle name="Normal 4 4 2 3 6" xfId="4265"/>
    <cellStyle name="Normal 4 4 2 3 6 2" xfId="11789"/>
    <cellStyle name="Normal 4 4 2 3 6 2 2" xfId="26833"/>
    <cellStyle name="Normal 4 4 2 3 6 2 3" xfId="41876"/>
    <cellStyle name="Normal 4 4 2 3 6 3" xfId="19312"/>
    <cellStyle name="Normal 4 4 2 3 6 4" xfId="34355"/>
    <cellStyle name="Normal 4 4 2 3 7" xfId="8028"/>
    <cellStyle name="Normal 4 4 2 3 7 2" xfId="23072"/>
    <cellStyle name="Normal 4 4 2 3 7 3" xfId="38115"/>
    <cellStyle name="Normal 4 4 2 3 8" xfId="15551"/>
    <cellStyle name="Normal 4 4 2 3 9" xfId="30594"/>
    <cellStyle name="Normal 4 4 2 4" xfId="370"/>
    <cellStyle name="Normal 4 4 2 4 2" xfId="371"/>
    <cellStyle name="Normal 4 4 2 4 2 2" xfId="895"/>
    <cellStyle name="Normal 4 4 2 4 2 2 2" xfId="1854"/>
    <cellStyle name="Normal 4 4 2 4 2 2 2 2" xfId="3725"/>
    <cellStyle name="Normal 4 4 2 4 2 2 2 2 2" xfId="7520"/>
    <cellStyle name="Normal 4 4 2 4 2 2 2 2 2 2" xfId="15043"/>
    <cellStyle name="Normal 4 4 2 4 2 2 2 2 2 2 2" xfId="30087"/>
    <cellStyle name="Normal 4 4 2 4 2 2 2 2 2 2 3" xfId="45130"/>
    <cellStyle name="Normal 4 4 2 4 2 2 2 2 2 3" xfId="22566"/>
    <cellStyle name="Normal 4 4 2 4 2 2 2 2 2 4" xfId="37609"/>
    <cellStyle name="Normal 4 4 2 4 2 2 2 2 3" xfId="11294"/>
    <cellStyle name="Normal 4 4 2 4 2 2 2 2 3 2" xfId="26338"/>
    <cellStyle name="Normal 4 4 2 4 2 2 2 2 3 3" xfId="41381"/>
    <cellStyle name="Normal 4 4 2 4 2 2 2 2 4" xfId="18817"/>
    <cellStyle name="Normal 4 4 2 4 2 2 2 2 5" xfId="33860"/>
    <cellStyle name="Normal 4 4 2 4 2 2 2 3" xfId="5655"/>
    <cellStyle name="Normal 4 4 2 4 2 2 2 3 2" xfId="13178"/>
    <cellStyle name="Normal 4 4 2 4 2 2 2 3 2 2" xfId="28222"/>
    <cellStyle name="Normal 4 4 2 4 2 2 2 3 2 3" xfId="43265"/>
    <cellStyle name="Normal 4 4 2 4 2 2 2 3 3" xfId="20701"/>
    <cellStyle name="Normal 4 4 2 4 2 2 2 3 4" xfId="35744"/>
    <cellStyle name="Normal 4 4 2 4 2 2 2 4" xfId="9429"/>
    <cellStyle name="Normal 4 4 2 4 2 2 2 4 2" xfId="24473"/>
    <cellStyle name="Normal 4 4 2 4 2 2 2 4 3" xfId="39516"/>
    <cellStyle name="Normal 4 4 2 4 2 2 2 5" xfId="16952"/>
    <cellStyle name="Normal 4 4 2 4 2 2 2 6" xfId="31995"/>
    <cellStyle name="Normal 4 4 2 4 2 2 3" xfId="2793"/>
    <cellStyle name="Normal 4 4 2 4 2 2 3 2" xfId="6588"/>
    <cellStyle name="Normal 4 4 2 4 2 2 3 2 2" xfId="14111"/>
    <cellStyle name="Normal 4 4 2 4 2 2 3 2 2 2" xfId="29155"/>
    <cellStyle name="Normal 4 4 2 4 2 2 3 2 2 3" xfId="44198"/>
    <cellStyle name="Normal 4 4 2 4 2 2 3 2 3" xfId="21634"/>
    <cellStyle name="Normal 4 4 2 4 2 2 3 2 4" xfId="36677"/>
    <cellStyle name="Normal 4 4 2 4 2 2 3 3" xfId="10362"/>
    <cellStyle name="Normal 4 4 2 4 2 2 3 3 2" xfId="25406"/>
    <cellStyle name="Normal 4 4 2 4 2 2 3 3 3" xfId="40449"/>
    <cellStyle name="Normal 4 4 2 4 2 2 3 4" xfId="17885"/>
    <cellStyle name="Normal 4 4 2 4 2 2 3 5" xfId="32928"/>
    <cellStyle name="Normal 4 4 2 4 2 2 4" xfId="4723"/>
    <cellStyle name="Normal 4 4 2 4 2 2 4 2" xfId="12246"/>
    <cellStyle name="Normal 4 4 2 4 2 2 4 2 2" xfId="27290"/>
    <cellStyle name="Normal 4 4 2 4 2 2 4 2 3" xfId="42333"/>
    <cellStyle name="Normal 4 4 2 4 2 2 4 3" xfId="19769"/>
    <cellStyle name="Normal 4 4 2 4 2 2 4 4" xfId="34812"/>
    <cellStyle name="Normal 4 4 2 4 2 2 5" xfId="8497"/>
    <cellStyle name="Normal 4 4 2 4 2 2 5 2" xfId="23541"/>
    <cellStyle name="Normal 4 4 2 4 2 2 5 3" xfId="38584"/>
    <cellStyle name="Normal 4 4 2 4 2 2 6" xfId="16020"/>
    <cellStyle name="Normal 4 4 2 4 2 2 7" xfId="31063"/>
    <cellStyle name="Normal 4 4 2 4 2 3" xfId="1402"/>
    <cellStyle name="Normal 4 4 2 4 2 3 2" xfId="3273"/>
    <cellStyle name="Normal 4 4 2 4 2 3 2 2" xfId="7068"/>
    <cellStyle name="Normal 4 4 2 4 2 3 2 2 2" xfId="14591"/>
    <cellStyle name="Normal 4 4 2 4 2 3 2 2 2 2" xfId="29635"/>
    <cellStyle name="Normal 4 4 2 4 2 3 2 2 2 3" xfId="44678"/>
    <cellStyle name="Normal 4 4 2 4 2 3 2 2 3" xfId="22114"/>
    <cellStyle name="Normal 4 4 2 4 2 3 2 2 4" xfId="37157"/>
    <cellStyle name="Normal 4 4 2 4 2 3 2 3" xfId="10842"/>
    <cellStyle name="Normal 4 4 2 4 2 3 2 3 2" xfId="25886"/>
    <cellStyle name="Normal 4 4 2 4 2 3 2 3 3" xfId="40929"/>
    <cellStyle name="Normal 4 4 2 4 2 3 2 4" xfId="18365"/>
    <cellStyle name="Normal 4 4 2 4 2 3 2 5" xfId="33408"/>
    <cellStyle name="Normal 4 4 2 4 2 3 3" xfId="5203"/>
    <cellStyle name="Normal 4 4 2 4 2 3 3 2" xfId="12726"/>
    <cellStyle name="Normal 4 4 2 4 2 3 3 2 2" xfId="27770"/>
    <cellStyle name="Normal 4 4 2 4 2 3 3 2 3" xfId="42813"/>
    <cellStyle name="Normal 4 4 2 4 2 3 3 3" xfId="20249"/>
    <cellStyle name="Normal 4 4 2 4 2 3 3 4" xfId="35292"/>
    <cellStyle name="Normal 4 4 2 4 2 3 4" xfId="8977"/>
    <cellStyle name="Normal 4 4 2 4 2 3 4 2" xfId="24021"/>
    <cellStyle name="Normal 4 4 2 4 2 3 4 3" xfId="39064"/>
    <cellStyle name="Normal 4 4 2 4 2 3 5" xfId="16500"/>
    <cellStyle name="Normal 4 4 2 4 2 3 6" xfId="31543"/>
    <cellStyle name="Normal 4 4 2 4 2 4" xfId="2340"/>
    <cellStyle name="Normal 4 4 2 4 2 4 2" xfId="6136"/>
    <cellStyle name="Normal 4 4 2 4 2 4 2 2" xfId="13659"/>
    <cellStyle name="Normal 4 4 2 4 2 4 2 2 2" xfId="28703"/>
    <cellStyle name="Normal 4 4 2 4 2 4 2 2 3" xfId="43746"/>
    <cellStyle name="Normal 4 4 2 4 2 4 2 3" xfId="21182"/>
    <cellStyle name="Normal 4 4 2 4 2 4 2 4" xfId="36225"/>
    <cellStyle name="Normal 4 4 2 4 2 4 3" xfId="9910"/>
    <cellStyle name="Normal 4 4 2 4 2 4 3 2" xfId="24954"/>
    <cellStyle name="Normal 4 4 2 4 2 4 3 3" xfId="39997"/>
    <cellStyle name="Normal 4 4 2 4 2 4 4" xfId="17433"/>
    <cellStyle name="Normal 4 4 2 4 2 4 5" xfId="32476"/>
    <cellStyle name="Normal 4 4 2 4 2 5" xfId="4268"/>
    <cellStyle name="Normal 4 4 2 4 2 5 2" xfId="11792"/>
    <cellStyle name="Normal 4 4 2 4 2 5 2 2" xfId="26836"/>
    <cellStyle name="Normal 4 4 2 4 2 5 2 3" xfId="41879"/>
    <cellStyle name="Normal 4 4 2 4 2 5 3" xfId="19315"/>
    <cellStyle name="Normal 4 4 2 4 2 5 4" xfId="34358"/>
    <cellStyle name="Normal 4 4 2 4 2 6" xfId="8031"/>
    <cellStyle name="Normal 4 4 2 4 2 6 2" xfId="23075"/>
    <cellStyle name="Normal 4 4 2 4 2 6 3" xfId="38118"/>
    <cellStyle name="Normal 4 4 2 4 2 7" xfId="15554"/>
    <cellStyle name="Normal 4 4 2 4 2 8" xfId="30597"/>
    <cellStyle name="Normal 4 4 2 4 3" xfId="894"/>
    <cellStyle name="Normal 4 4 2 4 3 2" xfId="1853"/>
    <cellStyle name="Normal 4 4 2 4 3 2 2" xfId="3724"/>
    <cellStyle name="Normal 4 4 2 4 3 2 2 2" xfId="7519"/>
    <cellStyle name="Normal 4 4 2 4 3 2 2 2 2" xfId="15042"/>
    <cellStyle name="Normal 4 4 2 4 3 2 2 2 2 2" xfId="30086"/>
    <cellStyle name="Normal 4 4 2 4 3 2 2 2 2 3" xfId="45129"/>
    <cellStyle name="Normal 4 4 2 4 3 2 2 2 3" xfId="22565"/>
    <cellStyle name="Normal 4 4 2 4 3 2 2 2 4" xfId="37608"/>
    <cellStyle name="Normal 4 4 2 4 3 2 2 3" xfId="11293"/>
    <cellStyle name="Normal 4 4 2 4 3 2 2 3 2" xfId="26337"/>
    <cellStyle name="Normal 4 4 2 4 3 2 2 3 3" xfId="41380"/>
    <cellStyle name="Normal 4 4 2 4 3 2 2 4" xfId="18816"/>
    <cellStyle name="Normal 4 4 2 4 3 2 2 5" xfId="33859"/>
    <cellStyle name="Normal 4 4 2 4 3 2 3" xfId="5654"/>
    <cellStyle name="Normal 4 4 2 4 3 2 3 2" xfId="13177"/>
    <cellStyle name="Normal 4 4 2 4 3 2 3 2 2" xfId="28221"/>
    <cellStyle name="Normal 4 4 2 4 3 2 3 2 3" xfId="43264"/>
    <cellStyle name="Normal 4 4 2 4 3 2 3 3" xfId="20700"/>
    <cellStyle name="Normal 4 4 2 4 3 2 3 4" xfId="35743"/>
    <cellStyle name="Normal 4 4 2 4 3 2 4" xfId="9428"/>
    <cellStyle name="Normal 4 4 2 4 3 2 4 2" xfId="24472"/>
    <cellStyle name="Normal 4 4 2 4 3 2 4 3" xfId="39515"/>
    <cellStyle name="Normal 4 4 2 4 3 2 5" xfId="16951"/>
    <cellStyle name="Normal 4 4 2 4 3 2 6" xfId="31994"/>
    <cellStyle name="Normal 4 4 2 4 3 3" xfId="2792"/>
    <cellStyle name="Normal 4 4 2 4 3 3 2" xfId="6587"/>
    <cellStyle name="Normal 4 4 2 4 3 3 2 2" xfId="14110"/>
    <cellStyle name="Normal 4 4 2 4 3 3 2 2 2" xfId="29154"/>
    <cellStyle name="Normal 4 4 2 4 3 3 2 2 3" xfId="44197"/>
    <cellStyle name="Normal 4 4 2 4 3 3 2 3" xfId="21633"/>
    <cellStyle name="Normal 4 4 2 4 3 3 2 4" xfId="36676"/>
    <cellStyle name="Normal 4 4 2 4 3 3 3" xfId="10361"/>
    <cellStyle name="Normal 4 4 2 4 3 3 3 2" xfId="25405"/>
    <cellStyle name="Normal 4 4 2 4 3 3 3 3" xfId="40448"/>
    <cellStyle name="Normal 4 4 2 4 3 3 4" xfId="17884"/>
    <cellStyle name="Normal 4 4 2 4 3 3 5" xfId="32927"/>
    <cellStyle name="Normal 4 4 2 4 3 4" xfId="4722"/>
    <cellStyle name="Normal 4 4 2 4 3 4 2" xfId="12245"/>
    <cellStyle name="Normal 4 4 2 4 3 4 2 2" xfId="27289"/>
    <cellStyle name="Normal 4 4 2 4 3 4 2 3" xfId="42332"/>
    <cellStyle name="Normal 4 4 2 4 3 4 3" xfId="19768"/>
    <cellStyle name="Normal 4 4 2 4 3 4 4" xfId="34811"/>
    <cellStyle name="Normal 4 4 2 4 3 5" xfId="8496"/>
    <cellStyle name="Normal 4 4 2 4 3 5 2" xfId="23540"/>
    <cellStyle name="Normal 4 4 2 4 3 5 3" xfId="38583"/>
    <cellStyle name="Normal 4 4 2 4 3 6" xfId="16019"/>
    <cellStyle name="Normal 4 4 2 4 3 7" xfId="31062"/>
    <cellStyle name="Normal 4 4 2 4 4" xfId="1401"/>
    <cellStyle name="Normal 4 4 2 4 4 2" xfId="3272"/>
    <cellStyle name="Normal 4 4 2 4 4 2 2" xfId="7067"/>
    <cellStyle name="Normal 4 4 2 4 4 2 2 2" xfId="14590"/>
    <cellStyle name="Normal 4 4 2 4 4 2 2 2 2" xfId="29634"/>
    <cellStyle name="Normal 4 4 2 4 4 2 2 2 3" xfId="44677"/>
    <cellStyle name="Normal 4 4 2 4 4 2 2 3" xfId="22113"/>
    <cellStyle name="Normal 4 4 2 4 4 2 2 4" xfId="37156"/>
    <cellStyle name="Normal 4 4 2 4 4 2 3" xfId="10841"/>
    <cellStyle name="Normal 4 4 2 4 4 2 3 2" xfId="25885"/>
    <cellStyle name="Normal 4 4 2 4 4 2 3 3" xfId="40928"/>
    <cellStyle name="Normal 4 4 2 4 4 2 4" xfId="18364"/>
    <cellStyle name="Normal 4 4 2 4 4 2 5" xfId="33407"/>
    <cellStyle name="Normal 4 4 2 4 4 3" xfId="5202"/>
    <cellStyle name="Normal 4 4 2 4 4 3 2" xfId="12725"/>
    <cellStyle name="Normal 4 4 2 4 4 3 2 2" xfId="27769"/>
    <cellStyle name="Normal 4 4 2 4 4 3 2 3" xfId="42812"/>
    <cellStyle name="Normal 4 4 2 4 4 3 3" xfId="20248"/>
    <cellStyle name="Normal 4 4 2 4 4 3 4" xfId="35291"/>
    <cellStyle name="Normal 4 4 2 4 4 4" xfId="8976"/>
    <cellStyle name="Normal 4 4 2 4 4 4 2" xfId="24020"/>
    <cellStyle name="Normal 4 4 2 4 4 4 3" xfId="39063"/>
    <cellStyle name="Normal 4 4 2 4 4 5" xfId="16499"/>
    <cellStyle name="Normal 4 4 2 4 4 6" xfId="31542"/>
    <cellStyle name="Normal 4 4 2 4 5" xfId="2339"/>
    <cellStyle name="Normal 4 4 2 4 5 2" xfId="6135"/>
    <cellStyle name="Normal 4 4 2 4 5 2 2" xfId="13658"/>
    <cellStyle name="Normal 4 4 2 4 5 2 2 2" xfId="28702"/>
    <cellStyle name="Normal 4 4 2 4 5 2 2 3" xfId="43745"/>
    <cellStyle name="Normal 4 4 2 4 5 2 3" xfId="21181"/>
    <cellStyle name="Normal 4 4 2 4 5 2 4" xfId="36224"/>
    <cellStyle name="Normal 4 4 2 4 5 3" xfId="9909"/>
    <cellStyle name="Normal 4 4 2 4 5 3 2" xfId="24953"/>
    <cellStyle name="Normal 4 4 2 4 5 3 3" xfId="39996"/>
    <cellStyle name="Normal 4 4 2 4 5 4" xfId="17432"/>
    <cellStyle name="Normal 4 4 2 4 5 5" xfId="32475"/>
    <cellStyle name="Normal 4 4 2 4 6" xfId="4267"/>
    <cellStyle name="Normal 4 4 2 4 6 2" xfId="11791"/>
    <cellStyle name="Normal 4 4 2 4 6 2 2" xfId="26835"/>
    <cellStyle name="Normal 4 4 2 4 6 2 3" xfId="41878"/>
    <cellStyle name="Normal 4 4 2 4 6 3" xfId="19314"/>
    <cellStyle name="Normal 4 4 2 4 6 4" xfId="34357"/>
    <cellStyle name="Normal 4 4 2 4 7" xfId="8030"/>
    <cellStyle name="Normal 4 4 2 4 7 2" xfId="23074"/>
    <cellStyle name="Normal 4 4 2 4 7 3" xfId="38117"/>
    <cellStyle name="Normal 4 4 2 4 8" xfId="15553"/>
    <cellStyle name="Normal 4 4 2 4 9" xfId="30596"/>
    <cellStyle name="Normal 4 4 2 5" xfId="372"/>
    <cellStyle name="Normal 4 4 2 5 2" xfId="896"/>
    <cellStyle name="Normal 4 4 2 5 2 2" xfId="1855"/>
    <cellStyle name="Normal 4 4 2 5 2 2 2" xfId="3726"/>
    <cellStyle name="Normal 4 4 2 5 2 2 2 2" xfId="7521"/>
    <cellStyle name="Normal 4 4 2 5 2 2 2 2 2" xfId="15044"/>
    <cellStyle name="Normal 4 4 2 5 2 2 2 2 2 2" xfId="30088"/>
    <cellStyle name="Normal 4 4 2 5 2 2 2 2 2 3" xfId="45131"/>
    <cellStyle name="Normal 4 4 2 5 2 2 2 2 3" xfId="22567"/>
    <cellStyle name="Normal 4 4 2 5 2 2 2 2 4" xfId="37610"/>
    <cellStyle name="Normal 4 4 2 5 2 2 2 3" xfId="11295"/>
    <cellStyle name="Normal 4 4 2 5 2 2 2 3 2" xfId="26339"/>
    <cellStyle name="Normal 4 4 2 5 2 2 2 3 3" xfId="41382"/>
    <cellStyle name="Normal 4 4 2 5 2 2 2 4" xfId="18818"/>
    <cellStyle name="Normal 4 4 2 5 2 2 2 5" xfId="33861"/>
    <cellStyle name="Normal 4 4 2 5 2 2 3" xfId="5656"/>
    <cellStyle name="Normal 4 4 2 5 2 2 3 2" xfId="13179"/>
    <cellStyle name="Normal 4 4 2 5 2 2 3 2 2" xfId="28223"/>
    <cellStyle name="Normal 4 4 2 5 2 2 3 2 3" xfId="43266"/>
    <cellStyle name="Normal 4 4 2 5 2 2 3 3" xfId="20702"/>
    <cellStyle name="Normal 4 4 2 5 2 2 3 4" xfId="35745"/>
    <cellStyle name="Normal 4 4 2 5 2 2 4" xfId="9430"/>
    <cellStyle name="Normal 4 4 2 5 2 2 4 2" xfId="24474"/>
    <cellStyle name="Normal 4 4 2 5 2 2 4 3" xfId="39517"/>
    <cellStyle name="Normal 4 4 2 5 2 2 5" xfId="16953"/>
    <cellStyle name="Normal 4 4 2 5 2 2 6" xfId="31996"/>
    <cellStyle name="Normal 4 4 2 5 2 3" xfId="2794"/>
    <cellStyle name="Normal 4 4 2 5 2 3 2" xfId="6589"/>
    <cellStyle name="Normal 4 4 2 5 2 3 2 2" xfId="14112"/>
    <cellStyle name="Normal 4 4 2 5 2 3 2 2 2" xfId="29156"/>
    <cellStyle name="Normal 4 4 2 5 2 3 2 2 3" xfId="44199"/>
    <cellStyle name="Normal 4 4 2 5 2 3 2 3" xfId="21635"/>
    <cellStyle name="Normal 4 4 2 5 2 3 2 4" xfId="36678"/>
    <cellStyle name="Normal 4 4 2 5 2 3 3" xfId="10363"/>
    <cellStyle name="Normal 4 4 2 5 2 3 3 2" xfId="25407"/>
    <cellStyle name="Normal 4 4 2 5 2 3 3 3" xfId="40450"/>
    <cellStyle name="Normal 4 4 2 5 2 3 4" xfId="17886"/>
    <cellStyle name="Normal 4 4 2 5 2 3 5" xfId="32929"/>
    <cellStyle name="Normal 4 4 2 5 2 4" xfId="4724"/>
    <cellStyle name="Normal 4 4 2 5 2 4 2" xfId="12247"/>
    <cellStyle name="Normal 4 4 2 5 2 4 2 2" xfId="27291"/>
    <cellStyle name="Normal 4 4 2 5 2 4 2 3" xfId="42334"/>
    <cellStyle name="Normal 4 4 2 5 2 4 3" xfId="19770"/>
    <cellStyle name="Normal 4 4 2 5 2 4 4" xfId="34813"/>
    <cellStyle name="Normal 4 4 2 5 2 5" xfId="8498"/>
    <cellStyle name="Normal 4 4 2 5 2 5 2" xfId="23542"/>
    <cellStyle name="Normal 4 4 2 5 2 5 3" xfId="38585"/>
    <cellStyle name="Normal 4 4 2 5 2 6" xfId="16021"/>
    <cellStyle name="Normal 4 4 2 5 2 7" xfId="31064"/>
    <cellStyle name="Normal 4 4 2 5 3" xfId="1403"/>
    <cellStyle name="Normal 4 4 2 5 3 2" xfId="3274"/>
    <cellStyle name="Normal 4 4 2 5 3 2 2" xfId="7069"/>
    <cellStyle name="Normal 4 4 2 5 3 2 2 2" xfId="14592"/>
    <cellStyle name="Normal 4 4 2 5 3 2 2 2 2" xfId="29636"/>
    <cellStyle name="Normal 4 4 2 5 3 2 2 2 3" xfId="44679"/>
    <cellStyle name="Normal 4 4 2 5 3 2 2 3" xfId="22115"/>
    <cellStyle name="Normal 4 4 2 5 3 2 2 4" xfId="37158"/>
    <cellStyle name="Normal 4 4 2 5 3 2 3" xfId="10843"/>
    <cellStyle name="Normal 4 4 2 5 3 2 3 2" xfId="25887"/>
    <cellStyle name="Normal 4 4 2 5 3 2 3 3" xfId="40930"/>
    <cellStyle name="Normal 4 4 2 5 3 2 4" xfId="18366"/>
    <cellStyle name="Normal 4 4 2 5 3 2 5" xfId="33409"/>
    <cellStyle name="Normal 4 4 2 5 3 3" xfId="5204"/>
    <cellStyle name="Normal 4 4 2 5 3 3 2" xfId="12727"/>
    <cellStyle name="Normal 4 4 2 5 3 3 2 2" xfId="27771"/>
    <cellStyle name="Normal 4 4 2 5 3 3 2 3" xfId="42814"/>
    <cellStyle name="Normal 4 4 2 5 3 3 3" xfId="20250"/>
    <cellStyle name="Normal 4 4 2 5 3 3 4" xfId="35293"/>
    <cellStyle name="Normal 4 4 2 5 3 4" xfId="8978"/>
    <cellStyle name="Normal 4 4 2 5 3 4 2" xfId="24022"/>
    <cellStyle name="Normal 4 4 2 5 3 4 3" xfId="39065"/>
    <cellStyle name="Normal 4 4 2 5 3 5" xfId="16501"/>
    <cellStyle name="Normal 4 4 2 5 3 6" xfId="31544"/>
    <cellStyle name="Normal 4 4 2 5 4" xfId="2341"/>
    <cellStyle name="Normal 4 4 2 5 4 2" xfId="6137"/>
    <cellStyle name="Normal 4 4 2 5 4 2 2" xfId="13660"/>
    <cellStyle name="Normal 4 4 2 5 4 2 2 2" xfId="28704"/>
    <cellStyle name="Normal 4 4 2 5 4 2 2 3" xfId="43747"/>
    <cellStyle name="Normal 4 4 2 5 4 2 3" xfId="21183"/>
    <cellStyle name="Normal 4 4 2 5 4 2 4" xfId="36226"/>
    <cellStyle name="Normal 4 4 2 5 4 3" xfId="9911"/>
    <cellStyle name="Normal 4 4 2 5 4 3 2" xfId="24955"/>
    <cellStyle name="Normal 4 4 2 5 4 3 3" xfId="39998"/>
    <cellStyle name="Normal 4 4 2 5 4 4" xfId="17434"/>
    <cellStyle name="Normal 4 4 2 5 4 5" xfId="32477"/>
    <cellStyle name="Normal 4 4 2 5 5" xfId="4269"/>
    <cellStyle name="Normal 4 4 2 5 5 2" xfId="11793"/>
    <cellStyle name="Normal 4 4 2 5 5 2 2" xfId="26837"/>
    <cellStyle name="Normal 4 4 2 5 5 2 3" xfId="41880"/>
    <cellStyle name="Normal 4 4 2 5 5 3" xfId="19316"/>
    <cellStyle name="Normal 4 4 2 5 5 4" xfId="34359"/>
    <cellStyle name="Normal 4 4 2 5 6" xfId="8032"/>
    <cellStyle name="Normal 4 4 2 5 6 2" xfId="23076"/>
    <cellStyle name="Normal 4 4 2 5 6 3" xfId="38119"/>
    <cellStyle name="Normal 4 4 2 5 7" xfId="15555"/>
    <cellStyle name="Normal 4 4 2 5 8" xfId="30598"/>
    <cellStyle name="Normal 4 4 2 6" xfId="885"/>
    <cellStyle name="Normal 4 4 2 6 2" xfId="1844"/>
    <cellStyle name="Normal 4 4 2 6 2 2" xfId="3715"/>
    <cellStyle name="Normal 4 4 2 6 2 2 2" xfId="7510"/>
    <cellStyle name="Normal 4 4 2 6 2 2 2 2" xfId="15033"/>
    <cellStyle name="Normal 4 4 2 6 2 2 2 2 2" xfId="30077"/>
    <cellStyle name="Normal 4 4 2 6 2 2 2 2 3" xfId="45120"/>
    <cellStyle name="Normal 4 4 2 6 2 2 2 3" xfId="22556"/>
    <cellStyle name="Normal 4 4 2 6 2 2 2 4" xfId="37599"/>
    <cellStyle name="Normal 4 4 2 6 2 2 3" xfId="11284"/>
    <cellStyle name="Normal 4 4 2 6 2 2 3 2" xfId="26328"/>
    <cellStyle name="Normal 4 4 2 6 2 2 3 3" xfId="41371"/>
    <cellStyle name="Normal 4 4 2 6 2 2 4" xfId="18807"/>
    <cellStyle name="Normal 4 4 2 6 2 2 5" xfId="33850"/>
    <cellStyle name="Normal 4 4 2 6 2 3" xfId="5645"/>
    <cellStyle name="Normal 4 4 2 6 2 3 2" xfId="13168"/>
    <cellStyle name="Normal 4 4 2 6 2 3 2 2" xfId="28212"/>
    <cellStyle name="Normal 4 4 2 6 2 3 2 3" xfId="43255"/>
    <cellStyle name="Normal 4 4 2 6 2 3 3" xfId="20691"/>
    <cellStyle name="Normal 4 4 2 6 2 3 4" xfId="35734"/>
    <cellStyle name="Normal 4 4 2 6 2 4" xfId="9419"/>
    <cellStyle name="Normal 4 4 2 6 2 4 2" xfId="24463"/>
    <cellStyle name="Normal 4 4 2 6 2 4 3" xfId="39506"/>
    <cellStyle name="Normal 4 4 2 6 2 5" xfId="16942"/>
    <cellStyle name="Normal 4 4 2 6 2 6" xfId="31985"/>
    <cellStyle name="Normal 4 4 2 6 3" xfId="2783"/>
    <cellStyle name="Normal 4 4 2 6 3 2" xfId="6578"/>
    <cellStyle name="Normal 4 4 2 6 3 2 2" xfId="14101"/>
    <cellStyle name="Normal 4 4 2 6 3 2 2 2" xfId="29145"/>
    <cellStyle name="Normal 4 4 2 6 3 2 2 3" xfId="44188"/>
    <cellStyle name="Normal 4 4 2 6 3 2 3" xfId="21624"/>
    <cellStyle name="Normal 4 4 2 6 3 2 4" xfId="36667"/>
    <cellStyle name="Normal 4 4 2 6 3 3" xfId="10352"/>
    <cellStyle name="Normal 4 4 2 6 3 3 2" xfId="25396"/>
    <cellStyle name="Normal 4 4 2 6 3 3 3" xfId="40439"/>
    <cellStyle name="Normal 4 4 2 6 3 4" xfId="17875"/>
    <cellStyle name="Normal 4 4 2 6 3 5" xfId="32918"/>
    <cellStyle name="Normal 4 4 2 6 4" xfId="4713"/>
    <cellStyle name="Normal 4 4 2 6 4 2" xfId="12236"/>
    <cellStyle name="Normal 4 4 2 6 4 2 2" xfId="27280"/>
    <cellStyle name="Normal 4 4 2 6 4 2 3" xfId="42323"/>
    <cellStyle name="Normal 4 4 2 6 4 3" xfId="19759"/>
    <cellStyle name="Normal 4 4 2 6 4 4" xfId="34802"/>
    <cellStyle name="Normal 4 4 2 6 5" xfId="8487"/>
    <cellStyle name="Normal 4 4 2 6 5 2" xfId="23531"/>
    <cellStyle name="Normal 4 4 2 6 5 3" xfId="38574"/>
    <cellStyle name="Normal 4 4 2 6 6" xfId="16010"/>
    <cellStyle name="Normal 4 4 2 6 7" xfId="31053"/>
    <cellStyle name="Normal 4 4 2 7" xfId="1392"/>
    <cellStyle name="Normal 4 4 2 7 2" xfId="3263"/>
    <cellStyle name="Normal 4 4 2 7 2 2" xfId="7058"/>
    <cellStyle name="Normal 4 4 2 7 2 2 2" xfId="14581"/>
    <cellStyle name="Normal 4 4 2 7 2 2 2 2" xfId="29625"/>
    <cellStyle name="Normal 4 4 2 7 2 2 2 3" xfId="44668"/>
    <cellStyle name="Normal 4 4 2 7 2 2 3" xfId="22104"/>
    <cellStyle name="Normal 4 4 2 7 2 2 4" xfId="37147"/>
    <cellStyle name="Normal 4 4 2 7 2 3" xfId="10832"/>
    <cellStyle name="Normal 4 4 2 7 2 3 2" xfId="25876"/>
    <cellStyle name="Normal 4 4 2 7 2 3 3" xfId="40919"/>
    <cellStyle name="Normal 4 4 2 7 2 4" xfId="18355"/>
    <cellStyle name="Normal 4 4 2 7 2 5" xfId="33398"/>
    <cellStyle name="Normal 4 4 2 7 3" xfId="5193"/>
    <cellStyle name="Normal 4 4 2 7 3 2" xfId="12716"/>
    <cellStyle name="Normal 4 4 2 7 3 2 2" xfId="27760"/>
    <cellStyle name="Normal 4 4 2 7 3 2 3" xfId="42803"/>
    <cellStyle name="Normal 4 4 2 7 3 3" xfId="20239"/>
    <cellStyle name="Normal 4 4 2 7 3 4" xfId="35282"/>
    <cellStyle name="Normal 4 4 2 7 4" xfId="8967"/>
    <cellStyle name="Normal 4 4 2 7 4 2" xfId="24011"/>
    <cellStyle name="Normal 4 4 2 7 4 3" xfId="39054"/>
    <cellStyle name="Normal 4 4 2 7 5" xfId="16490"/>
    <cellStyle name="Normal 4 4 2 7 6" xfId="31533"/>
    <cellStyle name="Normal 4 4 2 8" xfId="2330"/>
    <cellStyle name="Normal 4 4 2 8 2" xfId="6126"/>
    <cellStyle name="Normal 4 4 2 8 2 2" xfId="13649"/>
    <cellStyle name="Normal 4 4 2 8 2 2 2" xfId="28693"/>
    <cellStyle name="Normal 4 4 2 8 2 2 3" xfId="43736"/>
    <cellStyle name="Normal 4 4 2 8 2 3" xfId="21172"/>
    <cellStyle name="Normal 4 4 2 8 2 4" xfId="36215"/>
    <cellStyle name="Normal 4 4 2 8 3" xfId="9900"/>
    <cellStyle name="Normal 4 4 2 8 3 2" xfId="24944"/>
    <cellStyle name="Normal 4 4 2 8 3 3" xfId="39987"/>
    <cellStyle name="Normal 4 4 2 8 4" xfId="17423"/>
    <cellStyle name="Normal 4 4 2 8 5" xfId="32466"/>
    <cellStyle name="Normal 4 4 2 9" xfId="4258"/>
    <cellStyle name="Normal 4 4 2 9 2" xfId="11782"/>
    <cellStyle name="Normal 4 4 2 9 2 2" xfId="26826"/>
    <cellStyle name="Normal 4 4 2 9 2 3" xfId="41869"/>
    <cellStyle name="Normal 4 4 2 9 3" xfId="19305"/>
    <cellStyle name="Normal 4 4 2 9 4" xfId="34348"/>
    <cellStyle name="Normal 4 4 3" xfId="373"/>
    <cellStyle name="Normal 4 4 3 10" xfId="15556"/>
    <cellStyle name="Normal 4 4 3 11" xfId="30599"/>
    <cellStyle name="Normal 4 4 3 2" xfId="374"/>
    <cellStyle name="Normal 4 4 3 2 2" xfId="375"/>
    <cellStyle name="Normal 4 4 3 2 2 2" xfId="899"/>
    <cellStyle name="Normal 4 4 3 2 2 2 2" xfId="1858"/>
    <cellStyle name="Normal 4 4 3 2 2 2 2 2" xfId="3729"/>
    <cellStyle name="Normal 4 4 3 2 2 2 2 2 2" xfId="7524"/>
    <cellStyle name="Normal 4 4 3 2 2 2 2 2 2 2" xfId="15047"/>
    <cellStyle name="Normal 4 4 3 2 2 2 2 2 2 2 2" xfId="30091"/>
    <cellStyle name="Normal 4 4 3 2 2 2 2 2 2 2 3" xfId="45134"/>
    <cellStyle name="Normal 4 4 3 2 2 2 2 2 2 3" xfId="22570"/>
    <cellStyle name="Normal 4 4 3 2 2 2 2 2 2 4" xfId="37613"/>
    <cellStyle name="Normal 4 4 3 2 2 2 2 2 3" xfId="11298"/>
    <cellStyle name="Normal 4 4 3 2 2 2 2 2 3 2" xfId="26342"/>
    <cellStyle name="Normal 4 4 3 2 2 2 2 2 3 3" xfId="41385"/>
    <cellStyle name="Normal 4 4 3 2 2 2 2 2 4" xfId="18821"/>
    <cellStyle name="Normal 4 4 3 2 2 2 2 2 5" xfId="33864"/>
    <cellStyle name="Normal 4 4 3 2 2 2 2 3" xfId="5659"/>
    <cellStyle name="Normal 4 4 3 2 2 2 2 3 2" xfId="13182"/>
    <cellStyle name="Normal 4 4 3 2 2 2 2 3 2 2" xfId="28226"/>
    <cellStyle name="Normal 4 4 3 2 2 2 2 3 2 3" xfId="43269"/>
    <cellStyle name="Normal 4 4 3 2 2 2 2 3 3" xfId="20705"/>
    <cellStyle name="Normal 4 4 3 2 2 2 2 3 4" xfId="35748"/>
    <cellStyle name="Normal 4 4 3 2 2 2 2 4" xfId="9433"/>
    <cellStyle name="Normal 4 4 3 2 2 2 2 4 2" xfId="24477"/>
    <cellStyle name="Normal 4 4 3 2 2 2 2 4 3" xfId="39520"/>
    <cellStyle name="Normal 4 4 3 2 2 2 2 5" xfId="16956"/>
    <cellStyle name="Normal 4 4 3 2 2 2 2 6" xfId="31999"/>
    <cellStyle name="Normal 4 4 3 2 2 2 3" xfId="2797"/>
    <cellStyle name="Normal 4 4 3 2 2 2 3 2" xfId="6592"/>
    <cellStyle name="Normal 4 4 3 2 2 2 3 2 2" xfId="14115"/>
    <cellStyle name="Normal 4 4 3 2 2 2 3 2 2 2" xfId="29159"/>
    <cellStyle name="Normal 4 4 3 2 2 2 3 2 2 3" xfId="44202"/>
    <cellStyle name="Normal 4 4 3 2 2 2 3 2 3" xfId="21638"/>
    <cellStyle name="Normal 4 4 3 2 2 2 3 2 4" xfId="36681"/>
    <cellStyle name="Normal 4 4 3 2 2 2 3 3" xfId="10366"/>
    <cellStyle name="Normal 4 4 3 2 2 2 3 3 2" xfId="25410"/>
    <cellStyle name="Normal 4 4 3 2 2 2 3 3 3" xfId="40453"/>
    <cellStyle name="Normal 4 4 3 2 2 2 3 4" xfId="17889"/>
    <cellStyle name="Normal 4 4 3 2 2 2 3 5" xfId="32932"/>
    <cellStyle name="Normal 4 4 3 2 2 2 4" xfId="4727"/>
    <cellStyle name="Normal 4 4 3 2 2 2 4 2" xfId="12250"/>
    <cellStyle name="Normal 4 4 3 2 2 2 4 2 2" xfId="27294"/>
    <cellStyle name="Normal 4 4 3 2 2 2 4 2 3" xfId="42337"/>
    <cellStyle name="Normal 4 4 3 2 2 2 4 3" xfId="19773"/>
    <cellStyle name="Normal 4 4 3 2 2 2 4 4" xfId="34816"/>
    <cellStyle name="Normal 4 4 3 2 2 2 5" xfId="8501"/>
    <cellStyle name="Normal 4 4 3 2 2 2 5 2" xfId="23545"/>
    <cellStyle name="Normal 4 4 3 2 2 2 5 3" xfId="38588"/>
    <cellStyle name="Normal 4 4 3 2 2 2 6" xfId="16024"/>
    <cellStyle name="Normal 4 4 3 2 2 2 7" xfId="31067"/>
    <cellStyle name="Normal 4 4 3 2 2 3" xfId="1406"/>
    <cellStyle name="Normal 4 4 3 2 2 3 2" xfId="3277"/>
    <cellStyle name="Normal 4 4 3 2 2 3 2 2" xfId="7072"/>
    <cellStyle name="Normal 4 4 3 2 2 3 2 2 2" xfId="14595"/>
    <cellStyle name="Normal 4 4 3 2 2 3 2 2 2 2" xfId="29639"/>
    <cellStyle name="Normal 4 4 3 2 2 3 2 2 2 3" xfId="44682"/>
    <cellStyle name="Normal 4 4 3 2 2 3 2 2 3" xfId="22118"/>
    <cellStyle name="Normal 4 4 3 2 2 3 2 2 4" xfId="37161"/>
    <cellStyle name="Normal 4 4 3 2 2 3 2 3" xfId="10846"/>
    <cellStyle name="Normal 4 4 3 2 2 3 2 3 2" xfId="25890"/>
    <cellStyle name="Normal 4 4 3 2 2 3 2 3 3" xfId="40933"/>
    <cellStyle name="Normal 4 4 3 2 2 3 2 4" xfId="18369"/>
    <cellStyle name="Normal 4 4 3 2 2 3 2 5" xfId="33412"/>
    <cellStyle name="Normal 4 4 3 2 2 3 3" xfId="5207"/>
    <cellStyle name="Normal 4 4 3 2 2 3 3 2" xfId="12730"/>
    <cellStyle name="Normal 4 4 3 2 2 3 3 2 2" xfId="27774"/>
    <cellStyle name="Normal 4 4 3 2 2 3 3 2 3" xfId="42817"/>
    <cellStyle name="Normal 4 4 3 2 2 3 3 3" xfId="20253"/>
    <cellStyle name="Normal 4 4 3 2 2 3 3 4" xfId="35296"/>
    <cellStyle name="Normal 4 4 3 2 2 3 4" xfId="8981"/>
    <cellStyle name="Normal 4 4 3 2 2 3 4 2" xfId="24025"/>
    <cellStyle name="Normal 4 4 3 2 2 3 4 3" xfId="39068"/>
    <cellStyle name="Normal 4 4 3 2 2 3 5" xfId="16504"/>
    <cellStyle name="Normal 4 4 3 2 2 3 6" xfId="31547"/>
    <cellStyle name="Normal 4 4 3 2 2 4" xfId="2344"/>
    <cellStyle name="Normal 4 4 3 2 2 4 2" xfId="6140"/>
    <cellStyle name="Normal 4 4 3 2 2 4 2 2" xfId="13663"/>
    <cellStyle name="Normal 4 4 3 2 2 4 2 2 2" xfId="28707"/>
    <cellStyle name="Normal 4 4 3 2 2 4 2 2 3" xfId="43750"/>
    <cellStyle name="Normal 4 4 3 2 2 4 2 3" xfId="21186"/>
    <cellStyle name="Normal 4 4 3 2 2 4 2 4" xfId="36229"/>
    <cellStyle name="Normal 4 4 3 2 2 4 3" xfId="9914"/>
    <cellStyle name="Normal 4 4 3 2 2 4 3 2" xfId="24958"/>
    <cellStyle name="Normal 4 4 3 2 2 4 3 3" xfId="40001"/>
    <cellStyle name="Normal 4 4 3 2 2 4 4" xfId="17437"/>
    <cellStyle name="Normal 4 4 3 2 2 4 5" xfId="32480"/>
    <cellStyle name="Normal 4 4 3 2 2 5" xfId="4272"/>
    <cellStyle name="Normal 4 4 3 2 2 5 2" xfId="11796"/>
    <cellStyle name="Normal 4 4 3 2 2 5 2 2" xfId="26840"/>
    <cellStyle name="Normal 4 4 3 2 2 5 2 3" xfId="41883"/>
    <cellStyle name="Normal 4 4 3 2 2 5 3" xfId="19319"/>
    <cellStyle name="Normal 4 4 3 2 2 5 4" xfId="34362"/>
    <cellStyle name="Normal 4 4 3 2 2 6" xfId="8035"/>
    <cellStyle name="Normal 4 4 3 2 2 6 2" xfId="23079"/>
    <cellStyle name="Normal 4 4 3 2 2 6 3" xfId="38122"/>
    <cellStyle name="Normal 4 4 3 2 2 7" xfId="15558"/>
    <cellStyle name="Normal 4 4 3 2 2 8" xfId="30601"/>
    <cellStyle name="Normal 4 4 3 2 3" xfId="898"/>
    <cellStyle name="Normal 4 4 3 2 3 2" xfId="1857"/>
    <cellStyle name="Normal 4 4 3 2 3 2 2" xfId="3728"/>
    <cellStyle name="Normal 4 4 3 2 3 2 2 2" xfId="7523"/>
    <cellStyle name="Normal 4 4 3 2 3 2 2 2 2" xfId="15046"/>
    <cellStyle name="Normal 4 4 3 2 3 2 2 2 2 2" xfId="30090"/>
    <cellStyle name="Normal 4 4 3 2 3 2 2 2 2 3" xfId="45133"/>
    <cellStyle name="Normal 4 4 3 2 3 2 2 2 3" xfId="22569"/>
    <cellStyle name="Normal 4 4 3 2 3 2 2 2 4" xfId="37612"/>
    <cellStyle name="Normal 4 4 3 2 3 2 2 3" xfId="11297"/>
    <cellStyle name="Normal 4 4 3 2 3 2 2 3 2" xfId="26341"/>
    <cellStyle name="Normal 4 4 3 2 3 2 2 3 3" xfId="41384"/>
    <cellStyle name="Normal 4 4 3 2 3 2 2 4" xfId="18820"/>
    <cellStyle name="Normal 4 4 3 2 3 2 2 5" xfId="33863"/>
    <cellStyle name="Normal 4 4 3 2 3 2 3" xfId="5658"/>
    <cellStyle name="Normal 4 4 3 2 3 2 3 2" xfId="13181"/>
    <cellStyle name="Normal 4 4 3 2 3 2 3 2 2" xfId="28225"/>
    <cellStyle name="Normal 4 4 3 2 3 2 3 2 3" xfId="43268"/>
    <cellStyle name="Normal 4 4 3 2 3 2 3 3" xfId="20704"/>
    <cellStyle name="Normal 4 4 3 2 3 2 3 4" xfId="35747"/>
    <cellStyle name="Normal 4 4 3 2 3 2 4" xfId="9432"/>
    <cellStyle name="Normal 4 4 3 2 3 2 4 2" xfId="24476"/>
    <cellStyle name="Normal 4 4 3 2 3 2 4 3" xfId="39519"/>
    <cellStyle name="Normal 4 4 3 2 3 2 5" xfId="16955"/>
    <cellStyle name="Normal 4 4 3 2 3 2 6" xfId="31998"/>
    <cellStyle name="Normal 4 4 3 2 3 3" xfId="2796"/>
    <cellStyle name="Normal 4 4 3 2 3 3 2" xfId="6591"/>
    <cellStyle name="Normal 4 4 3 2 3 3 2 2" xfId="14114"/>
    <cellStyle name="Normal 4 4 3 2 3 3 2 2 2" xfId="29158"/>
    <cellStyle name="Normal 4 4 3 2 3 3 2 2 3" xfId="44201"/>
    <cellStyle name="Normal 4 4 3 2 3 3 2 3" xfId="21637"/>
    <cellStyle name="Normal 4 4 3 2 3 3 2 4" xfId="36680"/>
    <cellStyle name="Normal 4 4 3 2 3 3 3" xfId="10365"/>
    <cellStyle name="Normal 4 4 3 2 3 3 3 2" xfId="25409"/>
    <cellStyle name="Normal 4 4 3 2 3 3 3 3" xfId="40452"/>
    <cellStyle name="Normal 4 4 3 2 3 3 4" xfId="17888"/>
    <cellStyle name="Normal 4 4 3 2 3 3 5" xfId="32931"/>
    <cellStyle name="Normal 4 4 3 2 3 4" xfId="4726"/>
    <cellStyle name="Normal 4 4 3 2 3 4 2" xfId="12249"/>
    <cellStyle name="Normal 4 4 3 2 3 4 2 2" xfId="27293"/>
    <cellStyle name="Normal 4 4 3 2 3 4 2 3" xfId="42336"/>
    <cellStyle name="Normal 4 4 3 2 3 4 3" xfId="19772"/>
    <cellStyle name="Normal 4 4 3 2 3 4 4" xfId="34815"/>
    <cellStyle name="Normal 4 4 3 2 3 5" xfId="8500"/>
    <cellStyle name="Normal 4 4 3 2 3 5 2" xfId="23544"/>
    <cellStyle name="Normal 4 4 3 2 3 5 3" xfId="38587"/>
    <cellStyle name="Normal 4 4 3 2 3 6" xfId="16023"/>
    <cellStyle name="Normal 4 4 3 2 3 7" xfId="31066"/>
    <cellStyle name="Normal 4 4 3 2 4" xfId="1405"/>
    <cellStyle name="Normal 4 4 3 2 4 2" xfId="3276"/>
    <cellStyle name="Normal 4 4 3 2 4 2 2" xfId="7071"/>
    <cellStyle name="Normal 4 4 3 2 4 2 2 2" xfId="14594"/>
    <cellStyle name="Normal 4 4 3 2 4 2 2 2 2" xfId="29638"/>
    <cellStyle name="Normal 4 4 3 2 4 2 2 2 3" xfId="44681"/>
    <cellStyle name="Normal 4 4 3 2 4 2 2 3" xfId="22117"/>
    <cellStyle name="Normal 4 4 3 2 4 2 2 4" xfId="37160"/>
    <cellStyle name="Normal 4 4 3 2 4 2 3" xfId="10845"/>
    <cellStyle name="Normal 4 4 3 2 4 2 3 2" xfId="25889"/>
    <cellStyle name="Normal 4 4 3 2 4 2 3 3" xfId="40932"/>
    <cellStyle name="Normal 4 4 3 2 4 2 4" xfId="18368"/>
    <cellStyle name="Normal 4 4 3 2 4 2 5" xfId="33411"/>
    <cellStyle name="Normal 4 4 3 2 4 3" xfId="5206"/>
    <cellStyle name="Normal 4 4 3 2 4 3 2" xfId="12729"/>
    <cellStyle name="Normal 4 4 3 2 4 3 2 2" xfId="27773"/>
    <cellStyle name="Normal 4 4 3 2 4 3 2 3" xfId="42816"/>
    <cellStyle name="Normal 4 4 3 2 4 3 3" xfId="20252"/>
    <cellStyle name="Normal 4 4 3 2 4 3 4" xfId="35295"/>
    <cellStyle name="Normal 4 4 3 2 4 4" xfId="8980"/>
    <cellStyle name="Normal 4 4 3 2 4 4 2" xfId="24024"/>
    <cellStyle name="Normal 4 4 3 2 4 4 3" xfId="39067"/>
    <cellStyle name="Normal 4 4 3 2 4 5" xfId="16503"/>
    <cellStyle name="Normal 4 4 3 2 4 6" xfId="31546"/>
    <cellStyle name="Normal 4 4 3 2 5" xfId="2343"/>
    <cellStyle name="Normal 4 4 3 2 5 2" xfId="6139"/>
    <cellStyle name="Normal 4 4 3 2 5 2 2" xfId="13662"/>
    <cellStyle name="Normal 4 4 3 2 5 2 2 2" xfId="28706"/>
    <cellStyle name="Normal 4 4 3 2 5 2 2 3" xfId="43749"/>
    <cellStyle name="Normal 4 4 3 2 5 2 3" xfId="21185"/>
    <cellStyle name="Normal 4 4 3 2 5 2 4" xfId="36228"/>
    <cellStyle name="Normal 4 4 3 2 5 3" xfId="9913"/>
    <cellStyle name="Normal 4 4 3 2 5 3 2" xfId="24957"/>
    <cellStyle name="Normal 4 4 3 2 5 3 3" xfId="40000"/>
    <cellStyle name="Normal 4 4 3 2 5 4" xfId="17436"/>
    <cellStyle name="Normal 4 4 3 2 5 5" xfId="32479"/>
    <cellStyle name="Normal 4 4 3 2 6" xfId="4271"/>
    <cellStyle name="Normal 4 4 3 2 6 2" xfId="11795"/>
    <cellStyle name="Normal 4 4 3 2 6 2 2" xfId="26839"/>
    <cellStyle name="Normal 4 4 3 2 6 2 3" xfId="41882"/>
    <cellStyle name="Normal 4 4 3 2 6 3" xfId="19318"/>
    <cellStyle name="Normal 4 4 3 2 6 4" xfId="34361"/>
    <cellStyle name="Normal 4 4 3 2 7" xfId="8034"/>
    <cellStyle name="Normal 4 4 3 2 7 2" xfId="23078"/>
    <cellStyle name="Normal 4 4 3 2 7 3" xfId="38121"/>
    <cellStyle name="Normal 4 4 3 2 8" xfId="15557"/>
    <cellStyle name="Normal 4 4 3 2 9" xfId="30600"/>
    <cellStyle name="Normal 4 4 3 3" xfId="376"/>
    <cellStyle name="Normal 4 4 3 3 2" xfId="377"/>
    <cellStyle name="Normal 4 4 3 3 2 2" xfId="901"/>
    <cellStyle name="Normal 4 4 3 3 2 2 2" xfId="1860"/>
    <cellStyle name="Normal 4 4 3 3 2 2 2 2" xfId="3731"/>
    <cellStyle name="Normal 4 4 3 3 2 2 2 2 2" xfId="7526"/>
    <cellStyle name="Normal 4 4 3 3 2 2 2 2 2 2" xfId="15049"/>
    <cellStyle name="Normal 4 4 3 3 2 2 2 2 2 2 2" xfId="30093"/>
    <cellStyle name="Normal 4 4 3 3 2 2 2 2 2 2 3" xfId="45136"/>
    <cellStyle name="Normal 4 4 3 3 2 2 2 2 2 3" xfId="22572"/>
    <cellStyle name="Normal 4 4 3 3 2 2 2 2 2 4" xfId="37615"/>
    <cellStyle name="Normal 4 4 3 3 2 2 2 2 3" xfId="11300"/>
    <cellStyle name="Normal 4 4 3 3 2 2 2 2 3 2" xfId="26344"/>
    <cellStyle name="Normal 4 4 3 3 2 2 2 2 3 3" xfId="41387"/>
    <cellStyle name="Normal 4 4 3 3 2 2 2 2 4" xfId="18823"/>
    <cellStyle name="Normal 4 4 3 3 2 2 2 2 5" xfId="33866"/>
    <cellStyle name="Normal 4 4 3 3 2 2 2 3" xfId="5661"/>
    <cellStyle name="Normal 4 4 3 3 2 2 2 3 2" xfId="13184"/>
    <cellStyle name="Normal 4 4 3 3 2 2 2 3 2 2" xfId="28228"/>
    <cellStyle name="Normal 4 4 3 3 2 2 2 3 2 3" xfId="43271"/>
    <cellStyle name="Normal 4 4 3 3 2 2 2 3 3" xfId="20707"/>
    <cellStyle name="Normal 4 4 3 3 2 2 2 3 4" xfId="35750"/>
    <cellStyle name="Normal 4 4 3 3 2 2 2 4" xfId="9435"/>
    <cellStyle name="Normal 4 4 3 3 2 2 2 4 2" xfId="24479"/>
    <cellStyle name="Normal 4 4 3 3 2 2 2 4 3" xfId="39522"/>
    <cellStyle name="Normal 4 4 3 3 2 2 2 5" xfId="16958"/>
    <cellStyle name="Normal 4 4 3 3 2 2 2 6" xfId="32001"/>
    <cellStyle name="Normal 4 4 3 3 2 2 3" xfId="2799"/>
    <cellStyle name="Normal 4 4 3 3 2 2 3 2" xfId="6594"/>
    <cellStyle name="Normal 4 4 3 3 2 2 3 2 2" xfId="14117"/>
    <cellStyle name="Normal 4 4 3 3 2 2 3 2 2 2" xfId="29161"/>
    <cellStyle name="Normal 4 4 3 3 2 2 3 2 2 3" xfId="44204"/>
    <cellStyle name="Normal 4 4 3 3 2 2 3 2 3" xfId="21640"/>
    <cellStyle name="Normal 4 4 3 3 2 2 3 2 4" xfId="36683"/>
    <cellStyle name="Normal 4 4 3 3 2 2 3 3" xfId="10368"/>
    <cellStyle name="Normal 4 4 3 3 2 2 3 3 2" xfId="25412"/>
    <cellStyle name="Normal 4 4 3 3 2 2 3 3 3" xfId="40455"/>
    <cellStyle name="Normal 4 4 3 3 2 2 3 4" xfId="17891"/>
    <cellStyle name="Normal 4 4 3 3 2 2 3 5" xfId="32934"/>
    <cellStyle name="Normal 4 4 3 3 2 2 4" xfId="4729"/>
    <cellStyle name="Normal 4 4 3 3 2 2 4 2" xfId="12252"/>
    <cellStyle name="Normal 4 4 3 3 2 2 4 2 2" xfId="27296"/>
    <cellStyle name="Normal 4 4 3 3 2 2 4 2 3" xfId="42339"/>
    <cellStyle name="Normal 4 4 3 3 2 2 4 3" xfId="19775"/>
    <cellStyle name="Normal 4 4 3 3 2 2 4 4" xfId="34818"/>
    <cellStyle name="Normal 4 4 3 3 2 2 5" xfId="8503"/>
    <cellStyle name="Normal 4 4 3 3 2 2 5 2" xfId="23547"/>
    <cellStyle name="Normal 4 4 3 3 2 2 5 3" xfId="38590"/>
    <cellStyle name="Normal 4 4 3 3 2 2 6" xfId="16026"/>
    <cellStyle name="Normal 4 4 3 3 2 2 7" xfId="31069"/>
    <cellStyle name="Normal 4 4 3 3 2 3" xfId="1408"/>
    <cellStyle name="Normal 4 4 3 3 2 3 2" xfId="3279"/>
    <cellStyle name="Normal 4 4 3 3 2 3 2 2" xfId="7074"/>
    <cellStyle name="Normal 4 4 3 3 2 3 2 2 2" xfId="14597"/>
    <cellStyle name="Normal 4 4 3 3 2 3 2 2 2 2" xfId="29641"/>
    <cellStyle name="Normal 4 4 3 3 2 3 2 2 2 3" xfId="44684"/>
    <cellStyle name="Normal 4 4 3 3 2 3 2 2 3" xfId="22120"/>
    <cellStyle name="Normal 4 4 3 3 2 3 2 2 4" xfId="37163"/>
    <cellStyle name="Normal 4 4 3 3 2 3 2 3" xfId="10848"/>
    <cellStyle name="Normal 4 4 3 3 2 3 2 3 2" xfId="25892"/>
    <cellStyle name="Normal 4 4 3 3 2 3 2 3 3" xfId="40935"/>
    <cellStyle name="Normal 4 4 3 3 2 3 2 4" xfId="18371"/>
    <cellStyle name="Normal 4 4 3 3 2 3 2 5" xfId="33414"/>
    <cellStyle name="Normal 4 4 3 3 2 3 3" xfId="5209"/>
    <cellStyle name="Normal 4 4 3 3 2 3 3 2" xfId="12732"/>
    <cellStyle name="Normal 4 4 3 3 2 3 3 2 2" xfId="27776"/>
    <cellStyle name="Normal 4 4 3 3 2 3 3 2 3" xfId="42819"/>
    <cellStyle name="Normal 4 4 3 3 2 3 3 3" xfId="20255"/>
    <cellStyle name="Normal 4 4 3 3 2 3 3 4" xfId="35298"/>
    <cellStyle name="Normal 4 4 3 3 2 3 4" xfId="8983"/>
    <cellStyle name="Normal 4 4 3 3 2 3 4 2" xfId="24027"/>
    <cellStyle name="Normal 4 4 3 3 2 3 4 3" xfId="39070"/>
    <cellStyle name="Normal 4 4 3 3 2 3 5" xfId="16506"/>
    <cellStyle name="Normal 4 4 3 3 2 3 6" xfId="31549"/>
    <cellStyle name="Normal 4 4 3 3 2 4" xfId="2346"/>
    <cellStyle name="Normal 4 4 3 3 2 4 2" xfId="6142"/>
    <cellStyle name="Normal 4 4 3 3 2 4 2 2" xfId="13665"/>
    <cellStyle name="Normal 4 4 3 3 2 4 2 2 2" xfId="28709"/>
    <cellStyle name="Normal 4 4 3 3 2 4 2 2 3" xfId="43752"/>
    <cellStyle name="Normal 4 4 3 3 2 4 2 3" xfId="21188"/>
    <cellStyle name="Normal 4 4 3 3 2 4 2 4" xfId="36231"/>
    <cellStyle name="Normal 4 4 3 3 2 4 3" xfId="9916"/>
    <cellStyle name="Normal 4 4 3 3 2 4 3 2" xfId="24960"/>
    <cellStyle name="Normal 4 4 3 3 2 4 3 3" xfId="40003"/>
    <cellStyle name="Normal 4 4 3 3 2 4 4" xfId="17439"/>
    <cellStyle name="Normal 4 4 3 3 2 4 5" xfId="32482"/>
    <cellStyle name="Normal 4 4 3 3 2 5" xfId="4274"/>
    <cellStyle name="Normal 4 4 3 3 2 5 2" xfId="11798"/>
    <cellStyle name="Normal 4 4 3 3 2 5 2 2" xfId="26842"/>
    <cellStyle name="Normal 4 4 3 3 2 5 2 3" xfId="41885"/>
    <cellStyle name="Normal 4 4 3 3 2 5 3" xfId="19321"/>
    <cellStyle name="Normal 4 4 3 3 2 5 4" xfId="34364"/>
    <cellStyle name="Normal 4 4 3 3 2 6" xfId="8037"/>
    <cellStyle name="Normal 4 4 3 3 2 6 2" xfId="23081"/>
    <cellStyle name="Normal 4 4 3 3 2 6 3" xfId="38124"/>
    <cellStyle name="Normal 4 4 3 3 2 7" xfId="15560"/>
    <cellStyle name="Normal 4 4 3 3 2 8" xfId="30603"/>
    <cellStyle name="Normal 4 4 3 3 3" xfId="900"/>
    <cellStyle name="Normal 4 4 3 3 3 2" xfId="1859"/>
    <cellStyle name="Normal 4 4 3 3 3 2 2" xfId="3730"/>
    <cellStyle name="Normal 4 4 3 3 3 2 2 2" xfId="7525"/>
    <cellStyle name="Normal 4 4 3 3 3 2 2 2 2" xfId="15048"/>
    <cellStyle name="Normal 4 4 3 3 3 2 2 2 2 2" xfId="30092"/>
    <cellStyle name="Normal 4 4 3 3 3 2 2 2 2 3" xfId="45135"/>
    <cellStyle name="Normal 4 4 3 3 3 2 2 2 3" xfId="22571"/>
    <cellStyle name="Normal 4 4 3 3 3 2 2 2 4" xfId="37614"/>
    <cellStyle name="Normal 4 4 3 3 3 2 2 3" xfId="11299"/>
    <cellStyle name="Normal 4 4 3 3 3 2 2 3 2" xfId="26343"/>
    <cellStyle name="Normal 4 4 3 3 3 2 2 3 3" xfId="41386"/>
    <cellStyle name="Normal 4 4 3 3 3 2 2 4" xfId="18822"/>
    <cellStyle name="Normal 4 4 3 3 3 2 2 5" xfId="33865"/>
    <cellStyle name="Normal 4 4 3 3 3 2 3" xfId="5660"/>
    <cellStyle name="Normal 4 4 3 3 3 2 3 2" xfId="13183"/>
    <cellStyle name="Normal 4 4 3 3 3 2 3 2 2" xfId="28227"/>
    <cellStyle name="Normal 4 4 3 3 3 2 3 2 3" xfId="43270"/>
    <cellStyle name="Normal 4 4 3 3 3 2 3 3" xfId="20706"/>
    <cellStyle name="Normal 4 4 3 3 3 2 3 4" xfId="35749"/>
    <cellStyle name="Normal 4 4 3 3 3 2 4" xfId="9434"/>
    <cellStyle name="Normal 4 4 3 3 3 2 4 2" xfId="24478"/>
    <cellStyle name="Normal 4 4 3 3 3 2 4 3" xfId="39521"/>
    <cellStyle name="Normal 4 4 3 3 3 2 5" xfId="16957"/>
    <cellStyle name="Normal 4 4 3 3 3 2 6" xfId="32000"/>
    <cellStyle name="Normal 4 4 3 3 3 3" xfId="2798"/>
    <cellStyle name="Normal 4 4 3 3 3 3 2" xfId="6593"/>
    <cellStyle name="Normal 4 4 3 3 3 3 2 2" xfId="14116"/>
    <cellStyle name="Normal 4 4 3 3 3 3 2 2 2" xfId="29160"/>
    <cellStyle name="Normal 4 4 3 3 3 3 2 2 3" xfId="44203"/>
    <cellStyle name="Normal 4 4 3 3 3 3 2 3" xfId="21639"/>
    <cellStyle name="Normal 4 4 3 3 3 3 2 4" xfId="36682"/>
    <cellStyle name="Normal 4 4 3 3 3 3 3" xfId="10367"/>
    <cellStyle name="Normal 4 4 3 3 3 3 3 2" xfId="25411"/>
    <cellStyle name="Normal 4 4 3 3 3 3 3 3" xfId="40454"/>
    <cellStyle name="Normal 4 4 3 3 3 3 4" xfId="17890"/>
    <cellStyle name="Normal 4 4 3 3 3 3 5" xfId="32933"/>
    <cellStyle name="Normal 4 4 3 3 3 4" xfId="4728"/>
    <cellStyle name="Normal 4 4 3 3 3 4 2" xfId="12251"/>
    <cellStyle name="Normal 4 4 3 3 3 4 2 2" xfId="27295"/>
    <cellStyle name="Normal 4 4 3 3 3 4 2 3" xfId="42338"/>
    <cellStyle name="Normal 4 4 3 3 3 4 3" xfId="19774"/>
    <cellStyle name="Normal 4 4 3 3 3 4 4" xfId="34817"/>
    <cellStyle name="Normal 4 4 3 3 3 5" xfId="8502"/>
    <cellStyle name="Normal 4 4 3 3 3 5 2" xfId="23546"/>
    <cellStyle name="Normal 4 4 3 3 3 5 3" xfId="38589"/>
    <cellStyle name="Normal 4 4 3 3 3 6" xfId="16025"/>
    <cellStyle name="Normal 4 4 3 3 3 7" xfId="31068"/>
    <cellStyle name="Normal 4 4 3 3 4" xfId="1407"/>
    <cellStyle name="Normal 4 4 3 3 4 2" xfId="3278"/>
    <cellStyle name="Normal 4 4 3 3 4 2 2" xfId="7073"/>
    <cellStyle name="Normal 4 4 3 3 4 2 2 2" xfId="14596"/>
    <cellStyle name="Normal 4 4 3 3 4 2 2 2 2" xfId="29640"/>
    <cellStyle name="Normal 4 4 3 3 4 2 2 2 3" xfId="44683"/>
    <cellStyle name="Normal 4 4 3 3 4 2 2 3" xfId="22119"/>
    <cellStyle name="Normal 4 4 3 3 4 2 2 4" xfId="37162"/>
    <cellStyle name="Normal 4 4 3 3 4 2 3" xfId="10847"/>
    <cellStyle name="Normal 4 4 3 3 4 2 3 2" xfId="25891"/>
    <cellStyle name="Normal 4 4 3 3 4 2 3 3" xfId="40934"/>
    <cellStyle name="Normal 4 4 3 3 4 2 4" xfId="18370"/>
    <cellStyle name="Normal 4 4 3 3 4 2 5" xfId="33413"/>
    <cellStyle name="Normal 4 4 3 3 4 3" xfId="5208"/>
    <cellStyle name="Normal 4 4 3 3 4 3 2" xfId="12731"/>
    <cellStyle name="Normal 4 4 3 3 4 3 2 2" xfId="27775"/>
    <cellStyle name="Normal 4 4 3 3 4 3 2 3" xfId="42818"/>
    <cellStyle name="Normal 4 4 3 3 4 3 3" xfId="20254"/>
    <cellStyle name="Normal 4 4 3 3 4 3 4" xfId="35297"/>
    <cellStyle name="Normal 4 4 3 3 4 4" xfId="8982"/>
    <cellStyle name="Normal 4 4 3 3 4 4 2" xfId="24026"/>
    <cellStyle name="Normal 4 4 3 3 4 4 3" xfId="39069"/>
    <cellStyle name="Normal 4 4 3 3 4 5" xfId="16505"/>
    <cellStyle name="Normal 4 4 3 3 4 6" xfId="31548"/>
    <cellStyle name="Normal 4 4 3 3 5" xfId="2345"/>
    <cellStyle name="Normal 4 4 3 3 5 2" xfId="6141"/>
    <cellStyle name="Normal 4 4 3 3 5 2 2" xfId="13664"/>
    <cellStyle name="Normal 4 4 3 3 5 2 2 2" xfId="28708"/>
    <cellStyle name="Normal 4 4 3 3 5 2 2 3" xfId="43751"/>
    <cellStyle name="Normal 4 4 3 3 5 2 3" xfId="21187"/>
    <cellStyle name="Normal 4 4 3 3 5 2 4" xfId="36230"/>
    <cellStyle name="Normal 4 4 3 3 5 3" xfId="9915"/>
    <cellStyle name="Normal 4 4 3 3 5 3 2" xfId="24959"/>
    <cellStyle name="Normal 4 4 3 3 5 3 3" xfId="40002"/>
    <cellStyle name="Normal 4 4 3 3 5 4" xfId="17438"/>
    <cellStyle name="Normal 4 4 3 3 5 5" xfId="32481"/>
    <cellStyle name="Normal 4 4 3 3 6" xfId="4273"/>
    <cellStyle name="Normal 4 4 3 3 6 2" xfId="11797"/>
    <cellStyle name="Normal 4 4 3 3 6 2 2" xfId="26841"/>
    <cellStyle name="Normal 4 4 3 3 6 2 3" xfId="41884"/>
    <cellStyle name="Normal 4 4 3 3 6 3" xfId="19320"/>
    <cellStyle name="Normal 4 4 3 3 6 4" xfId="34363"/>
    <cellStyle name="Normal 4 4 3 3 7" xfId="8036"/>
    <cellStyle name="Normal 4 4 3 3 7 2" xfId="23080"/>
    <cellStyle name="Normal 4 4 3 3 7 3" xfId="38123"/>
    <cellStyle name="Normal 4 4 3 3 8" xfId="15559"/>
    <cellStyle name="Normal 4 4 3 3 9" xfId="30602"/>
    <cellStyle name="Normal 4 4 3 4" xfId="378"/>
    <cellStyle name="Normal 4 4 3 4 2" xfId="902"/>
    <cellStyle name="Normal 4 4 3 4 2 2" xfId="1861"/>
    <cellStyle name="Normal 4 4 3 4 2 2 2" xfId="3732"/>
    <cellStyle name="Normal 4 4 3 4 2 2 2 2" xfId="7527"/>
    <cellStyle name="Normal 4 4 3 4 2 2 2 2 2" xfId="15050"/>
    <cellStyle name="Normal 4 4 3 4 2 2 2 2 2 2" xfId="30094"/>
    <cellStyle name="Normal 4 4 3 4 2 2 2 2 2 3" xfId="45137"/>
    <cellStyle name="Normal 4 4 3 4 2 2 2 2 3" xfId="22573"/>
    <cellStyle name="Normal 4 4 3 4 2 2 2 2 4" xfId="37616"/>
    <cellStyle name="Normal 4 4 3 4 2 2 2 3" xfId="11301"/>
    <cellStyle name="Normal 4 4 3 4 2 2 2 3 2" xfId="26345"/>
    <cellStyle name="Normal 4 4 3 4 2 2 2 3 3" xfId="41388"/>
    <cellStyle name="Normal 4 4 3 4 2 2 2 4" xfId="18824"/>
    <cellStyle name="Normal 4 4 3 4 2 2 2 5" xfId="33867"/>
    <cellStyle name="Normal 4 4 3 4 2 2 3" xfId="5662"/>
    <cellStyle name="Normal 4 4 3 4 2 2 3 2" xfId="13185"/>
    <cellStyle name="Normal 4 4 3 4 2 2 3 2 2" xfId="28229"/>
    <cellStyle name="Normal 4 4 3 4 2 2 3 2 3" xfId="43272"/>
    <cellStyle name="Normal 4 4 3 4 2 2 3 3" xfId="20708"/>
    <cellStyle name="Normal 4 4 3 4 2 2 3 4" xfId="35751"/>
    <cellStyle name="Normal 4 4 3 4 2 2 4" xfId="9436"/>
    <cellStyle name="Normal 4 4 3 4 2 2 4 2" xfId="24480"/>
    <cellStyle name="Normal 4 4 3 4 2 2 4 3" xfId="39523"/>
    <cellStyle name="Normal 4 4 3 4 2 2 5" xfId="16959"/>
    <cellStyle name="Normal 4 4 3 4 2 2 6" xfId="32002"/>
    <cellStyle name="Normal 4 4 3 4 2 3" xfId="2800"/>
    <cellStyle name="Normal 4 4 3 4 2 3 2" xfId="6595"/>
    <cellStyle name="Normal 4 4 3 4 2 3 2 2" xfId="14118"/>
    <cellStyle name="Normal 4 4 3 4 2 3 2 2 2" xfId="29162"/>
    <cellStyle name="Normal 4 4 3 4 2 3 2 2 3" xfId="44205"/>
    <cellStyle name="Normal 4 4 3 4 2 3 2 3" xfId="21641"/>
    <cellStyle name="Normal 4 4 3 4 2 3 2 4" xfId="36684"/>
    <cellStyle name="Normal 4 4 3 4 2 3 3" xfId="10369"/>
    <cellStyle name="Normal 4 4 3 4 2 3 3 2" xfId="25413"/>
    <cellStyle name="Normal 4 4 3 4 2 3 3 3" xfId="40456"/>
    <cellStyle name="Normal 4 4 3 4 2 3 4" xfId="17892"/>
    <cellStyle name="Normal 4 4 3 4 2 3 5" xfId="32935"/>
    <cellStyle name="Normal 4 4 3 4 2 4" xfId="4730"/>
    <cellStyle name="Normal 4 4 3 4 2 4 2" xfId="12253"/>
    <cellStyle name="Normal 4 4 3 4 2 4 2 2" xfId="27297"/>
    <cellStyle name="Normal 4 4 3 4 2 4 2 3" xfId="42340"/>
    <cellStyle name="Normal 4 4 3 4 2 4 3" xfId="19776"/>
    <cellStyle name="Normal 4 4 3 4 2 4 4" xfId="34819"/>
    <cellStyle name="Normal 4 4 3 4 2 5" xfId="8504"/>
    <cellStyle name="Normal 4 4 3 4 2 5 2" xfId="23548"/>
    <cellStyle name="Normal 4 4 3 4 2 5 3" xfId="38591"/>
    <cellStyle name="Normal 4 4 3 4 2 6" xfId="16027"/>
    <cellStyle name="Normal 4 4 3 4 2 7" xfId="31070"/>
    <cellStyle name="Normal 4 4 3 4 3" xfId="1409"/>
    <cellStyle name="Normal 4 4 3 4 3 2" xfId="3280"/>
    <cellStyle name="Normal 4 4 3 4 3 2 2" xfId="7075"/>
    <cellStyle name="Normal 4 4 3 4 3 2 2 2" xfId="14598"/>
    <cellStyle name="Normal 4 4 3 4 3 2 2 2 2" xfId="29642"/>
    <cellStyle name="Normal 4 4 3 4 3 2 2 2 3" xfId="44685"/>
    <cellStyle name="Normal 4 4 3 4 3 2 2 3" xfId="22121"/>
    <cellStyle name="Normal 4 4 3 4 3 2 2 4" xfId="37164"/>
    <cellStyle name="Normal 4 4 3 4 3 2 3" xfId="10849"/>
    <cellStyle name="Normal 4 4 3 4 3 2 3 2" xfId="25893"/>
    <cellStyle name="Normal 4 4 3 4 3 2 3 3" xfId="40936"/>
    <cellStyle name="Normal 4 4 3 4 3 2 4" xfId="18372"/>
    <cellStyle name="Normal 4 4 3 4 3 2 5" xfId="33415"/>
    <cellStyle name="Normal 4 4 3 4 3 3" xfId="5210"/>
    <cellStyle name="Normal 4 4 3 4 3 3 2" xfId="12733"/>
    <cellStyle name="Normal 4 4 3 4 3 3 2 2" xfId="27777"/>
    <cellStyle name="Normal 4 4 3 4 3 3 2 3" xfId="42820"/>
    <cellStyle name="Normal 4 4 3 4 3 3 3" xfId="20256"/>
    <cellStyle name="Normal 4 4 3 4 3 3 4" xfId="35299"/>
    <cellStyle name="Normal 4 4 3 4 3 4" xfId="8984"/>
    <cellStyle name="Normal 4 4 3 4 3 4 2" xfId="24028"/>
    <cellStyle name="Normal 4 4 3 4 3 4 3" xfId="39071"/>
    <cellStyle name="Normal 4 4 3 4 3 5" xfId="16507"/>
    <cellStyle name="Normal 4 4 3 4 3 6" xfId="31550"/>
    <cellStyle name="Normal 4 4 3 4 4" xfId="2347"/>
    <cellStyle name="Normal 4 4 3 4 4 2" xfId="6143"/>
    <cellStyle name="Normal 4 4 3 4 4 2 2" xfId="13666"/>
    <cellStyle name="Normal 4 4 3 4 4 2 2 2" xfId="28710"/>
    <cellStyle name="Normal 4 4 3 4 4 2 2 3" xfId="43753"/>
    <cellStyle name="Normal 4 4 3 4 4 2 3" xfId="21189"/>
    <cellStyle name="Normal 4 4 3 4 4 2 4" xfId="36232"/>
    <cellStyle name="Normal 4 4 3 4 4 3" xfId="9917"/>
    <cellStyle name="Normal 4 4 3 4 4 3 2" xfId="24961"/>
    <cellStyle name="Normal 4 4 3 4 4 3 3" xfId="40004"/>
    <cellStyle name="Normal 4 4 3 4 4 4" xfId="17440"/>
    <cellStyle name="Normal 4 4 3 4 4 5" xfId="32483"/>
    <cellStyle name="Normal 4 4 3 4 5" xfId="4275"/>
    <cellStyle name="Normal 4 4 3 4 5 2" xfId="11799"/>
    <cellStyle name="Normal 4 4 3 4 5 2 2" xfId="26843"/>
    <cellStyle name="Normal 4 4 3 4 5 2 3" xfId="41886"/>
    <cellStyle name="Normal 4 4 3 4 5 3" xfId="19322"/>
    <cellStyle name="Normal 4 4 3 4 5 4" xfId="34365"/>
    <cellStyle name="Normal 4 4 3 4 6" xfId="8038"/>
    <cellStyle name="Normal 4 4 3 4 6 2" xfId="23082"/>
    <cellStyle name="Normal 4 4 3 4 6 3" xfId="38125"/>
    <cellStyle name="Normal 4 4 3 4 7" xfId="15561"/>
    <cellStyle name="Normal 4 4 3 4 8" xfId="30604"/>
    <cellStyle name="Normal 4 4 3 5" xfId="897"/>
    <cellStyle name="Normal 4 4 3 5 2" xfId="1856"/>
    <cellStyle name="Normal 4 4 3 5 2 2" xfId="3727"/>
    <cellStyle name="Normal 4 4 3 5 2 2 2" xfId="7522"/>
    <cellStyle name="Normal 4 4 3 5 2 2 2 2" xfId="15045"/>
    <cellStyle name="Normal 4 4 3 5 2 2 2 2 2" xfId="30089"/>
    <cellStyle name="Normal 4 4 3 5 2 2 2 2 3" xfId="45132"/>
    <cellStyle name="Normal 4 4 3 5 2 2 2 3" xfId="22568"/>
    <cellStyle name="Normal 4 4 3 5 2 2 2 4" xfId="37611"/>
    <cellStyle name="Normal 4 4 3 5 2 2 3" xfId="11296"/>
    <cellStyle name="Normal 4 4 3 5 2 2 3 2" xfId="26340"/>
    <cellStyle name="Normal 4 4 3 5 2 2 3 3" xfId="41383"/>
    <cellStyle name="Normal 4 4 3 5 2 2 4" xfId="18819"/>
    <cellStyle name="Normal 4 4 3 5 2 2 5" xfId="33862"/>
    <cellStyle name="Normal 4 4 3 5 2 3" xfId="5657"/>
    <cellStyle name="Normal 4 4 3 5 2 3 2" xfId="13180"/>
    <cellStyle name="Normal 4 4 3 5 2 3 2 2" xfId="28224"/>
    <cellStyle name="Normal 4 4 3 5 2 3 2 3" xfId="43267"/>
    <cellStyle name="Normal 4 4 3 5 2 3 3" xfId="20703"/>
    <cellStyle name="Normal 4 4 3 5 2 3 4" xfId="35746"/>
    <cellStyle name="Normal 4 4 3 5 2 4" xfId="9431"/>
    <cellStyle name="Normal 4 4 3 5 2 4 2" xfId="24475"/>
    <cellStyle name="Normal 4 4 3 5 2 4 3" xfId="39518"/>
    <cellStyle name="Normal 4 4 3 5 2 5" xfId="16954"/>
    <cellStyle name="Normal 4 4 3 5 2 6" xfId="31997"/>
    <cellStyle name="Normal 4 4 3 5 3" xfId="2795"/>
    <cellStyle name="Normal 4 4 3 5 3 2" xfId="6590"/>
    <cellStyle name="Normal 4 4 3 5 3 2 2" xfId="14113"/>
    <cellStyle name="Normal 4 4 3 5 3 2 2 2" xfId="29157"/>
    <cellStyle name="Normal 4 4 3 5 3 2 2 3" xfId="44200"/>
    <cellStyle name="Normal 4 4 3 5 3 2 3" xfId="21636"/>
    <cellStyle name="Normal 4 4 3 5 3 2 4" xfId="36679"/>
    <cellStyle name="Normal 4 4 3 5 3 3" xfId="10364"/>
    <cellStyle name="Normal 4 4 3 5 3 3 2" xfId="25408"/>
    <cellStyle name="Normal 4 4 3 5 3 3 3" xfId="40451"/>
    <cellStyle name="Normal 4 4 3 5 3 4" xfId="17887"/>
    <cellStyle name="Normal 4 4 3 5 3 5" xfId="32930"/>
    <cellStyle name="Normal 4 4 3 5 4" xfId="4725"/>
    <cellStyle name="Normal 4 4 3 5 4 2" xfId="12248"/>
    <cellStyle name="Normal 4 4 3 5 4 2 2" xfId="27292"/>
    <cellStyle name="Normal 4 4 3 5 4 2 3" xfId="42335"/>
    <cellStyle name="Normal 4 4 3 5 4 3" xfId="19771"/>
    <cellStyle name="Normal 4 4 3 5 4 4" xfId="34814"/>
    <cellStyle name="Normal 4 4 3 5 5" xfId="8499"/>
    <cellStyle name="Normal 4 4 3 5 5 2" xfId="23543"/>
    <cellStyle name="Normal 4 4 3 5 5 3" xfId="38586"/>
    <cellStyle name="Normal 4 4 3 5 6" xfId="16022"/>
    <cellStyle name="Normal 4 4 3 5 7" xfId="31065"/>
    <cellStyle name="Normal 4 4 3 6" xfId="1404"/>
    <cellStyle name="Normal 4 4 3 6 2" xfId="3275"/>
    <cellStyle name="Normal 4 4 3 6 2 2" xfId="7070"/>
    <cellStyle name="Normal 4 4 3 6 2 2 2" xfId="14593"/>
    <cellStyle name="Normal 4 4 3 6 2 2 2 2" xfId="29637"/>
    <cellStyle name="Normal 4 4 3 6 2 2 2 3" xfId="44680"/>
    <cellStyle name="Normal 4 4 3 6 2 2 3" xfId="22116"/>
    <cellStyle name="Normal 4 4 3 6 2 2 4" xfId="37159"/>
    <cellStyle name="Normal 4 4 3 6 2 3" xfId="10844"/>
    <cellStyle name="Normal 4 4 3 6 2 3 2" xfId="25888"/>
    <cellStyle name="Normal 4 4 3 6 2 3 3" xfId="40931"/>
    <cellStyle name="Normal 4 4 3 6 2 4" xfId="18367"/>
    <cellStyle name="Normal 4 4 3 6 2 5" xfId="33410"/>
    <cellStyle name="Normal 4 4 3 6 3" xfId="5205"/>
    <cellStyle name="Normal 4 4 3 6 3 2" xfId="12728"/>
    <cellStyle name="Normal 4 4 3 6 3 2 2" xfId="27772"/>
    <cellStyle name="Normal 4 4 3 6 3 2 3" xfId="42815"/>
    <cellStyle name="Normal 4 4 3 6 3 3" xfId="20251"/>
    <cellStyle name="Normal 4 4 3 6 3 4" xfId="35294"/>
    <cellStyle name="Normal 4 4 3 6 4" xfId="8979"/>
    <cellStyle name="Normal 4 4 3 6 4 2" xfId="24023"/>
    <cellStyle name="Normal 4 4 3 6 4 3" xfId="39066"/>
    <cellStyle name="Normal 4 4 3 6 5" xfId="16502"/>
    <cellStyle name="Normal 4 4 3 6 6" xfId="31545"/>
    <cellStyle name="Normal 4 4 3 7" xfId="2342"/>
    <cellStyle name="Normal 4 4 3 7 2" xfId="6138"/>
    <cellStyle name="Normal 4 4 3 7 2 2" xfId="13661"/>
    <cellStyle name="Normal 4 4 3 7 2 2 2" xfId="28705"/>
    <cellStyle name="Normal 4 4 3 7 2 2 3" xfId="43748"/>
    <cellStyle name="Normal 4 4 3 7 2 3" xfId="21184"/>
    <cellStyle name="Normal 4 4 3 7 2 4" xfId="36227"/>
    <cellStyle name="Normal 4 4 3 7 3" xfId="9912"/>
    <cellStyle name="Normal 4 4 3 7 3 2" xfId="24956"/>
    <cellStyle name="Normal 4 4 3 7 3 3" xfId="39999"/>
    <cellStyle name="Normal 4 4 3 7 4" xfId="17435"/>
    <cellStyle name="Normal 4 4 3 7 5" xfId="32478"/>
    <cellStyle name="Normal 4 4 3 8" xfId="4270"/>
    <cellStyle name="Normal 4 4 3 8 2" xfId="11794"/>
    <cellStyle name="Normal 4 4 3 8 2 2" xfId="26838"/>
    <cellStyle name="Normal 4 4 3 8 2 3" xfId="41881"/>
    <cellStyle name="Normal 4 4 3 8 3" xfId="19317"/>
    <cellStyle name="Normal 4 4 3 8 4" xfId="34360"/>
    <cellStyle name="Normal 4 4 3 9" xfId="8033"/>
    <cellStyle name="Normal 4 4 3 9 2" xfId="23077"/>
    <cellStyle name="Normal 4 4 3 9 3" xfId="38120"/>
    <cellStyle name="Normal 4 4 4" xfId="379"/>
    <cellStyle name="Normal 4 4 4 2" xfId="380"/>
    <cellStyle name="Normal 4 4 4 2 2" xfId="904"/>
    <cellStyle name="Normal 4 4 4 2 2 2" xfId="1863"/>
    <cellStyle name="Normal 4 4 4 2 2 2 2" xfId="3734"/>
    <cellStyle name="Normal 4 4 4 2 2 2 2 2" xfId="7529"/>
    <cellStyle name="Normal 4 4 4 2 2 2 2 2 2" xfId="15052"/>
    <cellStyle name="Normal 4 4 4 2 2 2 2 2 2 2" xfId="30096"/>
    <cellStyle name="Normal 4 4 4 2 2 2 2 2 2 3" xfId="45139"/>
    <cellStyle name="Normal 4 4 4 2 2 2 2 2 3" xfId="22575"/>
    <cellStyle name="Normal 4 4 4 2 2 2 2 2 4" xfId="37618"/>
    <cellStyle name="Normal 4 4 4 2 2 2 2 3" xfId="11303"/>
    <cellStyle name="Normal 4 4 4 2 2 2 2 3 2" xfId="26347"/>
    <cellStyle name="Normal 4 4 4 2 2 2 2 3 3" xfId="41390"/>
    <cellStyle name="Normal 4 4 4 2 2 2 2 4" xfId="18826"/>
    <cellStyle name="Normal 4 4 4 2 2 2 2 5" xfId="33869"/>
    <cellStyle name="Normal 4 4 4 2 2 2 3" xfId="5664"/>
    <cellStyle name="Normal 4 4 4 2 2 2 3 2" xfId="13187"/>
    <cellStyle name="Normal 4 4 4 2 2 2 3 2 2" xfId="28231"/>
    <cellStyle name="Normal 4 4 4 2 2 2 3 2 3" xfId="43274"/>
    <cellStyle name="Normal 4 4 4 2 2 2 3 3" xfId="20710"/>
    <cellStyle name="Normal 4 4 4 2 2 2 3 4" xfId="35753"/>
    <cellStyle name="Normal 4 4 4 2 2 2 4" xfId="9438"/>
    <cellStyle name="Normal 4 4 4 2 2 2 4 2" xfId="24482"/>
    <cellStyle name="Normal 4 4 4 2 2 2 4 3" xfId="39525"/>
    <cellStyle name="Normal 4 4 4 2 2 2 5" xfId="16961"/>
    <cellStyle name="Normal 4 4 4 2 2 2 6" xfId="32004"/>
    <cellStyle name="Normal 4 4 4 2 2 3" xfId="2802"/>
    <cellStyle name="Normal 4 4 4 2 2 3 2" xfId="6597"/>
    <cellStyle name="Normal 4 4 4 2 2 3 2 2" xfId="14120"/>
    <cellStyle name="Normal 4 4 4 2 2 3 2 2 2" xfId="29164"/>
    <cellStyle name="Normal 4 4 4 2 2 3 2 2 3" xfId="44207"/>
    <cellStyle name="Normal 4 4 4 2 2 3 2 3" xfId="21643"/>
    <cellStyle name="Normal 4 4 4 2 2 3 2 4" xfId="36686"/>
    <cellStyle name="Normal 4 4 4 2 2 3 3" xfId="10371"/>
    <cellStyle name="Normal 4 4 4 2 2 3 3 2" xfId="25415"/>
    <cellStyle name="Normal 4 4 4 2 2 3 3 3" xfId="40458"/>
    <cellStyle name="Normal 4 4 4 2 2 3 4" xfId="17894"/>
    <cellStyle name="Normal 4 4 4 2 2 3 5" xfId="32937"/>
    <cellStyle name="Normal 4 4 4 2 2 4" xfId="4732"/>
    <cellStyle name="Normal 4 4 4 2 2 4 2" xfId="12255"/>
    <cellStyle name="Normal 4 4 4 2 2 4 2 2" xfId="27299"/>
    <cellStyle name="Normal 4 4 4 2 2 4 2 3" xfId="42342"/>
    <cellStyle name="Normal 4 4 4 2 2 4 3" xfId="19778"/>
    <cellStyle name="Normal 4 4 4 2 2 4 4" xfId="34821"/>
    <cellStyle name="Normal 4 4 4 2 2 5" xfId="8506"/>
    <cellStyle name="Normal 4 4 4 2 2 5 2" xfId="23550"/>
    <cellStyle name="Normal 4 4 4 2 2 5 3" xfId="38593"/>
    <cellStyle name="Normal 4 4 4 2 2 6" xfId="16029"/>
    <cellStyle name="Normal 4 4 4 2 2 7" xfId="31072"/>
    <cellStyle name="Normal 4 4 4 2 3" xfId="1411"/>
    <cellStyle name="Normal 4 4 4 2 3 2" xfId="3282"/>
    <cellStyle name="Normal 4 4 4 2 3 2 2" xfId="7077"/>
    <cellStyle name="Normal 4 4 4 2 3 2 2 2" xfId="14600"/>
    <cellStyle name="Normal 4 4 4 2 3 2 2 2 2" xfId="29644"/>
    <cellStyle name="Normal 4 4 4 2 3 2 2 2 3" xfId="44687"/>
    <cellStyle name="Normal 4 4 4 2 3 2 2 3" xfId="22123"/>
    <cellStyle name="Normal 4 4 4 2 3 2 2 4" xfId="37166"/>
    <cellStyle name="Normal 4 4 4 2 3 2 3" xfId="10851"/>
    <cellStyle name="Normal 4 4 4 2 3 2 3 2" xfId="25895"/>
    <cellStyle name="Normal 4 4 4 2 3 2 3 3" xfId="40938"/>
    <cellStyle name="Normal 4 4 4 2 3 2 4" xfId="18374"/>
    <cellStyle name="Normal 4 4 4 2 3 2 5" xfId="33417"/>
    <cellStyle name="Normal 4 4 4 2 3 3" xfId="5212"/>
    <cellStyle name="Normal 4 4 4 2 3 3 2" xfId="12735"/>
    <cellStyle name="Normal 4 4 4 2 3 3 2 2" xfId="27779"/>
    <cellStyle name="Normal 4 4 4 2 3 3 2 3" xfId="42822"/>
    <cellStyle name="Normal 4 4 4 2 3 3 3" xfId="20258"/>
    <cellStyle name="Normal 4 4 4 2 3 3 4" xfId="35301"/>
    <cellStyle name="Normal 4 4 4 2 3 4" xfId="8986"/>
    <cellStyle name="Normal 4 4 4 2 3 4 2" xfId="24030"/>
    <cellStyle name="Normal 4 4 4 2 3 4 3" xfId="39073"/>
    <cellStyle name="Normal 4 4 4 2 3 5" xfId="16509"/>
    <cellStyle name="Normal 4 4 4 2 3 6" xfId="31552"/>
    <cellStyle name="Normal 4 4 4 2 4" xfId="2349"/>
    <cellStyle name="Normal 4 4 4 2 4 2" xfId="6145"/>
    <cellStyle name="Normal 4 4 4 2 4 2 2" xfId="13668"/>
    <cellStyle name="Normal 4 4 4 2 4 2 2 2" xfId="28712"/>
    <cellStyle name="Normal 4 4 4 2 4 2 2 3" xfId="43755"/>
    <cellStyle name="Normal 4 4 4 2 4 2 3" xfId="21191"/>
    <cellStyle name="Normal 4 4 4 2 4 2 4" xfId="36234"/>
    <cellStyle name="Normal 4 4 4 2 4 3" xfId="9919"/>
    <cellStyle name="Normal 4 4 4 2 4 3 2" xfId="24963"/>
    <cellStyle name="Normal 4 4 4 2 4 3 3" xfId="40006"/>
    <cellStyle name="Normal 4 4 4 2 4 4" xfId="17442"/>
    <cellStyle name="Normal 4 4 4 2 4 5" xfId="32485"/>
    <cellStyle name="Normal 4 4 4 2 5" xfId="4277"/>
    <cellStyle name="Normal 4 4 4 2 5 2" xfId="11801"/>
    <cellStyle name="Normal 4 4 4 2 5 2 2" xfId="26845"/>
    <cellStyle name="Normal 4 4 4 2 5 2 3" xfId="41888"/>
    <cellStyle name="Normal 4 4 4 2 5 3" xfId="19324"/>
    <cellStyle name="Normal 4 4 4 2 5 4" xfId="34367"/>
    <cellStyle name="Normal 4 4 4 2 6" xfId="8040"/>
    <cellStyle name="Normal 4 4 4 2 6 2" xfId="23084"/>
    <cellStyle name="Normal 4 4 4 2 6 3" xfId="38127"/>
    <cellStyle name="Normal 4 4 4 2 7" xfId="15563"/>
    <cellStyle name="Normal 4 4 4 2 8" xfId="30606"/>
    <cellStyle name="Normal 4 4 4 3" xfId="903"/>
    <cellStyle name="Normal 4 4 4 3 2" xfId="1862"/>
    <cellStyle name="Normal 4 4 4 3 2 2" xfId="3733"/>
    <cellStyle name="Normal 4 4 4 3 2 2 2" xfId="7528"/>
    <cellStyle name="Normal 4 4 4 3 2 2 2 2" xfId="15051"/>
    <cellStyle name="Normal 4 4 4 3 2 2 2 2 2" xfId="30095"/>
    <cellStyle name="Normal 4 4 4 3 2 2 2 2 3" xfId="45138"/>
    <cellStyle name="Normal 4 4 4 3 2 2 2 3" xfId="22574"/>
    <cellStyle name="Normal 4 4 4 3 2 2 2 4" xfId="37617"/>
    <cellStyle name="Normal 4 4 4 3 2 2 3" xfId="11302"/>
    <cellStyle name="Normal 4 4 4 3 2 2 3 2" xfId="26346"/>
    <cellStyle name="Normal 4 4 4 3 2 2 3 3" xfId="41389"/>
    <cellStyle name="Normal 4 4 4 3 2 2 4" xfId="18825"/>
    <cellStyle name="Normal 4 4 4 3 2 2 5" xfId="33868"/>
    <cellStyle name="Normal 4 4 4 3 2 3" xfId="5663"/>
    <cellStyle name="Normal 4 4 4 3 2 3 2" xfId="13186"/>
    <cellStyle name="Normal 4 4 4 3 2 3 2 2" xfId="28230"/>
    <cellStyle name="Normal 4 4 4 3 2 3 2 3" xfId="43273"/>
    <cellStyle name="Normal 4 4 4 3 2 3 3" xfId="20709"/>
    <cellStyle name="Normal 4 4 4 3 2 3 4" xfId="35752"/>
    <cellStyle name="Normal 4 4 4 3 2 4" xfId="9437"/>
    <cellStyle name="Normal 4 4 4 3 2 4 2" xfId="24481"/>
    <cellStyle name="Normal 4 4 4 3 2 4 3" xfId="39524"/>
    <cellStyle name="Normal 4 4 4 3 2 5" xfId="16960"/>
    <cellStyle name="Normal 4 4 4 3 2 6" xfId="32003"/>
    <cellStyle name="Normal 4 4 4 3 3" xfId="2801"/>
    <cellStyle name="Normal 4 4 4 3 3 2" xfId="6596"/>
    <cellStyle name="Normal 4 4 4 3 3 2 2" xfId="14119"/>
    <cellStyle name="Normal 4 4 4 3 3 2 2 2" xfId="29163"/>
    <cellStyle name="Normal 4 4 4 3 3 2 2 3" xfId="44206"/>
    <cellStyle name="Normal 4 4 4 3 3 2 3" xfId="21642"/>
    <cellStyle name="Normal 4 4 4 3 3 2 4" xfId="36685"/>
    <cellStyle name="Normal 4 4 4 3 3 3" xfId="10370"/>
    <cellStyle name="Normal 4 4 4 3 3 3 2" xfId="25414"/>
    <cellStyle name="Normal 4 4 4 3 3 3 3" xfId="40457"/>
    <cellStyle name="Normal 4 4 4 3 3 4" xfId="17893"/>
    <cellStyle name="Normal 4 4 4 3 3 5" xfId="32936"/>
    <cellStyle name="Normal 4 4 4 3 4" xfId="4731"/>
    <cellStyle name="Normal 4 4 4 3 4 2" xfId="12254"/>
    <cellStyle name="Normal 4 4 4 3 4 2 2" xfId="27298"/>
    <cellStyle name="Normal 4 4 4 3 4 2 3" xfId="42341"/>
    <cellStyle name="Normal 4 4 4 3 4 3" xfId="19777"/>
    <cellStyle name="Normal 4 4 4 3 4 4" xfId="34820"/>
    <cellStyle name="Normal 4 4 4 3 5" xfId="8505"/>
    <cellStyle name="Normal 4 4 4 3 5 2" xfId="23549"/>
    <cellStyle name="Normal 4 4 4 3 5 3" xfId="38592"/>
    <cellStyle name="Normal 4 4 4 3 6" xfId="16028"/>
    <cellStyle name="Normal 4 4 4 3 7" xfId="31071"/>
    <cellStyle name="Normal 4 4 4 4" xfId="1410"/>
    <cellStyle name="Normal 4 4 4 4 2" xfId="3281"/>
    <cellStyle name="Normal 4 4 4 4 2 2" xfId="7076"/>
    <cellStyle name="Normal 4 4 4 4 2 2 2" xfId="14599"/>
    <cellStyle name="Normal 4 4 4 4 2 2 2 2" xfId="29643"/>
    <cellStyle name="Normal 4 4 4 4 2 2 2 3" xfId="44686"/>
    <cellStyle name="Normal 4 4 4 4 2 2 3" xfId="22122"/>
    <cellStyle name="Normal 4 4 4 4 2 2 4" xfId="37165"/>
    <cellStyle name="Normal 4 4 4 4 2 3" xfId="10850"/>
    <cellStyle name="Normal 4 4 4 4 2 3 2" xfId="25894"/>
    <cellStyle name="Normal 4 4 4 4 2 3 3" xfId="40937"/>
    <cellStyle name="Normal 4 4 4 4 2 4" xfId="18373"/>
    <cellStyle name="Normal 4 4 4 4 2 5" xfId="33416"/>
    <cellStyle name="Normal 4 4 4 4 3" xfId="5211"/>
    <cellStyle name="Normal 4 4 4 4 3 2" xfId="12734"/>
    <cellStyle name="Normal 4 4 4 4 3 2 2" xfId="27778"/>
    <cellStyle name="Normal 4 4 4 4 3 2 3" xfId="42821"/>
    <cellStyle name="Normal 4 4 4 4 3 3" xfId="20257"/>
    <cellStyle name="Normal 4 4 4 4 3 4" xfId="35300"/>
    <cellStyle name="Normal 4 4 4 4 4" xfId="8985"/>
    <cellStyle name="Normal 4 4 4 4 4 2" xfId="24029"/>
    <cellStyle name="Normal 4 4 4 4 4 3" xfId="39072"/>
    <cellStyle name="Normal 4 4 4 4 5" xfId="16508"/>
    <cellStyle name="Normal 4 4 4 4 6" xfId="31551"/>
    <cellStyle name="Normal 4 4 4 5" xfId="2348"/>
    <cellStyle name="Normal 4 4 4 5 2" xfId="6144"/>
    <cellStyle name="Normal 4 4 4 5 2 2" xfId="13667"/>
    <cellStyle name="Normal 4 4 4 5 2 2 2" xfId="28711"/>
    <cellStyle name="Normal 4 4 4 5 2 2 3" xfId="43754"/>
    <cellStyle name="Normal 4 4 4 5 2 3" xfId="21190"/>
    <cellStyle name="Normal 4 4 4 5 2 4" xfId="36233"/>
    <cellStyle name="Normal 4 4 4 5 3" xfId="9918"/>
    <cellStyle name="Normal 4 4 4 5 3 2" xfId="24962"/>
    <cellStyle name="Normal 4 4 4 5 3 3" xfId="40005"/>
    <cellStyle name="Normal 4 4 4 5 4" xfId="17441"/>
    <cellStyle name="Normal 4 4 4 5 5" xfId="32484"/>
    <cellStyle name="Normal 4 4 4 6" xfId="4276"/>
    <cellStyle name="Normal 4 4 4 6 2" xfId="11800"/>
    <cellStyle name="Normal 4 4 4 6 2 2" xfId="26844"/>
    <cellStyle name="Normal 4 4 4 6 2 3" xfId="41887"/>
    <cellStyle name="Normal 4 4 4 6 3" xfId="19323"/>
    <cellStyle name="Normal 4 4 4 6 4" xfId="34366"/>
    <cellStyle name="Normal 4 4 4 7" xfId="8039"/>
    <cellStyle name="Normal 4 4 4 7 2" xfId="23083"/>
    <cellStyle name="Normal 4 4 4 7 3" xfId="38126"/>
    <cellStyle name="Normal 4 4 4 8" xfId="15562"/>
    <cellStyle name="Normal 4 4 4 9" xfId="30605"/>
    <cellStyle name="Normal 4 4 5" xfId="381"/>
    <cellStyle name="Normal 4 4 5 2" xfId="382"/>
    <cellStyle name="Normal 4 4 5 2 2" xfId="906"/>
    <cellStyle name="Normal 4 4 5 2 2 2" xfId="1865"/>
    <cellStyle name="Normal 4 4 5 2 2 2 2" xfId="3736"/>
    <cellStyle name="Normal 4 4 5 2 2 2 2 2" xfId="7531"/>
    <cellStyle name="Normal 4 4 5 2 2 2 2 2 2" xfId="15054"/>
    <cellStyle name="Normal 4 4 5 2 2 2 2 2 2 2" xfId="30098"/>
    <cellStyle name="Normal 4 4 5 2 2 2 2 2 2 3" xfId="45141"/>
    <cellStyle name="Normal 4 4 5 2 2 2 2 2 3" xfId="22577"/>
    <cellStyle name="Normal 4 4 5 2 2 2 2 2 4" xfId="37620"/>
    <cellStyle name="Normal 4 4 5 2 2 2 2 3" xfId="11305"/>
    <cellStyle name="Normal 4 4 5 2 2 2 2 3 2" xfId="26349"/>
    <cellStyle name="Normal 4 4 5 2 2 2 2 3 3" xfId="41392"/>
    <cellStyle name="Normal 4 4 5 2 2 2 2 4" xfId="18828"/>
    <cellStyle name="Normal 4 4 5 2 2 2 2 5" xfId="33871"/>
    <cellStyle name="Normal 4 4 5 2 2 2 3" xfId="5666"/>
    <cellStyle name="Normal 4 4 5 2 2 2 3 2" xfId="13189"/>
    <cellStyle name="Normal 4 4 5 2 2 2 3 2 2" xfId="28233"/>
    <cellStyle name="Normal 4 4 5 2 2 2 3 2 3" xfId="43276"/>
    <cellStyle name="Normal 4 4 5 2 2 2 3 3" xfId="20712"/>
    <cellStyle name="Normal 4 4 5 2 2 2 3 4" xfId="35755"/>
    <cellStyle name="Normal 4 4 5 2 2 2 4" xfId="9440"/>
    <cellStyle name="Normal 4 4 5 2 2 2 4 2" xfId="24484"/>
    <cellStyle name="Normal 4 4 5 2 2 2 4 3" xfId="39527"/>
    <cellStyle name="Normal 4 4 5 2 2 2 5" xfId="16963"/>
    <cellStyle name="Normal 4 4 5 2 2 2 6" xfId="32006"/>
    <cellStyle name="Normal 4 4 5 2 2 3" xfId="2804"/>
    <cellStyle name="Normal 4 4 5 2 2 3 2" xfId="6599"/>
    <cellStyle name="Normal 4 4 5 2 2 3 2 2" xfId="14122"/>
    <cellStyle name="Normal 4 4 5 2 2 3 2 2 2" xfId="29166"/>
    <cellStyle name="Normal 4 4 5 2 2 3 2 2 3" xfId="44209"/>
    <cellStyle name="Normal 4 4 5 2 2 3 2 3" xfId="21645"/>
    <cellStyle name="Normal 4 4 5 2 2 3 2 4" xfId="36688"/>
    <cellStyle name="Normal 4 4 5 2 2 3 3" xfId="10373"/>
    <cellStyle name="Normal 4 4 5 2 2 3 3 2" xfId="25417"/>
    <cellStyle name="Normal 4 4 5 2 2 3 3 3" xfId="40460"/>
    <cellStyle name="Normal 4 4 5 2 2 3 4" xfId="17896"/>
    <cellStyle name="Normal 4 4 5 2 2 3 5" xfId="32939"/>
    <cellStyle name="Normal 4 4 5 2 2 4" xfId="4734"/>
    <cellStyle name="Normal 4 4 5 2 2 4 2" xfId="12257"/>
    <cellStyle name="Normal 4 4 5 2 2 4 2 2" xfId="27301"/>
    <cellStyle name="Normal 4 4 5 2 2 4 2 3" xfId="42344"/>
    <cellStyle name="Normal 4 4 5 2 2 4 3" xfId="19780"/>
    <cellStyle name="Normal 4 4 5 2 2 4 4" xfId="34823"/>
    <cellStyle name="Normal 4 4 5 2 2 5" xfId="8508"/>
    <cellStyle name="Normal 4 4 5 2 2 5 2" xfId="23552"/>
    <cellStyle name="Normal 4 4 5 2 2 5 3" xfId="38595"/>
    <cellStyle name="Normal 4 4 5 2 2 6" xfId="16031"/>
    <cellStyle name="Normal 4 4 5 2 2 7" xfId="31074"/>
    <cellStyle name="Normal 4 4 5 2 3" xfId="1413"/>
    <cellStyle name="Normal 4 4 5 2 3 2" xfId="3284"/>
    <cellStyle name="Normal 4 4 5 2 3 2 2" xfId="7079"/>
    <cellStyle name="Normal 4 4 5 2 3 2 2 2" xfId="14602"/>
    <cellStyle name="Normal 4 4 5 2 3 2 2 2 2" xfId="29646"/>
    <cellStyle name="Normal 4 4 5 2 3 2 2 2 3" xfId="44689"/>
    <cellStyle name="Normal 4 4 5 2 3 2 2 3" xfId="22125"/>
    <cellStyle name="Normal 4 4 5 2 3 2 2 4" xfId="37168"/>
    <cellStyle name="Normal 4 4 5 2 3 2 3" xfId="10853"/>
    <cellStyle name="Normal 4 4 5 2 3 2 3 2" xfId="25897"/>
    <cellStyle name="Normal 4 4 5 2 3 2 3 3" xfId="40940"/>
    <cellStyle name="Normal 4 4 5 2 3 2 4" xfId="18376"/>
    <cellStyle name="Normal 4 4 5 2 3 2 5" xfId="33419"/>
    <cellStyle name="Normal 4 4 5 2 3 3" xfId="5214"/>
    <cellStyle name="Normal 4 4 5 2 3 3 2" xfId="12737"/>
    <cellStyle name="Normal 4 4 5 2 3 3 2 2" xfId="27781"/>
    <cellStyle name="Normal 4 4 5 2 3 3 2 3" xfId="42824"/>
    <cellStyle name="Normal 4 4 5 2 3 3 3" xfId="20260"/>
    <cellStyle name="Normal 4 4 5 2 3 3 4" xfId="35303"/>
    <cellStyle name="Normal 4 4 5 2 3 4" xfId="8988"/>
    <cellStyle name="Normal 4 4 5 2 3 4 2" xfId="24032"/>
    <cellStyle name="Normal 4 4 5 2 3 4 3" xfId="39075"/>
    <cellStyle name="Normal 4 4 5 2 3 5" xfId="16511"/>
    <cellStyle name="Normal 4 4 5 2 3 6" xfId="31554"/>
    <cellStyle name="Normal 4 4 5 2 4" xfId="2351"/>
    <cellStyle name="Normal 4 4 5 2 4 2" xfId="6147"/>
    <cellStyle name="Normal 4 4 5 2 4 2 2" xfId="13670"/>
    <cellStyle name="Normal 4 4 5 2 4 2 2 2" xfId="28714"/>
    <cellStyle name="Normal 4 4 5 2 4 2 2 3" xfId="43757"/>
    <cellStyle name="Normal 4 4 5 2 4 2 3" xfId="21193"/>
    <cellStyle name="Normal 4 4 5 2 4 2 4" xfId="36236"/>
    <cellStyle name="Normal 4 4 5 2 4 3" xfId="9921"/>
    <cellStyle name="Normal 4 4 5 2 4 3 2" xfId="24965"/>
    <cellStyle name="Normal 4 4 5 2 4 3 3" xfId="40008"/>
    <cellStyle name="Normal 4 4 5 2 4 4" xfId="17444"/>
    <cellStyle name="Normal 4 4 5 2 4 5" xfId="32487"/>
    <cellStyle name="Normal 4 4 5 2 5" xfId="4279"/>
    <cellStyle name="Normal 4 4 5 2 5 2" xfId="11803"/>
    <cellStyle name="Normal 4 4 5 2 5 2 2" xfId="26847"/>
    <cellStyle name="Normal 4 4 5 2 5 2 3" xfId="41890"/>
    <cellStyle name="Normal 4 4 5 2 5 3" xfId="19326"/>
    <cellStyle name="Normal 4 4 5 2 5 4" xfId="34369"/>
    <cellStyle name="Normal 4 4 5 2 6" xfId="8042"/>
    <cellStyle name="Normal 4 4 5 2 6 2" xfId="23086"/>
    <cellStyle name="Normal 4 4 5 2 6 3" xfId="38129"/>
    <cellStyle name="Normal 4 4 5 2 7" xfId="15565"/>
    <cellStyle name="Normal 4 4 5 2 8" xfId="30608"/>
    <cellStyle name="Normal 4 4 5 3" xfId="905"/>
    <cellStyle name="Normal 4 4 5 3 2" xfId="1864"/>
    <cellStyle name="Normal 4 4 5 3 2 2" xfId="3735"/>
    <cellStyle name="Normal 4 4 5 3 2 2 2" xfId="7530"/>
    <cellStyle name="Normal 4 4 5 3 2 2 2 2" xfId="15053"/>
    <cellStyle name="Normal 4 4 5 3 2 2 2 2 2" xfId="30097"/>
    <cellStyle name="Normal 4 4 5 3 2 2 2 2 3" xfId="45140"/>
    <cellStyle name="Normal 4 4 5 3 2 2 2 3" xfId="22576"/>
    <cellStyle name="Normal 4 4 5 3 2 2 2 4" xfId="37619"/>
    <cellStyle name="Normal 4 4 5 3 2 2 3" xfId="11304"/>
    <cellStyle name="Normal 4 4 5 3 2 2 3 2" xfId="26348"/>
    <cellStyle name="Normal 4 4 5 3 2 2 3 3" xfId="41391"/>
    <cellStyle name="Normal 4 4 5 3 2 2 4" xfId="18827"/>
    <cellStyle name="Normal 4 4 5 3 2 2 5" xfId="33870"/>
    <cellStyle name="Normal 4 4 5 3 2 3" xfId="5665"/>
    <cellStyle name="Normal 4 4 5 3 2 3 2" xfId="13188"/>
    <cellStyle name="Normal 4 4 5 3 2 3 2 2" xfId="28232"/>
    <cellStyle name="Normal 4 4 5 3 2 3 2 3" xfId="43275"/>
    <cellStyle name="Normal 4 4 5 3 2 3 3" xfId="20711"/>
    <cellStyle name="Normal 4 4 5 3 2 3 4" xfId="35754"/>
    <cellStyle name="Normal 4 4 5 3 2 4" xfId="9439"/>
    <cellStyle name="Normal 4 4 5 3 2 4 2" xfId="24483"/>
    <cellStyle name="Normal 4 4 5 3 2 4 3" xfId="39526"/>
    <cellStyle name="Normal 4 4 5 3 2 5" xfId="16962"/>
    <cellStyle name="Normal 4 4 5 3 2 6" xfId="32005"/>
    <cellStyle name="Normal 4 4 5 3 3" xfId="2803"/>
    <cellStyle name="Normal 4 4 5 3 3 2" xfId="6598"/>
    <cellStyle name="Normal 4 4 5 3 3 2 2" xfId="14121"/>
    <cellStyle name="Normal 4 4 5 3 3 2 2 2" xfId="29165"/>
    <cellStyle name="Normal 4 4 5 3 3 2 2 3" xfId="44208"/>
    <cellStyle name="Normal 4 4 5 3 3 2 3" xfId="21644"/>
    <cellStyle name="Normal 4 4 5 3 3 2 4" xfId="36687"/>
    <cellStyle name="Normal 4 4 5 3 3 3" xfId="10372"/>
    <cellStyle name="Normal 4 4 5 3 3 3 2" xfId="25416"/>
    <cellStyle name="Normal 4 4 5 3 3 3 3" xfId="40459"/>
    <cellStyle name="Normal 4 4 5 3 3 4" xfId="17895"/>
    <cellStyle name="Normal 4 4 5 3 3 5" xfId="32938"/>
    <cellStyle name="Normal 4 4 5 3 4" xfId="4733"/>
    <cellStyle name="Normal 4 4 5 3 4 2" xfId="12256"/>
    <cellStyle name="Normal 4 4 5 3 4 2 2" xfId="27300"/>
    <cellStyle name="Normal 4 4 5 3 4 2 3" xfId="42343"/>
    <cellStyle name="Normal 4 4 5 3 4 3" xfId="19779"/>
    <cellStyle name="Normal 4 4 5 3 4 4" xfId="34822"/>
    <cellStyle name="Normal 4 4 5 3 5" xfId="8507"/>
    <cellStyle name="Normal 4 4 5 3 5 2" xfId="23551"/>
    <cellStyle name="Normal 4 4 5 3 5 3" xfId="38594"/>
    <cellStyle name="Normal 4 4 5 3 6" xfId="16030"/>
    <cellStyle name="Normal 4 4 5 3 7" xfId="31073"/>
    <cellStyle name="Normal 4 4 5 4" xfId="1412"/>
    <cellStyle name="Normal 4 4 5 4 2" xfId="3283"/>
    <cellStyle name="Normal 4 4 5 4 2 2" xfId="7078"/>
    <cellStyle name="Normal 4 4 5 4 2 2 2" xfId="14601"/>
    <cellStyle name="Normal 4 4 5 4 2 2 2 2" xfId="29645"/>
    <cellStyle name="Normal 4 4 5 4 2 2 2 3" xfId="44688"/>
    <cellStyle name="Normal 4 4 5 4 2 2 3" xfId="22124"/>
    <cellStyle name="Normal 4 4 5 4 2 2 4" xfId="37167"/>
    <cellStyle name="Normal 4 4 5 4 2 3" xfId="10852"/>
    <cellStyle name="Normal 4 4 5 4 2 3 2" xfId="25896"/>
    <cellStyle name="Normal 4 4 5 4 2 3 3" xfId="40939"/>
    <cellStyle name="Normal 4 4 5 4 2 4" xfId="18375"/>
    <cellStyle name="Normal 4 4 5 4 2 5" xfId="33418"/>
    <cellStyle name="Normal 4 4 5 4 3" xfId="5213"/>
    <cellStyle name="Normal 4 4 5 4 3 2" xfId="12736"/>
    <cellStyle name="Normal 4 4 5 4 3 2 2" xfId="27780"/>
    <cellStyle name="Normal 4 4 5 4 3 2 3" xfId="42823"/>
    <cellStyle name="Normal 4 4 5 4 3 3" xfId="20259"/>
    <cellStyle name="Normal 4 4 5 4 3 4" xfId="35302"/>
    <cellStyle name="Normal 4 4 5 4 4" xfId="8987"/>
    <cellStyle name="Normal 4 4 5 4 4 2" xfId="24031"/>
    <cellStyle name="Normal 4 4 5 4 4 3" xfId="39074"/>
    <cellStyle name="Normal 4 4 5 4 5" xfId="16510"/>
    <cellStyle name="Normal 4 4 5 4 6" xfId="31553"/>
    <cellStyle name="Normal 4 4 5 5" xfId="2350"/>
    <cellStyle name="Normal 4 4 5 5 2" xfId="6146"/>
    <cellStyle name="Normal 4 4 5 5 2 2" xfId="13669"/>
    <cellStyle name="Normal 4 4 5 5 2 2 2" xfId="28713"/>
    <cellStyle name="Normal 4 4 5 5 2 2 3" xfId="43756"/>
    <cellStyle name="Normal 4 4 5 5 2 3" xfId="21192"/>
    <cellStyle name="Normal 4 4 5 5 2 4" xfId="36235"/>
    <cellStyle name="Normal 4 4 5 5 3" xfId="9920"/>
    <cellStyle name="Normal 4 4 5 5 3 2" xfId="24964"/>
    <cellStyle name="Normal 4 4 5 5 3 3" xfId="40007"/>
    <cellStyle name="Normal 4 4 5 5 4" xfId="17443"/>
    <cellStyle name="Normal 4 4 5 5 5" xfId="32486"/>
    <cellStyle name="Normal 4 4 5 6" xfId="4278"/>
    <cellStyle name="Normal 4 4 5 6 2" xfId="11802"/>
    <cellStyle name="Normal 4 4 5 6 2 2" xfId="26846"/>
    <cellStyle name="Normal 4 4 5 6 2 3" xfId="41889"/>
    <cellStyle name="Normal 4 4 5 6 3" xfId="19325"/>
    <cellStyle name="Normal 4 4 5 6 4" xfId="34368"/>
    <cellStyle name="Normal 4 4 5 7" xfId="8041"/>
    <cellStyle name="Normal 4 4 5 7 2" xfId="23085"/>
    <cellStyle name="Normal 4 4 5 7 3" xfId="38128"/>
    <cellStyle name="Normal 4 4 5 8" xfId="15564"/>
    <cellStyle name="Normal 4 4 5 9" xfId="30607"/>
    <cellStyle name="Normal 4 4 6" xfId="383"/>
    <cellStyle name="Normal 4 4 6 2" xfId="907"/>
    <cellStyle name="Normal 4 4 6 2 2" xfId="1866"/>
    <cellStyle name="Normal 4 4 6 2 2 2" xfId="3737"/>
    <cellStyle name="Normal 4 4 6 2 2 2 2" xfId="7532"/>
    <cellStyle name="Normal 4 4 6 2 2 2 2 2" xfId="15055"/>
    <cellStyle name="Normal 4 4 6 2 2 2 2 2 2" xfId="30099"/>
    <cellStyle name="Normal 4 4 6 2 2 2 2 2 3" xfId="45142"/>
    <cellStyle name="Normal 4 4 6 2 2 2 2 3" xfId="22578"/>
    <cellStyle name="Normal 4 4 6 2 2 2 2 4" xfId="37621"/>
    <cellStyle name="Normal 4 4 6 2 2 2 3" xfId="11306"/>
    <cellStyle name="Normal 4 4 6 2 2 2 3 2" xfId="26350"/>
    <cellStyle name="Normal 4 4 6 2 2 2 3 3" xfId="41393"/>
    <cellStyle name="Normal 4 4 6 2 2 2 4" xfId="18829"/>
    <cellStyle name="Normal 4 4 6 2 2 2 5" xfId="33872"/>
    <cellStyle name="Normal 4 4 6 2 2 3" xfId="5667"/>
    <cellStyle name="Normal 4 4 6 2 2 3 2" xfId="13190"/>
    <cellStyle name="Normal 4 4 6 2 2 3 2 2" xfId="28234"/>
    <cellStyle name="Normal 4 4 6 2 2 3 2 3" xfId="43277"/>
    <cellStyle name="Normal 4 4 6 2 2 3 3" xfId="20713"/>
    <cellStyle name="Normal 4 4 6 2 2 3 4" xfId="35756"/>
    <cellStyle name="Normal 4 4 6 2 2 4" xfId="9441"/>
    <cellStyle name="Normal 4 4 6 2 2 4 2" xfId="24485"/>
    <cellStyle name="Normal 4 4 6 2 2 4 3" xfId="39528"/>
    <cellStyle name="Normal 4 4 6 2 2 5" xfId="16964"/>
    <cellStyle name="Normal 4 4 6 2 2 6" xfId="32007"/>
    <cellStyle name="Normal 4 4 6 2 3" xfId="2805"/>
    <cellStyle name="Normal 4 4 6 2 3 2" xfId="6600"/>
    <cellStyle name="Normal 4 4 6 2 3 2 2" xfId="14123"/>
    <cellStyle name="Normal 4 4 6 2 3 2 2 2" xfId="29167"/>
    <cellStyle name="Normal 4 4 6 2 3 2 2 3" xfId="44210"/>
    <cellStyle name="Normal 4 4 6 2 3 2 3" xfId="21646"/>
    <cellStyle name="Normal 4 4 6 2 3 2 4" xfId="36689"/>
    <cellStyle name="Normal 4 4 6 2 3 3" xfId="10374"/>
    <cellStyle name="Normal 4 4 6 2 3 3 2" xfId="25418"/>
    <cellStyle name="Normal 4 4 6 2 3 3 3" xfId="40461"/>
    <cellStyle name="Normal 4 4 6 2 3 4" xfId="17897"/>
    <cellStyle name="Normal 4 4 6 2 3 5" xfId="32940"/>
    <cellStyle name="Normal 4 4 6 2 4" xfId="4735"/>
    <cellStyle name="Normal 4 4 6 2 4 2" xfId="12258"/>
    <cellStyle name="Normal 4 4 6 2 4 2 2" xfId="27302"/>
    <cellStyle name="Normal 4 4 6 2 4 2 3" xfId="42345"/>
    <cellStyle name="Normal 4 4 6 2 4 3" xfId="19781"/>
    <cellStyle name="Normal 4 4 6 2 4 4" xfId="34824"/>
    <cellStyle name="Normal 4 4 6 2 5" xfId="8509"/>
    <cellStyle name="Normal 4 4 6 2 5 2" xfId="23553"/>
    <cellStyle name="Normal 4 4 6 2 5 3" xfId="38596"/>
    <cellStyle name="Normal 4 4 6 2 6" xfId="16032"/>
    <cellStyle name="Normal 4 4 6 2 7" xfId="31075"/>
    <cellStyle name="Normal 4 4 6 3" xfId="1414"/>
    <cellStyle name="Normal 4 4 6 3 2" xfId="3285"/>
    <cellStyle name="Normal 4 4 6 3 2 2" xfId="7080"/>
    <cellStyle name="Normal 4 4 6 3 2 2 2" xfId="14603"/>
    <cellStyle name="Normal 4 4 6 3 2 2 2 2" xfId="29647"/>
    <cellStyle name="Normal 4 4 6 3 2 2 2 3" xfId="44690"/>
    <cellStyle name="Normal 4 4 6 3 2 2 3" xfId="22126"/>
    <cellStyle name="Normal 4 4 6 3 2 2 4" xfId="37169"/>
    <cellStyle name="Normal 4 4 6 3 2 3" xfId="10854"/>
    <cellStyle name="Normal 4 4 6 3 2 3 2" xfId="25898"/>
    <cellStyle name="Normal 4 4 6 3 2 3 3" xfId="40941"/>
    <cellStyle name="Normal 4 4 6 3 2 4" xfId="18377"/>
    <cellStyle name="Normal 4 4 6 3 2 5" xfId="33420"/>
    <cellStyle name="Normal 4 4 6 3 3" xfId="5215"/>
    <cellStyle name="Normal 4 4 6 3 3 2" xfId="12738"/>
    <cellStyle name="Normal 4 4 6 3 3 2 2" xfId="27782"/>
    <cellStyle name="Normal 4 4 6 3 3 2 3" xfId="42825"/>
    <cellStyle name="Normal 4 4 6 3 3 3" xfId="20261"/>
    <cellStyle name="Normal 4 4 6 3 3 4" xfId="35304"/>
    <cellStyle name="Normal 4 4 6 3 4" xfId="8989"/>
    <cellStyle name="Normal 4 4 6 3 4 2" xfId="24033"/>
    <cellStyle name="Normal 4 4 6 3 4 3" xfId="39076"/>
    <cellStyle name="Normal 4 4 6 3 5" xfId="16512"/>
    <cellStyle name="Normal 4 4 6 3 6" xfId="31555"/>
    <cellStyle name="Normal 4 4 6 4" xfId="2352"/>
    <cellStyle name="Normal 4 4 6 4 2" xfId="6148"/>
    <cellStyle name="Normal 4 4 6 4 2 2" xfId="13671"/>
    <cellStyle name="Normal 4 4 6 4 2 2 2" xfId="28715"/>
    <cellStyle name="Normal 4 4 6 4 2 2 3" xfId="43758"/>
    <cellStyle name="Normal 4 4 6 4 2 3" xfId="21194"/>
    <cellStyle name="Normal 4 4 6 4 2 4" xfId="36237"/>
    <cellStyle name="Normal 4 4 6 4 3" xfId="9922"/>
    <cellStyle name="Normal 4 4 6 4 3 2" xfId="24966"/>
    <cellStyle name="Normal 4 4 6 4 3 3" xfId="40009"/>
    <cellStyle name="Normal 4 4 6 4 4" xfId="17445"/>
    <cellStyle name="Normal 4 4 6 4 5" xfId="32488"/>
    <cellStyle name="Normal 4 4 6 5" xfId="4280"/>
    <cellStyle name="Normal 4 4 6 5 2" xfId="11804"/>
    <cellStyle name="Normal 4 4 6 5 2 2" xfId="26848"/>
    <cellStyle name="Normal 4 4 6 5 2 3" xfId="41891"/>
    <cellStyle name="Normal 4 4 6 5 3" xfId="19327"/>
    <cellStyle name="Normal 4 4 6 5 4" xfId="34370"/>
    <cellStyle name="Normal 4 4 6 6" xfId="8043"/>
    <cellStyle name="Normal 4 4 6 6 2" xfId="23087"/>
    <cellStyle name="Normal 4 4 6 6 3" xfId="38130"/>
    <cellStyle name="Normal 4 4 6 7" xfId="15566"/>
    <cellStyle name="Normal 4 4 6 8" xfId="30609"/>
    <cellStyle name="Normal 4 4 7" xfId="884"/>
    <cellStyle name="Normal 4 4 7 2" xfId="1843"/>
    <cellStyle name="Normal 4 4 7 2 2" xfId="3714"/>
    <cellStyle name="Normal 4 4 7 2 2 2" xfId="7509"/>
    <cellStyle name="Normal 4 4 7 2 2 2 2" xfId="15032"/>
    <cellStyle name="Normal 4 4 7 2 2 2 2 2" xfId="30076"/>
    <cellStyle name="Normal 4 4 7 2 2 2 2 3" xfId="45119"/>
    <cellStyle name="Normal 4 4 7 2 2 2 3" xfId="22555"/>
    <cellStyle name="Normal 4 4 7 2 2 2 4" xfId="37598"/>
    <cellStyle name="Normal 4 4 7 2 2 3" xfId="11283"/>
    <cellStyle name="Normal 4 4 7 2 2 3 2" xfId="26327"/>
    <cellStyle name="Normal 4 4 7 2 2 3 3" xfId="41370"/>
    <cellStyle name="Normal 4 4 7 2 2 4" xfId="18806"/>
    <cellStyle name="Normal 4 4 7 2 2 5" xfId="33849"/>
    <cellStyle name="Normal 4 4 7 2 3" xfId="5644"/>
    <cellStyle name="Normal 4 4 7 2 3 2" xfId="13167"/>
    <cellStyle name="Normal 4 4 7 2 3 2 2" xfId="28211"/>
    <cellStyle name="Normal 4 4 7 2 3 2 3" xfId="43254"/>
    <cellStyle name="Normal 4 4 7 2 3 3" xfId="20690"/>
    <cellStyle name="Normal 4 4 7 2 3 4" xfId="35733"/>
    <cellStyle name="Normal 4 4 7 2 4" xfId="9418"/>
    <cellStyle name="Normal 4 4 7 2 4 2" xfId="24462"/>
    <cellStyle name="Normal 4 4 7 2 4 3" xfId="39505"/>
    <cellStyle name="Normal 4 4 7 2 5" xfId="16941"/>
    <cellStyle name="Normal 4 4 7 2 6" xfId="31984"/>
    <cellStyle name="Normal 4 4 7 3" xfId="2782"/>
    <cellStyle name="Normal 4 4 7 3 2" xfId="6577"/>
    <cellStyle name="Normal 4 4 7 3 2 2" xfId="14100"/>
    <cellStyle name="Normal 4 4 7 3 2 2 2" xfId="29144"/>
    <cellStyle name="Normal 4 4 7 3 2 2 3" xfId="44187"/>
    <cellStyle name="Normal 4 4 7 3 2 3" xfId="21623"/>
    <cellStyle name="Normal 4 4 7 3 2 4" xfId="36666"/>
    <cellStyle name="Normal 4 4 7 3 3" xfId="10351"/>
    <cellStyle name="Normal 4 4 7 3 3 2" xfId="25395"/>
    <cellStyle name="Normal 4 4 7 3 3 3" xfId="40438"/>
    <cellStyle name="Normal 4 4 7 3 4" xfId="17874"/>
    <cellStyle name="Normal 4 4 7 3 5" xfId="32917"/>
    <cellStyle name="Normal 4 4 7 4" xfId="4712"/>
    <cellStyle name="Normal 4 4 7 4 2" xfId="12235"/>
    <cellStyle name="Normal 4 4 7 4 2 2" xfId="27279"/>
    <cellStyle name="Normal 4 4 7 4 2 3" xfId="42322"/>
    <cellStyle name="Normal 4 4 7 4 3" xfId="19758"/>
    <cellStyle name="Normal 4 4 7 4 4" xfId="34801"/>
    <cellStyle name="Normal 4 4 7 5" xfId="8486"/>
    <cellStyle name="Normal 4 4 7 5 2" xfId="23530"/>
    <cellStyle name="Normal 4 4 7 5 3" xfId="38573"/>
    <cellStyle name="Normal 4 4 7 6" xfId="16009"/>
    <cellStyle name="Normal 4 4 7 7" xfId="31052"/>
    <cellStyle name="Normal 4 4 8" xfId="1391"/>
    <cellStyle name="Normal 4 4 8 2" xfId="3262"/>
    <cellStyle name="Normal 4 4 8 2 2" xfId="7057"/>
    <cellStyle name="Normal 4 4 8 2 2 2" xfId="14580"/>
    <cellStyle name="Normal 4 4 8 2 2 2 2" xfId="29624"/>
    <cellStyle name="Normal 4 4 8 2 2 2 3" xfId="44667"/>
    <cellStyle name="Normal 4 4 8 2 2 3" xfId="22103"/>
    <cellStyle name="Normal 4 4 8 2 2 4" xfId="37146"/>
    <cellStyle name="Normal 4 4 8 2 3" xfId="10831"/>
    <cellStyle name="Normal 4 4 8 2 3 2" xfId="25875"/>
    <cellStyle name="Normal 4 4 8 2 3 3" xfId="40918"/>
    <cellStyle name="Normal 4 4 8 2 4" xfId="18354"/>
    <cellStyle name="Normal 4 4 8 2 5" xfId="33397"/>
    <cellStyle name="Normal 4 4 8 3" xfId="5192"/>
    <cellStyle name="Normal 4 4 8 3 2" xfId="12715"/>
    <cellStyle name="Normal 4 4 8 3 2 2" xfId="27759"/>
    <cellStyle name="Normal 4 4 8 3 2 3" xfId="42802"/>
    <cellStyle name="Normal 4 4 8 3 3" xfId="20238"/>
    <cellStyle name="Normal 4 4 8 3 4" xfId="35281"/>
    <cellStyle name="Normal 4 4 8 4" xfId="8966"/>
    <cellStyle name="Normal 4 4 8 4 2" xfId="24010"/>
    <cellStyle name="Normal 4 4 8 4 3" xfId="39053"/>
    <cellStyle name="Normal 4 4 8 5" xfId="16489"/>
    <cellStyle name="Normal 4 4 8 6" xfId="31532"/>
    <cellStyle name="Normal 4 4 9" xfId="2329"/>
    <cellStyle name="Normal 4 4 9 2" xfId="6125"/>
    <cellStyle name="Normal 4 4 9 2 2" xfId="13648"/>
    <cellStyle name="Normal 4 4 9 2 2 2" xfId="28692"/>
    <cellStyle name="Normal 4 4 9 2 2 3" xfId="43735"/>
    <cellStyle name="Normal 4 4 9 2 3" xfId="21171"/>
    <cellStyle name="Normal 4 4 9 2 4" xfId="36214"/>
    <cellStyle name="Normal 4 4 9 3" xfId="9899"/>
    <cellStyle name="Normal 4 4 9 3 2" xfId="24943"/>
    <cellStyle name="Normal 4 4 9 3 3" xfId="39986"/>
    <cellStyle name="Normal 4 4 9 4" xfId="17422"/>
    <cellStyle name="Normal 4 4 9 5" xfId="32465"/>
    <cellStyle name="Normal 4 5" xfId="384"/>
    <cellStyle name="Normal 4 5 10" xfId="8044"/>
    <cellStyle name="Normal 4 5 10 2" xfId="23088"/>
    <cellStyle name="Normal 4 5 10 3" xfId="38131"/>
    <cellStyle name="Normal 4 5 11" xfId="15567"/>
    <cellStyle name="Normal 4 5 12" xfId="30610"/>
    <cellStyle name="Normal 4 5 2" xfId="385"/>
    <cellStyle name="Normal 4 5 2 10" xfId="15568"/>
    <cellStyle name="Normal 4 5 2 11" xfId="30611"/>
    <cellStyle name="Normal 4 5 2 2" xfId="386"/>
    <cellStyle name="Normal 4 5 2 2 2" xfId="387"/>
    <cellStyle name="Normal 4 5 2 2 2 2" xfId="911"/>
    <cellStyle name="Normal 4 5 2 2 2 2 2" xfId="1870"/>
    <cellStyle name="Normal 4 5 2 2 2 2 2 2" xfId="3741"/>
    <cellStyle name="Normal 4 5 2 2 2 2 2 2 2" xfId="7536"/>
    <cellStyle name="Normal 4 5 2 2 2 2 2 2 2 2" xfId="15059"/>
    <cellStyle name="Normal 4 5 2 2 2 2 2 2 2 2 2" xfId="30103"/>
    <cellStyle name="Normal 4 5 2 2 2 2 2 2 2 2 3" xfId="45146"/>
    <cellStyle name="Normal 4 5 2 2 2 2 2 2 2 3" xfId="22582"/>
    <cellStyle name="Normal 4 5 2 2 2 2 2 2 2 4" xfId="37625"/>
    <cellStyle name="Normal 4 5 2 2 2 2 2 2 3" xfId="11310"/>
    <cellStyle name="Normal 4 5 2 2 2 2 2 2 3 2" xfId="26354"/>
    <cellStyle name="Normal 4 5 2 2 2 2 2 2 3 3" xfId="41397"/>
    <cellStyle name="Normal 4 5 2 2 2 2 2 2 4" xfId="18833"/>
    <cellStyle name="Normal 4 5 2 2 2 2 2 2 5" xfId="33876"/>
    <cellStyle name="Normal 4 5 2 2 2 2 2 3" xfId="5671"/>
    <cellStyle name="Normal 4 5 2 2 2 2 2 3 2" xfId="13194"/>
    <cellStyle name="Normal 4 5 2 2 2 2 2 3 2 2" xfId="28238"/>
    <cellStyle name="Normal 4 5 2 2 2 2 2 3 2 3" xfId="43281"/>
    <cellStyle name="Normal 4 5 2 2 2 2 2 3 3" xfId="20717"/>
    <cellStyle name="Normal 4 5 2 2 2 2 2 3 4" xfId="35760"/>
    <cellStyle name="Normal 4 5 2 2 2 2 2 4" xfId="9445"/>
    <cellStyle name="Normal 4 5 2 2 2 2 2 4 2" xfId="24489"/>
    <cellStyle name="Normal 4 5 2 2 2 2 2 4 3" xfId="39532"/>
    <cellStyle name="Normal 4 5 2 2 2 2 2 5" xfId="16968"/>
    <cellStyle name="Normal 4 5 2 2 2 2 2 6" xfId="32011"/>
    <cellStyle name="Normal 4 5 2 2 2 2 3" xfId="2809"/>
    <cellStyle name="Normal 4 5 2 2 2 2 3 2" xfId="6604"/>
    <cellStyle name="Normal 4 5 2 2 2 2 3 2 2" xfId="14127"/>
    <cellStyle name="Normal 4 5 2 2 2 2 3 2 2 2" xfId="29171"/>
    <cellStyle name="Normal 4 5 2 2 2 2 3 2 2 3" xfId="44214"/>
    <cellStyle name="Normal 4 5 2 2 2 2 3 2 3" xfId="21650"/>
    <cellStyle name="Normal 4 5 2 2 2 2 3 2 4" xfId="36693"/>
    <cellStyle name="Normal 4 5 2 2 2 2 3 3" xfId="10378"/>
    <cellStyle name="Normal 4 5 2 2 2 2 3 3 2" xfId="25422"/>
    <cellStyle name="Normal 4 5 2 2 2 2 3 3 3" xfId="40465"/>
    <cellStyle name="Normal 4 5 2 2 2 2 3 4" xfId="17901"/>
    <cellStyle name="Normal 4 5 2 2 2 2 3 5" xfId="32944"/>
    <cellStyle name="Normal 4 5 2 2 2 2 4" xfId="4739"/>
    <cellStyle name="Normal 4 5 2 2 2 2 4 2" xfId="12262"/>
    <cellStyle name="Normal 4 5 2 2 2 2 4 2 2" xfId="27306"/>
    <cellStyle name="Normal 4 5 2 2 2 2 4 2 3" xfId="42349"/>
    <cellStyle name="Normal 4 5 2 2 2 2 4 3" xfId="19785"/>
    <cellStyle name="Normal 4 5 2 2 2 2 4 4" xfId="34828"/>
    <cellStyle name="Normal 4 5 2 2 2 2 5" xfId="8513"/>
    <cellStyle name="Normal 4 5 2 2 2 2 5 2" xfId="23557"/>
    <cellStyle name="Normal 4 5 2 2 2 2 5 3" xfId="38600"/>
    <cellStyle name="Normal 4 5 2 2 2 2 6" xfId="16036"/>
    <cellStyle name="Normal 4 5 2 2 2 2 7" xfId="31079"/>
    <cellStyle name="Normal 4 5 2 2 2 3" xfId="1418"/>
    <cellStyle name="Normal 4 5 2 2 2 3 2" xfId="3289"/>
    <cellStyle name="Normal 4 5 2 2 2 3 2 2" xfId="7084"/>
    <cellStyle name="Normal 4 5 2 2 2 3 2 2 2" xfId="14607"/>
    <cellStyle name="Normal 4 5 2 2 2 3 2 2 2 2" xfId="29651"/>
    <cellStyle name="Normal 4 5 2 2 2 3 2 2 2 3" xfId="44694"/>
    <cellStyle name="Normal 4 5 2 2 2 3 2 2 3" xfId="22130"/>
    <cellStyle name="Normal 4 5 2 2 2 3 2 2 4" xfId="37173"/>
    <cellStyle name="Normal 4 5 2 2 2 3 2 3" xfId="10858"/>
    <cellStyle name="Normal 4 5 2 2 2 3 2 3 2" xfId="25902"/>
    <cellStyle name="Normal 4 5 2 2 2 3 2 3 3" xfId="40945"/>
    <cellStyle name="Normal 4 5 2 2 2 3 2 4" xfId="18381"/>
    <cellStyle name="Normal 4 5 2 2 2 3 2 5" xfId="33424"/>
    <cellStyle name="Normal 4 5 2 2 2 3 3" xfId="5219"/>
    <cellStyle name="Normal 4 5 2 2 2 3 3 2" xfId="12742"/>
    <cellStyle name="Normal 4 5 2 2 2 3 3 2 2" xfId="27786"/>
    <cellStyle name="Normal 4 5 2 2 2 3 3 2 3" xfId="42829"/>
    <cellStyle name="Normal 4 5 2 2 2 3 3 3" xfId="20265"/>
    <cellStyle name="Normal 4 5 2 2 2 3 3 4" xfId="35308"/>
    <cellStyle name="Normal 4 5 2 2 2 3 4" xfId="8993"/>
    <cellStyle name="Normal 4 5 2 2 2 3 4 2" xfId="24037"/>
    <cellStyle name="Normal 4 5 2 2 2 3 4 3" xfId="39080"/>
    <cellStyle name="Normal 4 5 2 2 2 3 5" xfId="16516"/>
    <cellStyle name="Normal 4 5 2 2 2 3 6" xfId="31559"/>
    <cellStyle name="Normal 4 5 2 2 2 4" xfId="2356"/>
    <cellStyle name="Normal 4 5 2 2 2 4 2" xfId="6152"/>
    <cellStyle name="Normal 4 5 2 2 2 4 2 2" xfId="13675"/>
    <cellStyle name="Normal 4 5 2 2 2 4 2 2 2" xfId="28719"/>
    <cellStyle name="Normal 4 5 2 2 2 4 2 2 3" xfId="43762"/>
    <cellStyle name="Normal 4 5 2 2 2 4 2 3" xfId="21198"/>
    <cellStyle name="Normal 4 5 2 2 2 4 2 4" xfId="36241"/>
    <cellStyle name="Normal 4 5 2 2 2 4 3" xfId="9926"/>
    <cellStyle name="Normal 4 5 2 2 2 4 3 2" xfId="24970"/>
    <cellStyle name="Normal 4 5 2 2 2 4 3 3" xfId="40013"/>
    <cellStyle name="Normal 4 5 2 2 2 4 4" xfId="17449"/>
    <cellStyle name="Normal 4 5 2 2 2 4 5" xfId="32492"/>
    <cellStyle name="Normal 4 5 2 2 2 5" xfId="4284"/>
    <cellStyle name="Normal 4 5 2 2 2 5 2" xfId="11808"/>
    <cellStyle name="Normal 4 5 2 2 2 5 2 2" xfId="26852"/>
    <cellStyle name="Normal 4 5 2 2 2 5 2 3" xfId="41895"/>
    <cellStyle name="Normal 4 5 2 2 2 5 3" xfId="19331"/>
    <cellStyle name="Normal 4 5 2 2 2 5 4" xfId="34374"/>
    <cellStyle name="Normal 4 5 2 2 2 6" xfId="8047"/>
    <cellStyle name="Normal 4 5 2 2 2 6 2" xfId="23091"/>
    <cellStyle name="Normal 4 5 2 2 2 6 3" xfId="38134"/>
    <cellStyle name="Normal 4 5 2 2 2 7" xfId="15570"/>
    <cellStyle name="Normal 4 5 2 2 2 8" xfId="30613"/>
    <cellStyle name="Normal 4 5 2 2 3" xfId="910"/>
    <cellStyle name="Normal 4 5 2 2 3 2" xfId="1869"/>
    <cellStyle name="Normal 4 5 2 2 3 2 2" xfId="3740"/>
    <cellStyle name="Normal 4 5 2 2 3 2 2 2" xfId="7535"/>
    <cellStyle name="Normal 4 5 2 2 3 2 2 2 2" xfId="15058"/>
    <cellStyle name="Normal 4 5 2 2 3 2 2 2 2 2" xfId="30102"/>
    <cellStyle name="Normal 4 5 2 2 3 2 2 2 2 3" xfId="45145"/>
    <cellStyle name="Normal 4 5 2 2 3 2 2 2 3" xfId="22581"/>
    <cellStyle name="Normal 4 5 2 2 3 2 2 2 4" xfId="37624"/>
    <cellStyle name="Normal 4 5 2 2 3 2 2 3" xfId="11309"/>
    <cellStyle name="Normal 4 5 2 2 3 2 2 3 2" xfId="26353"/>
    <cellStyle name="Normal 4 5 2 2 3 2 2 3 3" xfId="41396"/>
    <cellStyle name="Normal 4 5 2 2 3 2 2 4" xfId="18832"/>
    <cellStyle name="Normal 4 5 2 2 3 2 2 5" xfId="33875"/>
    <cellStyle name="Normal 4 5 2 2 3 2 3" xfId="5670"/>
    <cellStyle name="Normal 4 5 2 2 3 2 3 2" xfId="13193"/>
    <cellStyle name="Normal 4 5 2 2 3 2 3 2 2" xfId="28237"/>
    <cellStyle name="Normal 4 5 2 2 3 2 3 2 3" xfId="43280"/>
    <cellStyle name="Normal 4 5 2 2 3 2 3 3" xfId="20716"/>
    <cellStyle name="Normal 4 5 2 2 3 2 3 4" xfId="35759"/>
    <cellStyle name="Normal 4 5 2 2 3 2 4" xfId="9444"/>
    <cellStyle name="Normal 4 5 2 2 3 2 4 2" xfId="24488"/>
    <cellStyle name="Normal 4 5 2 2 3 2 4 3" xfId="39531"/>
    <cellStyle name="Normal 4 5 2 2 3 2 5" xfId="16967"/>
    <cellStyle name="Normal 4 5 2 2 3 2 6" xfId="32010"/>
    <cellStyle name="Normal 4 5 2 2 3 3" xfId="2808"/>
    <cellStyle name="Normal 4 5 2 2 3 3 2" xfId="6603"/>
    <cellStyle name="Normal 4 5 2 2 3 3 2 2" xfId="14126"/>
    <cellStyle name="Normal 4 5 2 2 3 3 2 2 2" xfId="29170"/>
    <cellStyle name="Normal 4 5 2 2 3 3 2 2 3" xfId="44213"/>
    <cellStyle name="Normal 4 5 2 2 3 3 2 3" xfId="21649"/>
    <cellStyle name="Normal 4 5 2 2 3 3 2 4" xfId="36692"/>
    <cellStyle name="Normal 4 5 2 2 3 3 3" xfId="10377"/>
    <cellStyle name="Normal 4 5 2 2 3 3 3 2" xfId="25421"/>
    <cellStyle name="Normal 4 5 2 2 3 3 3 3" xfId="40464"/>
    <cellStyle name="Normal 4 5 2 2 3 3 4" xfId="17900"/>
    <cellStyle name="Normal 4 5 2 2 3 3 5" xfId="32943"/>
    <cellStyle name="Normal 4 5 2 2 3 4" xfId="4738"/>
    <cellStyle name="Normal 4 5 2 2 3 4 2" xfId="12261"/>
    <cellStyle name="Normal 4 5 2 2 3 4 2 2" xfId="27305"/>
    <cellStyle name="Normal 4 5 2 2 3 4 2 3" xfId="42348"/>
    <cellStyle name="Normal 4 5 2 2 3 4 3" xfId="19784"/>
    <cellStyle name="Normal 4 5 2 2 3 4 4" xfId="34827"/>
    <cellStyle name="Normal 4 5 2 2 3 5" xfId="8512"/>
    <cellStyle name="Normal 4 5 2 2 3 5 2" xfId="23556"/>
    <cellStyle name="Normal 4 5 2 2 3 5 3" xfId="38599"/>
    <cellStyle name="Normal 4 5 2 2 3 6" xfId="16035"/>
    <cellStyle name="Normal 4 5 2 2 3 7" xfId="31078"/>
    <cellStyle name="Normal 4 5 2 2 4" xfId="1417"/>
    <cellStyle name="Normal 4 5 2 2 4 2" xfId="3288"/>
    <cellStyle name="Normal 4 5 2 2 4 2 2" xfId="7083"/>
    <cellStyle name="Normal 4 5 2 2 4 2 2 2" xfId="14606"/>
    <cellStyle name="Normal 4 5 2 2 4 2 2 2 2" xfId="29650"/>
    <cellStyle name="Normal 4 5 2 2 4 2 2 2 3" xfId="44693"/>
    <cellStyle name="Normal 4 5 2 2 4 2 2 3" xfId="22129"/>
    <cellStyle name="Normal 4 5 2 2 4 2 2 4" xfId="37172"/>
    <cellStyle name="Normal 4 5 2 2 4 2 3" xfId="10857"/>
    <cellStyle name="Normal 4 5 2 2 4 2 3 2" xfId="25901"/>
    <cellStyle name="Normal 4 5 2 2 4 2 3 3" xfId="40944"/>
    <cellStyle name="Normal 4 5 2 2 4 2 4" xfId="18380"/>
    <cellStyle name="Normal 4 5 2 2 4 2 5" xfId="33423"/>
    <cellStyle name="Normal 4 5 2 2 4 3" xfId="5218"/>
    <cellStyle name="Normal 4 5 2 2 4 3 2" xfId="12741"/>
    <cellStyle name="Normal 4 5 2 2 4 3 2 2" xfId="27785"/>
    <cellStyle name="Normal 4 5 2 2 4 3 2 3" xfId="42828"/>
    <cellStyle name="Normal 4 5 2 2 4 3 3" xfId="20264"/>
    <cellStyle name="Normal 4 5 2 2 4 3 4" xfId="35307"/>
    <cellStyle name="Normal 4 5 2 2 4 4" xfId="8992"/>
    <cellStyle name="Normal 4 5 2 2 4 4 2" xfId="24036"/>
    <cellStyle name="Normal 4 5 2 2 4 4 3" xfId="39079"/>
    <cellStyle name="Normal 4 5 2 2 4 5" xfId="16515"/>
    <cellStyle name="Normal 4 5 2 2 4 6" xfId="31558"/>
    <cellStyle name="Normal 4 5 2 2 5" xfId="2355"/>
    <cellStyle name="Normal 4 5 2 2 5 2" xfId="6151"/>
    <cellStyle name="Normal 4 5 2 2 5 2 2" xfId="13674"/>
    <cellStyle name="Normal 4 5 2 2 5 2 2 2" xfId="28718"/>
    <cellStyle name="Normal 4 5 2 2 5 2 2 3" xfId="43761"/>
    <cellStyle name="Normal 4 5 2 2 5 2 3" xfId="21197"/>
    <cellStyle name="Normal 4 5 2 2 5 2 4" xfId="36240"/>
    <cellStyle name="Normal 4 5 2 2 5 3" xfId="9925"/>
    <cellStyle name="Normal 4 5 2 2 5 3 2" xfId="24969"/>
    <cellStyle name="Normal 4 5 2 2 5 3 3" xfId="40012"/>
    <cellStyle name="Normal 4 5 2 2 5 4" xfId="17448"/>
    <cellStyle name="Normal 4 5 2 2 5 5" xfId="32491"/>
    <cellStyle name="Normal 4 5 2 2 6" xfId="4283"/>
    <cellStyle name="Normal 4 5 2 2 6 2" xfId="11807"/>
    <cellStyle name="Normal 4 5 2 2 6 2 2" xfId="26851"/>
    <cellStyle name="Normal 4 5 2 2 6 2 3" xfId="41894"/>
    <cellStyle name="Normal 4 5 2 2 6 3" xfId="19330"/>
    <cellStyle name="Normal 4 5 2 2 6 4" xfId="34373"/>
    <cellStyle name="Normal 4 5 2 2 7" xfId="8046"/>
    <cellStyle name="Normal 4 5 2 2 7 2" xfId="23090"/>
    <cellStyle name="Normal 4 5 2 2 7 3" xfId="38133"/>
    <cellStyle name="Normal 4 5 2 2 8" xfId="15569"/>
    <cellStyle name="Normal 4 5 2 2 9" xfId="30612"/>
    <cellStyle name="Normal 4 5 2 3" xfId="388"/>
    <cellStyle name="Normal 4 5 2 3 2" xfId="389"/>
    <cellStyle name="Normal 4 5 2 3 2 2" xfId="913"/>
    <cellStyle name="Normal 4 5 2 3 2 2 2" xfId="1872"/>
    <cellStyle name="Normal 4 5 2 3 2 2 2 2" xfId="3743"/>
    <cellStyle name="Normal 4 5 2 3 2 2 2 2 2" xfId="7538"/>
    <cellStyle name="Normal 4 5 2 3 2 2 2 2 2 2" xfId="15061"/>
    <cellStyle name="Normal 4 5 2 3 2 2 2 2 2 2 2" xfId="30105"/>
    <cellStyle name="Normal 4 5 2 3 2 2 2 2 2 2 3" xfId="45148"/>
    <cellStyle name="Normal 4 5 2 3 2 2 2 2 2 3" xfId="22584"/>
    <cellStyle name="Normal 4 5 2 3 2 2 2 2 2 4" xfId="37627"/>
    <cellStyle name="Normal 4 5 2 3 2 2 2 2 3" xfId="11312"/>
    <cellStyle name="Normal 4 5 2 3 2 2 2 2 3 2" xfId="26356"/>
    <cellStyle name="Normal 4 5 2 3 2 2 2 2 3 3" xfId="41399"/>
    <cellStyle name="Normal 4 5 2 3 2 2 2 2 4" xfId="18835"/>
    <cellStyle name="Normal 4 5 2 3 2 2 2 2 5" xfId="33878"/>
    <cellStyle name="Normal 4 5 2 3 2 2 2 3" xfId="5673"/>
    <cellStyle name="Normal 4 5 2 3 2 2 2 3 2" xfId="13196"/>
    <cellStyle name="Normal 4 5 2 3 2 2 2 3 2 2" xfId="28240"/>
    <cellStyle name="Normal 4 5 2 3 2 2 2 3 2 3" xfId="43283"/>
    <cellStyle name="Normal 4 5 2 3 2 2 2 3 3" xfId="20719"/>
    <cellStyle name="Normal 4 5 2 3 2 2 2 3 4" xfId="35762"/>
    <cellStyle name="Normal 4 5 2 3 2 2 2 4" xfId="9447"/>
    <cellStyle name="Normal 4 5 2 3 2 2 2 4 2" xfId="24491"/>
    <cellStyle name="Normal 4 5 2 3 2 2 2 4 3" xfId="39534"/>
    <cellStyle name="Normal 4 5 2 3 2 2 2 5" xfId="16970"/>
    <cellStyle name="Normal 4 5 2 3 2 2 2 6" xfId="32013"/>
    <cellStyle name="Normal 4 5 2 3 2 2 3" xfId="2811"/>
    <cellStyle name="Normal 4 5 2 3 2 2 3 2" xfId="6606"/>
    <cellStyle name="Normal 4 5 2 3 2 2 3 2 2" xfId="14129"/>
    <cellStyle name="Normal 4 5 2 3 2 2 3 2 2 2" xfId="29173"/>
    <cellStyle name="Normal 4 5 2 3 2 2 3 2 2 3" xfId="44216"/>
    <cellStyle name="Normal 4 5 2 3 2 2 3 2 3" xfId="21652"/>
    <cellStyle name="Normal 4 5 2 3 2 2 3 2 4" xfId="36695"/>
    <cellStyle name="Normal 4 5 2 3 2 2 3 3" xfId="10380"/>
    <cellStyle name="Normal 4 5 2 3 2 2 3 3 2" xfId="25424"/>
    <cellStyle name="Normal 4 5 2 3 2 2 3 3 3" xfId="40467"/>
    <cellStyle name="Normal 4 5 2 3 2 2 3 4" xfId="17903"/>
    <cellStyle name="Normal 4 5 2 3 2 2 3 5" xfId="32946"/>
    <cellStyle name="Normal 4 5 2 3 2 2 4" xfId="4741"/>
    <cellStyle name="Normal 4 5 2 3 2 2 4 2" xfId="12264"/>
    <cellStyle name="Normal 4 5 2 3 2 2 4 2 2" xfId="27308"/>
    <cellStyle name="Normal 4 5 2 3 2 2 4 2 3" xfId="42351"/>
    <cellStyle name="Normal 4 5 2 3 2 2 4 3" xfId="19787"/>
    <cellStyle name="Normal 4 5 2 3 2 2 4 4" xfId="34830"/>
    <cellStyle name="Normal 4 5 2 3 2 2 5" xfId="8515"/>
    <cellStyle name="Normal 4 5 2 3 2 2 5 2" xfId="23559"/>
    <cellStyle name="Normal 4 5 2 3 2 2 5 3" xfId="38602"/>
    <cellStyle name="Normal 4 5 2 3 2 2 6" xfId="16038"/>
    <cellStyle name="Normal 4 5 2 3 2 2 7" xfId="31081"/>
    <cellStyle name="Normal 4 5 2 3 2 3" xfId="1420"/>
    <cellStyle name="Normal 4 5 2 3 2 3 2" xfId="3291"/>
    <cellStyle name="Normal 4 5 2 3 2 3 2 2" xfId="7086"/>
    <cellStyle name="Normal 4 5 2 3 2 3 2 2 2" xfId="14609"/>
    <cellStyle name="Normal 4 5 2 3 2 3 2 2 2 2" xfId="29653"/>
    <cellStyle name="Normal 4 5 2 3 2 3 2 2 2 3" xfId="44696"/>
    <cellStyle name="Normal 4 5 2 3 2 3 2 2 3" xfId="22132"/>
    <cellStyle name="Normal 4 5 2 3 2 3 2 2 4" xfId="37175"/>
    <cellStyle name="Normal 4 5 2 3 2 3 2 3" xfId="10860"/>
    <cellStyle name="Normal 4 5 2 3 2 3 2 3 2" xfId="25904"/>
    <cellStyle name="Normal 4 5 2 3 2 3 2 3 3" xfId="40947"/>
    <cellStyle name="Normal 4 5 2 3 2 3 2 4" xfId="18383"/>
    <cellStyle name="Normal 4 5 2 3 2 3 2 5" xfId="33426"/>
    <cellStyle name="Normal 4 5 2 3 2 3 3" xfId="5221"/>
    <cellStyle name="Normal 4 5 2 3 2 3 3 2" xfId="12744"/>
    <cellStyle name="Normal 4 5 2 3 2 3 3 2 2" xfId="27788"/>
    <cellStyle name="Normal 4 5 2 3 2 3 3 2 3" xfId="42831"/>
    <cellStyle name="Normal 4 5 2 3 2 3 3 3" xfId="20267"/>
    <cellStyle name="Normal 4 5 2 3 2 3 3 4" xfId="35310"/>
    <cellStyle name="Normal 4 5 2 3 2 3 4" xfId="8995"/>
    <cellStyle name="Normal 4 5 2 3 2 3 4 2" xfId="24039"/>
    <cellStyle name="Normal 4 5 2 3 2 3 4 3" xfId="39082"/>
    <cellStyle name="Normal 4 5 2 3 2 3 5" xfId="16518"/>
    <cellStyle name="Normal 4 5 2 3 2 3 6" xfId="31561"/>
    <cellStyle name="Normal 4 5 2 3 2 4" xfId="2358"/>
    <cellStyle name="Normal 4 5 2 3 2 4 2" xfId="6154"/>
    <cellStyle name="Normal 4 5 2 3 2 4 2 2" xfId="13677"/>
    <cellStyle name="Normal 4 5 2 3 2 4 2 2 2" xfId="28721"/>
    <cellStyle name="Normal 4 5 2 3 2 4 2 2 3" xfId="43764"/>
    <cellStyle name="Normal 4 5 2 3 2 4 2 3" xfId="21200"/>
    <cellStyle name="Normal 4 5 2 3 2 4 2 4" xfId="36243"/>
    <cellStyle name="Normal 4 5 2 3 2 4 3" xfId="9928"/>
    <cellStyle name="Normal 4 5 2 3 2 4 3 2" xfId="24972"/>
    <cellStyle name="Normal 4 5 2 3 2 4 3 3" xfId="40015"/>
    <cellStyle name="Normal 4 5 2 3 2 4 4" xfId="17451"/>
    <cellStyle name="Normal 4 5 2 3 2 4 5" xfId="32494"/>
    <cellStyle name="Normal 4 5 2 3 2 5" xfId="4286"/>
    <cellStyle name="Normal 4 5 2 3 2 5 2" xfId="11810"/>
    <cellStyle name="Normal 4 5 2 3 2 5 2 2" xfId="26854"/>
    <cellStyle name="Normal 4 5 2 3 2 5 2 3" xfId="41897"/>
    <cellStyle name="Normal 4 5 2 3 2 5 3" xfId="19333"/>
    <cellStyle name="Normal 4 5 2 3 2 5 4" xfId="34376"/>
    <cellStyle name="Normal 4 5 2 3 2 6" xfId="8049"/>
    <cellStyle name="Normal 4 5 2 3 2 6 2" xfId="23093"/>
    <cellStyle name="Normal 4 5 2 3 2 6 3" xfId="38136"/>
    <cellStyle name="Normal 4 5 2 3 2 7" xfId="15572"/>
    <cellStyle name="Normal 4 5 2 3 2 8" xfId="30615"/>
    <cellStyle name="Normal 4 5 2 3 3" xfId="912"/>
    <cellStyle name="Normal 4 5 2 3 3 2" xfId="1871"/>
    <cellStyle name="Normal 4 5 2 3 3 2 2" xfId="3742"/>
    <cellStyle name="Normal 4 5 2 3 3 2 2 2" xfId="7537"/>
    <cellStyle name="Normal 4 5 2 3 3 2 2 2 2" xfId="15060"/>
    <cellStyle name="Normal 4 5 2 3 3 2 2 2 2 2" xfId="30104"/>
    <cellStyle name="Normal 4 5 2 3 3 2 2 2 2 3" xfId="45147"/>
    <cellStyle name="Normal 4 5 2 3 3 2 2 2 3" xfId="22583"/>
    <cellStyle name="Normal 4 5 2 3 3 2 2 2 4" xfId="37626"/>
    <cellStyle name="Normal 4 5 2 3 3 2 2 3" xfId="11311"/>
    <cellStyle name="Normal 4 5 2 3 3 2 2 3 2" xfId="26355"/>
    <cellStyle name="Normal 4 5 2 3 3 2 2 3 3" xfId="41398"/>
    <cellStyle name="Normal 4 5 2 3 3 2 2 4" xfId="18834"/>
    <cellStyle name="Normal 4 5 2 3 3 2 2 5" xfId="33877"/>
    <cellStyle name="Normal 4 5 2 3 3 2 3" xfId="5672"/>
    <cellStyle name="Normal 4 5 2 3 3 2 3 2" xfId="13195"/>
    <cellStyle name="Normal 4 5 2 3 3 2 3 2 2" xfId="28239"/>
    <cellStyle name="Normal 4 5 2 3 3 2 3 2 3" xfId="43282"/>
    <cellStyle name="Normal 4 5 2 3 3 2 3 3" xfId="20718"/>
    <cellStyle name="Normal 4 5 2 3 3 2 3 4" xfId="35761"/>
    <cellStyle name="Normal 4 5 2 3 3 2 4" xfId="9446"/>
    <cellStyle name="Normal 4 5 2 3 3 2 4 2" xfId="24490"/>
    <cellStyle name="Normal 4 5 2 3 3 2 4 3" xfId="39533"/>
    <cellStyle name="Normal 4 5 2 3 3 2 5" xfId="16969"/>
    <cellStyle name="Normal 4 5 2 3 3 2 6" xfId="32012"/>
    <cellStyle name="Normal 4 5 2 3 3 3" xfId="2810"/>
    <cellStyle name="Normal 4 5 2 3 3 3 2" xfId="6605"/>
    <cellStyle name="Normal 4 5 2 3 3 3 2 2" xfId="14128"/>
    <cellStyle name="Normal 4 5 2 3 3 3 2 2 2" xfId="29172"/>
    <cellStyle name="Normal 4 5 2 3 3 3 2 2 3" xfId="44215"/>
    <cellStyle name="Normal 4 5 2 3 3 3 2 3" xfId="21651"/>
    <cellStyle name="Normal 4 5 2 3 3 3 2 4" xfId="36694"/>
    <cellStyle name="Normal 4 5 2 3 3 3 3" xfId="10379"/>
    <cellStyle name="Normal 4 5 2 3 3 3 3 2" xfId="25423"/>
    <cellStyle name="Normal 4 5 2 3 3 3 3 3" xfId="40466"/>
    <cellStyle name="Normal 4 5 2 3 3 3 4" xfId="17902"/>
    <cellStyle name="Normal 4 5 2 3 3 3 5" xfId="32945"/>
    <cellStyle name="Normal 4 5 2 3 3 4" xfId="4740"/>
    <cellStyle name="Normal 4 5 2 3 3 4 2" xfId="12263"/>
    <cellStyle name="Normal 4 5 2 3 3 4 2 2" xfId="27307"/>
    <cellStyle name="Normal 4 5 2 3 3 4 2 3" xfId="42350"/>
    <cellStyle name="Normal 4 5 2 3 3 4 3" xfId="19786"/>
    <cellStyle name="Normal 4 5 2 3 3 4 4" xfId="34829"/>
    <cellStyle name="Normal 4 5 2 3 3 5" xfId="8514"/>
    <cellStyle name="Normal 4 5 2 3 3 5 2" xfId="23558"/>
    <cellStyle name="Normal 4 5 2 3 3 5 3" xfId="38601"/>
    <cellStyle name="Normal 4 5 2 3 3 6" xfId="16037"/>
    <cellStyle name="Normal 4 5 2 3 3 7" xfId="31080"/>
    <cellStyle name="Normal 4 5 2 3 4" xfId="1419"/>
    <cellStyle name="Normal 4 5 2 3 4 2" xfId="3290"/>
    <cellStyle name="Normal 4 5 2 3 4 2 2" xfId="7085"/>
    <cellStyle name="Normal 4 5 2 3 4 2 2 2" xfId="14608"/>
    <cellStyle name="Normal 4 5 2 3 4 2 2 2 2" xfId="29652"/>
    <cellStyle name="Normal 4 5 2 3 4 2 2 2 3" xfId="44695"/>
    <cellStyle name="Normal 4 5 2 3 4 2 2 3" xfId="22131"/>
    <cellStyle name="Normal 4 5 2 3 4 2 2 4" xfId="37174"/>
    <cellStyle name="Normal 4 5 2 3 4 2 3" xfId="10859"/>
    <cellStyle name="Normal 4 5 2 3 4 2 3 2" xfId="25903"/>
    <cellStyle name="Normal 4 5 2 3 4 2 3 3" xfId="40946"/>
    <cellStyle name="Normal 4 5 2 3 4 2 4" xfId="18382"/>
    <cellStyle name="Normal 4 5 2 3 4 2 5" xfId="33425"/>
    <cellStyle name="Normal 4 5 2 3 4 3" xfId="5220"/>
    <cellStyle name="Normal 4 5 2 3 4 3 2" xfId="12743"/>
    <cellStyle name="Normal 4 5 2 3 4 3 2 2" xfId="27787"/>
    <cellStyle name="Normal 4 5 2 3 4 3 2 3" xfId="42830"/>
    <cellStyle name="Normal 4 5 2 3 4 3 3" xfId="20266"/>
    <cellStyle name="Normal 4 5 2 3 4 3 4" xfId="35309"/>
    <cellStyle name="Normal 4 5 2 3 4 4" xfId="8994"/>
    <cellStyle name="Normal 4 5 2 3 4 4 2" xfId="24038"/>
    <cellStyle name="Normal 4 5 2 3 4 4 3" xfId="39081"/>
    <cellStyle name="Normal 4 5 2 3 4 5" xfId="16517"/>
    <cellStyle name="Normal 4 5 2 3 4 6" xfId="31560"/>
    <cellStyle name="Normal 4 5 2 3 5" xfId="2357"/>
    <cellStyle name="Normal 4 5 2 3 5 2" xfId="6153"/>
    <cellStyle name="Normal 4 5 2 3 5 2 2" xfId="13676"/>
    <cellStyle name="Normal 4 5 2 3 5 2 2 2" xfId="28720"/>
    <cellStyle name="Normal 4 5 2 3 5 2 2 3" xfId="43763"/>
    <cellStyle name="Normal 4 5 2 3 5 2 3" xfId="21199"/>
    <cellStyle name="Normal 4 5 2 3 5 2 4" xfId="36242"/>
    <cellStyle name="Normal 4 5 2 3 5 3" xfId="9927"/>
    <cellStyle name="Normal 4 5 2 3 5 3 2" xfId="24971"/>
    <cellStyle name="Normal 4 5 2 3 5 3 3" xfId="40014"/>
    <cellStyle name="Normal 4 5 2 3 5 4" xfId="17450"/>
    <cellStyle name="Normal 4 5 2 3 5 5" xfId="32493"/>
    <cellStyle name="Normal 4 5 2 3 6" xfId="4285"/>
    <cellStyle name="Normal 4 5 2 3 6 2" xfId="11809"/>
    <cellStyle name="Normal 4 5 2 3 6 2 2" xfId="26853"/>
    <cellStyle name="Normal 4 5 2 3 6 2 3" xfId="41896"/>
    <cellStyle name="Normal 4 5 2 3 6 3" xfId="19332"/>
    <cellStyle name="Normal 4 5 2 3 6 4" xfId="34375"/>
    <cellStyle name="Normal 4 5 2 3 7" xfId="8048"/>
    <cellStyle name="Normal 4 5 2 3 7 2" xfId="23092"/>
    <cellStyle name="Normal 4 5 2 3 7 3" xfId="38135"/>
    <cellStyle name="Normal 4 5 2 3 8" xfId="15571"/>
    <cellStyle name="Normal 4 5 2 3 9" xfId="30614"/>
    <cellStyle name="Normal 4 5 2 4" xfId="390"/>
    <cellStyle name="Normal 4 5 2 4 2" xfId="914"/>
    <cellStyle name="Normal 4 5 2 4 2 2" xfId="1873"/>
    <cellStyle name="Normal 4 5 2 4 2 2 2" xfId="3744"/>
    <cellStyle name="Normal 4 5 2 4 2 2 2 2" xfId="7539"/>
    <cellStyle name="Normal 4 5 2 4 2 2 2 2 2" xfId="15062"/>
    <cellStyle name="Normal 4 5 2 4 2 2 2 2 2 2" xfId="30106"/>
    <cellStyle name="Normal 4 5 2 4 2 2 2 2 2 3" xfId="45149"/>
    <cellStyle name="Normal 4 5 2 4 2 2 2 2 3" xfId="22585"/>
    <cellStyle name="Normal 4 5 2 4 2 2 2 2 4" xfId="37628"/>
    <cellStyle name="Normal 4 5 2 4 2 2 2 3" xfId="11313"/>
    <cellStyle name="Normal 4 5 2 4 2 2 2 3 2" xfId="26357"/>
    <cellStyle name="Normal 4 5 2 4 2 2 2 3 3" xfId="41400"/>
    <cellStyle name="Normal 4 5 2 4 2 2 2 4" xfId="18836"/>
    <cellStyle name="Normal 4 5 2 4 2 2 2 5" xfId="33879"/>
    <cellStyle name="Normal 4 5 2 4 2 2 3" xfId="5674"/>
    <cellStyle name="Normal 4 5 2 4 2 2 3 2" xfId="13197"/>
    <cellStyle name="Normal 4 5 2 4 2 2 3 2 2" xfId="28241"/>
    <cellStyle name="Normal 4 5 2 4 2 2 3 2 3" xfId="43284"/>
    <cellStyle name="Normal 4 5 2 4 2 2 3 3" xfId="20720"/>
    <cellStyle name="Normal 4 5 2 4 2 2 3 4" xfId="35763"/>
    <cellStyle name="Normal 4 5 2 4 2 2 4" xfId="9448"/>
    <cellStyle name="Normal 4 5 2 4 2 2 4 2" xfId="24492"/>
    <cellStyle name="Normal 4 5 2 4 2 2 4 3" xfId="39535"/>
    <cellStyle name="Normal 4 5 2 4 2 2 5" xfId="16971"/>
    <cellStyle name="Normal 4 5 2 4 2 2 6" xfId="32014"/>
    <cellStyle name="Normal 4 5 2 4 2 3" xfId="2812"/>
    <cellStyle name="Normal 4 5 2 4 2 3 2" xfId="6607"/>
    <cellStyle name="Normal 4 5 2 4 2 3 2 2" xfId="14130"/>
    <cellStyle name="Normal 4 5 2 4 2 3 2 2 2" xfId="29174"/>
    <cellStyle name="Normal 4 5 2 4 2 3 2 2 3" xfId="44217"/>
    <cellStyle name="Normal 4 5 2 4 2 3 2 3" xfId="21653"/>
    <cellStyle name="Normal 4 5 2 4 2 3 2 4" xfId="36696"/>
    <cellStyle name="Normal 4 5 2 4 2 3 3" xfId="10381"/>
    <cellStyle name="Normal 4 5 2 4 2 3 3 2" xfId="25425"/>
    <cellStyle name="Normal 4 5 2 4 2 3 3 3" xfId="40468"/>
    <cellStyle name="Normal 4 5 2 4 2 3 4" xfId="17904"/>
    <cellStyle name="Normal 4 5 2 4 2 3 5" xfId="32947"/>
    <cellStyle name="Normal 4 5 2 4 2 4" xfId="4742"/>
    <cellStyle name="Normal 4 5 2 4 2 4 2" xfId="12265"/>
    <cellStyle name="Normal 4 5 2 4 2 4 2 2" xfId="27309"/>
    <cellStyle name="Normal 4 5 2 4 2 4 2 3" xfId="42352"/>
    <cellStyle name="Normal 4 5 2 4 2 4 3" xfId="19788"/>
    <cellStyle name="Normal 4 5 2 4 2 4 4" xfId="34831"/>
    <cellStyle name="Normal 4 5 2 4 2 5" xfId="8516"/>
    <cellStyle name="Normal 4 5 2 4 2 5 2" xfId="23560"/>
    <cellStyle name="Normal 4 5 2 4 2 5 3" xfId="38603"/>
    <cellStyle name="Normal 4 5 2 4 2 6" xfId="16039"/>
    <cellStyle name="Normal 4 5 2 4 2 7" xfId="31082"/>
    <cellStyle name="Normal 4 5 2 4 3" xfId="1421"/>
    <cellStyle name="Normal 4 5 2 4 3 2" xfId="3292"/>
    <cellStyle name="Normal 4 5 2 4 3 2 2" xfId="7087"/>
    <cellStyle name="Normal 4 5 2 4 3 2 2 2" xfId="14610"/>
    <cellStyle name="Normal 4 5 2 4 3 2 2 2 2" xfId="29654"/>
    <cellStyle name="Normal 4 5 2 4 3 2 2 2 3" xfId="44697"/>
    <cellStyle name="Normal 4 5 2 4 3 2 2 3" xfId="22133"/>
    <cellStyle name="Normal 4 5 2 4 3 2 2 4" xfId="37176"/>
    <cellStyle name="Normal 4 5 2 4 3 2 3" xfId="10861"/>
    <cellStyle name="Normal 4 5 2 4 3 2 3 2" xfId="25905"/>
    <cellStyle name="Normal 4 5 2 4 3 2 3 3" xfId="40948"/>
    <cellStyle name="Normal 4 5 2 4 3 2 4" xfId="18384"/>
    <cellStyle name="Normal 4 5 2 4 3 2 5" xfId="33427"/>
    <cellStyle name="Normal 4 5 2 4 3 3" xfId="5222"/>
    <cellStyle name="Normal 4 5 2 4 3 3 2" xfId="12745"/>
    <cellStyle name="Normal 4 5 2 4 3 3 2 2" xfId="27789"/>
    <cellStyle name="Normal 4 5 2 4 3 3 2 3" xfId="42832"/>
    <cellStyle name="Normal 4 5 2 4 3 3 3" xfId="20268"/>
    <cellStyle name="Normal 4 5 2 4 3 3 4" xfId="35311"/>
    <cellStyle name="Normal 4 5 2 4 3 4" xfId="8996"/>
    <cellStyle name="Normal 4 5 2 4 3 4 2" xfId="24040"/>
    <cellStyle name="Normal 4 5 2 4 3 4 3" xfId="39083"/>
    <cellStyle name="Normal 4 5 2 4 3 5" xfId="16519"/>
    <cellStyle name="Normal 4 5 2 4 3 6" xfId="31562"/>
    <cellStyle name="Normal 4 5 2 4 4" xfId="2359"/>
    <cellStyle name="Normal 4 5 2 4 4 2" xfId="6155"/>
    <cellStyle name="Normal 4 5 2 4 4 2 2" xfId="13678"/>
    <cellStyle name="Normal 4 5 2 4 4 2 2 2" xfId="28722"/>
    <cellStyle name="Normal 4 5 2 4 4 2 2 3" xfId="43765"/>
    <cellStyle name="Normal 4 5 2 4 4 2 3" xfId="21201"/>
    <cellStyle name="Normal 4 5 2 4 4 2 4" xfId="36244"/>
    <cellStyle name="Normal 4 5 2 4 4 3" xfId="9929"/>
    <cellStyle name="Normal 4 5 2 4 4 3 2" xfId="24973"/>
    <cellStyle name="Normal 4 5 2 4 4 3 3" xfId="40016"/>
    <cellStyle name="Normal 4 5 2 4 4 4" xfId="17452"/>
    <cellStyle name="Normal 4 5 2 4 4 5" xfId="32495"/>
    <cellStyle name="Normal 4 5 2 4 5" xfId="4287"/>
    <cellStyle name="Normal 4 5 2 4 5 2" xfId="11811"/>
    <cellStyle name="Normal 4 5 2 4 5 2 2" xfId="26855"/>
    <cellStyle name="Normal 4 5 2 4 5 2 3" xfId="41898"/>
    <cellStyle name="Normal 4 5 2 4 5 3" xfId="19334"/>
    <cellStyle name="Normal 4 5 2 4 5 4" xfId="34377"/>
    <cellStyle name="Normal 4 5 2 4 6" xfId="8050"/>
    <cellStyle name="Normal 4 5 2 4 6 2" xfId="23094"/>
    <cellStyle name="Normal 4 5 2 4 6 3" xfId="38137"/>
    <cellStyle name="Normal 4 5 2 4 7" xfId="15573"/>
    <cellStyle name="Normal 4 5 2 4 8" xfId="30616"/>
    <cellStyle name="Normal 4 5 2 5" xfId="909"/>
    <cellStyle name="Normal 4 5 2 5 2" xfId="1868"/>
    <cellStyle name="Normal 4 5 2 5 2 2" xfId="3739"/>
    <cellStyle name="Normal 4 5 2 5 2 2 2" xfId="7534"/>
    <cellStyle name="Normal 4 5 2 5 2 2 2 2" xfId="15057"/>
    <cellStyle name="Normal 4 5 2 5 2 2 2 2 2" xfId="30101"/>
    <cellStyle name="Normal 4 5 2 5 2 2 2 2 3" xfId="45144"/>
    <cellStyle name="Normal 4 5 2 5 2 2 2 3" xfId="22580"/>
    <cellStyle name="Normal 4 5 2 5 2 2 2 4" xfId="37623"/>
    <cellStyle name="Normal 4 5 2 5 2 2 3" xfId="11308"/>
    <cellStyle name="Normal 4 5 2 5 2 2 3 2" xfId="26352"/>
    <cellStyle name="Normal 4 5 2 5 2 2 3 3" xfId="41395"/>
    <cellStyle name="Normal 4 5 2 5 2 2 4" xfId="18831"/>
    <cellStyle name="Normal 4 5 2 5 2 2 5" xfId="33874"/>
    <cellStyle name="Normal 4 5 2 5 2 3" xfId="5669"/>
    <cellStyle name="Normal 4 5 2 5 2 3 2" xfId="13192"/>
    <cellStyle name="Normal 4 5 2 5 2 3 2 2" xfId="28236"/>
    <cellStyle name="Normal 4 5 2 5 2 3 2 3" xfId="43279"/>
    <cellStyle name="Normal 4 5 2 5 2 3 3" xfId="20715"/>
    <cellStyle name="Normal 4 5 2 5 2 3 4" xfId="35758"/>
    <cellStyle name="Normal 4 5 2 5 2 4" xfId="9443"/>
    <cellStyle name="Normal 4 5 2 5 2 4 2" xfId="24487"/>
    <cellStyle name="Normal 4 5 2 5 2 4 3" xfId="39530"/>
    <cellStyle name="Normal 4 5 2 5 2 5" xfId="16966"/>
    <cellStyle name="Normal 4 5 2 5 2 6" xfId="32009"/>
    <cellStyle name="Normal 4 5 2 5 3" xfId="2807"/>
    <cellStyle name="Normal 4 5 2 5 3 2" xfId="6602"/>
    <cellStyle name="Normal 4 5 2 5 3 2 2" xfId="14125"/>
    <cellStyle name="Normal 4 5 2 5 3 2 2 2" xfId="29169"/>
    <cellStyle name="Normal 4 5 2 5 3 2 2 3" xfId="44212"/>
    <cellStyle name="Normal 4 5 2 5 3 2 3" xfId="21648"/>
    <cellStyle name="Normal 4 5 2 5 3 2 4" xfId="36691"/>
    <cellStyle name="Normal 4 5 2 5 3 3" xfId="10376"/>
    <cellStyle name="Normal 4 5 2 5 3 3 2" xfId="25420"/>
    <cellStyle name="Normal 4 5 2 5 3 3 3" xfId="40463"/>
    <cellStyle name="Normal 4 5 2 5 3 4" xfId="17899"/>
    <cellStyle name="Normal 4 5 2 5 3 5" xfId="32942"/>
    <cellStyle name="Normal 4 5 2 5 4" xfId="4737"/>
    <cellStyle name="Normal 4 5 2 5 4 2" xfId="12260"/>
    <cellStyle name="Normal 4 5 2 5 4 2 2" xfId="27304"/>
    <cellStyle name="Normal 4 5 2 5 4 2 3" xfId="42347"/>
    <cellStyle name="Normal 4 5 2 5 4 3" xfId="19783"/>
    <cellStyle name="Normal 4 5 2 5 4 4" xfId="34826"/>
    <cellStyle name="Normal 4 5 2 5 5" xfId="8511"/>
    <cellStyle name="Normal 4 5 2 5 5 2" xfId="23555"/>
    <cellStyle name="Normal 4 5 2 5 5 3" xfId="38598"/>
    <cellStyle name="Normal 4 5 2 5 6" xfId="16034"/>
    <cellStyle name="Normal 4 5 2 5 7" xfId="31077"/>
    <cellStyle name="Normal 4 5 2 6" xfId="1416"/>
    <cellStyle name="Normal 4 5 2 6 2" xfId="3287"/>
    <cellStyle name="Normal 4 5 2 6 2 2" xfId="7082"/>
    <cellStyle name="Normal 4 5 2 6 2 2 2" xfId="14605"/>
    <cellStyle name="Normal 4 5 2 6 2 2 2 2" xfId="29649"/>
    <cellStyle name="Normal 4 5 2 6 2 2 2 3" xfId="44692"/>
    <cellStyle name="Normal 4 5 2 6 2 2 3" xfId="22128"/>
    <cellStyle name="Normal 4 5 2 6 2 2 4" xfId="37171"/>
    <cellStyle name="Normal 4 5 2 6 2 3" xfId="10856"/>
    <cellStyle name="Normal 4 5 2 6 2 3 2" xfId="25900"/>
    <cellStyle name="Normal 4 5 2 6 2 3 3" xfId="40943"/>
    <cellStyle name="Normal 4 5 2 6 2 4" xfId="18379"/>
    <cellStyle name="Normal 4 5 2 6 2 5" xfId="33422"/>
    <cellStyle name="Normal 4 5 2 6 3" xfId="5217"/>
    <cellStyle name="Normal 4 5 2 6 3 2" xfId="12740"/>
    <cellStyle name="Normal 4 5 2 6 3 2 2" xfId="27784"/>
    <cellStyle name="Normal 4 5 2 6 3 2 3" xfId="42827"/>
    <cellStyle name="Normal 4 5 2 6 3 3" xfId="20263"/>
    <cellStyle name="Normal 4 5 2 6 3 4" xfId="35306"/>
    <cellStyle name="Normal 4 5 2 6 4" xfId="8991"/>
    <cellStyle name="Normal 4 5 2 6 4 2" xfId="24035"/>
    <cellStyle name="Normal 4 5 2 6 4 3" xfId="39078"/>
    <cellStyle name="Normal 4 5 2 6 5" xfId="16514"/>
    <cellStyle name="Normal 4 5 2 6 6" xfId="31557"/>
    <cellStyle name="Normal 4 5 2 7" xfId="2354"/>
    <cellStyle name="Normal 4 5 2 7 2" xfId="6150"/>
    <cellStyle name="Normal 4 5 2 7 2 2" xfId="13673"/>
    <cellStyle name="Normal 4 5 2 7 2 2 2" xfId="28717"/>
    <cellStyle name="Normal 4 5 2 7 2 2 3" xfId="43760"/>
    <cellStyle name="Normal 4 5 2 7 2 3" xfId="21196"/>
    <cellStyle name="Normal 4 5 2 7 2 4" xfId="36239"/>
    <cellStyle name="Normal 4 5 2 7 3" xfId="9924"/>
    <cellStyle name="Normal 4 5 2 7 3 2" xfId="24968"/>
    <cellStyle name="Normal 4 5 2 7 3 3" xfId="40011"/>
    <cellStyle name="Normal 4 5 2 7 4" xfId="17447"/>
    <cellStyle name="Normal 4 5 2 7 5" xfId="32490"/>
    <cellStyle name="Normal 4 5 2 8" xfId="4282"/>
    <cellStyle name="Normal 4 5 2 8 2" xfId="11806"/>
    <cellStyle name="Normal 4 5 2 8 2 2" xfId="26850"/>
    <cellStyle name="Normal 4 5 2 8 2 3" xfId="41893"/>
    <cellStyle name="Normal 4 5 2 8 3" xfId="19329"/>
    <cellStyle name="Normal 4 5 2 8 4" xfId="34372"/>
    <cellStyle name="Normal 4 5 2 9" xfId="8045"/>
    <cellStyle name="Normal 4 5 2 9 2" xfId="23089"/>
    <cellStyle name="Normal 4 5 2 9 3" xfId="38132"/>
    <cellStyle name="Normal 4 5 3" xfId="391"/>
    <cellStyle name="Normal 4 5 3 2" xfId="392"/>
    <cellStyle name="Normal 4 5 3 2 2" xfId="916"/>
    <cellStyle name="Normal 4 5 3 2 2 2" xfId="1875"/>
    <cellStyle name="Normal 4 5 3 2 2 2 2" xfId="3746"/>
    <cellStyle name="Normal 4 5 3 2 2 2 2 2" xfId="7541"/>
    <cellStyle name="Normal 4 5 3 2 2 2 2 2 2" xfId="15064"/>
    <cellStyle name="Normal 4 5 3 2 2 2 2 2 2 2" xfId="30108"/>
    <cellStyle name="Normal 4 5 3 2 2 2 2 2 2 3" xfId="45151"/>
    <cellStyle name="Normal 4 5 3 2 2 2 2 2 3" xfId="22587"/>
    <cellStyle name="Normal 4 5 3 2 2 2 2 2 4" xfId="37630"/>
    <cellStyle name="Normal 4 5 3 2 2 2 2 3" xfId="11315"/>
    <cellStyle name="Normal 4 5 3 2 2 2 2 3 2" xfId="26359"/>
    <cellStyle name="Normal 4 5 3 2 2 2 2 3 3" xfId="41402"/>
    <cellStyle name="Normal 4 5 3 2 2 2 2 4" xfId="18838"/>
    <cellStyle name="Normal 4 5 3 2 2 2 2 5" xfId="33881"/>
    <cellStyle name="Normal 4 5 3 2 2 2 3" xfId="5676"/>
    <cellStyle name="Normal 4 5 3 2 2 2 3 2" xfId="13199"/>
    <cellStyle name="Normal 4 5 3 2 2 2 3 2 2" xfId="28243"/>
    <cellStyle name="Normal 4 5 3 2 2 2 3 2 3" xfId="43286"/>
    <cellStyle name="Normal 4 5 3 2 2 2 3 3" xfId="20722"/>
    <cellStyle name="Normal 4 5 3 2 2 2 3 4" xfId="35765"/>
    <cellStyle name="Normal 4 5 3 2 2 2 4" xfId="9450"/>
    <cellStyle name="Normal 4 5 3 2 2 2 4 2" xfId="24494"/>
    <cellStyle name="Normal 4 5 3 2 2 2 4 3" xfId="39537"/>
    <cellStyle name="Normal 4 5 3 2 2 2 5" xfId="16973"/>
    <cellStyle name="Normal 4 5 3 2 2 2 6" xfId="32016"/>
    <cellStyle name="Normal 4 5 3 2 2 3" xfId="2814"/>
    <cellStyle name="Normal 4 5 3 2 2 3 2" xfId="6609"/>
    <cellStyle name="Normal 4 5 3 2 2 3 2 2" xfId="14132"/>
    <cellStyle name="Normal 4 5 3 2 2 3 2 2 2" xfId="29176"/>
    <cellStyle name="Normal 4 5 3 2 2 3 2 2 3" xfId="44219"/>
    <cellStyle name="Normal 4 5 3 2 2 3 2 3" xfId="21655"/>
    <cellStyle name="Normal 4 5 3 2 2 3 2 4" xfId="36698"/>
    <cellStyle name="Normal 4 5 3 2 2 3 3" xfId="10383"/>
    <cellStyle name="Normal 4 5 3 2 2 3 3 2" xfId="25427"/>
    <cellStyle name="Normal 4 5 3 2 2 3 3 3" xfId="40470"/>
    <cellStyle name="Normal 4 5 3 2 2 3 4" xfId="17906"/>
    <cellStyle name="Normal 4 5 3 2 2 3 5" xfId="32949"/>
    <cellStyle name="Normal 4 5 3 2 2 4" xfId="4744"/>
    <cellStyle name="Normal 4 5 3 2 2 4 2" xfId="12267"/>
    <cellStyle name="Normal 4 5 3 2 2 4 2 2" xfId="27311"/>
    <cellStyle name="Normal 4 5 3 2 2 4 2 3" xfId="42354"/>
    <cellStyle name="Normal 4 5 3 2 2 4 3" xfId="19790"/>
    <cellStyle name="Normal 4 5 3 2 2 4 4" xfId="34833"/>
    <cellStyle name="Normal 4 5 3 2 2 5" xfId="8518"/>
    <cellStyle name="Normal 4 5 3 2 2 5 2" xfId="23562"/>
    <cellStyle name="Normal 4 5 3 2 2 5 3" xfId="38605"/>
    <cellStyle name="Normal 4 5 3 2 2 6" xfId="16041"/>
    <cellStyle name="Normal 4 5 3 2 2 7" xfId="31084"/>
    <cellStyle name="Normal 4 5 3 2 3" xfId="1423"/>
    <cellStyle name="Normal 4 5 3 2 3 2" xfId="3294"/>
    <cellStyle name="Normal 4 5 3 2 3 2 2" xfId="7089"/>
    <cellStyle name="Normal 4 5 3 2 3 2 2 2" xfId="14612"/>
    <cellStyle name="Normal 4 5 3 2 3 2 2 2 2" xfId="29656"/>
    <cellStyle name="Normal 4 5 3 2 3 2 2 2 3" xfId="44699"/>
    <cellStyle name="Normal 4 5 3 2 3 2 2 3" xfId="22135"/>
    <cellStyle name="Normal 4 5 3 2 3 2 2 4" xfId="37178"/>
    <cellStyle name="Normal 4 5 3 2 3 2 3" xfId="10863"/>
    <cellStyle name="Normal 4 5 3 2 3 2 3 2" xfId="25907"/>
    <cellStyle name="Normal 4 5 3 2 3 2 3 3" xfId="40950"/>
    <cellStyle name="Normal 4 5 3 2 3 2 4" xfId="18386"/>
    <cellStyle name="Normal 4 5 3 2 3 2 5" xfId="33429"/>
    <cellStyle name="Normal 4 5 3 2 3 3" xfId="5224"/>
    <cellStyle name="Normal 4 5 3 2 3 3 2" xfId="12747"/>
    <cellStyle name="Normal 4 5 3 2 3 3 2 2" xfId="27791"/>
    <cellStyle name="Normal 4 5 3 2 3 3 2 3" xfId="42834"/>
    <cellStyle name="Normal 4 5 3 2 3 3 3" xfId="20270"/>
    <cellStyle name="Normal 4 5 3 2 3 3 4" xfId="35313"/>
    <cellStyle name="Normal 4 5 3 2 3 4" xfId="8998"/>
    <cellStyle name="Normal 4 5 3 2 3 4 2" xfId="24042"/>
    <cellStyle name="Normal 4 5 3 2 3 4 3" xfId="39085"/>
    <cellStyle name="Normal 4 5 3 2 3 5" xfId="16521"/>
    <cellStyle name="Normal 4 5 3 2 3 6" xfId="31564"/>
    <cellStyle name="Normal 4 5 3 2 4" xfId="2361"/>
    <cellStyle name="Normal 4 5 3 2 4 2" xfId="6157"/>
    <cellStyle name="Normal 4 5 3 2 4 2 2" xfId="13680"/>
    <cellStyle name="Normal 4 5 3 2 4 2 2 2" xfId="28724"/>
    <cellStyle name="Normal 4 5 3 2 4 2 2 3" xfId="43767"/>
    <cellStyle name="Normal 4 5 3 2 4 2 3" xfId="21203"/>
    <cellStyle name="Normal 4 5 3 2 4 2 4" xfId="36246"/>
    <cellStyle name="Normal 4 5 3 2 4 3" xfId="9931"/>
    <cellStyle name="Normal 4 5 3 2 4 3 2" xfId="24975"/>
    <cellStyle name="Normal 4 5 3 2 4 3 3" xfId="40018"/>
    <cellStyle name="Normal 4 5 3 2 4 4" xfId="17454"/>
    <cellStyle name="Normal 4 5 3 2 4 5" xfId="32497"/>
    <cellStyle name="Normal 4 5 3 2 5" xfId="4289"/>
    <cellStyle name="Normal 4 5 3 2 5 2" xfId="11813"/>
    <cellStyle name="Normal 4 5 3 2 5 2 2" xfId="26857"/>
    <cellStyle name="Normal 4 5 3 2 5 2 3" xfId="41900"/>
    <cellStyle name="Normal 4 5 3 2 5 3" xfId="19336"/>
    <cellStyle name="Normal 4 5 3 2 5 4" xfId="34379"/>
    <cellStyle name="Normal 4 5 3 2 6" xfId="8052"/>
    <cellStyle name="Normal 4 5 3 2 6 2" xfId="23096"/>
    <cellStyle name="Normal 4 5 3 2 6 3" xfId="38139"/>
    <cellStyle name="Normal 4 5 3 2 7" xfId="15575"/>
    <cellStyle name="Normal 4 5 3 2 8" xfId="30618"/>
    <cellStyle name="Normal 4 5 3 3" xfId="915"/>
    <cellStyle name="Normal 4 5 3 3 2" xfId="1874"/>
    <cellStyle name="Normal 4 5 3 3 2 2" xfId="3745"/>
    <cellStyle name="Normal 4 5 3 3 2 2 2" xfId="7540"/>
    <cellStyle name="Normal 4 5 3 3 2 2 2 2" xfId="15063"/>
    <cellStyle name="Normal 4 5 3 3 2 2 2 2 2" xfId="30107"/>
    <cellStyle name="Normal 4 5 3 3 2 2 2 2 3" xfId="45150"/>
    <cellStyle name="Normal 4 5 3 3 2 2 2 3" xfId="22586"/>
    <cellStyle name="Normal 4 5 3 3 2 2 2 4" xfId="37629"/>
    <cellStyle name="Normal 4 5 3 3 2 2 3" xfId="11314"/>
    <cellStyle name="Normal 4 5 3 3 2 2 3 2" xfId="26358"/>
    <cellStyle name="Normal 4 5 3 3 2 2 3 3" xfId="41401"/>
    <cellStyle name="Normal 4 5 3 3 2 2 4" xfId="18837"/>
    <cellStyle name="Normal 4 5 3 3 2 2 5" xfId="33880"/>
    <cellStyle name="Normal 4 5 3 3 2 3" xfId="5675"/>
    <cellStyle name="Normal 4 5 3 3 2 3 2" xfId="13198"/>
    <cellStyle name="Normal 4 5 3 3 2 3 2 2" xfId="28242"/>
    <cellStyle name="Normal 4 5 3 3 2 3 2 3" xfId="43285"/>
    <cellStyle name="Normal 4 5 3 3 2 3 3" xfId="20721"/>
    <cellStyle name="Normal 4 5 3 3 2 3 4" xfId="35764"/>
    <cellStyle name="Normal 4 5 3 3 2 4" xfId="9449"/>
    <cellStyle name="Normal 4 5 3 3 2 4 2" xfId="24493"/>
    <cellStyle name="Normal 4 5 3 3 2 4 3" xfId="39536"/>
    <cellStyle name="Normal 4 5 3 3 2 5" xfId="16972"/>
    <cellStyle name="Normal 4 5 3 3 2 6" xfId="32015"/>
    <cellStyle name="Normal 4 5 3 3 3" xfId="2813"/>
    <cellStyle name="Normal 4 5 3 3 3 2" xfId="6608"/>
    <cellStyle name="Normal 4 5 3 3 3 2 2" xfId="14131"/>
    <cellStyle name="Normal 4 5 3 3 3 2 2 2" xfId="29175"/>
    <cellStyle name="Normal 4 5 3 3 3 2 2 3" xfId="44218"/>
    <cellStyle name="Normal 4 5 3 3 3 2 3" xfId="21654"/>
    <cellStyle name="Normal 4 5 3 3 3 2 4" xfId="36697"/>
    <cellStyle name="Normal 4 5 3 3 3 3" xfId="10382"/>
    <cellStyle name="Normal 4 5 3 3 3 3 2" xfId="25426"/>
    <cellStyle name="Normal 4 5 3 3 3 3 3" xfId="40469"/>
    <cellStyle name="Normal 4 5 3 3 3 4" xfId="17905"/>
    <cellStyle name="Normal 4 5 3 3 3 5" xfId="32948"/>
    <cellStyle name="Normal 4 5 3 3 4" xfId="4743"/>
    <cellStyle name="Normal 4 5 3 3 4 2" xfId="12266"/>
    <cellStyle name="Normal 4 5 3 3 4 2 2" xfId="27310"/>
    <cellStyle name="Normal 4 5 3 3 4 2 3" xfId="42353"/>
    <cellStyle name="Normal 4 5 3 3 4 3" xfId="19789"/>
    <cellStyle name="Normal 4 5 3 3 4 4" xfId="34832"/>
    <cellStyle name="Normal 4 5 3 3 5" xfId="8517"/>
    <cellStyle name="Normal 4 5 3 3 5 2" xfId="23561"/>
    <cellStyle name="Normal 4 5 3 3 5 3" xfId="38604"/>
    <cellStyle name="Normal 4 5 3 3 6" xfId="16040"/>
    <cellStyle name="Normal 4 5 3 3 7" xfId="31083"/>
    <cellStyle name="Normal 4 5 3 4" xfId="1422"/>
    <cellStyle name="Normal 4 5 3 4 2" xfId="3293"/>
    <cellStyle name="Normal 4 5 3 4 2 2" xfId="7088"/>
    <cellStyle name="Normal 4 5 3 4 2 2 2" xfId="14611"/>
    <cellStyle name="Normal 4 5 3 4 2 2 2 2" xfId="29655"/>
    <cellStyle name="Normal 4 5 3 4 2 2 2 3" xfId="44698"/>
    <cellStyle name="Normal 4 5 3 4 2 2 3" xfId="22134"/>
    <cellStyle name="Normal 4 5 3 4 2 2 4" xfId="37177"/>
    <cellStyle name="Normal 4 5 3 4 2 3" xfId="10862"/>
    <cellStyle name="Normal 4 5 3 4 2 3 2" xfId="25906"/>
    <cellStyle name="Normal 4 5 3 4 2 3 3" xfId="40949"/>
    <cellStyle name="Normal 4 5 3 4 2 4" xfId="18385"/>
    <cellStyle name="Normal 4 5 3 4 2 5" xfId="33428"/>
    <cellStyle name="Normal 4 5 3 4 3" xfId="5223"/>
    <cellStyle name="Normal 4 5 3 4 3 2" xfId="12746"/>
    <cellStyle name="Normal 4 5 3 4 3 2 2" xfId="27790"/>
    <cellStyle name="Normal 4 5 3 4 3 2 3" xfId="42833"/>
    <cellStyle name="Normal 4 5 3 4 3 3" xfId="20269"/>
    <cellStyle name="Normal 4 5 3 4 3 4" xfId="35312"/>
    <cellStyle name="Normal 4 5 3 4 4" xfId="8997"/>
    <cellStyle name="Normal 4 5 3 4 4 2" xfId="24041"/>
    <cellStyle name="Normal 4 5 3 4 4 3" xfId="39084"/>
    <cellStyle name="Normal 4 5 3 4 5" xfId="16520"/>
    <cellStyle name="Normal 4 5 3 4 6" xfId="31563"/>
    <cellStyle name="Normal 4 5 3 5" xfId="2360"/>
    <cellStyle name="Normal 4 5 3 5 2" xfId="6156"/>
    <cellStyle name="Normal 4 5 3 5 2 2" xfId="13679"/>
    <cellStyle name="Normal 4 5 3 5 2 2 2" xfId="28723"/>
    <cellStyle name="Normal 4 5 3 5 2 2 3" xfId="43766"/>
    <cellStyle name="Normal 4 5 3 5 2 3" xfId="21202"/>
    <cellStyle name="Normal 4 5 3 5 2 4" xfId="36245"/>
    <cellStyle name="Normal 4 5 3 5 3" xfId="9930"/>
    <cellStyle name="Normal 4 5 3 5 3 2" xfId="24974"/>
    <cellStyle name="Normal 4 5 3 5 3 3" xfId="40017"/>
    <cellStyle name="Normal 4 5 3 5 4" xfId="17453"/>
    <cellStyle name="Normal 4 5 3 5 5" xfId="32496"/>
    <cellStyle name="Normal 4 5 3 6" xfId="4288"/>
    <cellStyle name="Normal 4 5 3 6 2" xfId="11812"/>
    <cellStyle name="Normal 4 5 3 6 2 2" xfId="26856"/>
    <cellStyle name="Normal 4 5 3 6 2 3" xfId="41899"/>
    <cellStyle name="Normal 4 5 3 6 3" xfId="19335"/>
    <cellStyle name="Normal 4 5 3 6 4" xfId="34378"/>
    <cellStyle name="Normal 4 5 3 7" xfId="8051"/>
    <cellStyle name="Normal 4 5 3 7 2" xfId="23095"/>
    <cellStyle name="Normal 4 5 3 7 3" xfId="38138"/>
    <cellStyle name="Normal 4 5 3 8" xfId="15574"/>
    <cellStyle name="Normal 4 5 3 9" xfId="30617"/>
    <cellStyle name="Normal 4 5 4" xfId="393"/>
    <cellStyle name="Normal 4 5 4 2" xfId="394"/>
    <cellStyle name="Normal 4 5 4 2 2" xfId="918"/>
    <cellStyle name="Normal 4 5 4 2 2 2" xfId="1877"/>
    <cellStyle name="Normal 4 5 4 2 2 2 2" xfId="3748"/>
    <cellStyle name="Normal 4 5 4 2 2 2 2 2" xfId="7543"/>
    <cellStyle name="Normal 4 5 4 2 2 2 2 2 2" xfId="15066"/>
    <cellStyle name="Normal 4 5 4 2 2 2 2 2 2 2" xfId="30110"/>
    <cellStyle name="Normal 4 5 4 2 2 2 2 2 2 3" xfId="45153"/>
    <cellStyle name="Normal 4 5 4 2 2 2 2 2 3" xfId="22589"/>
    <cellStyle name="Normal 4 5 4 2 2 2 2 2 4" xfId="37632"/>
    <cellStyle name="Normal 4 5 4 2 2 2 2 3" xfId="11317"/>
    <cellStyle name="Normal 4 5 4 2 2 2 2 3 2" xfId="26361"/>
    <cellStyle name="Normal 4 5 4 2 2 2 2 3 3" xfId="41404"/>
    <cellStyle name="Normal 4 5 4 2 2 2 2 4" xfId="18840"/>
    <cellStyle name="Normal 4 5 4 2 2 2 2 5" xfId="33883"/>
    <cellStyle name="Normal 4 5 4 2 2 2 3" xfId="5678"/>
    <cellStyle name="Normal 4 5 4 2 2 2 3 2" xfId="13201"/>
    <cellStyle name="Normal 4 5 4 2 2 2 3 2 2" xfId="28245"/>
    <cellStyle name="Normal 4 5 4 2 2 2 3 2 3" xfId="43288"/>
    <cellStyle name="Normal 4 5 4 2 2 2 3 3" xfId="20724"/>
    <cellStyle name="Normal 4 5 4 2 2 2 3 4" xfId="35767"/>
    <cellStyle name="Normal 4 5 4 2 2 2 4" xfId="9452"/>
    <cellStyle name="Normal 4 5 4 2 2 2 4 2" xfId="24496"/>
    <cellStyle name="Normal 4 5 4 2 2 2 4 3" xfId="39539"/>
    <cellStyle name="Normal 4 5 4 2 2 2 5" xfId="16975"/>
    <cellStyle name="Normal 4 5 4 2 2 2 6" xfId="32018"/>
    <cellStyle name="Normal 4 5 4 2 2 3" xfId="2816"/>
    <cellStyle name="Normal 4 5 4 2 2 3 2" xfId="6611"/>
    <cellStyle name="Normal 4 5 4 2 2 3 2 2" xfId="14134"/>
    <cellStyle name="Normal 4 5 4 2 2 3 2 2 2" xfId="29178"/>
    <cellStyle name="Normal 4 5 4 2 2 3 2 2 3" xfId="44221"/>
    <cellStyle name="Normal 4 5 4 2 2 3 2 3" xfId="21657"/>
    <cellStyle name="Normal 4 5 4 2 2 3 2 4" xfId="36700"/>
    <cellStyle name="Normal 4 5 4 2 2 3 3" xfId="10385"/>
    <cellStyle name="Normal 4 5 4 2 2 3 3 2" xfId="25429"/>
    <cellStyle name="Normal 4 5 4 2 2 3 3 3" xfId="40472"/>
    <cellStyle name="Normal 4 5 4 2 2 3 4" xfId="17908"/>
    <cellStyle name="Normal 4 5 4 2 2 3 5" xfId="32951"/>
    <cellStyle name="Normal 4 5 4 2 2 4" xfId="4746"/>
    <cellStyle name="Normal 4 5 4 2 2 4 2" xfId="12269"/>
    <cellStyle name="Normal 4 5 4 2 2 4 2 2" xfId="27313"/>
    <cellStyle name="Normal 4 5 4 2 2 4 2 3" xfId="42356"/>
    <cellStyle name="Normal 4 5 4 2 2 4 3" xfId="19792"/>
    <cellStyle name="Normal 4 5 4 2 2 4 4" xfId="34835"/>
    <cellStyle name="Normal 4 5 4 2 2 5" xfId="8520"/>
    <cellStyle name="Normal 4 5 4 2 2 5 2" xfId="23564"/>
    <cellStyle name="Normal 4 5 4 2 2 5 3" xfId="38607"/>
    <cellStyle name="Normal 4 5 4 2 2 6" xfId="16043"/>
    <cellStyle name="Normal 4 5 4 2 2 7" xfId="31086"/>
    <cellStyle name="Normal 4 5 4 2 3" xfId="1425"/>
    <cellStyle name="Normal 4 5 4 2 3 2" xfId="3296"/>
    <cellStyle name="Normal 4 5 4 2 3 2 2" xfId="7091"/>
    <cellStyle name="Normal 4 5 4 2 3 2 2 2" xfId="14614"/>
    <cellStyle name="Normal 4 5 4 2 3 2 2 2 2" xfId="29658"/>
    <cellStyle name="Normal 4 5 4 2 3 2 2 2 3" xfId="44701"/>
    <cellStyle name="Normal 4 5 4 2 3 2 2 3" xfId="22137"/>
    <cellStyle name="Normal 4 5 4 2 3 2 2 4" xfId="37180"/>
    <cellStyle name="Normal 4 5 4 2 3 2 3" xfId="10865"/>
    <cellStyle name="Normal 4 5 4 2 3 2 3 2" xfId="25909"/>
    <cellStyle name="Normal 4 5 4 2 3 2 3 3" xfId="40952"/>
    <cellStyle name="Normal 4 5 4 2 3 2 4" xfId="18388"/>
    <cellStyle name="Normal 4 5 4 2 3 2 5" xfId="33431"/>
    <cellStyle name="Normal 4 5 4 2 3 3" xfId="5226"/>
    <cellStyle name="Normal 4 5 4 2 3 3 2" xfId="12749"/>
    <cellStyle name="Normal 4 5 4 2 3 3 2 2" xfId="27793"/>
    <cellStyle name="Normal 4 5 4 2 3 3 2 3" xfId="42836"/>
    <cellStyle name="Normal 4 5 4 2 3 3 3" xfId="20272"/>
    <cellStyle name="Normal 4 5 4 2 3 3 4" xfId="35315"/>
    <cellStyle name="Normal 4 5 4 2 3 4" xfId="9000"/>
    <cellStyle name="Normal 4 5 4 2 3 4 2" xfId="24044"/>
    <cellStyle name="Normal 4 5 4 2 3 4 3" xfId="39087"/>
    <cellStyle name="Normal 4 5 4 2 3 5" xfId="16523"/>
    <cellStyle name="Normal 4 5 4 2 3 6" xfId="31566"/>
    <cellStyle name="Normal 4 5 4 2 4" xfId="2363"/>
    <cellStyle name="Normal 4 5 4 2 4 2" xfId="6159"/>
    <cellStyle name="Normal 4 5 4 2 4 2 2" xfId="13682"/>
    <cellStyle name="Normal 4 5 4 2 4 2 2 2" xfId="28726"/>
    <cellStyle name="Normal 4 5 4 2 4 2 2 3" xfId="43769"/>
    <cellStyle name="Normal 4 5 4 2 4 2 3" xfId="21205"/>
    <cellStyle name="Normal 4 5 4 2 4 2 4" xfId="36248"/>
    <cellStyle name="Normal 4 5 4 2 4 3" xfId="9933"/>
    <cellStyle name="Normal 4 5 4 2 4 3 2" xfId="24977"/>
    <cellStyle name="Normal 4 5 4 2 4 3 3" xfId="40020"/>
    <cellStyle name="Normal 4 5 4 2 4 4" xfId="17456"/>
    <cellStyle name="Normal 4 5 4 2 4 5" xfId="32499"/>
    <cellStyle name="Normal 4 5 4 2 5" xfId="4291"/>
    <cellStyle name="Normal 4 5 4 2 5 2" xfId="11815"/>
    <cellStyle name="Normal 4 5 4 2 5 2 2" xfId="26859"/>
    <cellStyle name="Normal 4 5 4 2 5 2 3" xfId="41902"/>
    <cellStyle name="Normal 4 5 4 2 5 3" xfId="19338"/>
    <cellStyle name="Normal 4 5 4 2 5 4" xfId="34381"/>
    <cellStyle name="Normal 4 5 4 2 6" xfId="8054"/>
    <cellStyle name="Normal 4 5 4 2 6 2" xfId="23098"/>
    <cellStyle name="Normal 4 5 4 2 6 3" xfId="38141"/>
    <cellStyle name="Normal 4 5 4 2 7" xfId="15577"/>
    <cellStyle name="Normal 4 5 4 2 8" xfId="30620"/>
    <cellStyle name="Normal 4 5 4 3" xfId="917"/>
    <cellStyle name="Normal 4 5 4 3 2" xfId="1876"/>
    <cellStyle name="Normal 4 5 4 3 2 2" xfId="3747"/>
    <cellStyle name="Normal 4 5 4 3 2 2 2" xfId="7542"/>
    <cellStyle name="Normal 4 5 4 3 2 2 2 2" xfId="15065"/>
    <cellStyle name="Normal 4 5 4 3 2 2 2 2 2" xfId="30109"/>
    <cellStyle name="Normal 4 5 4 3 2 2 2 2 3" xfId="45152"/>
    <cellStyle name="Normal 4 5 4 3 2 2 2 3" xfId="22588"/>
    <cellStyle name="Normal 4 5 4 3 2 2 2 4" xfId="37631"/>
    <cellStyle name="Normal 4 5 4 3 2 2 3" xfId="11316"/>
    <cellStyle name="Normal 4 5 4 3 2 2 3 2" xfId="26360"/>
    <cellStyle name="Normal 4 5 4 3 2 2 3 3" xfId="41403"/>
    <cellStyle name="Normal 4 5 4 3 2 2 4" xfId="18839"/>
    <cellStyle name="Normal 4 5 4 3 2 2 5" xfId="33882"/>
    <cellStyle name="Normal 4 5 4 3 2 3" xfId="5677"/>
    <cellStyle name="Normal 4 5 4 3 2 3 2" xfId="13200"/>
    <cellStyle name="Normal 4 5 4 3 2 3 2 2" xfId="28244"/>
    <cellStyle name="Normal 4 5 4 3 2 3 2 3" xfId="43287"/>
    <cellStyle name="Normal 4 5 4 3 2 3 3" xfId="20723"/>
    <cellStyle name="Normal 4 5 4 3 2 3 4" xfId="35766"/>
    <cellStyle name="Normal 4 5 4 3 2 4" xfId="9451"/>
    <cellStyle name="Normal 4 5 4 3 2 4 2" xfId="24495"/>
    <cellStyle name="Normal 4 5 4 3 2 4 3" xfId="39538"/>
    <cellStyle name="Normal 4 5 4 3 2 5" xfId="16974"/>
    <cellStyle name="Normal 4 5 4 3 2 6" xfId="32017"/>
    <cellStyle name="Normal 4 5 4 3 3" xfId="2815"/>
    <cellStyle name="Normal 4 5 4 3 3 2" xfId="6610"/>
    <cellStyle name="Normal 4 5 4 3 3 2 2" xfId="14133"/>
    <cellStyle name="Normal 4 5 4 3 3 2 2 2" xfId="29177"/>
    <cellStyle name="Normal 4 5 4 3 3 2 2 3" xfId="44220"/>
    <cellStyle name="Normal 4 5 4 3 3 2 3" xfId="21656"/>
    <cellStyle name="Normal 4 5 4 3 3 2 4" xfId="36699"/>
    <cellStyle name="Normal 4 5 4 3 3 3" xfId="10384"/>
    <cellStyle name="Normal 4 5 4 3 3 3 2" xfId="25428"/>
    <cellStyle name="Normal 4 5 4 3 3 3 3" xfId="40471"/>
    <cellStyle name="Normal 4 5 4 3 3 4" xfId="17907"/>
    <cellStyle name="Normal 4 5 4 3 3 5" xfId="32950"/>
    <cellStyle name="Normal 4 5 4 3 4" xfId="4745"/>
    <cellStyle name="Normal 4 5 4 3 4 2" xfId="12268"/>
    <cellStyle name="Normal 4 5 4 3 4 2 2" xfId="27312"/>
    <cellStyle name="Normal 4 5 4 3 4 2 3" xfId="42355"/>
    <cellStyle name="Normal 4 5 4 3 4 3" xfId="19791"/>
    <cellStyle name="Normal 4 5 4 3 4 4" xfId="34834"/>
    <cellStyle name="Normal 4 5 4 3 5" xfId="8519"/>
    <cellStyle name="Normal 4 5 4 3 5 2" xfId="23563"/>
    <cellStyle name="Normal 4 5 4 3 5 3" xfId="38606"/>
    <cellStyle name="Normal 4 5 4 3 6" xfId="16042"/>
    <cellStyle name="Normal 4 5 4 3 7" xfId="31085"/>
    <cellStyle name="Normal 4 5 4 4" xfId="1424"/>
    <cellStyle name="Normal 4 5 4 4 2" xfId="3295"/>
    <cellStyle name="Normal 4 5 4 4 2 2" xfId="7090"/>
    <cellStyle name="Normal 4 5 4 4 2 2 2" xfId="14613"/>
    <cellStyle name="Normal 4 5 4 4 2 2 2 2" xfId="29657"/>
    <cellStyle name="Normal 4 5 4 4 2 2 2 3" xfId="44700"/>
    <cellStyle name="Normal 4 5 4 4 2 2 3" xfId="22136"/>
    <cellStyle name="Normal 4 5 4 4 2 2 4" xfId="37179"/>
    <cellStyle name="Normal 4 5 4 4 2 3" xfId="10864"/>
    <cellStyle name="Normal 4 5 4 4 2 3 2" xfId="25908"/>
    <cellStyle name="Normal 4 5 4 4 2 3 3" xfId="40951"/>
    <cellStyle name="Normal 4 5 4 4 2 4" xfId="18387"/>
    <cellStyle name="Normal 4 5 4 4 2 5" xfId="33430"/>
    <cellStyle name="Normal 4 5 4 4 3" xfId="5225"/>
    <cellStyle name="Normal 4 5 4 4 3 2" xfId="12748"/>
    <cellStyle name="Normal 4 5 4 4 3 2 2" xfId="27792"/>
    <cellStyle name="Normal 4 5 4 4 3 2 3" xfId="42835"/>
    <cellStyle name="Normal 4 5 4 4 3 3" xfId="20271"/>
    <cellStyle name="Normal 4 5 4 4 3 4" xfId="35314"/>
    <cellStyle name="Normal 4 5 4 4 4" xfId="8999"/>
    <cellStyle name="Normal 4 5 4 4 4 2" xfId="24043"/>
    <cellStyle name="Normal 4 5 4 4 4 3" xfId="39086"/>
    <cellStyle name="Normal 4 5 4 4 5" xfId="16522"/>
    <cellStyle name="Normal 4 5 4 4 6" xfId="31565"/>
    <cellStyle name="Normal 4 5 4 5" xfId="2362"/>
    <cellStyle name="Normal 4 5 4 5 2" xfId="6158"/>
    <cellStyle name="Normal 4 5 4 5 2 2" xfId="13681"/>
    <cellStyle name="Normal 4 5 4 5 2 2 2" xfId="28725"/>
    <cellStyle name="Normal 4 5 4 5 2 2 3" xfId="43768"/>
    <cellStyle name="Normal 4 5 4 5 2 3" xfId="21204"/>
    <cellStyle name="Normal 4 5 4 5 2 4" xfId="36247"/>
    <cellStyle name="Normal 4 5 4 5 3" xfId="9932"/>
    <cellStyle name="Normal 4 5 4 5 3 2" xfId="24976"/>
    <cellStyle name="Normal 4 5 4 5 3 3" xfId="40019"/>
    <cellStyle name="Normal 4 5 4 5 4" xfId="17455"/>
    <cellStyle name="Normal 4 5 4 5 5" xfId="32498"/>
    <cellStyle name="Normal 4 5 4 6" xfId="4290"/>
    <cellStyle name="Normal 4 5 4 6 2" xfId="11814"/>
    <cellStyle name="Normal 4 5 4 6 2 2" xfId="26858"/>
    <cellStyle name="Normal 4 5 4 6 2 3" xfId="41901"/>
    <cellStyle name="Normal 4 5 4 6 3" xfId="19337"/>
    <cellStyle name="Normal 4 5 4 6 4" xfId="34380"/>
    <cellStyle name="Normal 4 5 4 7" xfId="8053"/>
    <cellStyle name="Normal 4 5 4 7 2" xfId="23097"/>
    <cellStyle name="Normal 4 5 4 7 3" xfId="38140"/>
    <cellStyle name="Normal 4 5 4 8" xfId="15576"/>
    <cellStyle name="Normal 4 5 4 9" xfId="30619"/>
    <cellStyle name="Normal 4 5 5" xfId="395"/>
    <cellStyle name="Normal 4 5 5 2" xfId="919"/>
    <cellStyle name="Normal 4 5 5 2 2" xfId="1878"/>
    <cellStyle name="Normal 4 5 5 2 2 2" xfId="3749"/>
    <cellStyle name="Normal 4 5 5 2 2 2 2" xfId="7544"/>
    <cellStyle name="Normal 4 5 5 2 2 2 2 2" xfId="15067"/>
    <cellStyle name="Normal 4 5 5 2 2 2 2 2 2" xfId="30111"/>
    <cellStyle name="Normal 4 5 5 2 2 2 2 2 3" xfId="45154"/>
    <cellStyle name="Normal 4 5 5 2 2 2 2 3" xfId="22590"/>
    <cellStyle name="Normal 4 5 5 2 2 2 2 4" xfId="37633"/>
    <cellStyle name="Normal 4 5 5 2 2 2 3" xfId="11318"/>
    <cellStyle name="Normal 4 5 5 2 2 2 3 2" xfId="26362"/>
    <cellStyle name="Normal 4 5 5 2 2 2 3 3" xfId="41405"/>
    <cellStyle name="Normal 4 5 5 2 2 2 4" xfId="18841"/>
    <cellStyle name="Normal 4 5 5 2 2 2 5" xfId="33884"/>
    <cellStyle name="Normal 4 5 5 2 2 3" xfId="5679"/>
    <cellStyle name="Normal 4 5 5 2 2 3 2" xfId="13202"/>
    <cellStyle name="Normal 4 5 5 2 2 3 2 2" xfId="28246"/>
    <cellStyle name="Normal 4 5 5 2 2 3 2 3" xfId="43289"/>
    <cellStyle name="Normal 4 5 5 2 2 3 3" xfId="20725"/>
    <cellStyle name="Normal 4 5 5 2 2 3 4" xfId="35768"/>
    <cellStyle name="Normal 4 5 5 2 2 4" xfId="9453"/>
    <cellStyle name="Normal 4 5 5 2 2 4 2" xfId="24497"/>
    <cellStyle name="Normal 4 5 5 2 2 4 3" xfId="39540"/>
    <cellStyle name="Normal 4 5 5 2 2 5" xfId="16976"/>
    <cellStyle name="Normal 4 5 5 2 2 6" xfId="32019"/>
    <cellStyle name="Normal 4 5 5 2 3" xfId="2817"/>
    <cellStyle name="Normal 4 5 5 2 3 2" xfId="6612"/>
    <cellStyle name="Normal 4 5 5 2 3 2 2" xfId="14135"/>
    <cellStyle name="Normal 4 5 5 2 3 2 2 2" xfId="29179"/>
    <cellStyle name="Normal 4 5 5 2 3 2 2 3" xfId="44222"/>
    <cellStyle name="Normal 4 5 5 2 3 2 3" xfId="21658"/>
    <cellStyle name="Normal 4 5 5 2 3 2 4" xfId="36701"/>
    <cellStyle name="Normal 4 5 5 2 3 3" xfId="10386"/>
    <cellStyle name="Normal 4 5 5 2 3 3 2" xfId="25430"/>
    <cellStyle name="Normal 4 5 5 2 3 3 3" xfId="40473"/>
    <cellStyle name="Normal 4 5 5 2 3 4" xfId="17909"/>
    <cellStyle name="Normal 4 5 5 2 3 5" xfId="32952"/>
    <cellStyle name="Normal 4 5 5 2 4" xfId="4747"/>
    <cellStyle name="Normal 4 5 5 2 4 2" xfId="12270"/>
    <cellStyle name="Normal 4 5 5 2 4 2 2" xfId="27314"/>
    <cellStyle name="Normal 4 5 5 2 4 2 3" xfId="42357"/>
    <cellStyle name="Normal 4 5 5 2 4 3" xfId="19793"/>
    <cellStyle name="Normal 4 5 5 2 4 4" xfId="34836"/>
    <cellStyle name="Normal 4 5 5 2 5" xfId="8521"/>
    <cellStyle name="Normal 4 5 5 2 5 2" xfId="23565"/>
    <cellStyle name="Normal 4 5 5 2 5 3" xfId="38608"/>
    <cellStyle name="Normal 4 5 5 2 6" xfId="16044"/>
    <cellStyle name="Normal 4 5 5 2 7" xfId="31087"/>
    <cellStyle name="Normal 4 5 5 3" xfId="1426"/>
    <cellStyle name="Normal 4 5 5 3 2" xfId="3297"/>
    <cellStyle name="Normal 4 5 5 3 2 2" xfId="7092"/>
    <cellStyle name="Normal 4 5 5 3 2 2 2" xfId="14615"/>
    <cellStyle name="Normal 4 5 5 3 2 2 2 2" xfId="29659"/>
    <cellStyle name="Normal 4 5 5 3 2 2 2 3" xfId="44702"/>
    <cellStyle name="Normal 4 5 5 3 2 2 3" xfId="22138"/>
    <cellStyle name="Normal 4 5 5 3 2 2 4" xfId="37181"/>
    <cellStyle name="Normal 4 5 5 3 2 3" xfId="10866"/>
    <cellStyle name="Normal 4 5 5 3 2 3 2" xfId="25910"/>
    <cellStyle name="Normal 4 5 5 3 2 3 3" xfId="40953"/>
    <cellStyle name="Normal 4 5 5 3 2 4" xfId="18389"/>
    <cellStyle name="Normal 4 5 5 3 2 5" xfId="33432"/>
    <cellStyle name="Normal 4 5 5 3 3" xfId="5227"/>
    <cellStyle name="Normal 4 5 5 3 3 2" xfId="12750"/>
    <cellStyle name="Normal 4 5 5 3 3 2 2" xfId="27794"/>
    <cellStyle name="Normal 4 5 5 3 3 2 3" xfId="42837"/>
    <cellStyle name="Normal 4 5 5 3 3 3" xfId="20273"/>
    <cellStyle name="Normal 4 5 5 3 3 4" xfId="35316"/>
    <cellStyle name="Normal 4 5 5 3 4" xfId="9001"/>
    <cellStyle name="Normal 4 5 5 3 4 2" xfId="24045"/>
    <cellStyle name="Normal 4 5 5 3 4 3" xfId="39088"/>
    <cellStyle name="Normal 4 5 5 3 5" xfId="16524"/>
    <cellStyle name="Normal 4 5 5 3 6" xfId="31567"/>
    <cellStyle name="Normal 4 5 5 4" xfId="2364"/>
    <cellStyle name="Normal 4 5 5 4 2" xfId="6160"/>
    <cellStyle name="Normal 4 5 5 4 2 2" xfId="13683"/>
    <cellStyle name="Normal 4 5 5 4 2 2 2" xfId="28727"/>
    <cellStyle name="Normal 4 5 5 4 2 2 3" xfId="43770"/>
    <cellStyle name="Normal 4 5 5 4 2 3" xfId="21206"/>
    <cellStyle name="Normal 4 5 5 4 2 4" xfId="36249"/>
    <cellStyle name="Normal 4 5 5 4 3" xfId="9934"/>
    <cellStyle name="Normal 4 5 5 4 3 2" xfId="24978"/>
    <cellStyle name="Normal 4 5 5 4 3 3" xfId="40021"/>
    <cellStyle name="Normal 4 5 5 4 4" xfId="17457"/>
    <cellStyle name="Normal 4 5 5 4 5" xfId="32500"/>
    <cellStyle name="Normal 4 5 5 5" xfId="4292"/>
    <cellStyle name="Normal 4 5 5 5 2" xfId="11816"/>
    <cellStyle name="Normal 4 5 5 5 2 2" xfId="26860"/>
    <cellStyle name="Normal 4 5 5 5 2 3" xfId="41903"/>
    <cellStyle name="Normal 4 5 5 5 3" xfId="19339"/>
    <cellStyle name="Normal 4 5 5 5 4" xfId="34382"/>
    <cellStyle name="Normal 4 5 5 6" xfId="8055"/>
    <cellStyle name="Normal 4 5 5 6 2" xfId="23099"/>
    <cellStyle name="Normal 4 5 5 6 3" xfId="38142"/>
    <cellStyle name="Normal 4 5 5 7" xfId="15578"/>
    <cellStyle name="Normal 4 5 5 8" xfId="30621"/>
    <cellStyle name="Normal 4 5 6" xfId="908"/>
    <cellStyle name="Normal 4 5 6 2" xfId="1867"/>
    <cellStyle name="Normal 4 5 6 2 2" xfId="3738"/>
    <cellStyle name="Normal 4 5 6 2 2 2" xfId="7533"/>
    <cellStyle name="Normal 4 5 6 2 2 2 2" xfId="15056"/>
    <cellStyle name="Normal 4 5 6 2 2 2 2 2" xfId="30100"/>
    <cellStyle name="Normal 4 5 6 2 2 2 2 3" xfId="45143"/>
    <cellStyle name="Normal 4 5 6 2 2 2 3" xfId="22579"/>
    <cellStyle name="Normal 4 5 6 2 2 2 4" xfId="37622"/>
    <cellStyle name="Normal 4 5 6 2 2 3" xfId="11307"/>
    <cellStyle name="Normal 4 5 6 2 2 3 2" xfId="26351"/>
    <cellStyle name="Normal 4 5 6 2 2 3 3" xfId="41394"/>
    <cellStyle name="Normal 4 5 6 2 2 4" xfId="18830"/>
    <cellStyle name="Normal 4 5 6 2 2 5" xfId="33873"/>
    <cellStyle name="Normal 4 5 6 2 3" xfId="5668"/>
    <cellStyle name="Normal 4 5 6 2 3 2" xfId="13191"/>
    <cellStyle name="Normal 4 5 6 2 3 2 2" xfId="28235"/>
    <cellStyle name="Normal 4 5 6 2 3 2 3" xfId="43278"/>
    <cellStyle name="Normal 4 5 6 2 3 3" xfId="20714"/>
    <cellStyle name="Normal 4 5 6 2 3 4" xfId="35757"/>
    <cellStyle name="Normal 4 5 6 2 4" xfId="9442"/>
    <cellStyle name="Normal 4 5 6 2 4 2" xfId="24486"/>
    <cellStyle name="Normal 4 5 6 2 4 3" xfId="39529"/>
    <cellStyle name="Normal 4 5 6 2 5" xfId="16965"/>
    <cellStyle name="Normal 4 5 6 2 6" xfId="32008"/>
    <cellStyle name="Normal 4 5 6 3" xfId="2806"/>
    <cellStyle name="Normal 4 5 6 3 2" xfId="6601"/>
    <cellStyle name="Normal 4 5 6 3 2 2" xfId="14124"/>
    <cellStyle name="Normal 4 5 6 3 2 2 2" xfId="29168"/>
    <cellStyle name="Normal 4 5 6 3 2 2 3" xfId="44211"/>
    <cellStyle name="Normal 4 5 6 3 2 3" xfId="21647"/>
    <cellStyle name="Normal 4 5 6 3 2 4" xfId="36690"/>
    <cellStyle name="Normal 4 5 6 3 3" xfId="10375"/>
    <cellStyle name="Normal 4 5 6 3 3 2" xfId="25419"/>
    <cellStyle name="Normal 4 5 6 3 3 3" xfId="40462"/>
    <cellStyle name="Normal 4 5 6 3 4" xfId="17898"/>
    <cellStyle name="Normal 4 5 6 3 5" xfId="32941"/>
    <cellStyle name="Normal 4 5 6 4" xfId="4736"/>
    <cellStyle name="Normal 4 5 6 4 2" xfId="12259"/>
    <cellStyle name="Normal 4 5 6 4 2 2" xfId="27303"/>
    <cellStyle name="Normal 4 5 6 4 2 3" xfId="42346"/>
    <cellStyle name="Normal 4 5 6 4 3" xfId="19782"/>
    <cellStyle name="Normal 4 5 6 4 4" xfId="34825"/>
    <cellStyle name="Normal 4 5 6 5" xfId="8510"/>
    <cellStyle name="Normal 4 5 6 5 2" xfId="23554"/>
    <cellStyle name="Normal 4 5 6 5 3" xfId="38597"/>
    <cellStyle name="Normal 4 5 6 6" xfId="16033"/>
    <cellStyle name="Normal 4 5 6 7" xfId="31076"/>
    <cellStyle name="Normal 4 5 7" xfId="1415"/>
    <cellStyle name="Normal 4 5 7 2" xfId="3286"/>
    <cellStyle name="Normal 4 5 7 2 2" xfId="7081"/>
    <cellStyle name="Normal 4 5 7 2 2 2" xfId="14604"/>
    <cellStyle name="Normal 4 5 7 2 2 2 2" xfId="29648"/>
    <cellStyle name="Normal 4 5 7 2 2 2 3" xfId="44691"/>
    <cellStyle name="Normal 4 5 7 2 2 3" xfId="22127"/>
    <cellStyle name="Normal 4 5 7 2 2 4" xfId="37170"/>
    <cellStyle name="Normal 4 5 7 2 3" xfId="10855"/>
    <cellStyle name="Normal 4 5 7 2 3 2" xfId="25899"/>
    <cellStyle name="Normal 4 5 7 2 3 3" xfId="40942"/>
    <cellStyle name="Normal 4 5 7 2 4" xfId="18378"/>
    <cellStyle name="Normal 4 5 7 2 5" xfId="33421"/>
    <cellStyle name="Normal 4 5 7 3" xfId="5216"/>
    <cellStyle name="Normal 4 5 7 3 2" xfId="12739"/>
    <cellStyle name="Normal 4 5 7 3 2 2" xfId="27783"/>
    <cellStyle name="Normal 4 5 7 3 2 3" xfId="42826"/>
    <cellStyle name="Normal 4 5 7 3 3" xfId="20262"/>
    <cellStyle name="Normal 4 5 7 3 4" xfId="35305"/>
    <cellStyle name="Normal 4 5 7 4" xfId="8990"/>
    <cellStyle name="Normal 4 5 7 4 2" xfId="24034"/>
    <cellStyle name="Normal 4 5 7 4 3" xfId="39077"/>
    <cellStyle name="Normal 4 5 7 5" xfId="16513"/>
    <cellStyle name="Normal 4 5 7 6" xfId="31556"/>
    <cellStyle name="Normal 4 5 8" xfId="2353"/>
    <cellStyle name="Normal 4 5 8 2" xfId="6149"/>
    <cellStyle name="Normal 4 5 8 2 2" xfId="13672"/>
    <cellStyle name="Normal 4 5 8 2 2 2" xfId="28716"/>
    <cellStyle name="Normal 4 5 8 2 2 3" xfId="43759"/>
    <cellStyle name="Normal 4 5 8 2 3" xfId="21195"/>
    <cellStyle name="Normal 4 5 8 2 4" xfId="36238"/>
    <cellStyle name="Normal 4 5 8 3" xfId="9923"/>
    <cellStyle name="Normal 4 5 8 3 2" xfId="24967"/>
    <cellStyle name="Normal 4 5 8 3 3" xfId="40010"/>
    <cellStyle name="Normal 4 5 8 4" xfId="17446"/>
    <cellStyle name="Normal 4 5 8 5" xfId="32489"/>
    <cellStyle name="Normal 4 5 9" xfId="4281"/>
    <cellStyle name="Normal 4 5 9 2" xfId="11805"/>
    <cellStyle name="Normal 4 5 9 2 2" xfId="26849"/>
    <cellStyle name="Normal 4 5 9 2 3" xfId="41892"/>
    <cellStyle name="Normal 4 5 9 3" xfId="19328"/>
    <cellStyle name="Normal 4 5 9 4" xfId="34371"/>
    <cellStyle name="Normal 4 6" xfId="396"/>
    <cellStyle name="Normal 4 6 10" xfId="15579"/>
    <cellStyle name="Normal 4 6 11" xfId="30622"/>
    <cellStyle name="Normal 4 6 2" xfId="397"/>
    <cellStyle name="Normal 4 6 2 2" xfId="398"/>
    <cellStyle name="Normal 4 6 2 2 2" xfId="922"/>
    <cellStyle name="Normal 4 6 2 2 2 2" xfId="1881"/>
    <cellStyle name="Normal 4 6 2 2 2 2 2" xfId="3752"/>
    <cellStyle name="Normal 4 6 2 2 2 2 2 2" xfId="7547"/>
    <cellStyle name="Normal 4 6 2 2 2 2 2 2 2" xfId="15070"/>
    <cellStyle name="Normal 4 6 2 2 2 2 2 2 2 2" xfId="30114"/>
    <cellStyle name="Normal 4 6 2 2 2 2 2 2 2 3" xfId="45157"/>
    <cellStyle name="Normal 4 6 2 2 2 2 2 2 3" xfId="22593"/>
    <cellStyle name="Normal 4 6 2 2 2 2 2 2 4" xfId="37636"/>
    <cellStyle name="Normal 4 6 2 2 2 2 2 3" xfId="11321"/>
    <cellStyle name="Normal 4 6 2 2 2 2 2 3 2" xfId="26365"/>
    <cellStyle name="Normal 4 6 2 2 2 2 2 3 3" xfId="41408"/>
    <cellStyle name="Normal 4 6 2 2 2 2 2 4" xfId="18844"/>
    <cellStyle name="Normal 4 6 2 2 2 2 2 5" xfId="33887"/>
    <cellStyle name="Normal 4 6 2 2 2 2 3" xfId="5682"/>
    <cellStyle name="Normal 4 6 2 2 2 2 3 2" xfId="13205"/>
    <cellStyle name="Normal 4 6 2 2 2 2 3 2 2" xfId="28249"/>
    <cellStyle name="Normal 4 6 2 2 2 2 3 2 3" xfId="43292"/>
    <cellStyle name="Normal 4 6 2 2 2 2 3 3" xfId="20728"/>
    <cellStyle name="Normal 4 6 2 2 2 2 3 4" xfId="35771"/>
    <cellStyle name="Normal 4 6 2 2 2 2 4" xfId="9456"/>
    <cellStyle name="Normal 4 6 2 2 2 2 4 2" xfId="24500"/>
    <cellStyle name="Normal 4 6 2 2 2 2 4 3" xfId="39543"/>
    <cellStyle name="Normal 4 6 2 2 2 2 5" xfId="16979"/>
    <cellStyle name="Normal 4 6 2 2 2 2 6" xfId="32022"/>
    <cellStyle name="Normal 4 6 2 2 2 3" xfId="2820"/>
    <cellStyle name="Normal 4 6 2 2 2 3 2" xfId="6615"/>
    <cellStyle name="Normal 4 6 2 2 2 3 2 2" xfId="14138"/>
    <cellStyle name="Normal 4 6 2 2 2 3 2 2 2" xfId="29182"/>
    <cellStyle name="Normal 4 6 2 2 2 3 2 2 3" xfId="44225"/>
    <cellStyle name="Normal 4 6 2 2 2 3 2 3" xfId="21661"/>
    <cellStyle name="Normal 4 6 2 2 2 3 2 4" xfId="36704"/>
    <cellStyle name="Normal 4 6 2 2 2 3 3" xfId="10389"/>
    <cellStyle name="Normal 4 6 2 2 2 3 3 2" xfId="25433"/>
    <cellStyle name="Normal 4 6 2 2 2 3 3 3" xfId="40476"/>
    <cellStyle name="Normal 4 6 2 2 2 3 4" xfId="17912"/>
    <cellStyle name="Normal 4 6 2 2 2 3 5" xfId="32955"/>
    <cellStyle name="Normal 4 6 2 2 2 4" xfId="4750"/>
    <cellStyle name="Normal 4 6 2 2 2 4 2" xfId="12273"/>
    <cellStyle name="Normal 4 6 2 2 2 4 2 2" xfId="27317"/>
    <cellStyle name="Normal 4 6 2 2 2 4 2 3" xfId="42360"/>
    <cellStyle name="Normal 4 6 2 2 2 4 3" xfId="19796"/>
    <cellStyle name="Normal 4 6 2 2 2 4 4" xfId="34839"/>
    <cellStyle name="Normal 4 6 2 2 2 5" xfId="8524"/>
    <cellStyle name="Normal 4 6 2 2 2 5 2" xfId="23568"/>
    <cellStyle name="Normal 4 6 2 2 2 5 3" xfId="38611"/>
    <cellStyle name="Normal 4 6 2 2 2 6" xfId="16047"/>
    <cellStyle name="Normal 4 6 2 2 2 7" xfId="31090"/>
    <cellStyle name="Normal 4 6 2 2 3" xfId="1429"/>
    <cellStyle name="Normal 4 6 2 2 3 2" xfId="3300"/>
    <cellStyle name="Normal 4 6 2 2 3 2 2" xfId="7095"/>
    <cellStyle name="Normal 4 6 2 2 3 2 2 2" xfId="14618"/>
    <cellStyle name="Normal 4 6 2 2 3 2 2 2 2" xfId="29662"/>
    <cellStyle name="Normal 4 6 2 2 3 2 2 2 3" xfId="44705"/>
    <cellStyle name="Normal 4 6 2 2 3 2 2 3" xfId="22141"/>
    <cellStyle name="Normal 4 6 2 2 3 2 2 4" xfId="37184"/>
    <cellStyle name="Normal 4 6 2 2 3 2 3" xfId="10869"/>
    <cellStyle name="Normal 4 6 2 2 3 2 3 2" xfId="25913"/>
    <cellStyle name="Normal 4 6 2 2 3 2 3 3" xfId="40956"/>
    <cellStyle name="Normal 4 6 2 2 3 2 4" xfId="18392"/>
    <cellStyle name="Normal 4 6 2 2 3 2 5" xfId="33435"/>
    <cellStyle name="Normal 4 6 2 2 3 3" xfId="5230"/>
    <cellStyle name="Normal 4 6 2 2 3 3 2" xfId="12753"/>
    <cellStyle name="Normal 4 6 2 2 3 3 2 2" xfId="27797"/>
    <cellStyle name="Normal 4 6 2 2 3 3 2 3" xfId="42840"/>
    <cellStyle name="Normal 4 6 2 2 3 3 3" xfId="20276"/>
    <cellStyle name="Normal 4 6 2 2 3 3 4" xfId="35319"/>
    <cellStyle name="Normal 4 6 2 2 3 4" xfId="9004"/>
    <cellStyle name="Normal 4 6 2 2 3 4 2" xfId="24048"/>
    <cellStyle name="Normal 4 6 2 2 3 4 3" xfId="39091"/>
    <cellStyle name="Normal 4 6 2 2 3 5" xfId="16527"/>
    <cellStyle name="Normal 4 6 2 2 3 6" xfId="31570"/>
    <cellStyle name="Normal 4 6 2 2 4" xfId="2367"/>
    <cellStyle name="Normal 4 6 2 2 4 2" xfId="6163"/>
    <cellStyle name="Normal 4 6 2 2 4 2 2" xfId="13686"/>
    <cellStyle name="Normal 4 6 2 2 4 2 2 2" xfId="28730"/>
    <cellStyle name="Normal 4 6 2 2 4 2 2 3" xfId="43773"/>
    <cellStyle name="Normal 4 6 2 2 4 2 3" xfId="21209"/>
    <cellStyle name="Normal 4 6 2 2 4 2 4" xfId="36252"/>
    <cellStyle name="Normal 4 6 2 2 4 3" xfId="9937"/>
    <cellStyle name="Normal 4 6 2 2 4 3 2" xfId="24981"/>
    <cellStyle name="Normal 4 6 2 2 4 3 3" xfId="40024"/>
    <cellStyle name="Normal 4 6 2 2 4 4" xfId="17460"/>
    <cellStyle name="Normal 4 6 2 2 4 5" xfId="32503"/>
    <cellStyle name="Normal 4 6 2 2 5" xfId="4295"/>
    <cellStyle name="Normal 4 6 2 2 5 2" xfId="11819"/>
    <cellStyle name="Normal 4 6 2 2 5 2 2" xfId="26863"/>
    <cellStyle name="Normal 4 6 2 2 5 2 3" xfId="41906"/>
    <cellStyle name="Normal 4 6 2 2 5 3" xfId="19342"/>
    <cellStyle name="Normal 4 6 2 2 5 4" xfId="34385"/>
    <cellStyle name="Normal 4 6 2 2 6" xfId="8058"/>
    <cellStyle name="Normal 4 6 2 2 6 2" xfId="23102"/>
    <cellStyle name="Normal 4 6 2 2 6 3" xfId="38145"/>
    <cellStyle name="Normal 4 6 2 2 7" xfId="15581"/>
    <cellStyle name="Normal 4 6 2 2 8" xfId="30624"/>
    <cellStyle name="Normal 4 6 2 3" xfId="921"/>
    <cellStyle name="Normal 4 6 2 3 2" xfId="1880"/>
    <cellStyle name="Normal 4 6 2 3 2 2" xfId="3751"/>
    <cellStyle name="Normal 4 6 2 3 2 2 2" xfId="7546"/>
    <cellStyle name="Normal 4 6 2 3 2 2 2 2" xfId="15069"/>
    <cellStyle name="Normal 4 6 2 3 2 2 2 2 2" xfId="30113"/>
    <cellStyle name="Normal 4 6 2 3 2 2 2 2 3" xfId="45156"/>
    <cellStyle name="Normal 4 6 2 3 2 2 2 3" xfId="22592"/>
    <cellStyle name="Normal 4 6 2 3 2 2 2 4" xfId="37635"/>
    <cellStyle name="Normal 4 6 2 3 2 2 3" xfId="11320"/>
    <cellStyle name="Normal 4 6 2 3 2 2 3 2" xfId="26364"/>
    <cellStyle name="Normal 4 6 2 3 2 2 3 3" xfId="41407"/>
    <cellStyle name="Normal 4 6 2 3 2 2 4" xfId="18843"/>
    <cellStyle name="Normal 4 6 2 3 2 2 5" xfId="33886"/>
    <cellStyle name="Normal 4 6 2 3 2 3" xfId="5681"/>
    <cellStyle name="Normal 4 6 2 3 2 3 2" xfId="13204"/>
    <cellStyle name="Normal 4 6 2 3 2 3 2 2" xfId="28248"/>
    <cellStyle name="Normal 4 6 2 3 2 3 2 3" xfId="43291"/>
    <cellStyle name="Normal 4 6 2 3 2 3 3" xfId="20727"/>
    <cellStyle name="Normal 4 6 2 3 2 3 4" xfId="35770"/>
    <cellStyle name="Normal 4 6 2 3 2 4" xfId="9455"/>
    <cellStyle name="Normal 4 6 2 3 2 4 2" xfId="24499"/>
    <cellStyle name="Normal 4 6 2 3 2 4 3" xfId="39542"/>
    <cellStyle name="Normal 4 6 2 3 2 5" xfId="16978"/>
    <cellStyle name="Normal 4 6 2 3 2 6" xfId="32021"/>
    <cellStyle name="Normal 4 6 2 3 3" xfId="2819"/>
    <cellStyle name="Normal 4 6 2 3 3 2" xfId="6614"/>
    <cellStyle name="Normal 4 6 2 3 3 2 2" xfId="14137"/>
    <cellStyle name="Normal 4 6 2 3 3 2 2 2" xfId="29181"/>
    <cellStyle name="Normal 4 6 2 3 3 2 2 3" xfId="44224"/>
    <cellStyle name="Normal 4 6 2 3 3 2 3" xfId="21660"/>
    <cellStyle name="Normal 4 6 2 3 3 2 4" xfId="36703"/>
    <cellStyle name="Normal 4 6 2 3 3 3" xfId="10388"/>
    <cellStyle name="Normal 4 6 2 3 3 3 2" xfId="25432"/>
    <cellStyle name="Normal 4 6 2 3 3 3 3" xfId="40475"/>
    <cellStyle name="Normal 4 6 2 3 3 4" xfId="17911"/>
    <cellStyle name="Normal 4 6 2 3 3 5" xfId="32954"/>
    <cellStyle name="Normal 4 6 2 3 4" xfId="4749"/>
    <cellStyle name="Normal 4 6 2 3 4 2" xfId="12272"/>
    <cellStyle name="Normal 4 6 2 3 4 2 2" xfId="27316"/>
    <cellStyle name="Normal 4 6 2 3 4 2 3" xfId="42359"/>
    <cellStyle name="Normal 4 6 2 3 4 3" xfId="19795"/>
    <cellStyle name="Normal 4 6 2 3 4 4" xfId="34838"/>
    <cellStyle name="Normal 4 6 2 3 5" xfId="8523"/>
    <cellStyle name="Normal 4 6 2 3 5 2" xfId="23567"/>
    <cellStyle name="Normal 4 6 2 3 5 3" xfId="38610"/>
    <cellStyle name="Normal 4 6 2 3 6" xfId="16046"/>
    <cellStyle name="Normal 4 6 2 3 7" xfId="31089"/>
    <cellStyle name="Normal 4 6 2 4" xfId="1428"/>
    <cellStyle name="Normal 4 6 2 4 2" xfId="3299"/>
    <cellStyle name="Normal 4 6 2 4 2 2" xfId="7094"/>
    <cellStyle name="Normal 4 6 2 4 2 2 2" xfId="14617"/>
    <cellStyle name="Normal 4 6 2 4 2 2 2 2" xfId="29661"/>
    <cellStyle name="Normal 4 6 2 4 2 2 2 3" xfId="44704"/>
    <cellStyle name="Normal 4 6 2 4 2 2 3" xfId="22140"/>
    <cellStyle name="Normal 4 6 2 4 2 2 4" xfId="37183"/>
    <cellStyle name="Normal 4 6 2 4 2 3" xfId="10868"/>
    <cellStyle name="Normal 4 6 2 4 2 3 2" xfId="25912"/>
    <cellStyle name="Normal 4 6 2 4 2 3 3" xfId="40955"/>
    <cellStyle name="Normal 4 6 2 4 2 4" xfId="18391"/>
    <cellStyle name="Normal 4 6 2 4 2 5" xfId="33434"/>
    <cellStyle name="Normal 4 6 2 4 3" xfId="5229"/>
    <cellStyle name="Normal 4 6 2 4 3 2" xfId="12752"/>
    <cellStyle name="Normal 4 6 2 4 3 2 2" xfId="27796"/>
    <cellStyle name="Normal 4 6 2 4 3 2 3" xfId="42839"/>
    <cellStyle name="Normal 4 6 2 4 3 3" xfId="20275"/>
    <cellStyle name="Normal 4 6 2 4 3 4" xfId="35318"/>
    <cellStyle name="Normal 4 6 2 4 4" xfId="9003"/>
    <cellStyle name="Normal 4 6 2 4 4 2" xfId="24047"/>
    <cellStyle name="Normal 4 6 2 4 4 3" xfId="39090"/>
    <cellStyle name="Normal 4 6 2 4 5" xfId="16526"/>
    <cellStyle name="Normal 4 6 2 4 6" xfId="31569"/>
    <cellStyle name="Normal 4 6 2 5" xfId="2366"/>
    <cellStyle name="Normal 4 6 2 5 2" xfId="6162"/>
    <cellStyle name="Normal 4 6 2 5 2 2" xfId="13685"/>
    <cellStyle name="Normal 4 6 2 5 2 2 2" xfId="28729"/>
    <cellStyle name="Normal 4 6 2 5 2 2 3" xfId="43772"/>
    <cellStyle name="Normal 4 6 2 5 2 3" xfId="21208"/>
    <cellStyle name="Normal 4 6 2 5 2 4" xfId="36251"/>
    <cellStyle name="Normal 4 6 2 5 3" xfId="9936"/>
    <cellStyle name="Normal 4 6 2 5 3 2" xfId="24980"/>
    <cellStyle name="Normal 4 6 2 5 3 3" xfId="40023"/>
    <cellStyle name="Normal 4 6 2 5 4" xfId="17459"/>
    <cellStyle name="Normal 4 6 2 5 5" xfId="32502"/>
    <cellStyle name="Normal 4 6 2 6" xfId="4294"/>
    <cellStyle name="Normal 4 6 2 6 2" xfId="11818"/>
    <cellStyle name="Normal 4 6 2 6 2 2" xfId="26862"/>
    <cellStyle name="Normal 4 6 2 6 2 3" xfId="41905"/>
    <cellStyle name="Normal 4 6 2 6 3" xfId="19341"/>
    <cellStyle name="Normal 4 6 2 6 4" xfId="34384"/>
    <cellStyle name="Normal 4 6 2 7" xfId="8057"/>
    <cellStyle name="Normal 4 6 2 7 2" xfId="23101"/>
    <cellStyle name="Normal 4 6 2 7 3" xfId="38144"/>
    <cellStyle name="Normal 4 6 2 8" xfId="15580"/>
    <cellStyle name="Normal 4 6 2 9" xfId="30623"/>
    <cellStyle name="Normal 4 6 3" xfId="399"/>
    <cellStyle name="Normal 4 6 3 2" xfId="400"/>
    <cellStyle name="Normal 4 6 3 2 2" xfId="924"/>
    <cellStyle name="Normal 4 6 3 2 2 2" xfId="1883"/>
    <cellStyle name="Normal 4 6 3 2 2 2 2" xfId="3754"/>
    <cellStyle name="Normal 4 6 3 2 2 2 2 2" xfId="7549"/>
    <cellStyle name="Normal 4 6 3 2 2 2 2 2 2" xfId="15072"/>
    <cellStyle name="Normal 4 6 3 2 2 2 2 2 2 2" xfId="30116"/>
    <cellStyle name="Normal 4 6 3 2 2 2 2 2 2 3" xfId="45159"/>
    <cellStyle name="Normal 4 6 3 2 2 2 2 2 3" xfId="22595"/>
    <cellStyle name="Normal 4 6 3 2 2 2 2 2 4" xfId="37638"/>
    <cellStyle name="Normal 4 6 3 2 2 2 2 3" xfId="11323"/>
    <cellStyle name="Normal 4 6 3 2 2 2 2 3 2" xfId="26367"/>
    <cellStyle name="Normal 4 6 3 2 2 2 2 3 3" xfId="41410"/>
    <cellStyle name="Normal 4 6 3 2 2 2 2 4" xfId="18846"/>
    <cellStyle name="Normal 4 6 3 2 2 2 2 5" xfId="33889"/>
    <cellStyle name="Normal 4 6 3 2 2 2 3" xfId="5684"/>
    <cellStyle name="Normal 4 6 3 2 2 2 3 2" xfId="13207"/>
    <cellStyle name="Normal 4 6 3 2 2 2 3 2 2" xfId="28251"/>
    <cellStyle name="Normal 4 6 3 2 2 2 3 2 3" xfId="43294"/>
    <cellStyle name="Normal 4 6 3 2 2 2 3 3" xfId="20730"/>
    <cellStyle name="Normal 4 6 3 2 2 2 3 4" xfId="35773"/>
    <cellStyle name="Normal 4 6 3 2 2 2 4" xfId="9458"/>
    <cellStyle name="Normal 4 6 3 2 2 2 4 2" xfId="24502"/>
    <cellStyle name="Normal 4 6 3 2 2 2 4 3" xfId="39545"/>
    <cellStyle name="Normal 4 6 3 2 2 2 5" xfId="16981"/>
    <cellStyle name="Normal 4 6 3 2 2 2 6" xfId="32024"/>
    <cellStyle name="Normal 4 6 3 2 2 3" xfId="2822"/>
    <cellStyle name="Normal 4 6 3 2 2 3 2" xfId="6617"/>
    <cellStyle name="Normal 4 6 3 2 2 3 2 2" xfId="14140"/>
    <cellStyle name="Normal 4 6 3 2 2 3 2 2 2" xfId="29184"/>
    <cellStyle name="Normal 4 6 3 2 2 3 2 2 3" xfId="44227"/>
    <cellStyle name="Normal 4 6 3 2 2 3 2 3" xfId="21663"/>
    <cellStyle name="Normal 4 6 3 2 2 3 2 4" xfId="36706"/>
    <cellStyle name="Normal 4 6 3 2 2 3 3" xfId="10391"/>
    <cellStyle name="Normal 4 6 3 2 2 3 3 2" xfId="25435"/>
    <cellStyle name="Normal 4 6 3 2 2 3 3 3" xfId="40478"/>
    <cellStyle name="Normal 4 6 3 2 2 3 4" xfId="17914"/>
    <cellStyle name="Normal 4 6 3 2 2 3 5" xfId="32957"/>
    <cellStyle name="Normal 4 6 3 2 2 4" xfId="4752"/>
    <cellStyle name="Normal 4 6 3 2 2 4 2" xfId="12275"/>
    <cellStyle name="Normal 4 6 3 2 2 4 2 2" xfId="27319"/>
    <cellStyle name="Normal 4 6 3 2 2 4 2 3" xfId="42362"/>
    <cellStyle name="Normal 4 6 3 2 2 4 3" xfId="19798"/>
    <cellStyle name="Normal 4 6 3 2 2 4 4" xfId="34841"/>
    <cellStyle name="Normal 4 6 3 2 2 5" xfId="8526"/>
    <cellStyle name="Normal 4 6 3 2 2 5 2" xfId="23570"/>
    <cellStyle name="Normal 4 6 3 2 2 5 3" xfId="38613"/>
    <cellStyle name="Normal 4 6 3 2 2 6" xfId="16049"/>
    <cellStyle name="Normal 4 6 3 2 2 7" xfId="31092"/>
    <cellStyle name="Normal 4 6 3 2 3" xfId="1431"/>
    <cellStyle name="Normal 4 6 3 2 3 2" xfId="3302"/>
    <cellStyle name="Normal 4 6 3 2 3 2 2" xfId="7097"/>
    <cellStyle name="Normal 4 6 3 2 3 2 2 2" xfId="14620"/>
    <cellStyle name="Normal 4 6 3 2 3 2 2 2 2" xfId="29664"/>
    <cellStyle name="Normal 4 6 3 2 3 2 2 2 3" xfId="44707"/>
    <cellStyle name="Normal 4 6 3 2 3 2 2 3" xfId="22143"/>
    <cellStyle name="Normal 4 6 3 2 3 2 2 4" xfId="37186"/>
    <cellStyle name="Normal 4 6 3 2 3 2 3" xfId="10871"/>
    <cellStyle name="Normal 4 6 3 2 3 2 3 2" xfId="25915"/>
    <cellStyle name="Normal 4 6 3 2 3 2 3 3" xfId="40958"/>
    <cellStyle name="Normal 4 6 3 2 3 2 4" xfId="18394"/>
    <cellStyle name="Normal 4 6 3 2 3 2 5" xfId="33437"/>
    <cellStyle name="Normal 4 6 3 2 3 3" xfId="5232"/>
    <cellStyle name="Normal 4 6 3 2 3 3 2" xfId="12755"/>
    <cellStyle name="Normal 4 6 3 2 3 3 2 2" xfId="27799"/>
    <cellStyle name="Normal 4 6 3 2 3 3 2 3" xfId="42842"/>
    <cellStyle name="Normal 4 6 3 2 3 3 3" xfId="20278"/>
    <cellStyle name="Normal 4 6 3 2 3 3 4" xfId="35321"/>
    <cellStyle name="Normal 4 6 3 2 3 4" xfId="9006"/>
    <cellStyle name="Normal 4 6 3 2 3 4 2" xfId="24050"/>
    <cellStyle name="Normal 4 6 3 2 3 4 3" xfId="39093"/>
    <cellStyle name="Normal 4 6 3 2 3 5" xfId="16529"/>
    <cellStyle name="Normal 4 6 3 2 3 6" xfId="31572"/>
    <cellStyle name="Normal 4 6 3 2 4" xfId="2369"/>
    <cellStyle name="Normal 4 6 3 2 4 2" xfId="6165"/>
    <cellStyle name="Normal 4 6 3 2 4 2 2" xfId="13688"/>
    <cellStyle name="Normal 4 6 3 2 4 2 2 2" xfId="28732"/>
    <cellStyle name="Normal 4 6 3 2 4 2 2 3" xfId="43775"/>
    <cellStyle name="Normal 4 6 3 2 4 2 3" xfId="21211"/>
    <cellStyle name="Normal 4 6 3 2 4 2 4" xfId="36254"/>
    <cellStyle name="Normal 4 6 3 2 4 3" xfId="9939"/>
    <cellStyle name="Normal 4 6 3 2 4 3 2" xfId="24983"/>
    <cellStyle name="Normal 4 6 3 2 4 3 3" xfId="40026"/>
    <cellStyle name="Normal 4 6 3 2 4 4" xfId="17462"/>
    <cellStyle name="Normal 4 6 3 2 4 5" xfId="32505"/>
    <cellStyle name="Normal 4 6 3 2 5" xfId="4297"/>
    <cellStyle name="Normal 4 6 3 2 5 2" xfId="11821"/>
    <cellStyle name="Normal 4 6 3 2 5 2 2" xfId="26865"/>
    <cellStyle name="Normal 4 6 3 2 5 2 3" xfId="41908"/>
    <cellStyle name="Normal 4 6 3 2 5 3" xfId="19344"/>
    <cellStyle name="Normal 4 6 3 2 5 4" xfId="34387"/>
    <cellStyle name="Normal 4 6 3 2 6" xfId="8060"/>
    <cellStyle name="Normal 4 6 3 2 6 2" xfId="23104"/>
    <cellStyle name="Normal 4 6 3 2 6 3" xfId="38147"/>
    <cellStyle name="Normal 4 6 3 2 7" xfId="15583"/>
    <cellStyle name="Normal 4 6 3 2 8" xfId="30626"/>
    <cellStyle name="Normal 4 6 3 3" xfId="923"/>
    <cellStyle name="Normal 4 6 3 3 2" xfId="1882"/>
    <cellStyle name="Normal 4 6 3 3 2 2" xfId="3753"/>
    <cellStyle name="Normal 4 6 3 3 2 2 2" xfId="7548"/>
    <cellStyle name="Normal 4 6 3 3 2 2 2 2" xfId="15071"/>
    <cellStyle name="Normal 4 6 3 3 2 2 2 2 2" xfId="30115"/>
    <cellStyle name="Normal 4 6 3 3 2 2 2 2 3" xfId="45158"/>
    <cellStyle name="Normal 4 6 3 3 2 2 2 3" xfId="22594"/>
    <cellStyle name="Normal 4 6 3 3 2 2 2 4" xfId="37637"/>
    <cellStyle name="Normal 4 6 3 3 2 2 3" xfId="11322"/>
    <cellStyle name="Normal 4 6 3 3 2 2 3 2" xfId="26366"/>
    <cellStyle name="Normal 4 6 3 3 2 2 3 3" xfId="41409"/>
    <cellStyle name="Normal 4 6 3 3 2 2 4" xfId="18845"/>
    <cellStyle name="Normal 4 6 3 3 2 2 5" xfId="33888"/>
    <cellStyle name="Normal 4 6 3 3 2 3" xfId="5683"/>
    <cellStyle name="Normal 4 6 3 3 2 3 2" xfId="13206"/>
    <cellStyle name="Normal 4 6 3 3 2 3 2 2" xfId="28250"/>
    <cellStyle name="Normal 4 6 3 3 2 3 2 3" xfId="43293"/>
    <cellStyle name="Normal 4 6 3 3 2 3 3" xfId="20729"/>
    <cellStyle name="Normal 4 6 3 3 2 3 4" xfId="35772"/>
    <cellStyle name="Normal 4 6 3 3 2 4" xfId="9457"/>
    <cellStyle name="Normal 4 6 3 3 2 4 2" xfId="24501"/>
    <cellStyle name="Normal 4 6 3 3 2 4 3" xfId="39544"/>
    <cellStyle name="Normal 4 6 3 3 2 5" xfId="16980"/>
    <cellStyle name="Normal 4 6 3 3 2 6" xfId="32023"/>
    <cellStyle name="Normal 4 6 3 3 3" xfId="2821"/>
    <cellStyle name="Normal 4 6 3 3 3 2" xfId="6616"/>
    <cellStyle name="Normal 4 6 3 3 3 2 2" xfId="14139"/>
    <cellStyle name="Normal 4 6 3 3 3 2 2 2" xfId="29183"/>
    <cellStyle name="Normal 4 6 3 3 3 2 2 3" xfId="44226"/>
    <cellStyle name="Normal 4 6 3 3 3 2 3" xfId="21662"/>
    <cellStyle name="Normal 4 6 3 3 3 2 4" xfId="36705"/>
    <cellStyle name="Normal 4 6 3 3 3 3" xfId="10390"/>
    <cellStyle name="Normal 4 6 3 3 3 3 2" xfId="25434"/>
    <cellStyle name="Normal 4 6 3 3 3 3 3" xfId="40477"/>
    <cellStyle name="Normal 4 6 3 3 3 4" xfId="17913"/>
    <cellStyle name="Normal 4 6 3 3 3 5" xfId="32956"/>
    <cellStyle name="Normal 4 6 3 3 4" xfId="4751"/>
    <cellStyle name="Normal 4 6 3 3 4 2" xfId="12274"/>
    <cellStyle name="Normal 4 6 3 3 4 2 2" xfId="27318"/>
    <cellStyle name="Normal 4 6 3 3 4 2 3" xfId="42361"/>
    <cellStyle name="Normal 4 6 3 3 4 3" xfId="19797"/>
    <cellStyle name="Normal 4 6 3 3 4 4" xfId="34840"/>
    <cellStyle name="Normal 4 6 3 3 5" xfId="8525"/>
    <cellStyle name="Normal 4 6 3 3 5 2" xfId="23569"/>
    <cellStyle name="Normal 4 6 3 3 5 3" xfId="38612"/>
    <cellStyle name="Normal 4 6 3 3 6" xfId="16048"/>
    <cellStyle name="Normal 4 6 3 3 7" xfId="31091"/>
    <cellStyle name="Normal 4 6 3 4" xfId="1430"/>
    <cellStyle name="Normal 4 6 3 4 2" xfId="3301"/>
    <cellStyle name="Normal 4 6 3 4 2 2" xfId="7096"/>
    <cellStyle name="Normal 4 6 3 4 2 2 2" xfId="14619"/>
    <cellStyle name="Normal 4 6 3 4 2 2 2 2" xfId="29663"/>
    <cellStyle name="Normal 4 6 3 4 2 2 2 3" xfId="44706"/>
    <cellStyle name="Normal 4 6 3 4 2 2 3" xfId="22142"/>
    <cellStyle name="Normal 4 6 3 4 2 2 4" xfId="37185"/>
    <cellStyle name="Normal 4 6 3 4 2 3" xfId="10870"/>
    <cellStyle name="Normal 4 6 3 4 2 3 2" xfId="25914"/>
    <cellStyle name="Normal 4 6 3 4 2 3 3" xfId="40957"/>
    <cellStyle name="Normal 4 6 3 4 2 4" xfId="18393"/>
    <cellStyle name="Normal 4 6 3 4 2 5" xfId="33436"/>
    <cellStyle name="Normal 4 6 3 4 3" xfId="5231"/>
    <cellStyle name="Normal 4 6 3 4 3 2" xfId="12754"/>
    <cellStyle name="Normal 4 6 3 4 3 2 2" xfId="27798"/>
    <cellStyle name="Normal 4 6 3 4 3 2 3" xfId="42841"/>
    <cellStyle name="Normal 4 6 3 4 3 3" xfId="20277"/>
    <cellStyle name="Normal 4 6 3 4 3 4" xfId="35320"/>
    <cellStyle name="Normal 4 6 3 4 4" xfId="9005"/>
    <cellStyle name="Normal 4 6 3 4 4 2" xfId="24049"/>
    <cellStyle name="Normal 4 6 3 4 4 3" xfId="39092"/>
    <cellStyle name="Normal 4 6 3 4 5" xfId="16528"/>
    <cellStyle name="Normal 4 6 3 4 6" xfId="31571"/>
    <cellStyle name="Normal 4 6 3 5" xfId="2368"/>
    <cellStyle name="Normal 4 6 3 5 2" xfId="6164"/>
    <cellStyle name="Normal 4 6 3 5 2 2" xfId="13687"/>
    <cellStyle name="Normal 4 6 3 5 2 2 2" xfId="28731"/>
    <cellStyle name="Normal 4 6 3 5 2 2 3" xfId="43774"/>
    <cellStyle name="Normal 4 6 3 5 2 3" xfId="21210"/>
    <cellStyle name="Normal 4 6 3 5 2 4" xfId="36253"/>
    <cellStyle name="Normal 4 6 3 5 3" xfId="9938"/>
    <cellStyle name="Normal 4 6 3 5 3 2" xfId="24982"/>
    <cellStyle name="Normal 4 6 3 5 3 3" xfId="40025"/>
    <cellStyle name="Normal 4 6 3 5 4" xfId="17461"/>
    <cellStyle name="Normal 4 6 3 5 5" xfId="32504"/>
    <cellStyle name="Normal 4 6 3 6" xfId="4296"/>
    <cellStyle name="Normal 4 6 3 6 2" xfId="11820"/>
    <cellStyle name="Normal 4 6 3 6 2 2" xfId="26864"/>
    <cellStyle name="Normal 4 6 3 6 2 3" xfId="41907"/>
    <cellStyle name="Normal 4 6 3 6 3" xfId="19343"/>
    <cellStyle name="Normal 4 6 3 6 4" xfId="34386"/>
    <cellStyle name="Normal 4 6 3 7" xfId="8059"/>
    <cellStyle name="Normal 4 6 3 7 2" xfId="23103"/>
    <cellStyle name="Normal 4 6 3 7 3" xfId="38146"/>
    <cellStyle name="Normal 4 6 3 8" xfId="15582"/>
    <cellStyle name="Normal 4 6 3 9" xfId="30625"/>
    <cellStyle name="Normal 4 6 4" xfId="401"/>
    <cellStyle name="Normal 4 6 4 2" xfId="925"/>
    <cellStyle name="Normal 4 6 4 2 2" xfId="1884"/>
    <cellStyle name="Normal 4 6 4 2 2 2" xfId="3755"/>
    <cellStyle name="Normal 4 6 4 2 2 2 2" xfId="7550"/>
    <cellStyle name="Normal 4 6 4 2 2 2 2 2" xfId="15073"/>
    <cellStyle name="Normal 4 6 4 2 2 2 2 2 2" xfId="30117"/>
    <cellStyle name="Normal 4 6 4 2 2 2 2 2 3" xfId="45160"/>
    <cellStyle name="Normal 4 6 4 2 2 2 2 3" xfId="22596"/>
    <cellStyle name="Normal 4 6 4 2 2 2 2 4" xfId="37639"/>
    <cellStyle name="Normal 4 6 4 2 2 2 3" xfId="11324"/>
    <cellStyle name="Normal 4 6 4 2 2 2 3 2" xfId="26368"/>
    <cellStyle name="Normal 4 6 4 2 2 2 3 3" xfId="41411"/>
    <cellStyle name="Normal 4 6 4 2 2 2 4" xfId="18847"/>
    <cellStyle name="Normal 4 6 4 2 2 2 5" xfId="33890"/>
    <cellStyle name="Normal 4 6 4 2 2 3" xfId="5685"/>
    <cellStyle name="Normal 4 6 4 2 2 3 2" xfId="13208"/>
    <cellStyle name="Normal 4 6 4 2 2 3 2 2" xfId="28252"/>
    <cellStyle name="Normal 4 6 4 2 2 3 2 3" xfId="43295"/>
    <cellStyle name="Normal 4 6 4 2 2 3 3" xfId="20731"/>
    <cellStyle name="Normal 4 6 4 2 2 3 4" xfId="35774"/>
    <cellStyle name="Normal 4 6 4 2 2 4" xfId="9459"/>
    <cellStyle name="Normal 4 6 4 2 2 4 2" xfId="24503"/>
    <cellStyle name="Normal 4 6 4 2 2 4 3" xfId="39546"/>
    <cellStyle name="Normal 4 6 4 2 2 5" xfId="16982"/>
    <cellStyle name="Normal 4 6 4 2 2 6" xfId="32025"/>
    <cellStyle name="Normal 4 6 4 2 3" xfId="2823"/>
    <cellStyle name="Normal 4 6 4 2 3 2" xfId="6618"/>
    <cellStyle name="Normal 4 6 4 2 3 2 2" xfId="14141"/>
    <cellStyle name="Normal 4 6 4 2 3 2 2 2" xfId="29185"/>
    <cellStyle name="Normal 4 6 4 2 3 2 2 3" xfId="44228"/>
    <cellStyle name="Normal 4 6 4 2 3 2 3" xfId="21664"/>
    <cellStyle name="Normal 4 6 4 2 3 2 4" xfId="36707"/>
    <cellStyle name="Normal 4 6 4 2 3 3" xfId="10392"/>
    <cellStyle name="Normal 4 6 4 2 3 3 2" xfId="25436"/>
    <cellStyle name="Normal 4 6 4 2 3 3 3" xfId="40479"/>
    <cellStyle name="Normal 4 6 4 2 3 4" xfId="17915"/>
    <cellStyle name="Normal 4 6 4 2 3 5" xfId="32958"/>
    <cellStyle name="Normal 4 6 4 2 4" xfId="4753"/>
    <cellStyle name="Normal 4 6 4 2 4 2" xfId="12276"/>
    <cellStyle name="Normal 4 6 4 2 4 2 2" xfId="27320"/>
    <cellStyle name="Normal 4 6 4 2 4 2 3" xfId="42363"/>
    <cellStyle name="Normal 4 6 4 2 4 3" xfId="19799"/>
    <cellStyle name="Normal 4 6 4 2 4 4" xfId="34842"/>
    <cellStyle name="Normal 4 6 4 2 5" xfId="8527"/>
    <cellStyle name="Normal 4 6 4 2 5 2" xfId="23571"/>
    <cellStyle name="Normal 4 6 4 2 5 3" xfId="38614"/>
    <cellStyle name="Normal 4 6 4 2 6" xfId="16050"/>
    <cellStyle name="Normal 4 6 4 2 7" xfId="31093"/>
    <cellStyle name="Normal 4 6 4 3" xfId="1432"/>
    <cellStyle name="Normal 4 6 4 3 2" xfId="3303"/>
    <cellStyle name="Normal 4 6 4 3 2 2" xfId="7098"/>
    <cellStyle name="Normal 4 6 4 3 2 2 2" xfId="14621"/>
    <cellStyle name="Normal 4 6 4 3 2 2 2 2" xfId="29665"/>
    <cellStyle name="Normal 4 6 4 3 2 2 2 3" xfId="44708"/>
    <cellStyle name="Normal 4 6 4 3 2 2 3" xfId="22144"/>
    <cellStyle name="Normal 4 6 4 3 2 2 4" xfId="37187"/>
    <cellStyle name="Normal 4 6 4 3 2 3" xfId="10872"/>
    <cellStyle name="Normal 4 6 4 3 2 3 2" xfId="25916"/>
    <cellStyle name="Normal 4 6 4 3 2 3 3" xfId="40959"/>
    <cellStyle name="Normal 4 6 4 3 2 4" xfId="18395"/>
    <cellStyle name="Normal 4 6 4 3 2 5" xfId="33438"/>
    <cellStyle name="Normal 4 6 4 3 3" xfId="5233"/>
    <cellStyle name="Normal 4 6 4 3 3 2" xfId="12756"/>
    <cellStyle name="Normal 4 6 4 3 3 2 2" xfId="27800"/>
    <cellStyle name="Normal 4 6 4 3 3 2 3" xfId="42843"/>
    <cellStyle name="Normal 4 6 4 3 3 3" xfId="20279"/>
    <cellStyle name="Normal 4 6 4 3 3 4" xfId="35322"/>
    <cellStyle name="Normal 4 6 4 3 4" xfId="9007"/>
    <cellStyle name="Normal 4 6 4 3 4 2" xfId="24051"/>
    <cellStyle name="Normal 4 6 4 3 4 3" xfId="39094"/>
    <cellStyle name="Normal 4 6 4 3 5" xfId="16530"/>
    <cellStyle name="Normal 4 6 4 3 6" xfId="31573"/>
    <cellStyle name="Normal 4 6 4 4" xfId="2370"/>
    <cellStyle name="Normal 4 6 4 4 2" xfId="6166"/>
    <cellStyle name="Normal 4 6 4 4 2 2" xfId="13689"/>
    <cellStyle name="Normal 4 6 4 4 2 2 2" xfId="28733"/>
    <cellStyle name="Normal 4 6 4 4 2 2 3" xfId="43776"/>
    <cellStyle name="Normal 4 6 4 4 2 3" xfId="21212"/>
    <cellStyle name="Normal 4 6 4 4 2 4" xfId="36255"/>
    <cellStyle name="Normal 4 6 4 4 3" xfId="9940"/>
    <cellStyle name="Normal 4 6 4 4 3 2" xfId="24984"/>
    <cellStyle name="Normal 4 6 4 4 3 3" xfId="40027"/>
    <cellStyle name="Normal 4 6 4 4 4" xfId="17463"/>
    <cellStyle name="Normal 4 6 4 4 5" xfId="32506"/>
    <cellStyle name="Normal 4 6 4 5" xfId="4298"/>
    <cellStyle name="Normal 4 6 4 5 2" xfId="11822"/>
    <cellStyle name="Normal 4 6 4 5 2 2" xfId="26866"/>
    <cellStyle name="Normal 4 6 4 5 2 3" xfId="41909"/>
    <cellStyle name="Normal 4 6 4 5 3" xfId="19345"/>
    <cellStyle name="Normal 4 6 4 5 4" xfId="34388"/>
    <cellStyle name="Normal 4 6 4 6" xfId="8061"/>
    <cellStyle name="Normal 4 6 4 6 2" xfId="23105"/>
    <cellStyle name="Normal 4 6 4 6 3" xfId="38148"/>
    <cellStyle name="Normal 4 6 4 7" xfId="15584"/>
    <cellStyle name="Normal 4 6 4 8" xfId="30627"/>
    <cellStyle name="Normal 4 6 5" xfId="920"/>
    <cellStyle name="Normal 4 6 5 2" xfId="1879"/>
    <cellStyle name="Normal 4 6 5 2 2" xfId="3750"/>
    <cellStyle name="Normal 4 6 5 2 2 2" xfId="7545"/>
    <cellStyle name="Normal 4 6 5 2 2 2 2" xfId="15068"/>
    <cellStyle name="Normal 4 6 5 2 2 2 2 2" xfId="30112"/>
    <cellStyle name="Normal 4 6 5 2 2 2 2 3" xfId="45155"/>
    <cellStyle name="Normal 4 6 5 2 2 2 3" xfId="22591"/>
    <cellStyle name="Normal 4 6 5 2 2 2 4" xfId="37634"/>
    <cellStyle name="Normal 4 6 5 2 2 3" xfId="11319"/>
    <cellStyle name="Normal 4 6 5 2 2 3 2" xfId="26363"/>
    <cellStyle name="Normal 4 6 5 2 2 3 3" xfId="41406"/>
    <cellStyle name="Normal 4 6 5 2 2 4" xfId="18842"/>
    <cellStyle name="Normal 4 6 5 2 2 5" xfId="33885"/>
    <cellStyle name="Normal 4 6 5 2 3" xfId="5680"/>
    <cellStyle name="Normal 4 6 5 2 3 2" xfId="13203"/>
    <cellStyle name="Normal 4 6 5 2 3 2 2" xfId="28247"/>
    <cellStyle name="Normal 4 6 5 2 3 2 3" xfId="43290"/>
    <cellStyle name="Normal 4 6 5 2 3 3" xfId="20726"/>
    <cellStyle name="Normal 4 6 5 2 3 4" xfId="35769"/>
    <cellStyle name="Normal 4 6 5 2 4" xfId="9454"/>
    <cellStyle name="Normal 4 6 5 2 4 2" xfId="24498"/>
    <cellStyle name="Normal 4 6 5 2 4 3" xfId="39541"/>
    <cellStyle name="Normal 4 6 5 2 5" xfId="16977"/>
    <cellStyle name="Normal 4 6 5 2 6" xfId="32020"/>
    <cellStyle name="Normal 4 6 5 3" xfId="2818"/>
    <cellStyle name="Normal 4 6 5 3 2" xfId="6613"/>
    <cellStyle name="Normal 4 6 5 3 2 2" xfId="14136"/>
    <cellStyle name="Normal 4 6 5 3 2 2 2" xfId="29180"/>
    <cellStyle name="Normal 4 6 5 3 2 2 3" xfId="44223"/>
    <cellStyle name="Normal 4 6 5 3 2 3" xfId="21659"/>
    <cellStyle name="Normal 4 6 5 3 2 4" xfId="36702"/>
    <cellStyle name="Normal 4 6 5 3 3" xfId="10387"/>
    <cellStyle name="Normal 4 6 5 3 3 2" xfId="25431"/>
    <cellStyle name="Normal 4 6 5 3 3 3" xfId="40474"/>
    <cellStyle name="Normal 4 6 5 3 4" xfId="17910"/>
    <cellStyle name="Normal 4 6 5 3 5" xfId="32953"/>
    <cellStyle name="Normal 4 6 5 4" xfId="4748"/>
    <cellStyle name="Normal 4 6 5 4 2" xfId="12271"/>
    <cellStyle name="Normal 4 6 5 4 2 2" xfId="27315"/>
    <cellStyle name="Normal 4 6 5 4 2 3" xfId="42358"/>
    <cellStyle name="Normal 4 6 5 4 3" xfId="19794"/>
    <cellStyle name="Normal 4 6 5 4 4" xfId="34837"/>
    <cellStyle name="Normal 4 6 5 5" xfId="8522"/>
    <cellStyle name="Normal 4 6 5 5 2" xfId="23566"/>
    <cellStyle name="Normal 4 6 5 5 3" xfId="38609"/>
    <cellStyle name="Normal 4 6 5 6" xfId="16045"/>
    <cellStyle name="Normal 4 6 5 7" xfId="31088"/>
    <cellStyle name="Normal 4 6 6" xfId="1427"/>
    <cellStyle name="Normal 4 6 6 2" xfId="3298"/>
    <cellStyle name="Normal 4 6 6 2 2" xfId="7093"/>
    <cellStyle name="Normal 4 6 6 2 2 2" xfId="14616"/>
    <cellStyle name="Normal 4 6 6 2 2 2 2" xfId="29660"/>
    <cellStyle name="Normal 4 6 6 2 2 2 3" xfId="44703"/>
    <cellStyle name="Normal 4 6 6 2 2 3" xfId="22139"/>
    <cellStyle name="Normal 4 6 6 2 2 4" xfId="37182"/>
    <cellStyle name="Normal 4 6 6 2 3" xfId="10867"/>
    <cellStyle name="Normal 4 6 6 2 3 2" xfId="25911"/>
    <cellStyle name="Normal 4 6 6 2 3 3" xfId="40954"/>
    <cellStyle name="Normal 4 6 6 2 4" xfId="18390"/>
    <cellStyle name="Normal 4 6 6 2 5" xfId="33433"/>
    <cellStyle name="Normal 4 6 6 3" xfId="5228"/>
    <cellStyle name="Normal 4 6 6 3 2" xfId="12751"/>
    <cellStyle name="Normal 4 6 6 3 2 2" xfId="27795"/>
    <cellStyle name="Normal 4 6 6 3 2 3" xfId="42838"/>
    <cellStyle name="Normal 4 6 6 3 3" xfId="20274"/>
    <cellStyle name="Normal 4 6 6 3 4" xfId="35317"/>
    <cellStyle name="Normal 4 6 6 4" xfId="9002"/>
    <cellStyle name="Normal 4 6 6 4 2" xfId="24046"/>
    <cellStyle name="Normal 4 6 6 4 3" xfId="39089"/>
    <cellStyle name="Normal 4 6 6 5" xfId="16525"/>
    <cellStyle name="Normal 4 6 6 6" xfId="31568"/>
    <cellStyle name="Normal 4 6 7" xfId="2365"/>
    <cellStyle name="Normal 4 6 7 2" xfId="6161"/>
    <cellStyle name="Normal 4 6 7 2 2" xfId="13684"/>
    <cellStyle name="Normal 4 6 7 2 2 2" xfId="28728"/>
    <cellStyle name="Normal 4 6 7 2 2 3" xfId="43771"/>
    <cellStyle name="Normal 4 6 7 2 3" xfId="21207"/>
    <cellStyle name="Normal 4 6 7 2 4" xfId="36250"/>
    <cellStyle name="Normal 4 6 7 3" xfId="9935"/>
    <cellStyle name="Normal 4 6 7 3 2" xfId="24979"/>
    <cellStyle name="Normal 4 6 7 3 3" xfId="40022"/>
    <cellStyle name="Normal 4 6 7 4" xfId="17458"/>
    <cellStyle name="Normal 4 6 7 5" xfId="32501"/>
    <cellStyle name="Normal 4 6 8" xfId="4293"/>
    <cellStyle name="Normal 4 6 8 2" xfId="11817"/>
    <cellStyle name="Normal 4 6 8 2 2" xfId="26861"/>
    <cellStyle name="Normal 4 6 8 2 3" xfId="41904"/>
    <cellStyle name="Normal 4 6 8 3" xfId="19340"/>
    <cellStyle name="Normal 4 6 8 4" xfId="34383"/>
    <cellStyle name="Normal 4 6 9" xfId="8056"/>
    <cellStyle name="Normal 4 6 9 2" xfId="23100"/>
    <cellStyle name="Normal 4 6 9 3" xfId="38143"/>
    <cellStyle name="Normal 4 7" xfId="402"/>
    <cellStyle name="Normal 4 7 2" xfId="403"/>
    <cellStyle name="Normal 4 7 2 2" xfId="927"/>
    <cellStyle name="Normal 4 7 2 2 2" xfId="1886"/>
    <cellStyle name="Normal 4 7 2 2 2 2" xfId="3757"/>
    <cellStyle name="Normal 4 7 2 2 2 2 2" xfId="7552"/>
    <cellStyle name="Normal 4 7 2 2 2 2 2 2" xfId="15075"/>
    <cellStyle name="Normal 4 7 2 2 2 2 2 2 2" xfId="30119"/>
    <cellStyle name="Normal 4 7 2 2 2 2 2 2 3" xfId="45162"/>
    <cellStyle name="Normal 4 7 2 2 2 2 2 3" xfId="22598"/>
    <cellStyle name="Normal 4 7 2 2 2 2 2 4" xfId="37641"/>
    <cellStyle name="Normal 4 7 2 2 2 2 3" xfId="11326"/>
    <cellStyle name="Normal 4 7 2 2 2 2 3 2" xfId="26370"/>
    <cellStyle name="Normal 4 7 2 2 2 2 3 3" xfId="41413"/>
    <cellStyle name="Normal 4 7 2 2 2 2 4" xfId="18849"/>
    <cellStyle name="Normal 4 7 2 2 2 2 5" xfId="33892"/>
    <cellStyle name="Normal 4 7 2 2 2 3" xfId="5687"/>
    <cellStyle name="Normal 4 7 2 2 2 3 2" xfId="13210"/>
    <cellStyle name="Normal 4 7 2 2 2 3 2 2" xfId="28254"/>
    <cellStyle name="Normal 4 7 2 2 2 3 2 3" xfId="43297"/>
    <cellStyle name="Normal 4 7 2 2 2 3 3" xfId="20733"/>
    <cellStyle name="Normal 4 7 2 2 2 3 4" xfId="35776"/>
    <cellStyle name="Normal 4 7 2 2 2 4" xfId="9461"/>
    <cellStyle name="Normal 4 7 2 2 2 4 2" xfId="24505"/>
    <cellStyle name="Normal 4 7 2 2 2 4 3" xfId="39548"/>
    <cellStyle name="Normal 4 7 2 2 2 5" xfId="16984"/>
    <cellStyle name="Normal 4 7 2 2 2 6" xfId="32027"/>
    <cellStyle name="Normal 4 7 2 2 3" xfId="2825"/>
    <cellStyle name="Normal 4 7 2 2 3 2" xfId="6620"/>
    <cellStyle name="Normal 4 7 2 2 3 2 2" xfId="14143"/>
    <cellStyle name="Normal 4 7 2 2 3 2 2 2" xfId="29187"/>
    <cellStyle name="Normal 4 7 2 2 3 2 2 3" xfId="44230"/>
    <cellStyle name="Normal 4 7 2 2 3 2 3" xfId="21666"/>
    <cellStyle name="Normal 4 7 2 2 3 2 4" xfId="36709"/>
    <cellStyle name="Normal 4 7 2 2 3 3" xfId="10394"/>
    <cellStyle name="Normal 4 7 2 2 3 3 2" xfId="25438"/>
    <cellStyle name="Normal 4 7 2 2 3 3 3" xfId="40481"/>
    <cellStyle name="Normal 4 7 2 2 3 4" xfId="17917"/>
    <cellStyle name="Normal 4 7 2 2 3 5" xfId="32960"/>
    <cellStyle name="Normal 4 7 2 2 4" xfId="4755"/>
    <cellStyle name="Normal 4 7 2 2 4 2" xfId="12278"/>
    <cellStyle name="Normal 4 7 2 2 4 2 2" xfId="27322"/>
    <cellStyle name="Normal 4 7 2 2 4 2 3" xfId="42365"/>
    <cellStyle name="Normal 4 7 2 2 4 3" xfId="19801"/>
    <cellStyle name="Normal 4 7 2 2 4 4" xfId="34844"/>
    <cellStyle name="Normal 4 7 2 2 5" xfId="8529"/>
    <cellStyle name="Normal 4 7 2 2 5 2" xfId="23573"/>
    <cellStyle name="Normal 4 7 2 2 5 3" xfId="38616"/>
    <cellStyle name="Normal 4 7 2 2 6" xfId="16052"/>
    <cellStyle name="Normal 4 7 2 2 7" xfId="31095"/>
    <cellStyle name="Normal 4 7 2 3" xfId="1434"/>
    <cellStyle name="Normal 4 7 2 3 2" xfId="3305"/>
    <cellStyle name="Normal 4 7 2 3 2 2" xfId="7100"/>
    <cellStyle name="Normal 4 7 2 3 2 2 2" xfId="14623"/>
    <cellStyle name="Normal 4 7 2 3 2 2 2 2" xfId="29667"/>
    <cellStyle name="Normal 4 7 2 3 2 2 2 3" xfId="44710"/>
    <cellStyle name="Normal 4 7 2 3 2 2 3" xfId="22146"/>
    <cellStyle name="Normal 4 7 2 3 2 2 4" xfId="37189"/>
    <cellStyle name="Normal 4 7 2 3 2 3" xfId="10874"/>
    <cellStyle name="Normal 4 7 2 3 2 3 2" xfId="25918"/>
    <cellStyle name="Normal 4 7 2 3 2 3 3" xfId="40961"/>
    <cellStyle name="Normal 4 7 2 3 2 4" xfId="18397"/>
    <cellStyle name="Normal 4 7 2 3 2 5" xfId="33440"/>
    <cellStyle name="Normal 4 7 2 3 3" xfId="5235"/>
    <cellStyle name="Normal 4 7 2 3 3 2" xfId="12758"/>
    <cellStyle name="Normal 4 7 2 3 3 2 2" xfId="27802"/>
    <cellStyle name="Normal 4 7 2 3 3 2 3" xfId="42845"/>
    <cellStyle name="Normal 4 7 2 3 3 3" xfId="20281"/>
    <cellStyle name="Normal 4 7 2 3 3 4" xfId="35324"/>
    <cellStyle name="Normal 4 7 2 3 4" xfId="9009"/>
    <cellStyle name="Normal 4 7 2 3 4 2" xfId="24053"/>
    <cellStyle name="Normal 4 7 2 3 4 3" xfId="39096"/>
    <cellStyle name="Normal 4 7 2 3 5" xfId="16532"/>
    <cellStyle name="Normal 4 7 2 3 6" xfId="31575"/>
    <cellStyle name="Normal 4 7 2 4" xfId="2372"/>
    <cellStyle name="Normal 4 7 2 4 2" xfId="6168"/>
    <cellStyle name="Normal 4 7 2 4 2 2" xfId="13691"/>
    <cellStyle name="Normal 4 7 2 4 2 2 2" xfId="28735"/>
    <cellStyle name="Normal 4 7 2 4 2 2 3" xfId="43778"/>
    <cellStyle name="Normal 4 7 2 4 2 3" xfId="21214"/>
    <cellStyle name="Normal 4 7 2 4 2 4" xfId="36257"/>
    <cellStyle name="Normal 4 7 2 4 3" xfId="9942"/>
    <cellStyle name="Normal 4 7 2 4 3 2" xfId="24986"/>
    <cellStyle name="Normal 4 7 2 4 3 3" xfId="40029"/>
    <cellStyle name="Normal 4 7 2 4 4" xfId="17465"/>
    <cellStyle name="Normal 4 7 2 4 5" xfId="32508"/>
    <cellStyle name="Normal 4 7 2 5" xfId="4300"/>
    <cellStyle name="Normal 4 7 2 5 2" xfId="11824"/>
    <cellStyle name="Normal 4 7 2 5 2 2" xfId="26868"/>
    <cellStyle name="Normal 4 7 2 5 2 3" xfId="41911"/>
    <cellStyle name="Normal 4 7 2 5 3" xfId="19347"/>
    <cellStyle name="Normal 4 7 2 5 4" xfId="34390"/>
    <cellStyle name="Normal 4 7 2 6" xfId="8063"/>
    <cellStyle name="Normal 4 7 2 6 2" xfId="23107"/>
    <cellStyle name="Normal 4 7 2 6 3" xfId="38150"/>
    <cellStyle name="Normal 4 7 2 7" xfId="15586"/>
    <cellStyle name="Normal 4 7 2 8" xfId="30629"/>
    <cellStyle name="Normal 4 7 3" xfId="926"/>
    <cellStyle name="Normal 4 7 3 2" xfId="1885"/>
    <cellStyle name="Normal 4 7 3 2 2" xfId="3756"/>
    <cellStyle name="Normal 4 7 3 2 2 2" xfId="7551"/>
    <cellStyle name="Normal 4 7 3 2 2 2 2" xfId="15074"/>
    <cellStyle name="Normal 4 7 3 2 2 2 2 2" xfId="30118"/>
    <cellStyle name="Normal 4 7 3 2 2 2 2 3" xfId="45161"/>
    <cellStyle name="Normal 4 7 3 2 2 2 3" xfId="22597"/>
    <cellStyle name="Normal 4 7 3 2 2 2 4" xfId="37640"/>
    <cellStyle name="Normal 4 7 3 2 2 3" xfId="11325"/>
    <cellStyle name="Normal 4 7 3 2 2 3 2" xfId="26369"/>
    <cellStyle name="Normal 4 7 3 2 2 3 3" xfId="41412"/>
    <cellStyle name="Normal 4 7 3 2 2 4" xfId="18848"/>
    <cellStyle name="Normal 4 7 3 2 2 5" xfId="33891"/>
    <cellStyle name="Normal 4 7 3 2 3" xfId="5686"/>
    <cellStyle name="Normal 4 7 3 2 3 2" xfId="13209"/>
    <cellStyle name="Normal 4 7 3 2 3 2 2" xfId="28253"/>
    <cellStyle name="Normal 4 7 3 2 3 2 3" xfId="43296"/>
    <cellStyle name="Normal 4 7 3 2 3 3" xfId="20732"/>
    <cellStyle name="Normal 4 7 3 2 3 4" xfId="35775"/>
    <cellStyle name="Normal 4 7 3 2 4" xfId="9460"/>
    <cellStyle name="Normal 4 7 3 2 4 2" xfId="24504"/>
    <cellStyle name="Normal 4 7 3 2 4 3" xfId="39547"/>
    <cellStyle name="Normal 4 7 3 2 5" xfId="16983"/>
    <cellStyle name="Normal 4 7 3 2 6" xfId="32026"/>
    <cellStyle name="Normal 4 7 3 3" xfId="2824"/>
    <cellStyle name="Normal 4 7 3 3 2" xfId="6619"/>
    <cellStyle name="Normal 4 7 3 3 2 2" xfId="14142"/>
    <cellStyle name="Normal 4 7 3 3 2 2 2" xfId="29186"/>
    <cellStyle name="Normal 4 7 3 3 2 2 3" xfId="44229"/>
    <cellStyle name="Normal 4 7 3 3 2 3" xfId="21665"/>
    <cellStyle name="Normal 4 7 3 3 2 4" xfId="36708"/>
    <cellStyle name="Normal 4 7 3 3 3" xfId="10393"/>
    <cellStyle name="Normal 4 7 3 3 3 2" xfId="25437"/>
    <cellStyle name="Normal 4 7 3 3 3 3" xfId="40480"/>
    <cellStyle name="Normal 4 7 3 3 4" xfId="17916"/>
    <cellStyle name="Normal 4 7 3 3 5" xfId="32959"/>
    <cellStyle name="Normal 4 7 3 4" xfId="4754"/>
    <cellStyle name="Normal 4 7 3 4 2" xfId="12277"/>
    <cellStyle name="Normal 4 7 3 4 2 2" xfId="27321"/>
    <cellStyle name="Normal 4 7 3 4 2 3" xfId="42364"/>
    <cellStyle name="Normal 4 7 3 4 3" xfId="19800"/>
    <cellStyle name="Normal 4 7 3 4 4" xfId="34843"/>
    <cellStyle name="Normal 4 7 3 5" xfId="8528"/>
    <cellStyle name="Normal 4 7 3 5 2" xfId="23572"/>
    <cellStyle name="Normal 4 7 3 5 3" xfId="38615"/>
    <cellStyle name="Normal 4 7 3 6" xfId="16051"/>
    <cellStyle name="Normal 4 7 3 7" xfId="31094"/>
    <cellStyle name="Normal 4 7 4" xfId="1433"/>
    <cellStyle name="Normal 4 7 4 2" xfId="3304"/>
    <cellStyle name="Normal 4 7 4 2 2" xfId="7099"/>
    <cellStyle name="Normal 4 7 4 2 2 2" xfId="14622"/>
    <cellStyle name="Normal 4 7 4 2 2 2 2" xfId="29666"/>
    <cellStyle name="Normal 4 7 4 2 2 2 3" xfId="44709"/>
    <cellStyle name="Normal 4 7 4 2 2 3" xfId="22145"/>
    <cellStyle name="Normal 4 7 4 2 2 4" xfId="37188"/>
    <cellStyle name="Normal 4 7 4 2 3" xfId="10873"/>
    <cellStyle name="Normal 4 7 4 2 3 2" xfId="25917"/>
    <cellStyle name="Normal 4 7 4 2 3 3" xfId="40960"/>
    <cellStyle name="Normal 4 7 4 2 4" xfId="18396"/>
    <cellStyle name="Normal 4 7 4 2 5" xfId="33439"/>
    <cellStyle name="Normal 4 7 4 3" xfId="5234"/>
    <cellStyle name="Normal 4 7 4 3 2" xfId="12757"/>
    <cellStyle name="Normal 4 7 4 3 2 2" xfId="27801"/>
    <cellStyle name="Normal 4 7 4 3 2 3" xfId="42844"/>
    <cellStyle name="Normal 4 7 4 3 3" xfId="20280"/>
    <cellStyle name="Normal 4 7 4 3 4" xfId="35323"/>
    <cellStyle name="Normal 4 7 4 4" xfId="9008"/>
    <cellStyle name="Normal 4 7 4 4 2" xfId="24052"/>
    <cellStyle name="Normal 4 7 4 4 3" xfId="39095"/>
    <cellStyle name="Normal 4 7 4 5" xfId="16531"/>
    <cellStyle name="Normal 4 7 4 6" xfId="31574"/>
    <cellStyle name="Normal 4 7 5" xfId="2371"/>
    <cellStyle name="Normal 4 7 5 2" xfId="6167"/>
    <cellStyle name="Normal 4 7 5 2 2" xfId="13690"/>
    <cellStyle name="Normal 4 7 5 2 2 2" xfId="28734"/>
    <cellStyle name="Normal 4 7 5 2 2 3" xfId="43777"/>
    <cellStyle name="Normal 4 7 5 2 3" xfId="21213"/>
    <cellStyle name="Normal 4 7 5 2 4" xfId="36256"/>
    <cellStyle name="Normal 4 7 5 3" xfId="9941"/>
    <cellStyle name="Normal 4 7 5 3 2" xfId="24985"/>
    <cellStyle name="Normal 4 7 5 3 3" xfId="40028"/>
    <cellStyle name="Normal 4 7 5 4" xfId="17464"/>
    <cellStyle name="Normal 4 7 5 5" xfId="32507"/>
    <cellStyle name="Normal 4 7 6" xfId="4299"/>
    <cellStyle name="Normal 4 7 6 2" xfId="11823"/>
    <cellStyle name="Normal 4 7 6 2 2" xfId="26867"/>
    <cellStyle name="Normal 4 7 6 2 3" xfId="41910"/>
    <cellStyle name="Normal 4 7 6 3" xfId="19346"/>
    <cellStyle name="Normal 4 7 6 4" xfId="34389"/>
    <cellStyle name="Normal 4 7 7" xfId="8062"/>
    <cellStyle name="Normal 4 7 7 2" xfId="23106"/>
    <cellStyle name="Normal 4 7 7 3" xfId="38149"/>
    <cellStyle name="Normal 4 7 8" xfId="15585"/>
    <cellStyle name="Normal 4 7 9" xfId="30628"/>
    <cellStyle name="Normal 4 8" xfId="404"/>
    <cellStyle name="Normal 4 8 2" xfId="405"/>
    <cellStyle name="Normal 4 8 2 2" xfId="929"/>
    <cellStyle name="Normal 4 8 2 2 2" xfId="1888"/>
    <cellStyle name="Normal 4 8 2 2 2 2" xfId="3759"/>
    <cellStyle name="Normal 4 8 2 2 2 2 2" xfId="7554"/>
    <cellStyle name="Normal 4 8 2 2 2 2 2 2" xfId="15077"/>
    <cellStyle name="Normal 4 8 2 2 2 2 2 2 2" xfId="30121"/>
    <cellStyle name="Normal 4 8 2 2 2 2 2 2 3" xfId="45164"/>
    <cellStyle name="Normal 4 8 2 2 2 2 2 3" xfId="22600"/>
    <cellStyle name="Normal 4 8 2 2 2 2 2 4" xfId="37643"/>
    <cellStyle name="Normal 4 8 2 2 2 2 3" xfId="11328"/>
    <cellStyle name="Normal 4 8 2 2 2 2 3 2" xfId="26372"/>
    <cellStyle name="Normal 4 8 2 2 2 2 3 3" xfId="41415"/>
    <cellStyle name="Normal 4 8 2 2 2 2 4" xfId="18851"/>
    <cellStyle name="Normal 4 8 2 2 2 2 5" xfId="33894"/>
    <cellStyle name="Normal 4 8 2 2 2 3" xfId="5689"/>
    <cellStyle name="Normal 4 8 2 2 2 3 2" xfId="13212"/>
    <cellStyle name="Normal 4 8 2 2 2 3 2 2" xfId="28256"/>
    <cellStyle name="Normal 4 8 2 2 2 3 2 3" xfId="43299"/>
    <cellStyle name="Normal 4 8 2 2 2 3 3" xfId="20735"/>
    <cellStyle name="Normal 4 8 2 2 2 3 4" xfId="35778"/>
    <cellStyle name="Normal 4 8 2 2 2 4" xfId="9463"/>
    <cellStyle name="Normal 4 8 2 2 2 4 2" xfId="24507"/>
    <cellStyle name="Normal 4 8 2 2 2 4 3" xfId="39550"/>
    <cellStyle name="Normal 4 8 2 2 2 5" xfId="16986"/>
    <cellStyle name="Normal 4 8 2 2 2 6" xfId="32029"/>
    <cellStyle name="Normal 4 8 2 2 3" xfId="2827"/>
    <cellStyle name="Normal 4 8 2 2 3 2" xfId="6622"/>
    <cellStyle name="Normal 4 8 2 2 3 2 2" xfId="14145"/>
    <cellStyle name="Normal 4 8 2 2 3 2 2 2" xfId="29189"/>
    <cellStyle name="Normal 4 8 2 2 3 2 2 3" xfId="44232"/>
    <cellStyle name="Normal 4 8 2 2 3 2 3" xfId="21668"/>
    <cellStyle name="Normal 4 8 2 2 3 2 4" xfId="36711"/>
    <cellStyle name="Normal 4 8 2 2 3 3" xfId="10396"/>
    <cellStyle name="Normal 4 8 2 2 3 3 2" xfId="25440"/>
    <cellStyle name="Normal 4 8 2 2 3 3 3" xfId="40483"/>
    <cellStyle name="Normal 4 8 2 2 3 4" xfId="17919"/>
    <cellStyle name="Normal 4 8 2 2 3 5" xfId="32962"/>
    <cellStyle name="Normal 4 8 2 2 4" xfId="4757"/>
    <cellStyle name="Normal 4 8 2 2 4 2" xfId="12280"/>
    <cellStyle name="Normal 4 8 2 2 4 2 2" xfId="27324"/>
    <cellStyle name="Normal 4 8 2 2 4 2 3" xfId="42367"/>
    <cellStyle name="Normal 4 8 2 2 4 3" xfId="19803"/>
    <cellStyle name="Normal 4 8 2 2 4 4" xfId="34846"/>
    <cellStyle name="Normal 4 8 2 2 5" xfId="8531"/>
    <cellStyle name="Normal 4 8 2 2 5 2" xfId="23575"/>
    <cellStyle name="Normal 4 8 2 2 5 3" xfId="38618"/>
    <cellStyle name="Normal 4 8 2 2 6" xfId="16054"/>
    <cellStyle name="Normal 4 8 2 2 7" xfId="31097"/>
    <cellStyle name="Normal 4 8 2 3" xfId="1436"/>
    <cellStyle name="Normal 4 8 2 3 2" xfId="3307"/>
    <cellStyle name="Normal 4 8 2 3 2 2" xfId="7102"/>
    <cellStyle name="Normal 4 8 2 3 2 2 2" xfId="14625"/>
    <cellStyle name="Normal 4 8 2 3 2 2 2 2" xfId="29669"/>
    <cellStyle name="Normal 4 8 2 3 2 2 2 3" xfId="44712"/>
    <cellStyle name="Normal 4 8 2 3 2 2 3" xfId="22148"/>
    <cellStyle name="Normal 4 8 2 3 2 2 4" xfId="37191"/>
    <cellStyle name="Normal 4 8 2 3 2 3" xfId="10876"/>
    <cellStyle name="Normal 4 8 2 3 2 3 2" xfId="25920"/>
    <cellStyle name="Normal 4 8 2 3 2 3 3" xfId="40963"/>
    <cellStyle name="Normal 4 8 2 3 2 4" xfId="18399"/>
    <cellStyle name="Normal 4 8 2 3 2 5" xfId="33442"/>
    <cellStyle name="Normal 4 8 2 3 3" xfId="5237"/>
    <cellStyle name="Normal 4 8 2 3 3 2" xfId="12760"/>
    <cellStyle name="Normal 4 8 2 3 3 2 2" xfId="27804"/>
    <cellStyle name="Normal 4 8 2 3 3 2 3" xfId="42847"/>
    <cellStyle name="Normal 4 8 2 3 3 3" xfId="20283"/>
    <cellStyle name="Normal 4 8 2 3 3 4" xfId="35326"/>
    <cellStyle name="Normal 4 8 2 3 4" xfId="9011"/>
    <cellStyle name="Normal 4 8 2 3 4 2" xfId="24055"/>
    <cellStyle name="Normal 4 8 2 3 4 3" xfId="39098"/>
    <cellStyle name="Normal 4 8 2 3 5" xfId="16534"/>
    <cellStyle name="Normal 4 8 2 3 6" xfId="31577"/>
    <cellStyle name="Normal 4 8 2 4" xfId="2374"/>
    <cellStyle name="Normal 4 8 2 4 2" xfId="6170"/>
    <cellStyle name="Normal 4 8 2 4 2 2" xfId="13693"/>
    <cellStyle name="Normal 4 8 2 4 2 2 2" xfId="28737"/>
    <cellStyle name="Normal 4 8 2 4 2 2 3" xfId="43780"/>
    <cellStyle name="Normal 4 8 2 4 2 3" xfId="21216"/>
    <cellStyle name="Normal 4 8 2 4 2 4" xfId="36259"/>
    <cellStyle name="Normal 4 8 2 4 3" xfId="9944"/>
    <cellStyle name="Normal 4 8 2 4 3 2" xfId="24988"/>
    <cellStyle name="Normal 4 8 2 4 3 3" xfId="40031"/>
    <cellStyle name="Normal 4 8 2 4 4" xfId="17467"/>
    <cellStyle name="Normal 4 8 2 4 5" xfId="32510"/>
    <cellStyle name="Normal 4 8 2 5" xfId="4302"/>
    <cellStyle name="Normal 4 8 2 5 2" xfId="11826"/>
    <cellStyle name="Normal 4 8 2 5 2 2" xfId="26870"/>
    <cellStyle name="Normal 4 8 2 5 2 3" xfId="41913"/>
    <cellStyle name="Normal 4 8 2 5 3" xfId="19349"/>
    <cellStyle name="Normal 4 8 2 5 4" xfId="34392"/>
    <cellStyle name="Normal 4 8 2 6" xfId="8065"/>
    <cellStyle name="Normal 4 8 2 6 2" xfId="23109"/>
    <cellStyle name="Normal 4 8 2 6 3" xfId="38152"/>
    <cellStyle name="Normal 4 8 2 7" xfId="15588"/>
    <cellStyle name="Normal 4 8 2 8" xfId="30631"/>
    <cellStyle name="Normal 4 8 3" xfId="928"/>
    <cellStyle name="Normal 4 8 3 2" xfId="1887"/>
    <cellStyle name="Normal 4 8 3 2 2" xfId="3758"/>
    <cellStyle name="Normal 4 8 3 2 2 2" xfId="7553"/>
    <cellStyle name="Normal 4 8 3 2 2 2 2" xfId="15076"/>
    <cellStyle name="Normal 4 8 3 2 2 2 2 2" xfId="30120"/>
    <cellStyle name="Normal 4 8 3 2 2 2 2 3" xfId="45163"/>
    <cellStyle name="Normal 4 8 3 2 2 2 3" xfId="22599"/>
    <cellStyle name="Normal 4 8 3 2 2 2 4" xfId="37642"/>
    <cellStyle name="Normal 4 8 3 2 2 3" xfId="11327"/>
    <cellStyle name="Normal 4 8 3 2 2 3 2" xfId="26371"/>
    <cellStyle name="Normal 4 8 3 2 2 3 3" xfId="41414"/>
    <cellStyle name="Normal 4 8 3 2 2 4" xfId="18850"/>
    <cellStyle name="Normal 4 8 3 2 2 5" xfId="33893"/>
    <cellStyle name="Normal 4 8 3 2 3" xfId="5688"/>
    <cellStyle name="Normal 4 8 3 2 3 2" xfId="13211"/>
    <cellStyle name="Normal 4 8 3 2 3 2 2" xfId="28255"/>
    <cellStyle name="Normal 4 8 3 2 3 2 3" xfId="43298"/>
    <cellStyle name="Normal 4 8 3 2 3 3" xfId="20734"/>
    <cellStyle name="Normal 4 8 3 2 3 4" xfId="35777"/>
    <cellStyle name="Normal 4 8 3 2 4" xfId="9462"/>
    <cellStyle name="Normal 4 8 3 2 4 2" xfId="24506"/>
    <cellStyle name="Normal 4 8 3 2 4 3" xfId="39549"/>
    <cellStyle name="Normal 4 8 3 2 5" xfId="16985"/>
    <cellStyle name="Normal 4 8 3 2 6" xfId="32028"/>
    <cellStyle name="Normal 4 8 3 3" xfId="2826"/>
    <cellStyle name="Normal 4 8 3 3 2" xfId="6621"/>
    <cellStyle name="Normal 4 8 3 3 2 2" xfId="14144"/>
    <cellStyle name="Normal 4 8 3 3 2 2 2" xfId="29188"/>
    <cellStyle name="Normal 4 8 3 3 2 2 3" xfId="44231"/>
    <cellStyle name="Normal 4 8 3 3 2 3" xfId="21667"/>
    <cellStyle name="Normal 4 8 3 3 2 4" xfId="36710"/>
    <cellStyle name="Normal 4 8 3 3 3" xfId="10395"/>
    <cellStyle name="Normal 4 8 3 3 3 2" xfId="25439"/>
    <cellStyle name="Normal 4 8 3 3 3 3" xfId="40482"/>
    <cellStyle name="Normal 4 8 3 3 4" xfId="17918"/>
    <cellStyle name="Normal 4 8 3 3 5" xfId="32961"/>
    <cellStyle name="Normal 4 8 3 4" xfId="4756"/>
    <cellStyle name="Normal 4 8 3 4 2" xfId="12279"/>
    <cellStyle name="Normal 4 8 3 4 2 2" xfId="27323"/>
    <cellStyle name="Normal 4 8 3 4 2 3" xfId="42366"/>
    <cellStyle name="Normal 4 8 3 4 3" xfId="19802"/>
    <cellStyle name="Normal 4 8 3 4 4" xfId="34845"/>
    <cellStyle name="Normal 4 8 3 5" xfId="8530"/>
    <cellStyle name="Normal 4 8 3 5 2" xfId="23574"/>
    <cellStyle name="Normal 4 8 3 5 3" xfId="38617"/>
    <cellStyle name="Normal 4 8 3 6" xfId="16053"/>
    <cellStyle name="Normal 4 8 3 7" xfId="31096"/>
    <cellStyle name="Normal 4 8 4" xfId="1435"/>
    <cellStyle name="Normal 4 8 4 2" xfId="3306"/>
    <cellStyle name="Normal 4 8 4 2 2" xfId="7101"/>
    <cellStyle name="Normal 4 8 4 2 2 2" xfId="14624"/>
    <cellStyle name="Normal 4 8 4 2 2 2 2" xfId="29668"/>
    <cellStyle name="Normal 4 8 4 2 2 2 3" xfId="44711"/>
    <cellStyle name="Normal 4 8 4 2 2 3" xfId="22147"/>
    <cellStyle name="Normal 4 8 4 2 2 4" xfId="37190"/>
    <cellStyle name="Normal 4 8 4 2 3" xfId="10875"/>
    <cellStyle name="Normal 4 8 4 2 3 2" xfId="25919"/>
    <cellStyle name="Normal 4 8 4 2 3 3" xfId="40962"/>
    <cellStyle name="Normal 4 8 4 2 4" xfId="18398"/>
    <cellStyle name="Normal 4 8 4 2 5" xfId="33441"/>
    <cellStyle name="Normal 4 8 4 3" xfId="5236"/>
    <cellStyle name="Normal 4 8 4 3 2" xfId="12759"/>
    <cellStyle name="Normal 4 8 4 3 2 2" xfId="27803"/>
    <cellStyle name="Normal 4 8 4 3 2 3" xfId="42846"/>
    <cellStyle name="Normal 4 8 4 3 3" xfId="20282"/>
    <cellStyle name="Normal 4 8 4 3 4" xfId="35325"/>
    <cellStyle name="Normal 4 8 4 4" xfId="9010"/>
    <cellStyle name="Normal 4 8 4 4 2" xfId="24054"/>
    <cellStyle name="Normal 4 8 4 4 3" xfId="39097"/>
    <cellStyle name="Normal 4 8 4 5" xfId="16533"/>
    <cellStyle name="Normal 4 8 4 6" xfId="31576"/>
    <cellStyle name="Normal 4 8 5" xfId="2373"/>
    <cellStyle name="Normal 4 8 5 2" xfId="6169"/>
    <cellStyle name="Normal 4 8 5 2 2" xfId="13692"/>
    <cellStyle name="Normal 4 8 5 2 2 2" xfId="28736"/>
    <cellStyle name="Normal 4 8 5 2 2 3" xfId="43779"/>
    <cellStyle name="Normal 4 8 5 2 3" xfId="21215"/>
    <cellStyle name="Normal 4 8 5 2 4" xfId="36258"/>
    <cellStyle name="Normal 4 8 5 3" xfId="9943"/>
    <cellStyle name="Normal 4 8 5 3 2" xfId="24987"/>
    <cellStyle name="Normal 4 8 5 3 3" xfId="40030"/>
    <cellStyle name="Normal 4 8 5 4" xfId="17466"/>
    <cellStyle name="Normal 4 8 5 5" xfId="32509"/>
    <cellStyle name="Normal 4 8 6" xfId="4301"/>
    <cellStyle name="Normal 4 8 6 2" xfId="11825"/>
    <cellStyle name="Normal 4 8 6 2 2" xfId="26869"/>
    <cellStyle name="Normal 4 8 6 2 3" xfId="41912"/>
    <cellStyle name="Normal 4 8 6 3" xfId="19348"/>
    <cellStyle name="Normal 4 8 6 4" xfId="34391"/>
    <cellStyle name="Normal 4 8 7" xfId="8064"/>
    <cellStyle name="Normal 4 8 7 2" xfId="23108"/>
    <cellStyle name="Normal 4 8 7 3" xfId="38151"/>
    <cellStyle name="Normal 4 8 8" xfId="15587"/>
    <cellStyle name="Normal 4 8 9" xfId="30630"/>
    <cellStyle name="Normal 4 9" xfId="406"/>
    <cellStyle name="Normal 40" xfId="3990"/>
    <cellStyle name="Normal 40 2" xfId="7744"/>
    <cellStyle name="Normal 40 2 2" xfId="15267"/>
    <cellStyle name="Normal 40 2 2 2" xfId="30311"/>
    <cellStyle name="Normal 40 2 2 3" xfId="45354"/>
    <cellStyle name="Normal 40 2 3" xfId="22790"/>
    <cellStyle name="Normal 40 2 4" xfId="37833"/>
    <cellStyle name="Normal 40 3" xfId="11518"/>
    <cellStyle name="Normal 40 3 2" xfId="26562"/>
    <cellStyle name="Normal 40 3 3" xfId="41605"/>
    <cellStyle name="Normal 40 4" xfId="19041"/>
    <cellStyle name="Normal 40 5" xfId="34084"/>
    <cellStyle name="Normal 41" xfId="4005"/>
    <cellStyle name="Normal 42" xfId="7758"/>
    <cellStyle name="Normal 42 2" xfId="15281"/>
    <cellStyle name="Normal 42 2 2" xfId="30325"/>
    <cellStyle name="Normal 42 2 3" xfId="45368"/>
    <cellStyle name="Normal 42 3" xfId="22804"/>
    <cellStyle name="Normal 42 4" xfId="37847"/>
    <cellStyle name="Normal 43" xfId="7772"/>
    <cellStyle name="Normal 43 2" xfId="7775"/>
    <cellStyle name="Normal 43 2 2" xfId="15297"/>
    <cellStyle name="Normal 43 2 2 2" xfId="30341"/>
    <cellStyle name="Normal 43 2 2 3" xfId="45384"/>
    <cellStyle name="Normal 43 2 3" xfId="22820"/>
    <cellStyle name="Normal 43 2 4" xfId="37863"/>
    <cellStyle name="Normal 43 3" xfId="15295"/>
    <cellStyle name="Normal 43 3 2" xfId="30339"/>
    <cellStyle name="Normal 43 3 3" xfId="45382"/>
    <cellStyle name="Normal 43 4" xfId="22818"/>
    <cellStyle name="Normal 43 5" xfId="37861"/>
    <cellStyle name="Normal 44" xfId="7773"/>
    <cellStyle name="Normal 44 2" xfId="15296"/>
    <cellStyle name="Normal 44 2 2" xfId="30340"/>
    <cellStyle name="Normal 44 2 3" xfId="45383"/>
    <cellStyle name="Normal 44 3" xfId="22819"/>
    <cellStyle name="Normal 44 4" xfId="37862"/>
    <cellStyle name="Normal 45" xfId="7776"/>
    <cellStyle name="Normal 45 2" xfId="15298"/>
    <cellStyle name="Normal 45 2 2" xfId="30342"/>
    <cellStyle name="Normal 45 2 3" xfId="45385"/>
    <cellStyle name="Normal 45 3" xfId="22821"/>
    <cellStyle name="Normal 45 4" xfId="37864"/>
    <cellStyle name="Normal 46" xfId="7777"/>
    <cellStyle name="Normal 46 2" xfId="15299"/>
    <cellStyle name="Normal 46 2 2" xfId="30343"/>
    <cellStyle name="Normal 46 2 3" xfId="45386"/>
    <cellStyle name="Normal 46 3" xfId="22822"/>
    <cellStyle name="Normal 46 4" xfId="37865"/>
    <cellStyle name="Normal 47" xfId="7778"/>
    <cellStyle name="Normal 48" xfId="7779"/>
    <cellStyle name="Normal 48 2" xfId="15300"/>
    <cellStyle name="Normal 48 2 2" xfId="30344"/>
    <cellStyle name="Normal 48 2 3" xfId="45387"/>
    <cellStyle name="Normal 48 3" xfId="22823"/>
    <cellStyle name="Normal 48 4" xfId="37866"/>
    <cellStyle name="Normal 49" xfId="7780"/>
    <cellStyle name="Normal 49 2" xfId="15301"/>
    <cellStyle name="Normal 49 2 2" xfId="30345"/>
    <cellStyle name="Normal 49 2 3" xfId="45388"/>
    <cellStyle name="Normal 49 3" xfId="22824"/>
    <cellStyle name="Normal 49 4" xfId="37867"/>
    <cellStyle name="Normal 5" xfId="15"/>
    <cellStyle name="Normal 5 10" xfId="7791"/>
    <cellStyle name="Normal 5 10 2" xfId="22835"/>
    <cellStyle name="Normal 5 10 3" xfId="37878"/>
    <cellStyle name="Normal 5 11" xfId="15314"/>
    <cellStyle name="Normal 5 12" xfId="30357"/>
    <cellStyle name="Normal 5 2" xfId="407"/>
    <cellStyle name="Normal 5 2 2" xfId="408"/>
    <cellStyle name="Normal 5 2 3" xfId="409"/>
    <cellStyle name="Normal 5 3" xfId="410"/>
    <cellStyle name="Normal 5 4" xfId="411"/>
    <cellStyle name="Normal 5 4 2" xfId="930"/>
    <cellStyle name="Normal 5 4 2 2" xfId="1889"/>
    <cellStyle name="Normal 5 4 2 2 2" xfId="3760"/>
    <cellStyle name="Normal 5 4 2 2 2 2" xfId="7555"/>
    <cellStyle name="Normal 5 4 2 2 2 2 2" xfId="15078"/>
    <cellStyle name="Normal 5 4 2 2 2 2 2 2" xfId="30122"/>
    <cellStyle name="Normal 5 4 2 2 2 2 2 3" xfId="45165"/>
    <cellStyle name="Normal 5 4 2 2 2 2 3" xfId="22601"/>
    <cellStyle name="Normal 5 4 2 2 2 2 4" xfId="37644"/>
    <cellStyle name="Normal 5 4 2 2 2 3" xfId="11329"/>
    <cellStyle name="Normal 5 4 2 2 2 3 2" xfId="26373"/>
    <cellStyle name="Normal 5 4 2 2 2 3 3" xfId="41416"/>
    <cellStyle name="Normal 5 4 2 2 2 4" xfId="18852"/>
    <cellStyle name="Normal 5 4 2 2 2 5" xfId="33895"/>
    <cellStyle name="Normal 5 4 2 2 3" xfId="5690"/>
    <cellStyle name="Normal 5 4 2 2 3 2" xfId="13213"/>
    <cellStyle name="Normal 5 4 2 2 3 2 2" xfId="28257"/>
    <cellStyle name="Normal 5 4 2 2 3 2 3" xfId="43300"/>
    <cellStyle name="Normal 5 4 2 2 3 3" xfId="20736"/>
    <cellStyle name="Normal 5 4 2 2 3 4" xfId="35779"/>
    <cellStyle name="Normal 5 4 2 2 4" xfId="9464"/>
    <cellStyle name="Normal 5 4 2 2 4 2" xfId="24508"/>
    <cellStyle name="Normal 5 4 2 2 4 3" xfId="39551"/>
    <cellStyle name="Normal 5 4 2 2 5" xfId="16987"/>
    <cellStyle name="Normal 5 4 2 2 6" xfId="32030"/>
    <cellStyle name="Normal 5 4 2 3" xfId="2828"/>
    <cellStyle name="Normal 5 4 2 3 2" xfId="6623"/>
    <cellStyle name="Normal 5 4 2 3 2 2" xfId="14146"/>
    <cellStyle name="Normal 5 4 2 3 2 2 2" xfId="29190"/>
    <cellStyle name="Normal 5 4 2 3 2 2 3" xfId="44233"/>
    <cellStyle name="Normal 5 4 2 3 2 3" xfId="21669"/>
    <cellStyle name="Normal 5 4 2 3 2 4" xfId="36712"/>
    <cellStyle name="Normal 5 4 2 3 3" xfId="10397"/>
    <cellStyle name="Normal 5 4 2 3 3 2" xfId="25441"/>
    <cellStyle name="Normal 5 4 2 3 3 3" xfId="40484"/>
    <cellStyle name="Normal 5 4 2 3 4" xfId="17920"/>
    <cellStyle name="Normal 5 4 2 3 5" xfId="32963"/>
    <cellStyle name="Normal 5 4 2 4" xfId="4758"/>
    <cellStyle name="Normal 5 4 2 4 2" xfId="12281"/>
    <cellStyle name="Normal 5 4 2 4 2 2" xfId="27325"/>
    <cellStyle name="Normal 5 4 2 4 2 3" xfId="42368"/>
    <cellStyle name="Normal 5 4 2 4 3" xfId="19804"/>
    <cellStyle name="Normal 5 4 2 4 4" xfId="34847"/>
    <cellStyle name="Normal 5 4 2 5" xfId="8532"/>
    <cellStyle name="Normal 5 4 2 5 2" xfId="23576"/>
    <cellStyle name="Normal 5 4 2 5 3" xfId="38619"/>
    <cellStyle name="Normal 5 4 2 6" xfId="16055"/>
    <cellStyle name="Normal 5 4 2 7" xfId="31098"/>
    <cellStyle name="Normal 5 4 3" xfId="1437"/>
    <cellStyle name="Normal 5 4 3 2" xfId="3308"/>
    <cellStyle name="Normal 5 4 3 2 2" xfId="7103"/>
    <cellStyle name="Normal 5 4 3 2 2 2" xfId="14626"/>
    <cellStyle name="Normal 5 4 3 2 2 2 2" xfId="29670"/>
    <cellStyle name="Normal 5 4 3 2 2 2 3" xfId="44713"/>
    <cellStyle name="Normal 5 4 3 2 2 3" xfId="22149"/>
    <cellStyle name="Normal 5 4 3 2 2 4" xfId="37192"/>
    <cellStyle name="Normal 5 4 3 2 3" xfId="10877"/>
    <cellStyle name="Normal 5 4 3 2 3 2" xfId="25921"/>
    <cellStyle name="Normal 5 4 3 2 3 3" xfId="40964"/>
    <cellStyle name="Normal 5 4 3 2 4" xfId="18400"/>
    <cellStyle name="Normal 5 4 3 2 5" xfId="33443"/>
    <cellStyle name="Normal 5 4 3 3" xfId="5238"/>
    <cellStyle name="Normal 5 4 3 3 2" xfId="12761"/>
    <cellStyle name="Normal 5 4 3 3 2 2" xfId="27805"/>
    <cellStyle name="Normal 5 4 3 3 2 3" xfId="42848"/>
    <cellStyle name="Normal 5 4 3 3 3" xfId="20284"/>
    <cellStyle name="Normal 5 4 3 3 4" xfId="35327"/>
    <cellStyle name="Normal 5 4 3 4" xfId="9012"/>
    <cellStyle name="Normal 5 4 3 4 2" xfId="24056"/>
    <cellStyle name="Normal 5 4 3 4 3" xfId="39099"/>
    <cellStyle name="Normal 5 4 3 5" xfId="16535"/>
    <cellStyle name="Normal 5 4 3 6" xfId="31578"/>
    <cellStyle name="Normal 5 4 4" xfId="2375"/>
    <cellStyle name="Normal 5 4 4 2" xfId="6171"/>
    <cellStyle name="Normal 5 4 4 2 2" xfId="13694"/>
    <cellStyle name="Normal 5 4 4 2 2 2" xfId="28738"/>
    <cellStyle name="Normal 5 4 4 2 2 3" xfId="43781"/>
    <cellStyle name="Normal 5 4 4 2 3" xfId="21217"/>
    <cellStyle name="Normal 5 4 4 2 4" xfId="36260"/>
    <cellStyle name="Normal 5 4 4 3" xfId="9945"/>
    <cellStyle name="Normal 5 4 4 3 2" xfId="24989"/>
    <cellStyle name="Normal 5 4 4 3 3" xfId="40032"/>
    <cellStyle name="Normal 5 4 4 4" xfId="17468"/>
    <cellStyle name="Normal 5 4 4 5" xfId="32511"/>
    <cellStyle name="Normal 5 4 5" xfId="4303"/>
    <cellStyle name="Normal 5 4 5 2" xfId="11827"/>
    <cellStyle name="Normal 5 4 5 2 2" xfId="26871"/>
    <cellStyle name="Normal 5 4 5 2 3" xfId="41914"/>
    <cellStyle name="Normal 5 4 5 3" xfId="19350"/>
    <cellStyle name="Normal 5 4 5 4" xfId="34393"/>
    <cellStyle name="Normal 5 4 6" xfId="8066"/>
    <cellStyle name="Normal 5 4 6 2" xfId="23110"/>
    <cellStyle name="Normal 5 4 6 3" xfId="38153"/>
    <cellStyle name="Normal 5 4 7" xfId="15589"/>
    <cellStyle name="Normal 5 4 8" xfId="30632"/>
    <cellStyle name="Normal 5 5" xfId="37"/>
    <cellStyle name="Normal 5 5 2" xfId="674"/>
    <cellStyle name="Normal 5 5 2 2" xfId="1633"/>
    <cellStyle name="Normal 5 5 2 2 2" xfId="3504"/>
    <cellStyle name="Normal 5 5 2 2 2 2" xfId="7299"/>
    <cellStyle name="Normal 5 5 2 2 2 2 2" xfId="14822"/>
    <cellStyle name="Normal 5 5 2 2 2 2 2 2" xfId="29866"/>
    <cellStyle name="Normal 5 5 2 2 2 2 2 3" xfId="44909"/>
    <cellStyle name="Normal 5 5 2 2 2 2 3" xfId="22345"/>
    <cellStyle name="Normal 5 5 2 2 2 2 4" xfId="37388"/>
    <cellStyle name="Normal 5 5 2 2 2 3" xfId="11073"/>
    <cellStyle name="Normal 5 5 2 2 2 3 2" xfId="26117"/>
    <cellStyle name="Normal 5 5 2 2 2 3 3" xfId="41160"/>
    <cellStyle name="Normal 5 5 2 2 2 4" xfId="18596"/>
    <cellStyle name="Normal 5 5 2 2 2 5" xfId="33639"/>
    <cellStyle name="Normal 5 5 2 2 3" xfId="5434"/>
    <cellStyle name="Normal 5 5 2 2 3 2" xfId="12957"/>
    <cellStyle name="Normal 5 5 2 2 3 2 2" xfId="28001"/>
    <cellStyle name="Normal 5 5 2 2 3 2 3" xfId="43044"/>
    <cellStyle name="Normal 5 5 2 2 3 3" xfId="20480"/>
    <cellStyle name="Normal 5 5 2 2 3 4" xfId="35523"/>
    <cellStyle name="Normal 5 5 2 2 4" xfId="9208"/>
    <cellStyle name="Normal 5 5 2 2 4 2" xfId="24252"/>
    <cellStyle name="Normal 5 5 2 2 4 3" xfId="39295"/>
    <cellStyle name="Normal 5 5 2 2 5" xfId="16731"/>
    <cellStyle name="Normal 5 5 2 2 6" xfId="31774"/>
    <cellStyle name="Normal 5 5 2 3" xfId="2572"/>
    <cellStyle name="Normal 5 5 2 3 2" xfId="6367"/>
    <cellStyle name="Normal 5 5 2 3 2 2" xfId="13890"/>
    <cellStyle name="Normal 5 5 2 3 2 2 2" xfId="28934"/>
    <cellStyle name="Normal 5 5 2 3 2 2 3" xfId="43977"/>
    <cellStyle name="Normal 5 5 2 3 2 3" xfId="21413"/>
    <cellStyle name="Normal 5 5 2 3 2 4" xfId="36456"/>
    <cellStyle name="Normal 5 5 2 3 3" xfId="10141"/>
    <cellStyle name="Normal 5 5 2 3 3 2" xfId="25185"/>
    <cellStyle name="Normal 5 5 2 3 3 3" xfId="40228"/>
    <cellStyle name="Normal 5 5 2 3 4" xfId="17664"/>
    <cellStyle name="Normal 5 5 2 3 5" xfId="32707"/>
    <cellStyle name="Normal 5 5 2 4" xfId="4502"/>
    <cellStyle name="Normal 5 5 2 4 2" xfId="12025"/>
    <cellStyle name="Normal 5 5 2 4 2 2" xfId="27069"/>
    <cellStyle name="Normal 5 5 2 4 2 3" xfId="42112"/>
    <cellStyle name="Normal 5 5 2 4 3" xfId="19548"/>
    <cellStyle name="Normal 5 5 2 4 4" xfId="34591"/>
    <cellStyle name="Normal 5 5 2 5" xfId="8276"/>
    <cellStyle name="Normal 5 5 2 5 2" xfId="23320"/>
    <cellStyle name="Normal 5 5 2 5 3" xfId="38363"/>
    <cellStyle name="Normal 5 5 2 6" xfId="15799"/>
    <cellStyle name="Normal 5 5 2 7" xfId="30842"/>
    <cellStyle name="Normal 5 5 3" xfId="1181"/>
    <cellStyle name="Normal 5 5 3 2" xfId="3052"/>
    <cellStyle name="Normal 5 5 3 2 2" xfId="6847"/>
    <cellStyle name="Normal 5 5 3 2 2 2" xfId="14370"/>
    <cellStyle name="Normal 5 5 3 2 2 2 2" xfId="29414"/>
    <cellStyle name="Normal 5 5 3 2 2 2 3" xfId="44457"/>
    <cellStyle name="Normal 5 5 3 2 2 3" xfId="21893"/>
    <cellStyle name="Normal 5 5 3 2 2 4" xfId="36936"/>
    <cellStyle name="Normal 5 5 3 2 3" xfId="10621"/>
    <cellStyle name="Normal 5 5 3 2 3 2" xfId="25665"/>
    <cellStyle name="Normal 5 5 3 2 3 3" xfId="40708"/>
    <cellStyle name="Normal 5 5 3 2 4" xfId="18144"/>
    <cellStyle name="Normal 5 5 3 2 5" xfId="33187"/>
    <cellStyle name="Normal 5 5 3 3" xfId="4982"/>
    <cellStyle name="Normal 5 5 3 3 2" xfId="12505"/>
    <cellStyle name="Normal 5 5 3 3 2 2" xfId="27549"/>
    <cellStyle name="Normal 5 5 3 3 2 3" xfId="42592"/>
    <cellStyle name="Normal 5 5 3 3 3" xfId="20028"/>
    <cellStyle name="Normal 5 5 3 3 4" xfId="35071"/>
    <cellStyle name="Normal 5 5 3 4" xfId="8756"/>
    <cellStyle name="Normal 5 5 3 4 2" xfId="23800"/>
    <cellStyle name="Normal 5 5 3 4 3" xfId="38843"/>
    <cellStyle name="Normal 5 5 3 5" xfId="16279"/>
    <cellStyle name="Normal 5 5 3 6" xfId="31322"/>
    <cellStyle name="Normal 5 5 4" xfId="2119"/>
    <cellStyle name="Normal 5 5 4 2" xfId="5915"/>
    <cellStyle name="Normal 5 5 4 2 2" xfId="13438"/>
    <cellStyle name="Normal 5 5 4 2 2 2" xfId="28482"/>
    <cellStyle name="Normal 5 5 4 2 2 3" xfId="43525"/>
    <cellStyle name="Normal 5 5 4 2 3" xfId="20961"/>
    <cellStyle name="Normal 5 5 4 2 4" xfId="36004"/>
    <cellStyle name="Normal 5 5 4 3" xfId="9689"/>
    <cellStyle name="Normal 5 5 4 3 2" xfId="24733"/>
    <cellStyle name="Normal 5 5 4 3 3" xfId="39776"/>
    <cellStyle name="Normal 5 5 4 4" xfId="17212"/>
    <cellStyle name="Normal 5 5 4 5" xfId="32255"/>
    <cellStyle name="Normal 5 5 5" xfId="4045"/>
    <cellStyle name="Normal 5 5 5 2" xfId="11569"/>
    <cellStyle name="Normal 5 5 5 2 2" xfId="26613"/>
    <cellStyle name="Normal 5 5 5 2 3" xfId="41656"/>
    <cellStyle name="Normal 5 5 5 3" xfId="19092"/>
    <cellStyle name="Normal 5 5 5 4" xfId="34135"/>
    <cellStyle name="Normal 5 5 6" xfId="7808"/>
    <cellStyle name="Normal 5 5 6 2" xfId="22852"/>
    <cellStyle name="Normal 5 5 6 3" xfId="37895"/>
    <cellStyle name="Normal 5 5 7" xfId="15331"/>
    <cellStyle name="Normal 5 5 8" xfId="30374"/>
    <cellStyle name="Normal 5 6" xfId="657"/>
    <cellStyle name="Normal 5 6 2" xfId="1616"/>
    <cellStyle name="Normal 5 6 2 2" xfId="3487"/>
    <cellStyle name="Normal 5 6 2 2 2" xfId="7282"/>
    <cellStyle name="Normal 5 6 2 2 2 2" xfId="14805"/>
    <cellStyle name="Normal 5 6 2 2 2 2 2" xfId="29849"/>
    <cellStyle name="Normal 5 6 2 2 2 2 3" xfId="44892"/>
    <cellStyle name="Normal 5 6 2 2 2 3" xfId="22328"/>
    <cellStyle name="Normal 5 6 2 2 2 4" xfId="37371"/>
    <cellStyle name="Normal 5 6 2 2 3" xfId="11056"/>
    <cellStyle name="Normal 5 6 2 2 3 2" xfId="26100"/>
    <cellStyle name="Normal 5 6 2 2 3 3" xfId="41143"/>
    <cellStyle name="Normal 5 6 2 2 4" xfId="18579"/>
    <cellStyle name="Normal 5 6 2 2 5" xfId="33622"/>
    <cellStyle name="Normal 5 6 2 3" xfId="5417"/>
    <cellStyle name="Normal 5 6 2 3 2" xfId="12940"/>
    <cellStyle name="Normal 5 6 2 3 2 2" xfId="27984"/>
    <cellStyle name="Normal 5 6 2 3 2 3" xfId="43027"/>
    <cellStyle name="Normal 5 6 2 3 3" xfId="20463"/>
    <cellStyle name="Normal 5 6 2 3 4" xfId="35506"/>
    <cellStyle name="Normal 5 6 2 4" xfId="9191"/>
    <cellStyle name="Normal 5 6 2 4 2" xfId="24235"/>
    <cellStyle name="Normal 5 6 2 4 3" xfId="39278"/>
    <cellStyle name="Normal 5 6 2 5" xfId="16714"/>
    <cellStyle name="Normal 5 6 2 6" xfId="31757"/>
    <cellStyle name="Normal 5 6 3" xfId="2555"/>
    <cellStyle name="Normal 5 6 3 2" xfId="6350"/>
    <cellStyle name="Normal 5 6 3 2 2" xfId="13873"/>
    <cellStyle name="Normal 5 6 3 2 2 2" xfId="28917"/>
    <cellStyle name="Normal 5 6 3 2 2 3" xfId="43960"/>
    <cellStyle name="Normal 5 6 3 2 3" xfId="21396"/>
    <cellStyle name="Normal 5 6 3 2 4" xfId="36439"/>
    <cellStyle name="Normal 5 6 3 3" xfId="10124"/>
    <cellStyle name="Normal 5 6 3 3 2" xfId="25168"/>
    <cellStyle name="Normal 5 6 3 3 3" xfId="40211"/>
    <cellStyle name="Normal 5 6 3 4" xfId="17647"/>
    <cellStyle name="Normal 5 6 3 5" xfId="32690"/>
    <cellStyle name="Normal 5 6 4" xfId="4485"/>
    <cellStyle name="Normal 5 6 4 2" xfId="12008"/>
    <cellStyle name="Normal 5 6 4 2 2" xfId="27052"/>
    <cellStyle name="Normal 5 6 4 2 3" xfId="42095"/>
    <cellStyle name="Normal 5 6 4 3" xfId="19531"/>
    <cellStyle name="Normal 5 6 4 4" xfId="34574"/>
    <cellStyle name="Normal 5 6 5" xfId="8259"/>
    <cellStyle name="Normal 5 6 5 2" xfId="23303"/>
    <cellStyle name="Normal 5 6 5 3" xfId="38346"/>
    <cellStyle name="Normal 5 6 6" xfId="15782"/>
    <cellStyle name="Normal 5 6 7" xfId="30825"/>
    <cellStyle name="Normal 5 7" xfId="1164"/>
    <cellStyle name="Normal 5 7 2" xfId="3035"/>
    <cellStyle name="Normal 5 7 2 2" xfId="6830"/>
    <cellStyle name="Normal 5 7 2 2 2" xfId="14353"/>
    <cellStyle name="Normal 5 7 2 2 2 2" xfId="29397"/>
    <cellStyle name="Normal 5 7 2 2 2 3" xfId="44440"/>
    <cellStyle name="Normal 5 7 2 2 3" xfId="21876"/>
    <cellStyle name="Normal 5 7 2 2 4" xfId="36919"/>
    <cellStyle name="Normal 5 7 2 3" xfId="10604"/>
    <cellStyle name="Normal 5 7 2 3 2" xfId="25648"/>
    <cellStyle name="Normal 5 7 2 3 3" xfId="40691"/>
    <cellStyle name="Normal 5 7 2 4" xfId="18127"/>
    <cellStyle name="Normal 5 7 2 5" xfId="33170"/>
    <cellStyle name="Normal 5 7 3" xfId="4965"/>
    <cellStyle name="Normal 5 7 3 2" xfId="12488"/>
    <cellStyle name="Normal 5 7 3 2 2" xfId="27532"/>
    <cellStyle name="Normal 5 7 3 2 3" xfId="42575"/>
    <cellStyle name="Normal 5 7 3 3" xfId="20011"/>
    <cellStyle name="Normal 5 7 3 4" xfId="35054"/>
    <cellStyle name="Normal 5 7 4" xfId="8739"/>
    <cellStyle name="Normal 5 7 4 2" xfId="23783"/>
    <cellStyle name="Normal 5 7 4 3" xfId="38826"/>
    <cellStyle name="Normal 5 7 5" xfId="16262"/>
    <cellStyle name="Normal 5 7 6" xfId="31305"/>
    <cellStyle name="Normal 5 8" xfId="2102"/>
    <cellStyle name="Normal 5 8 2" xfId="5898"/>
    <cellStyle name="Normal 5 8 2 2" xfId="13421"/>
    <cellStyle name="Normal 5 8 2 2 2" xfId="28465"/>
    <cellStyle name="Normal 5 8 2 2 3" xfId="43508"/>
    <cellStyle name="Normal 5 8 2 3" xfId="20944"/>
    <cellStyle name="Normal 5 8 2 4" xfId="35987"/>
    <cellStyle name="Normal 5 8 3" xfId="9672"/>
    <cellStyle name="Normal 5 8 3 2" xfId="24716"/>
    <cellStyle name="Normal 5 8 3 3" xfId="39759"/>
    <cellStyle name="Normal 5 8 4" xfId="17195"/>
    <cellStyle name="Normal 5 8 5" xfId="32238"/>
    <cellStyle name="Normal 5 9" xfId="4028"/>
    <cellStyle name="Normal 5 9 2" xfId="11552"/>
    <cellStyle name="Normal 5 9 2 2" xfId="26596"/>
    <cellStyle name="Normal 5 9 2 3" xfId="41639"/>
    <cellStyle name="Normal 5 9 3" xfId="19075"/>
    <cellStyle name="Normal 5 9 4" xfId="34118"/>
    <cellStyle name="Normal 50" xfId="7781"/>
    <cellStyle name="Normal 50 2" xfId="15302"/>
    <cellStyle name="Normal 50 2 2" xfId="30346"/>
    <cellStyle name="Normal 50 2 3" xfId="45389"/>
    <cellStyle name="Normal 50 3" xfId="22825"/>
    <cellStyle name="Normal 50 4" xfId="37868"/>
    <cellStyle name="Normal 51" xfId="7782"/>
    <cellStyle name="Normal 51 2" xfId="15303"/>
    <cellStyle name="Normal 51 2 2" xfId="30347"/>
    <cellStyle name="Normal 51 2 3" xfId="45390"/>
    <cellStyle name="Normal 51 3" xfId="22826"/>
    <cellStyle name="Normal 51 4" xfId="37869"/>
    <cellStyle name="Normal 51 4 2" xfId="45400"/>
    <cellStyle name="Normal 51 4 3" xfId="45411"/>
    <cellStyle name="Normal 51 4 4" xfId="45422"/>
    <cellStyle name="Normal 51 4 5" xfId="45432"/>
    <cellStyle name="Normal 51 4 6" xfId="45442"/>
    <cellStyle name="Normal 51 4 7" xfId="45452"/>
    <cellStyle name="Normal 51 4 8" xfId="45464"/>
    <cellStyle name="Normal 51 4 9" xfId="45478"/>
    <cellStyle name="Normal 52" xfId="15305"/>
    <cellStyle name="Normal 52 2" xfId="30348"/>
    <cellStyle name="Normal 52 3" xfId="45391"/>
    <cellStyle name="Normal 53" xfId="45392"/>
    <cellStyle name="Normal 54" xfId="45393"/>
    <cellStyle name="Normal 54 2" xfId="45415"/>
    <cellStyle name="Normal 54 3" xfId="45426"/>
    <cellStyle name="Normal 54 4" xfId="45436"/>
    <cellStyle name="Normal 54 5" xfId="45446"/>
    <cellStyle name="Normal 54 6" xfId="45456"/>
    <cellStyle name="Normal 54 7" xfId="45468"/>
    <cellStyle name="Normal 54 8" xfId="45482"/>
    <cellStyle name="Normal 55" xfId="45406"/>
    <cellStyle name="Normal 56" xfId="45417"/>
    <cellStyle name="Normal 57" xfId="45427"/>
    <cellStyle name="Normal 58" xfId="45437"/>
    <cellStyle name="Normal 59" xfId="45447"/>
    <cellStyle name="Normal 59 2" xfId="45471"/>
    <cellStyle name="Normal 59 3" xfId="45485"/>
    <cellStyle name="Normal 6" xfId="16"/>
    <cellStyle name="Normal 6 2" xfId="412"/>
    <cellStyle name="Normal 6 2 10" xfId="2376"/>
    <cellStyle name="Normal 6 2 10 2" xfId="6172"/>
    <cellStyle name="Normal 6 2 10 2 2" xfId="13695"/>
    <cellStyle name="Normal 6 2 10 2 2 2" xfId="28739"/>
    <cellStyle name="Normal 6 2 10 2 2 3" xfId="43782"/>
    <cellStyle name="Normal 6 2 10 2 3" xfId="21218"/>
    <cellStyle name="Normal 6 2 10 2 4" xfId="36261"/>
    <cellStyle name="Normal 6 2 10 3" xfId="9946"/>
    <cellStyle name="Normal 6 2 10 3 2" xfId="24990"/>
    <cellStyle name="Normal 6 2 10 3 3" xfId="40033"/>
    <cellStyle name="Normal 6 2 10 4" xfId="17469"/>
    <cellStyle name="Normal 6 2 10 5" xfId="32512"/>
    <cellStyle name="Normal 6 2 11" xfId="4304"/>
    <cellStyle name="Normal 6 2 11 2" xfId="11828"/>
    <cellStyle name="Normal 6 2 11 2 2" xfId="26872"/>
    <cellStyle name="Normal 6 2 11 2 3" xfId="41915"/>
    <cellStyle name="Normal 6 2 11 3" xfId="19351"/>
    <cellStyle name="Normal 6 2 11 4" xfId="34394"/>
    <cellStyle name="Normal 6 2 12" xfId="8067"/>
    <cellStyle name="Normal 6 2 12 2" xfId="23111"/>
    <cellStyle name="Normal 6 2 12 3" xfId="38154"/>
    <cellStyle name="Normal 6 2 13" xfId="15590"/>
    <cellStyle name="Normal 6 2 14" xfId="30633"/>
    <cellStyle name="Normal 6 2 2" xfId="413"/>
    <cellStyle name="Normal 6 2 2 10" xfId="4305"/>
    <cellStyle name="Normal 6 2 2 10 2" xfId="11829"/>
    <cellStyle name="Normal 6 2 2 10 2 2" xfId="26873"/>
    <cellStyle name="Normal 6 2 2 10 2 3" xfId="41916"/>
    <cellStyle name="Normal 6 2 2 10 3" xfId="19352"/>
    <cellStyle name="Normal 6 2 2 10 4" xfId="34395"/>
    <cellStyle name="Normal 6 2 2 11" xfId="8068"/>
    <cellStyle name="Normal 6 2 2 11 2" xfId="23112"/>
    <cellStyle name="Normal 6 2 2 11 3" xfId="38155"/>
    <cellStyle name="Normal 6 2 2 12" xfId="15591"/>
    <cellStyle name="Normal 6 2 2 13" xfId="30634"/>
    <cellStyle name="Normal 6 2 2 2" xfId="414"/>
    <cellStyle name="Normal 6 2 2 2 10" xfId="8069"/>
    <cellStyle name="Normal 6 2 2 2 10 2" xfId="23113"/>
    <cellStyle name="Normal 6 2 2 2 10 3" xfId="38156"/>
    <cellStyle name="Normal 6 2 2 2 11" xfId="15592"/>
    <cellStyle name="Normal 6 2 2 2 12" xfId="30635"/>
    <cellStyle name="Normal 6 2 2 2 2" xfId="415"/>
    <cellStyle name="Normal 6 2 2 2 2 10" xfId="30636"/>
    <cellStyle name="Normal 6 2 2 2 2 2" xfId="416"/>
    <cellStyle name="Normal 6 2 2 2 2 2 2" xfId="417"/>
    <cellStyle name="Normal 6 2 2 2 2 2 2 2" xfId="936"/>
    <cellStyle name="Normal 6 2 2 2 2 2 2 2 2" xfId="1895"/>
    <cellStyle name="Normal 6 2 2 2 2 2 2 2 2 2" xfId="3766"/>
    <cellStyle name="Normal 6 2 2 2 2 2 2 2 2 2 2" xfId="7561"/>
    <cellStyle name="Normal 6 2 2 2 2 2 2 2 2 2 2 2" xfId="15084"/>
    <cellStyle name="Normal 6 2 2 2 2 2 2 2 2 2 2 2 2" xfId="30128"/>
    <cellStyle name="Normal 6 2 2 2 2 2 2 2 2 2 2 2 3" xfId="45171"/>
    <cellStyle name="Normal 6 2 2 2 2 2 2 2 2 2 2 3" xfId="22607"/>
    <cellStyle name="Normal 6 2 2 2 2 2 2 2 2 2 2 4" xfId="37650"/>
    <cellStyle name="Normal 6 2 2 2 2 2 2 2 2 2 3" xfId="11335"/>
    <cellStyle name="Normal 6 2 2 2 2 2 2 2 2 2 3 2" xfId="26379"/>
    <cellStyle name="Normal 6 2 2 2 2 2 2 2 2 2 3 3" xfId="41422"/>
    <cellStyle name="Normal 6 2 2 2 2 2 2 2 2 2 4" xfId="18858"/>
    <cellStyle name="Normal 6 2 2 2 2 2 2 2 2 2 5" xfId="33901"/>
    <cellStyle name="Normal 6 2 2 2 2 2 2 2 2 3" xfId="5696"/>
    <cellStyle name="Normal 6 2 2 2 2 2 2 2 2 3 2" xfId="13219"/>
    <cellStyle name="Normal 6 2 2 2 2 2 2 2 2 3 2 2" xfId="28263"/>
    <cellStyle name="Normal 6 2 2 2 2 2 2 2 2 3 2 3" xfId="43306"/>
    <cellStyle name="Normal 6 2 2 2 2 2 2 2 2 3 3" xfId="20742"/>
    <cellStyle name="Normal 6 2 2 2 2 2 2 2 2 3 4" xfId="35785"/>
    <cellStyle name="Normal 6 2 2 2 2 2 2 2 2 4" xfId="9470"/>
    <cellStyle name="Normal 6 2 2 2 2 2 2 2 2 4 2" xfId="24514"/>
    <cellStyle name="Normal 6 2 2 2 2 2 2 2 2 4 3" xfId="39557"/>
    <cellStyle name="Normal 6 2 2 2 2 2 2 2 2 5" xfId="16993"/>
    <cellStyle name="Normal 6 2 2 2 2 2 2 2 2 6" xfId="32036"/>
    <cellStyle name="Normal 6 2 2 2 2 2 2 2 3" xfId="2834"/>
    <cellStyle name="Normal 6 2 2 2 2 2 2 2 3 2" xfId="6629"/>
    <cellStyle name="Normal 6 2 2 2 2 2 2 2 3 2 2" xfId="14152"/>
    <cellStyle name="Normal 6 2 2 2 2 2 2 2 3 2 2 2" xfId="29196"/>
    <cellStyle name="Normal 6 2 2 2 2 2 2 2 3 2 2 3" xfId="44239"/>
    <cellStyle name="Normal 6 2 2 2 2 2 2 2 3 2 3" xfId="21675"/>
    <cellStyle name="Normal 6 2 2 2 2 2 2 2 3 2 4" xfId="36718"/>
    <cellStyle name="Normal 6 2 2 2 2 2 2 2 3 3" xfId="10403"/>
    <cellStyle name="Normal 6 2 2 2 2 2 2 2 3 3 2" xfId="25447"/>
    <cellStyle name="Normal 6 2 2 2 2 2 2 2 3 3 3" xfId="40490"/>
    <cellStyle name="Normal 6 2 2 2 2 2 2 2 3 4" xfId="17926"/>
    <cellStyle name="Normal 6 2 2 2 2 2 2 2 3 5" xfId="32969"/>
    <cellStyle name="Normal 6 2 2 2 2 2 2 2 4" xfId="4764"/>
    <cellStyle name="Normal 6 2 2 2 2 2 2 2 4 2" xfId="12287"/>
    <cellStyle name="Normal 6 2 2 2 2 2 2 2 4 2 2" xfId="27331"/>
    <cellStyle name="Normal 6 2 2 2 2 2 2 2 4 2 3" xfId="42374"/>
    <cellStyle name="Normal 6 2 2 2 2 2 2 2 4 3" xfId="19810"/>
    <cellStyle name="Normal 6 2 2 2 2 2 2 2 4 4" xfId="34853"/>
    <cellStyle name="Normal 6 2 2 2 2 2 2 2 5" xfId="8538"/>
    <cellStyle name="Normal 6 2 2 2 2 2 2 2 5 2" xfId="23582"/>
    <cellStyle name="Normal 6 2 2 2 2 2 2 2 5 3" xfId="38625"/>
    <cellStyle name="Normal 6 2 2 2 2 2 2 2 6" xfId="16061"/>
    <cellStyle name="Normal 6 2 2 2 2 2 2 2 7" xfId="31104"/>
    <cellStyle name="Normal 6 2 2 2 2 2 2 3" xfId="1443"/>
    <cellStyle name="Normal 6 2 2 2 2 2 2 3 2" xfId="3314"/>
    <cellStyle name="Normal 6 2 2 2 2 2 2 3 2 2" xfId="7109"/>
    <cellStyle name="Normal 6 2 2 2 2 2 2 3 2 2 2" xfId="14632"/>
    <cellStyle name="Normal 6 2 2 2 2 2 2 3 2 2 2 2" xfId="29676"/>
    <cellStyle name="Normal 6 2 2 2 2 2 2 3 2 2 2 3" xfId="44719"/>
    <cellStyle name="Normal 6 2 2 2 2 2 2 3 2 2 3" xfId="22155"/>
    <cellStyle name="Normal 6 2 2 2 2 2 2 3 2 2 4" xfId="37198"/>
    <cellStyle name="Normal 6 2 2 2 2 2 2 3 2 3" xfId="10883"/>
    <cellStyle name="Normal 6 2 2 2 2 2 2 3 2 3 2" xfId="25927"/>
    <cellStyle name="Normal 6 2 2 2 2 2 2 3 2 3 3" xfId="40970"/>
    <cellStyle name="Normal 6 2 2 2 2 2 2 3 2 4" xfId="18406"/>
    <cellStyle name="Normal 6 2 2 2 2 2 2 3 2 5" xfId="33449"/>
    <cellStyle name="Normal 6 2 2 2 2 2 2 3 3" xfId="5244"/>
    <cellStyle name="Normal 6 2 2 2 2 2 2 3 3 2" xfId="12767"/>
    <cellStyle name="Normal 6 2 2 2 2 2 2 3 3 2 2" xfId="27811"/>
    <cellStyle name="Normal 6 2 2 2 2 2 2 3 3 2 3" xfId="42854"/>
    <cellStyle name="Normal 6 2 2 2 2 2 2 3 3 3" xfId="20290"/>
    <cellStyle name="Normal 6 2 2 2 2 2 2 3 3 4" xfId="35333"/>
    <cellStyle name="Normal 6 2 2 2 2 2 2 3 4" xfId="9018"/>
    <cellStyle name="Normal 6 2 2 2 2 2 2 3 4 2" xfId="24062"/>
    <cellStyle name="Normal 6 2 2 2 2 2 2 3 4 3" xfId="39105"/>
    <cellStyle name="Normal 6 2 2 2 2 2 2 3 5" xfId="16541"/>
    <cellStyle name="Normal 6 2 2 2 2 2 2 3 6" xfId="31584"/>
    <cellStyle name="Normal 6 2 2 2 2 2 2 4" xfId="2381"/>
    <cellStyle name="Normal 6 2 2 2 2 2 2 4 2" xfId="6177"/>
    <cellStyle name="Normal 6 2 2 2 2 2 2 4 2 2" xfId="13700"/>
    <cellStyle name="Normal 6 2 2 2 2 2 2 4 2 2 2" xfId="28744"/>
    <cellStyle name="Normal 6 2 2 2 2 2 2 4 2 2 3" xfId="43787"/>
    <cellStyle name="Normal 6 2 2 2 2 2 2 4 2 3" xfId="21223"/>
    <cellStyle name="Normal 6 2 2 2 2 2 2 4 2 4" xfId="36266"/>
    <cellStyle name="Normal 6 2 2 2 2 2 2 4 3" xfId="9951"/>
    <cellStyle name="Normal 6 2 2 2 2 2 2 4 3 2" xfId="24995"/>
    <cellStyle name="Normal 6 2 2 2 2 2 2 4 3 3" xfId="40038"/>
    <cellStyle name="Normal 6 2 2 2 2 2 2 4 4" xfId="17474"/>
    <cellStyle name="Normal 6 2 2 2 2 2 2 4 5" xfId="32517"/>
    <cellStyle name="Normal 6 2 2 2 2 2 2 5" xfId="4309"/>
    <cellStyle name="Normal 6 2 2 2 2 2 2 5 2" xfId="11833"/>
    <cellStyle name="Normal 6 2 2 2 2 2 2 5 2 2" xfId="26877"/>
    <cellStyle name="Normal 6 2 2 2 2 2 2 5 2 3" xfId="41920"/>
    <cellStyle name="Normal 6 2 2 2 2 2 2 5 3" xfId="19356"/>
    <cellStyle name="Normal 6 2 2 2 2 2 2 5 4" xfId="34399"/>
    <cellStyle name="Normal 6 2 2 2 2 2 2 6" xfId="8072"/>
    <cellStyle name="Normal 6 2 2 2 2 2 2 6 2" xfId="23116"/>
    <cellStyle name="Normal 6 2 2 2 2 2 2 6 3" xfId="38159"/>
    <cellStyle name="Normal 6 2 2 2 2 2 2 7" xfId="15595"/>
    <cellStyle name="Normal 6 2 2 2 2 2 2 8" xfId="30638"/>
    <cellStyle name="Normal 6 2 2 2 2 2 3" xfId="935"/>
    <cellStyle name="Normal 6 2 2 2 2 2 3 2" xfId="1894"/>
    <cellStyle name="Normal 6 2 2 2 2 2 3 2 2" xfId="3765"/>
    <cellStyle name="Normal 6 2 2 2 2 2 3 2 2 2" xfId="7560"/>
    <cellStyle name="Normal 6 2 2 2 2 2 3 2 2 2 2" xfId="15083"/>
    <cellStyle name="Normal 6 2 2 2 2 2 3 2 2 2 2 2" xfId="30127"/>
    <cellStyle name="Normal 6 2 2 2 2 2 3 2 2 2 2 3" xfId="45170"/>
    <cellStyle name="Normal 6 2 2 2 2 2 3 2 2 2 3" xfId="22606"/>
    <cellStyle name="Normal 6 2 2 2 2 2 3 2 2 2 4" xfId="37649"/>
    <cellStyle name="Normal 6 2 2 2 2 2 3 2 2 3" xfId="11334"/>
    <cellStyle name="Normal 6 2 2 2 2 2 3 2 2 3 2" xfId="26378"/>
    <cellStyle name="Normal 6 2 2 2 2 2 3 2 2 3 3" xfId="41421"/>
    <cellStyle name="Normal 6 2 2 2 2 2 3 2 2 4" xfId="18857"/>
    <cellStyle name="Normal 6 2 2 2 2 2 3 2 2 5" xfId="33900"/>
    <cellStyle name="Normal 6 2 2 2 2 2 3 2 3" xfId="5695"/>
    <cellStyle name="Normal 6 2 2 2 2 2 3 2 3 2" xfId="13218"/>
    <cellStyle name="Normal 6 2 2 2 2 2 3 2 3 2 2" xfId="28262"/>
    <cellStyle name="Normal 6 2 2 2 2 2 3 2 3 2 3" xfId="43305"/>
    <cellStyle name="Normal 6 2 2 2 2 2 3 2 3 3" xfId="20741"/>
    <cellStyle name="Normal 6 2 2 2 2 2 3 2 3 4" xfId="35784"/>
    <cellStyle name="Normal 6 2 2 2 2 2 3 2 4" xfId="9469"/>
    <cellStyle name="Normal 6 2 2 2 2 2 3 2 4 2" xfId="24513"/>
    <cellStyle name="Normal 6 2 2 2 2 2 3 2 4 3" xfId="39556"/>
    <cellStyle name="Normal 6 2 2 2 2 2 3 2 5" xfId="16992"/>
    <cellStyle name="Normal 6 2 2 2 2 2 3 2 6" xfId="32035"/>
    <cellStyle name="Normal 6 2 2 2 2 2 3 3" xfId="2833"/>
    <cellStyle name="Normal 6 2 2 2 2 2 3 3 2" xfId="6628"/>
    <cellStyle name="Normal 6 2 2 2 2 2 3 3 2 2" xfId="14151"/>
    <cellStyle name="Normal 6 2 2 2 2 2 3 3 2 2 2" xfId="29195"/>
    <cellStyle name="Normal 6 2 2 2 2 2 3 3 2 2 3" xfId="44238"/>
    <cellStyle name="Normal 6 2 2 2 2 2 3 3 2 3" xfId="21674"/>
    <cellStyle name="Normal 6 2 2 2 2 2 3 3 2 4" xfId="36717"/>
    <cellStyle name="Normal 6 2 2 2 2 2 3 3 3" xfId="10402"/>
    <cellStyle name="Normal 6 2 2 2 2 2 3 3 3 2" xfId="25446"/>
    <cellStyle name="Normal 6 2 2 2 2 2 3 3 3 3" xfId="40489"/>
    <cellStyle name="Normal 6 2 2 2 2 2 3 3 4" xfId="17925"/>
    <cellStyle name="Normal 6 2 2 2 2 2 3 3 5" xfId="32968"/>
    <cellStyle name="Normal 6 2 2 2 2 2 3 4" xfId="4763"/>
    <cellStyle name="Normal 6 2 2 2 2 2 3 4 2" xfId="12286"/>
    <cellStyle name="Normal 6 2 2 2 2 2 3 4 2 2" xfId="27330"/>
    <cellStyle name="Normal 6 2 2 2 2 2 3 4 2 3" xfId="42373"/>
    <cellStyle name="Normal 6 2 2 2 2 2 3 4 3" xfId="19809"/>
    <cellStyle name="Normal 6 2 2 2 2 2 3 4 4" xfId="34852"/>
    <cellStyle name="Normal 6 2 2 2 2 2 3 5" xfId="8537"/>
    <cellStyle name="Normal 6 2 2 2 2 2 3 5 2" xfId="23581"/>
    <cellStyle name="Normal 6 2 2 2 2 2 3 5 3" xfId="38624"/>
    <cellStyle name="Normal 6 2 2 2 2 2 3 6" xfId="16060"/>
    <cellStyle name="Normal 6 2 2 2 2 2 3 7" xfId="31103"/>
    <cellStyle name="Normal 6 2 2 2 2 2 4" xfId="1442"/>
    <cellStyle name="Normal 6 2 2 2 2 2 4 2" xfId="3313"/>
    <cellStyle name="Normal 6 2 2 2 2 2 4 2 2" xfId="7108"/>
    <cellStyle name="Normal 6 2 2 2 2 2 4 2 2 2" xfId="14631"/>
    <cellStyle name="Normal 6 2 2 2 2 2 4 2 2 2 2" xfId="29675"/>
    <cellStyle name="Normal 6 2 2 2 2 2 4 2 2 2 3" xfId="44718"/>
    <cellStyle name="Normal 6 2 2 2 2 2 4 2 2 3" xfId="22154"/>
    <cellStyle name="Normal 6 2 2 2 2 2 4 2 2 4" xfId="37197"/>
    <cellStyle name="Normal 6 2 2 2 2 2 4 2 3" xfId="10882"/>
    <cellStyle name="Normal 6 2 2 2 2 2 4 2 3 2" xfId="25926"/>
    <cellStyle name="Normal 6 2 2 2 2 2 4 2 3 3" xfId="40969"/>
    <cellStyle name="Normal 6 2 2 2 2 2 4 2 4" xfId="18405"/>
    <cellStyle name="Normal 6 2 2 2 2 2 4 2 5" xfId="33448"/>
    <cellStyle name="Normal 6 2 2 2 2 2 4 3" xfId="5243"/>
    <cellStyle name="Normal 6 2 2 2 2 2 4 3 2" xfId="12766"/>
    <cellStyle name="Normal 6 2 2 2 2 2 4 3 2 2" xfId="27810"/>
    <cellStyle name="Normal 6 2 2 2 2 2 4 3 2 3" xfId="42853"/>
    <cellStyle name="Normal 6 2 2 2 2 2 4 3 3" xfId="20289"/>
    <cellStyle name="Normal 6 2 2 2 2 2 4 3 4" xfId="35332"/>
    <cellStyle name="Normal 6 2 2 2 2 2 4 4" xfId="9017"/>
    <cellStyle name="Normal 6 2 2 2 2 2 4 4 2" xfId="24061"/>
    <cellStyle name="Normal 6 2 2 2 2 2 4 4 3" xfId="39104"/>
    <cellStyle name="Normal 6 2 2 2 2 2 4 5" xfId="16540"/>
    <cellStyle name="Normal 6 2 2 2 2 2 4 6" xfId="31583"/>
    <cellStyle name="Normal 6 2 2 2 2 2 5" xfId="2380"/>
    <cellStyle name="Normal 6 2 2 2 2 2 5 2" xfId="6176"/>
    <cellStyle name="Normal 6 2 2 2 2 2 5 2 2" xfId="13699"/>
    <cellStyle name="Normal 6 2 2 2 2 2 5 2 2 2" xfId="28743"/>
    <cellStyle name="Normal 6 2 2 2 2 2 5 2 2 3" xfId="43786"/>
    <cellStyle name="Normal 6 2 2 2 2 2 5 2 3" xfId="21222"/>
    <cellStyle name="Normal 6 2 2 2 2 2 5 2 4" xfId="36265"/>
    <cellStyle name="Normal 6 2 2 2 2 2 5 3" xfId="9950"/>
    <cellStyle name="Normal 6 2 2 2 2 2 5 3 2" xfId="24994"/>
    <cellStyle name="Normal 6 2 2 2 2 2 5 3 3" xfId="40037"/>
    <cellStyle name="Normal 6 2 2 2 2 2 5 4" xfId="17473"/>
    <cellStyle name="Normal 6 2 2 2 2 2 5 5" xfId="32516"/>
    <cellStyle name="Normal 6 2 2 2 2 2 6" xfId="4308"/>
    <cellStyle name="Normal 6 2 2 2 2 2 6 2" xfId="11832"/>
    <cellStyle name="Normal 6 2 2 2 2 2 6 2 2" xfId="26876"/>
    <cellStyle name="Normal 6 2 2 2 2 2 6 2 3" xfId="41919"/>
    <cellStyle name="Normal 6 2 2 2 2 2 6 3" xfId="19355"/>
    <cellStyle name="Normal 6 2 2 2 2 2 6 4" xfId="34398"/>
    <cellStyle name="Normal 6 2 2 2 2 2 7" xfId="8071"/>
    <cellStyle name="Normal 6 2 2 2 2 2 7 2" xfId="23115"/>
    <cellStyle name="Normal 6 2 2 2 2 2 7 3" xfId="38158"/>
    <cellStyle name="Normal 6 2 2 2 2 2 8" xfId="15594"/>
    <cellStyle name="Normal 6 2 2 2 2 2 9" xfId="30637"/>
    <cellStyle name="Normal 6 2 2 2 2 3" xfId="418"/>
    <cellStyle name="Normal 6 2 2 2 2 3 2" xfId="937"/>
    <cellStyle name="Normal 6 2 2 2 2 3 2 2" xfId="1896"/>
    <cellStyle name="Normal 6 2 2 2 2 3 2 2 2" xfId="3767"/>
    <cellStyle name="Normal 6 2 2 2 2 3 2 2 2 2" xfId="7562"/>
    <cellStyle name="Normal 6 2 2 2 2 3 2 2 2 2 2" xfId="15085"/>
    <cellStyle name="Normal 6 2 2 2 2 3 2 2 2 2 2 2" xfId="30129"/>
    <cellStyle name="Normal 6 2 2 2 2 3 2 2 2 2 2 3" xfId="45172"/>
    <cellStyle name="Normal 6 2 2 2 2 3 2 2 2 2 3" xfId="22608"/>
    <cellStyle name="Normal 6 2 2 2 2 3 2 2 2 2 4" xfId="37651"/>
    <cellStyle name="Normal 6 2 2 2 2 3 2 2 2 3" xfId="11336"/>
    <cellStyle name="Normal 6 2 2 2 2 3 2 2 2 3 2" xfId="26380"/>
    <cellStyle name="Normal 6 2 2 2 2 3 2 2 2 3 3" xfId="41423"/>
    <cellStyle name="Normal 6 2 2 2 2 3 2 2 2 4" xfId="18859"/>
    <cellStyle name="Normal 6 2 2 2 2 3 2 2 2 5" xfId="33902"/>
    <cellStyle name="Normal 6 2 2 2 2 3 2 2 3" xfId="5697"/>
    <cellStyle name="Normal 6 2 2 2 2 3 2 2 3 2" xfId="13220"/>
    <cellStyle name="Normal 6 2 2 2 2 3 2 2 3 2 2" xfId="28264"/>
    <cellStyle name="Normal 6 2 2 2 2 3 2 2 3 2 3" xfId="43307"/>
    <cellStyle name="Normal 6 2 2 2 2 3 2 2 3 3" xfId="20743"/>
    <cellStyle name="Normal 6 2 2 2 2 3 2 2 3 4" xfId="35786"/>
    <cellStyle name="Normal 6 2 2 2 2 3 2 2 4" xfId="9471"/>
    <cellStyle name="Normal 6 2 2 2 2 3 2 2 4 2" xfId="24515"/>
    <cellStyle name="Normal 6 2 2 2 2 3 2 2 4 3" xfId="39558"/>
    <cellStyle name="Normal 6 2 2 2 2 3 2 2 5" xfId="16994"/>
    <cellStyle name="Normal 6 2 2 2 2 3 2 2 6" xfId="32037"/>
    <cellStyle name="Normal 6 2 2 2 2 3 2 3" xfId="2835"/>
    <cellStyle name="Normal 6 2 2 2 2 3 2 3 2" xfId="6630"/>
    <cellStyle name="Normal 6 2 2 2 2 3 2 3 2 2" xfId="14153"/>
    <cellStyle name="Normal 6 2 2 2 2 3 2 3 2 2 2" xfId="29197"/>
    <cellStyle name="Normal 6 2 2 2 2 3 2 3 2 2 3" xfId="44240"/>
    <cellStyle name="Normal 6 2 2 2 2 3 2 3 2 3" xfId="21676"/>
    <cellStyle name="Normal 6 2 2 2 2 3 2 3 2 4" xfId="36719"/>
    <cellStyle name="Normal 6 2 2 2 2 3 2 3 3" xfId="10404"/>
    <cellStyle name="Normal 6 2 2 2 2 3 2 3 3 2" xfId="25448"/>
    <cellStyle name="Normal 6 2 2 2 2 3 2 3 3 3" xfId="40491"/>
    <cellStyle name="Normal 6 2 2 2 2 3 2 3 4" xfId="17927"/>
    <cellStyle name="Normal 6 2 2 2 2 3 2 3 5" xfId="32970"/>
    <cellStyle name="Normal 6 2 2 2 2 3 2 4" xfId="4765"/>
    <cellStyle name="Normal 6 2 2 2 2 3 2 4 2" xfId="12288"/>
    <cellStyle name="Normal 6 2 2 2 2 3 2 4 2 2" xfId="27332"/>
    <cellStyle name="Normal 6 2 2 2 2 3 2 4 2 3" xfId="42375"/>
    <cellStyle name="Normal 6 2 2 2 2 3 2 4 3" xfId="19811"/>
    <cellStyle name="Normal 6 2 2 2 2 3 2 4 4" xfId="34854"/>
    <cellStyle name="Normal 6 2 2 2 2 3 2 5" xfId="8539"/>
    <cellStyle name="Normal 6 2 2 2 2 3 2 5 2" xfId="23583"/>
    <cellStyle name="Normal 6 2 2 2 2 3 2 5 3" xfId="38626"/>
    <cellStyle name="Normal 6 2 2 2 2 3 2 6" xfId="16062"/>
    <cellStyle name="Normal 6 2 2 2 2 3 2 7" xfId="31105"/>
    <cellStyle name="Normal 6 2 2 2 2 3 3" xfId="1444"/>
    <cellStyle name="Normal 6 2 2 2 2 3 3 2" xfId="3315"/>
    <cellStyle name="Normal 6 2 2 2 2 3 3 2 2" xfId="7110"/>
    <cellStyle name="Normal 6 2 2 2 2 3 3 2 2 2" xfId="14633"/>
    <cellStyle name="Normal 6 2 2 2 2 3 3 2 2 2 2" xfId="29677"/>
    <cellStyle name="Normal 6 2 2 2 2 3 3 2 2 2 3" xfId="44720"/>
    <cellStyle name="Normal 6 2 2 2 2 3 3 2 2 3" xfId="22156"/>
    <cellStyle name="Normal 6 2 2 2 2 3 3 2 2 4" xfId="37199"/>
    <cellStyle name="Normal 6 2 2 2 2 3 3 2 3" xfId="10884"/>
    <cellStyle name="Normal 6 2 2 2 2 3 3 2 3 2" xfId="25928"/>
    <cellStyle name="Normal 6 2 2 2 2 3 3 2 3 3" xfId="40971"/>
    <cellStyle name="Normal 6 2 2 2 2 3 3 2 4" xfId="18407"/>
    <cellStyle name="Normal 6 2 2 2 2 3 3 2 5" xfId="33450"/>
    <cellStyle name="Normal 6 2 2 2 2 3 3 3" xfId="5245"/>
    <cellStyle name="Normal 6 2 2 2 2 3 3 3 2" xfId="12768"/>
    <cellStyle name="Normal 6 2 2 2 2 3 3 3 2 2" xfId="27812"/>
    <cellStyle name="Normal 6 2 2 2 2 3 3 3 2 3" xfId="42855"/>
    <cellStyle name="Normal 6 2 2 2 2 3 3 3 3" xfId="20291"/>
    <cellStyle name="Normal 6 2 2 2 2 3 3 3 4" xfId="35334"/>
    <cellStyle name="Normal 6 2 2 2 2 3 3 4" xfId="9019"/>
    <cellStyle name="Normal 6 2 2 2 2 3 3 4 2" xfId="24063"/>
    <cellStyle name="Normal 6 2 2 2 2 3 3 4 3" xfId="39106"/>
    <cellStyle name="Normal 6 2 2 2 2 3 3 5" xfId="16542"/>
    <cellStyle name="Normal 6 2 2 2 2 3 3 6" xfId="31585"/>
    <cellStyle name="Normal 6 2 2 2 2 3 4" xfId="2382"/>
    <cellStyle name="Normal 6 2 2 2 2 3 4 2" xfId="6178"/>
    <cellStyle name="Normal 6 2 2 2 2 3 4 2 2" xfId="13701"/>
    <cellStyle name="Normal 6 2 2 2 2 3 4 2 2 2" xfId="28745"/>
    <cellStyle name="Normal 6 2 2 2 2 3 4 2 2 3" xfId="43788"/>
    <cellStyle name="Normal 6 2 2 2 2 3 4 2 3" xfId="21224"/>
    <cellStyle name="Normal 6 2 2 2 2 3 4 2 4" xfId="36267"/>
    <cellStyle name="Normal 6 2 2 2 2 3 4 3" xfId="9952"/>
    <cellStyle name="Normal 6 2 2 2 2 3 4 3 2" xfId="24996"/>
    <cellStyle name="Normal 6 2 2 2 2 3 4 3 3" xfId="40039"/>
    <cellStyle name="Normal 6 2 2 2 2 3 4 4" xfId="17475"/>
    <cellStyle name="Normal 6 2 2 2 2 3 4 5" xfId="32518"/>
    <cellStyle name="Normal 6 2 2 2 2 3 5" xfId="4310"/>
    <cellStyle name="Normal 6 2 2 2 2 3 5 2" xfId="11834"/>
    <cellStyle name="Normal 6 2 2 2 2 3 5 2 2" xfId="26878"/>
    <cellStyle name="Normal 6 2 2 2 2 3 5 2 3" xfId="41921"/>
    <cellStyle name="Normal 6 2 2 2 2 3 5 3" xfId="19357"/>
    <cellStyle name="Normal 6 2 2 2 2 3 5 4" xfId="34400"/>
    <cellStyle name="Normal 6 2 2 2 2 3 6" xfId="8073"/>
    <cellStyle name="Normal 6 2 2 2 2 3 6 2" xfId="23117"/>
    <cellStyle name="Normal 6 2 2 2 2 3 6 3" xfId="38160"/>
    <cellStyle name="Normal 6 2 2 2 2 3 7" xfId="15596"/>
    <cellStyle name="Normal 6 2 2 2 2 3 8" xfId="30639"/>
    <cellStyle name="Normal 6 2 2 2 2 4" xfId="934"/>
    <cellStyle name="Normal 6 2 2 2 2 4 2" xfId="1893"/>
    <cellStyle name="Normal 6 2 2 2 2 4 2 2" xfId="3764"/>
    <cellStyle name="Normal 6 2 2 2 2 4 2 2 2" xfId="7559"/>
    <cellStyle name="Normal 6 2 2 2 2 4 2 2 2 2" xfId="15082"/>
    <cellStyle name="Normal 6 2 2 2 2 4 2 2 2 2 2" xfId="30126"/>
    <cellStyle name="Normal 6 2 2 2 2 4 2 2 2 2 3" xfId="45169"/>
    <cellStyle name="Normal 6 2 2 2 2 4 2 2 2 3" xfId="22605"/>
    <cellStyle name="Normal 6 2 2 2 2 4 2 2 2 4" xfId="37648"/>
    <cellStyle name="Normal 6 2 2 2 2 4 2 2 3" xfId="11333"/>
    <cellStyle name="Normal 6 2 2 2 2 4 2 2 3 2" xfId="26377"/>
    <cellStyle name="Normal 6 2 2 2 2 4 2 2 3 3" xfId="41420"/>
    <cellStyle name="Normal 6 2 2 2 2 4 2 2 4" xfId="18856"/>
    <cellStyle name="Normal 6 2 2 2 2 4 2 2 5" xfId="33899"/>
    <cellStyle name="Normal 6 2 2 2 2 4 2 3" xfId="5694"/>
    <cellStyle name="Normal 6 2 2 2 2 4 2 3 2" xfId="13217"/>
    <cellStyle name="Normal 6 2 2 2 2 4 2 3 2 2" xfId="28261"/>
    <cellStyle name="Normal 6 2 2 2 2 4 2 3 2 3" xfId="43304"/>
    <cellStyle name="Normal 6 2 2 2 2 4 2 3 3" xfId="20740"/>
    <cellStyle name="Normal 6 2 2 2 2 4 2 3 4" xfId="35783"/>
    <cellStyle name="Normal 6 2 2 2 2 4 2 4" xfId="9468"/>
    <cellStyle name="Normal 6 2 2 2 2 4 2 4 2" xfId="24512"/>
    <cellStyle name="Normal 6 2 2 2 2 4 2 4 3" xfId="39555"/>
    <cellStyle name="Normal 6 2 2 2 2 4 2 5" xfId="16991"/>
    <cellStyle name="Normal 6 2 2 2 2 4 2 6" xfId="32034"/>
    <cellStyle name="Normal 6 2 2 2 2 4 3" xfId="2832"/>
    <cellStyle name="Normal 6 2 2 2 2 4 3 2" xfId="6627"/>
    <cellStyle name="Normal 6 2 2 2 2 4 3 2 2" xfId="14150"/>
    <cellStyle name="Normal 6 2 2 2 2 4 3 2 2 2" xfId="29194"/>
    <cellStyle name="Normal 6 2 2 2 2 4 3 2 2 3" xfId="44237"/>
    <cellStyle name="Normal 6 2 2 2 2 4 3 2 3" xfId="21673"/>
    <cellStyle name="Normal 6 2 2 2 2 4 3 2 4" xfId="36716"/>
    <cellStyle name="Normal 6 2 2 2 2 4 3 3" xfId="10401"/>
    <cellStyle name="Normal 6 2 2 2 2 4 3 3 2" xfId="25445"/>
    <cellStyle name="Normal 6 2 2 2 2 4 3 3 3" xfId="40488"/>
    <cellStyle name="Normal 6 2 2 2 2 4 3 4" xfId="17924"/>
    <cellStyle name="Normal 6 2 2 2 2 4 3 5" xfId="32967"/>
    <cellStyle name="Normal 6 2 2 2 2 4 4" xfId="4762"/>
    <cellStyle name="Normal 6 2 2 2 2 4 4 2" xfId="12285"/>
    <cellStyle name="Normal 6 2 2 2 2 4 4 2 2" xfId="27329"/>
    <cellStyle name="Normal 6 2 2 2 2 4 4 2 3" xfId="42372"/>
    <cellStyle name="Normal 6 2 2 2 2 4 4 3" xfId="19808"/>
    <cellStyle name="Normal 6 2 2 2 2 4 4 4" xfId="34851"/>
    <cellStyle name="Normal 6 2 2 2 2 4 5" xfId="8536"/>
    <cellStyle name="Normal 6 2 2 2 2 4 5 2" xfId="23580"/>
    <cellStyle name="Normal 6 2 2 2 2 4 5 3" xfId="38623"/>
    <cellStyle name="Normal 6 2 2 2 2 4 6" xfId="16059"/>
    <cellStyle name="Normal 6 2 2 2 2 4 7" xfId="31102"/>
    <cellStyle name="Normal 6 2 2 2 2 5" xfId="1441"/>
    <cellStyle name="Normal 6 2 2 2 2 5 2" xfId="3312"/>
    <cellStyle name="Normal 6 2 2 2 2 5 2 2" xfId="7107"/>
    <cellStyle name="Normal 6 2 2 2 2 5 2 2 2" xfId="14630"/>
    <cellStyle name="Normal 6 2 2 2 2 5 2 2 2 2" xfId="29674"/>
    <cellStyle name="Normal 6 2 2 2 2 5 2 2 2 3" xfId="44717"/>
    <cellStyle name="Normal 6 2 2 2 2 5 2 2 3" xfId="22153"/>
    <cellStyle name="Normal 6 2 2 2 2 5 2 2 4" xfId="37196"/>
    <cellStyle name="Normal 6 2 2 2 2 5 2 3" xfId="10881"/>
    <cellStyle name="Normal 6 2 2 2 2 5 2 3 2" xfId="25925"/>
    <cellStyle name="Normal 6 2 2 2 2 5 2 3 3" xfId="40968"/>
    <cellStyle name="Normal 6 2 2 2 2 5 2 4" xfId="18404"/>
    <cellStyle name="Normal 6 2 2 2 2 5 2 5" xfId="33447"/>
    <cellStyle name="Normal 6 2 2 2 2 5 3" xfId="5242"/>
    <cellStyle name="Normal 6 2 2 2 2 5 3 2" xfId="12765"/>
    <cellStyle name="Normal 6 2 2 2 2 5 3 2 2" xfId="27809"/>
    <cellStyle name="Normal 6 2 2 2 2 5 3 2 3" xfId="42852"/>
    <cellStyle name="Normal 6 2 2 2 2 5 3 3" xfId="20288"/>
    <cellStyle name="Normal 6 2 2 2 2 5 3 4" xfId="35331"/>
    <cellStyle name="Normal 6 2 2 2 2 5 4" xfId="9016"/>
    <cellStyle name="Normal 6 2 2 2 2 5 4 2" xfId="24060"/>
    <cellStyle name="Normal 6 2 2 2 2 5 4 3" xfId="39103"/>
    <cellStyle name="Normal 6 2 2 2 2 5 5" xfId="16539"/>
    <cellStyle name="Normal 6 2 2 2 2 5 6" xfId="31582"/>
    <cellStyle name="Normal 6 2 2 2 2 6" xfId="2379"/>
    <cellStyle name="Normal 6 2 2 2 2 6 2" xfId="6175"/>
    <cellStyle name="Normal 6 2 2 2 2 6 2 2" xfId="13698"/>
    <cellStyle name="Normal 6 2 2 2 2 6 2 2 2" xfId="28742"/>
    <cellStyle name="Normal 6 2 2 2 2 6 2 2 3" xfId="43785"/>
    <cellStyle name="Normal 6 2 2 2 2 6 2 3" xfId="21221"/>
    <cellStyle name="Normal 6 2 2 2 2 6 2 4" xfId="36264"/>
    <cellStyle name="Normal 6 2 2 2 2 6 3" xfId="9949"/>
    <cellStyle name="Normal 6 2 2 2 2 6 3 2" xfId="24993"/>
    <cellStyle name="Normal 6 2 2 2 2 6 3 3" xfId="40036"/>
    <cellStyle name="Normal 6 2 2 2 2 6 4" xfId="17472"/>
    <cellStyle name="Normal 6 2 2 2 2 6 5" xfId="32515"/>
    <cellStyle name="Normal 6 2 2 2 2 7" xfId="4307"/>
    <cellStyle name="Normal 6 2 2 2 2 7 2" xfId="11831"/>
    <cellStyle name="Normal 6 2 2 2 2 7 2 2" xfId="26875"/>
    <cellStyle name="Normal 6 2 2 2 2 7 2 3" xfId="41918"/>
    <cellStyle name="Normal 6 2 2 2 2 7 3" xfId="19354"/>
    <cellStyle name="Normal 6 2 2 2 2 7 4" xfId="34397"/>
    <cellStyle name="Normal 6 2 2 2 2 8" xfId="8070"/>
    <cellStyle name="Normal 6 2 2 2 2 8 2" xfId="23114"/>
    <cellStyle name="Normal 6 2 2 2 2 8 3" xfId="38157"/>
    <cellStyle name="Normal 6 2 2 2 2 9" xfId="15593"/>
    <cellStyle name="Normal 6 2 2 2 3" xfId="419"/>
    <cellStyle name="Normal 6 2 2 2 3 2" xfId="420"/>
    <cellStyle name="Normal 6 2 2 2 3 2 2" xfId="939"/>
    <cellStyle name="Normal 6 2 2 2 3 2 2 2" xfId="1898"/>
    <cellStyle name="Normal 6 2 2 2 3 2 2 2 2" xfId="3769"/>
    <cellStyle name="Normal 6 2 2 2 3 2 2 2 2 2" xfId="7564"/>
    <cellStyle name="Normal 6 2 2 2 3 2 2 2 2 2 2" xfId="15087"/>
    <cellStyle name="Normal 6 2 2 2 3 2 2 2 2 2 2 2" xfId="30131"/>
    <cellStyle name="Normal 6 2 2 2 3 2 2 2 2 2 2 3" xfId="45174"/>
    <cellStyle name="Normal 6 2 2 2 3 2 2 2 2 2 3" xfId="22610"/>
    <cellStyle name="Normal 6 2 2 2 3 2 2 2 2 2 4" xfId="37653"/>
    <cellStyle name="Normal 6 2 2 2 3 2 2 2 2 3" xfId="11338"/>
    <cellStyle name="Normal 6 2 2 2 3 2 2 2 2 3 2" xfId="26382"/>
    <cellStyle name="Normal 6 2 2 2 3 2 2 2 2 3 3" xfId="41425"/>
    <cellStyle name="Normal 6 2 2 2 3 2 2 2 2 4" xfId="18861"/>
    <cellStyle name="Normal 6 2 2 2 3 2 2 2 2 5" xfId="33904"/>
    <cellStyle name="Normal 6 2 2 2 3 2 2 2 3" xfId="5699"/>
    <cellStyle name="Normal 6 2 2 2 3 2 2 2 3 2" xfId="13222"/>
    <cellStyle name="Normal 6 2 2 2 3 2 2 2 3 2 2" xfId="28266"/>
    <cellStyle name="Normal 6 2 2 2 3 2 2 2 3 2 3" xfId="43309"/>
    <cellStyle name="Normal 6 2 2 2 3 2 2 2 3 3" xfId="20745"/>
    <cellStyle name="Normal 6 2 2 2 3 2 2 2 3 4" xfId="35788"/>
    <cellStyle name="Normal 6 2 2 2 3 2 2 2 4" xfId="9473"/>
    <cellStyle name="Normal 6 2 2 2 3 2 2 2 4 2" xfId="24517"/>
    <cellStyle name="Normal 6 2 2 2 3 2 2 2 4 3" xfId="39560"/>
    <cellStyle name="Normal 6 2 2 2 3 2 2 2 5" xfId="16996"/>
    <cellStyle name="Normal 6 2 2 2 3 2 2 2 6" xfId="32039"/>
    <cellStyle name="Normal 6 2 2 2 3 2 2 3" xfId="2837"/>
    <cellStyle name="Normal 6 2 2 2 3 2 2 3 2" xfId="6632"/>
    <cellStyle name="Normal 6 2 2 2 3 2 2 3 2 2" xfId="14155"/>
    <cellStyle name="Normal 6 2 2 2 3 2 2 3 2 2 2" xfId="29199"/>
    <cellStyle name="Normal 6 2 2 2 3 2 2 3 2 2 3" xfId="44242"/>
    <cellStyle name="Normal 6 2 2 2 3 2 2 3 2 3" xfId="21678"/>
    <cellStyle name="Normal 6 2 2 2 3 2 2 3 2 4" xfId="36721"/>
    <cellStyle name="Normal 6 2 2 2 3 2 2 3 3" xfId="10406"/>
    <cellStyle name="Normal 6 2 2 2 3 2 2 3 3 2" xfId="25450"/>
    <cellStyle name="Normal 6 2 2 2 3 2 2 3 3 3" xfId="40493"/>
    <cellStyle name="Normal 6 2 2 2 3 2 2 3 4" xfId="17929"/>
    <cellStyle name="Normal 6 2 2 2 3 2 2 3 5" xfId="32972"/>
    <cellStyle name="Normal 6 2 2 2 3 2 2 4" xfId="4767"/>
    <cellStyle name="Normal 6 2 2 2 3 2 2 4 2" xfId="12290"/>
    <cellStyle name="Normal 6 2 2 2 3 2 2 4 2 2" xfId="27334"/>
    <cellStyle name="Normal 6 2 2 2 3 2 2 4 2 3" xfId="42377"/>
    <cellStyle name="Normal 6 2 2 2 3 2 2 4 3" xfId="19813"/>
    <cellStyle name="Normal 6 2 2 2 3 2 2 4 4" xfId="34856"/>
    <cellStyle name="Normal 6 2 2 2 3 2 2 5" xfId="8541"/>
    <cellStyle name="Normal 6 2 2 2 3 2 2 5 2" xfId="23585"/>
    <cellStyle name="Normal 6 2 2 2 3 2 2 5 3" xfId="38628"/>
    <cellStyle name="Normal 6 2 2 2 3 2 2 6" xfId="16064"/>
    <cellStyle name="Normal 6 2 2 2 3 2 2 7" xfId="31107"/>
    <cellStyle name="Normal 6 2 2 2 3 2 3" xfId="1446"/>
    <cellStyle name="Normal 6 2 2 2 3 2 3 2" xfId="3317"/>
    <cellStyle name="Normal 6 2 2 2 3 2 3 2 2" xfId="7112"/>
    <cellStyle name="Normal 6 2 2 2 3 2 3 2 2 2" xfId="14635"/>
    <cellStyle name="Normal 6 2 2 2 3 2 3 2 2 2 2" xfId="29679"/>
    <cellStyle name="Normal 6 2 2 2 3 2 3 2 2 2 3" xfId="44722"/>
    <cellStyle name="Normal 6 2 2 2 3 2 3 2 2 3" xfId="22158"/>
    <cellStyle name="Normal 6 2 2 2 3 2 3 2 2 4" xfId="37201"/>
    <cellStyle name="Normal 6 2 2 2 3 2 3 2 3" xfId="10886"/>
    <cellStyle name="Normal 6 2 2 2 3 2 3 2 3 2" xfId="25930"/>
    <cellStyle name="Normal 6 2 2 2 3 2 3 2 3 3" xfId="40973"/>
    <cellStyle name="Normal 6 2 2 2 3 2 3 2 4" xfId="18409"/>
    <cellStyle name="Normal 6 2 2 2 3 2 3 2 5" xfId="33452"/>
    <cellStyle name="Normal 6 2 2 2 3 2 3 3" xfId="5247"/>
    <cellStyle name="Normal 6 2 2 2 3 2 3 3 2" xfId="12770"/>
    <cellStyle name="Normal 6 2 2 2 3 2 3 3 2 2" xfId="27814"/>
    <cellStyle name="Normal 6 2 2 2 3 2 3 3 2 3" xfId="42857"/>
    <cellStyle name="Normal 6 2 2 2 3 2 3 3 3" xfId="20293"/>
    <cellStyle name="Normal 6 2 2 2 3 2 3 3 4" xfId="35336"/>
    <cellStyle name="Normal 6 2 2 2 3 2 3 4" xfId="9021"/>
    <cellStyle name="Normal 6 2 2 2 3 2 3 4 2" xfId="24065"/>
    <cellStyle name="Normal 6 2 2 2 3 2 3 4 3" xfId="39108"/>
    <cellStyle name="Normal 6 2 2 2 3 2 3 5" xfId="16544"/>
    <cellStyle name="Normal 6 2 2 2 3 2 3 6" xfId="31587"/>
    <cellStyle name="Normal 6 2 2 2 3 2 4" xfId="2384"/>
    <cellStyle name="Normal 6 2 2 2 3 2 4 2" xfId="6180"/>
    <cellStyle name="Normal 6 2 2 2 3 2 4 2 2" xfId="13703"/>
    <cellStyle name="Normal 6 2 2 2 3 2 4 2 2 2" xfId="28747"/>
    <cellStyle name="Normal 6 2 2 2 3 2 4 2 2 3" xfId="43790"/>
    <cellStyle name="Normal 6 2 2 2 3 2 4 2 3" xfId="21226"/>
    <cellStyle name="Normal 6 2 2 2 3 2 4 2 4" xfId="36269"/>
    <cellStyle name="Normal 6 2 2 2 3 2 4 3" xfId="9954"/>
    <cellStyle name="Normal 6 2 2 2 3 2 4 3 2" xfId="24998"/>
    <cellStyle name="Normal 6 2 2 2 3 2 4 3 3" xfId="40041"/>
    <cellStyle name="Normal 6 2 2 2 3 2 4 4" xfId="17477"/>
    <cellStyle name="Normal 6 2 2 2 3 2 4 5" xfId="32520"/>
    <cellStyle name="Normal 6 2 2 2 3 2 5" xfId="4312"/>
    <cellStyle name="Normal 6 2 2 2 3 2 5 2" xfId="11836"/>
    <cellStyle name="Normal 6 2 2 2 3 2 5 2 2" xfId="26880"/>
    <cellStyle name="Normal 6 2 2 2 3 2 5 2 3" xfId="41923"/>
    <cellStyle name="Normal 6 2 2 2 3 2 5 3" xfId="19359"/>
    <cellStyle name="Normal 6 2 2 2 3 2 5 4" xfId="34402"/>
    <cellStyle name="Normal 6 2 2 2 3 2 6" xfId="8075"/>
    <cellStyle name="Normal 6 2 2 2 3 2 6 2" xfId="23119"/>
    <cellStyle name="Normal 6 2 2 2 3 2 6 3" xfId="38162"/>
    <cellStyle name="Normal 6 2 2 2 3 2 7" xfId="15598"/>
    <cellStyle name="Normal 6 2 2 2 3 2 8" xfId="30641"/>
    <cellStyle name="Normal 6 2 2 2 3 3" xfId="938"/>
    <cellStyle name="Normal 6 2 2 2 3 3 2" xfId="1897"/>
    <cellStyle name="Normal 6 2 2 2 3 3 2 2" xfId="3768"/>
    <cellStyle name="Normal 6 2 2 2 3 3 2 2 2" xfId="7563"/>
    <cellStyle name="Normal 6 2 2 2 3 3 2 2 2 2" xfId="15086"/>
    <cellStyle name="Normal 6 2 2 2 3 3 2 2 2 2 2" xfId="30130"/>
    <cellStyle name="Normal 6 2 2 2 3 3 2 2 2 2 3" xfId="45173"/>
    <cellStyle name="Normal 6 2 2 2 3 3 2 2 2 3" xfId="22609"/>
    <cellStyle name="Normal 6 2 2 2 3 3 2 2 2 4" xfId="37652"/>
    <cellStyle name="Normal 6 2 2 2 3 3 2 2 3" xfId="11337"/>
    <cellStyle name="Normal 6 2 2 2 3 3 2 2 3 2" xfId="26381"/>
    <cellStyle name="Normal 6 2 2 2 3 3 2 2 3 3" xfId="41424"/>
    <cellStyle name="Normal 6 2 2 2 3 3 2 2 4" xfId="18860"/>
    <cellStyle name="Normal 6 2 2 2 3 3 2 2 5" xfId="33903"/>
    <cellStyle name="Normal 6 2 2 2 3 3 2 3" xfId="5698"/>
    <cellStyle name="Normal 6 2 2 2 3 3 2 3 2" xfId="13221"/>
    <cellStyle name="Normal 6 2 2 2 3 3 2 3 2 2" xfId="28265"/>
    <cellStyle name="Normal 6 2 2 2 3 3 2 3 2 3" xfId="43308"/>
    <cellStyle name="Normal 6 2 2 2 3 3 2 3 3" xfId="20744"/>
    <cellStyle name="Normal 6 2 2 2 3 3 2 3 4" xfId="35787"/>
    <cellStyle name="Normal 6 2 2 2 3 3 2 4" xfId="9472"/>
    <cellStyle name="Normal 6 2 2 2 3 3 2 4 2" xfId="24516"/>
    <cellStyle name="Normal 6 2 2 2 3 3 2 4 3" xfId="39559"/>
    <cellStyle name="Normal 6 2 2 2 3 3 2 5" xfId="16995"/>
    <cellStyle name="Normal 6 2 2 2 3 3 2 6" xfId="32038"/>
    <cellStyle name="Normal 6 2 2 2 3 3 3" xfId="2836"/>
    <cellStyle name="Normal 6 2 2 2 3 3 3 2" xfId="6631"/>
    <cellStyle name="Normal 6 2 2 2 3 3 3 2 2" xfId="14154"/>
    <cellStyle name="Normal 6 2 2 2 3 3 3 2 2 2" xfId="29198"/>
    <cellStyle name="Normal 6 2 2 2 3 3 3 2 2 3" xfId="44241"/>
    <cellStyle name="Normal 6 2 2 2 3 3 3 2 3" xfId="21677"/>
    <cellStyle name="Normal 6 2 2 2 3 3 3 2 4" xfId="36720"/>
    <cellStyle name="Normal 6 2 2 2 3 3 3 3" xfId="10405"/>
    <cellStyle name="Normal 6 2 2 2 3 3 3 3 2" xfId="25449"/>
    <cellStyle name="Normal 6 2 2 2 3 3 3 3 3" xfId="40492"/>
    <cellStyle name="Normal 6 2 2 2 3 3 3 4" xfId="17928"/>
    <cellStyle name="Normal 6 2 2 2 3 3 3 5" xfId="32971"/>
    <cellStyle name="Normal 6 2 2 2 3 3 4" xfId="4766"/>
    <cellStyle name="Normal 6 2 2 2 3 3 4 2" xfId="12289"/>
    <cellStyle name="Normal 6 2 2 2 3 3 4 2 2" xfId="27333"/>
    <cellStyle name="Normal 6 2 2 2 3 3 4 2 3" xfId="42376"/>
    <cellStyle name="Normal 6 2 2 2 3 3 4 3" xfId="19812"/>
    <cellStyle name="Normal 6 2 2 2 3 3 4 4" xfId="34855"/>
    <cellStyle name="Normal 6 2 2 2 3 3 5" xfId="8540"/>
    <cellStyle name="Normal 6 2 2 2 3 3 5 2" xfId="23584"/>
    <cellStyle name="Normal 6 2 2 2 3 3 5 3" xfId="38627"/>
    <cellStyle name="Normal 6 2 2 2 3 3 6" xfId="16063"/>
    <cellStyle name="Normal 6 2 2 2 3 3 7" xfId="31106"/>
    <cellStyle name="Normal 6 2 2 2 3 4" xfId="1445"/>
    <cellStyle name="Normal 6 2 2 2 3 4 2" xfId="3316"/>
    <cellStyle name="Normal 6 2 2 2 3 4 2 2" xfId="7111"/>
    <cellStyle name="Normal 6 2 2 2 3 4 2 2 2" xfId="14634"/>
    <cellStyle name="Normal 6 2 2 2 3 4 2 2 2 2" xfId="29678"/>
    <cellStyle name="Normal 6 2 2 2 3 4 2 2 2 3" xfId="44721"/>
    <cellStyle name="Normal 6 2 2 2 3 4 2 2 3" xfId="22157"/>
    <cellStyle name="Normal 6 2 2 2 3 4 2 2 4" xfId="37200"/>
    <cellStyle name="Normal 6 2 2 2 3 4 2 3" xfId="10885"/>
    <cellStyle name="Normal 6 2 2 2 3 4 2 3 2" xfId="25929"/>
    <cellStyle name="Normal 6 2 2 2 3 4 2 3 3" xfId="40972"/>
    <cellStyle name="Normal 6 2 2 2 3 4 2 4" xfId="18408"/>
    <cellStyle name="Normal 6 2 2 2 3 4 2 5" xfId="33451"/>
    <cellStyle name="Normal 6 2 2 2 3 4 3" xfId="5246"/>
    <cellStyle name="Normal 6 2 2 2 3 4 3 2" xfId="12769"/>
    <cellStyle name="Normal 6 2 2 2 3 4 3 2 2" xfId="27813"/>
    <cellStyle name="Normal 6 2 2 2 3 4 3 2 3" xfId="42856"/>
    <cellStyle name="Normal 6 2 2 2 3 4 3 3" xfId="20292"/>
    <cellStyle name="Normal 6 2 2 2 3 4 3 4" xfId="35335"/>
    <cellStyle name="Normal 6 2 2 2 3 4 4" xfId="9020"/>
    <cellStyle name="Normal 6 2 2 2 3 4 4 2" xfId="24064"/>
    <cellStyle name="Normal 6 2 2 2 3 4 4 3" xfId="39107"/>
    <cellStyle name="Normal 6 2 2 2 3 4 5" xfId="16543"/>
    <cellStyle name="Normal 6 2 2 2 3 4 6" xfId="31586"/>
    <cellStyle name="Normal 6 2 2 2 3 5" xfId="2383"/>
    <cellStyle name="Normal 6 2 2 2 3 5 2" xfId="6179"/>
    <cellStyle name="Normal 6 2 2 2 3 5 2 2" xfId="13702"/>
    <cellStyle name="Normal 6 2 2 2 3 5 2 2 2" xfId="28746"/>
    <cellStyle name="Normal 6 2 2 2 3 5 2 2 3" xfId="43789"/>
    <cellStyle name="Normal 6 2 2 2 3 5 2 3" xfId="21225"/>
    <cellStyle name="Normal 6 2 2 2 3 5 2 4" xfId="36268"/>
    <cellStyle name="Normal 6 2 2 2 3 5 3" xfId="9953"/>
    <cellStyle name="Normal 6 2 2 2 3 5 3 2" xfId="24997"/>
    <cellStyle name="Normal 6 2 2 2 3 5 3 3" xfId="40040"/>
    <cellStyle name="Normal 6 2 2 2 3 5 4" xfId="17476"/>
    <cellStyle name="Normal 6 2 2 2 3 5 5" xfId="32519"/>
    <cellStyle name="Normal 6 2 2 2 3 6" xfId="4311"/>
    <cellStyle name="Normal 6 2 2 2 3 6 2" xfId="11835"/>
    <cellStyle name="Normal 6 2 2 2 3 6 2 2" xfId="26879"/>
    <cellStyle name="Normal 6 2 2 2 3 6 2 3" xfId="41922"/>
    <cellStyle name="Normal 6 2 2 2 3 6 3" xfId="19358"/>
    <cellStyle name="Normal 6 2 2 2 3 6 4" xfId="34401"/>
    <cellStyle name="Normal 6 2 2 2 3 7" xfId="8074"/>
    <cellStyle name="Normal 6 2 2 2 3 7 2" xfId="23118"/>
    <cellStyle name="Normal 6 2 2 2 3 7 3" xfId="38161"/>
    <cellStyle name="Normal 6 2 2 2 3 8" xfId="15597"/>
    <cellStyle name="Normal 6 2 2 2 3 9" xfId="30640"/>
    <cellStyle name="Normal 6 2 2 2 4" xfId="421"/>
    <cellStyle name="Normal 6 2 2 2 4 2" xfId="422"/>
    <cellStyle name="Normal 6 2 2 2 4 2 2" xfId="941"/>
    <cellStyle name="Normal 6 2 2 2 4 2 2 2" xfId="1900"/>
    <cellStyle name="Normal 6 2 2 2 4 2 2 2 2" xfId="3771"/>
    <cellStyle name="Normal 6 2 2 2 4 2 2 2 2 2" xfId="7566"/>
    <cellStyle name="Normal 6 2 2 2 4 2 2 2 2 2 2" xfId="15089"/>
    <cellStyle name="Normal 6 2 2 2 4 2 2 2 2 2 2 2" xfId="30133"/>
    <cellStyle name="Normal 6 2 2 2 4 2 2 2 2 2 2 3" xfId="45176"/>
    <cellStyle name="Normal 6 2 2 2 4 2 2 2 2 2 3" xfId="22612"/>
    <cellStyle name="Normal 6 2 2 2 4 2 2 2 2 2 4" xfId="37655"/>
    <cellStyle name="Normal 6 2 2 2 4 2 2 2 2 3" xfId="11340"/>
    <cellStyle name="Normal 6 2 2 2 4 2 2 2 2 3 2" xfId="26384"/>
    <cellStyle name="Normal 6 2 2 2 4 2 2 2 2 3 3" xfId="41427"/>
    <cellStyle name="Normal 6 2 2 2 4 2 2 2 2 4" xfId="18863"/>
    <cellStyle name="Normal 6 2 2 2 4 2 2 2 2 5" xfId="33906"/>
    <cellStyle name="Normal 6 2 2 2 4 2 2 2 3" xfId="5701"/>
    <cellStyle name="Normal 6 2 2 2 4 2 2 2 3 2" xfId="13224"/>
    <cellStyle name="Normal 6 2 2 2 4 2 2 2 3 2 2" xfId="28268"/>
    <cellStyle name="Normal 6 2 2 2 4 2 2 2 3 2 3" xfId="43311"/>
    <cellStyle name="Normal 6 2 2 2 4 2 2 2 3 3" xfId="20747"/>
    <cellStyle name="Normal 6 2 2 2 4 2 2 2 3 4" xfId="35790"/>
    <cellStyle name="Normal 6 2 2 2 4 2 2 2 4" xfId="9475"/>
    <cellStyle name="Normal 6 2 2 2 4 2 2 2 4 2" xfId="24519"/>
    <cellStyle name="Normal 6 2 2 2 4 2 2 2 4 3" xfId="39562"/>
    <cellStyle name="Normal 6 2 2 2 4 2 2 2 5" xfId="16998"/>
    <cellStyle name="Normal 6 2 2 2 4 2 2 2 6" xfId="32041"/>
    <cellStyle name="Normal 6 2 2 2 4 2 2 3" xfId="2839"/>
    <cellStyle name="Normal 6 2 2 2 4 2 2 3 2" xfId="6634"/>
    <cellStyle name="Normal 6 2 2 2 4 2 2 3 2 2" xfId="14157"/>
    <cellStyle name="Normal 6 2 2 2 4 2 2 3 2 2 2" xfId="29201"/>
    <cellStyle name="Normal 6 2 2 2 4 2 2 3 2 2 3" xfId="44244"/>
    <cellStyle name="Normal 6 2 2 2 4 2 2 3 2 3" xfId="21680"/>
    <cellStyle name="Normal 6 2 2 2 4 2 2 3 2 4" xfId="36723"/>
    <cellStyle name="Normal 6 2 2 2 4 2 2 3 3" xfId="10408"/>
    <cellStyle name="Normal 6 2 2 2 4 2 2 3 3 2" xfId="25452"/>
    <cellStyle name="Normal 6 2 2 2 4 2 2 3 3 3" xfId="40495"/>
    <cellStyle name="Normal 6 2 2 2 4 2 2 3 4" xfId="17931"/>
    <cellStyle name="Normal 6 2 2 2 4 2 2 3 5" xfId="32974"/>
    <cellStyle name="Normal 6 2 2 2 4 2 2 4" xfId="4769"/>
    <cellStyle name="Normal 6 2 2 2 4 2 2 4 2" xfId="12292"/>
    <cellStyle name="Normal 6 2 2 2 4 2 2 4 2 2" xfId="27336"/>
    <cellStyle name="Normal 6 2 2 2 4 2 2 4 2 3" xfId="42379"/>
    <cellStyle name="Normal 6 2 2 2 4 2 2 4 3" xfId="19815"/>
    <cellStyle name="Normal 6 2 2 2 4 2 2 4 4" xfId="34858"/>
    <cellStyle name="Normal 6 2 2 2 4 2 2 5" xfId="8543"/>
    <cellStyle name="Normal 6 2 2 2 4 2 2 5 2" xfId="23587"/>
    <cellStyle name="Normal 6 2 2 2 4 2 2 5 3" xfId="38630"/>
    <cellStyle name="Normal 6 2 2 2 4 2 2 6" xfId="16066"/>
    <cellStyle name="Normal 6 2 2 2 4 2 2 7" xfId="31109"/>
    <cellStyle name="Normal 6 2 2 2 4 2 3" xfId="1448"/>
    <cellStyle name="Normal 6 2 2 2 4 2 3 2" xfId="3319"/>
    <cellStyle name="Normal 6 2 2 2 4 2 3 2 2" xfId="7114"/>
    <cellStyle name="Normal 6 2 2 2 4 2 3 2 2 2" xfId="14637"/>
    <cellStyle name="Normal 6 2 2 2 4 2 3 2 2 2 2" xfId="29681"/>
    <cellStyle name="Normal 6 2 2 2 4 2 3 2 2 2 3" xfId="44724"/>
    <cellStyle name="Normal 6 2 2 2 4 2 3 2 2 3" xfId="22160"/>
    <cellStyle name="Normal 6 2 2 2 4 2 3 2 2 4" xfId="37203"/>
    <cellStyle name="Normal 6 2 2 2 4 2 3 2 3" xfId="10888"/>
    <cellStyle name="Normal 6 2 2 2 4 2 3 2 3 2" xfId="25932"/>
    <cellStyle name="Normal 6 2 2 2 4 2 3 2 3 3" xfId="40975"/>
    <cellStyle name="Normal 6 2 2 2 4 2 3 2 4" xfId="18411"/>
    <cellStyle name="Normal 6 2 2 2 4 2 3 2 5" xfId="33454"/>
    <cellStyle name="Normal 6 2 2 2 4 2 3 3" xfId="5249"/>
    <cellStyle name="Normal 6 2 2 2 4 2 3 3 2" xfId="12772"/>
    <cellStyle name="Normal 6 2 2 2 4 2 3 3 2 2" xfId="27816"/>
    <cellStyle name="Normal 6 2 2 2 4 2 3 3 2 3" xfId="42859"/>
    <cellStyle name="Normal 6 2 2 2 4 2 3 3 3" xfId="20295"/>
    <cellStyle name="Normal 6 2 2 2 4 2 3 3 4" xfId="35338"/>
    <cellStyle name="Normal 6 2 2 2 4 2 3 4" xfId="9023"/>
    <cellStyle name="Normal 6 2 2 2 4 2 3 4 2" xfId="24067"/>
    <cellStyle name="Normal 6 2 2 2 4 2 3 4 3" xfId="39110"/>
    <cellStyle name="Normal 6 2 2 2 4 2 3 5" xfId="16546"/>
    <cellStyle name="Normal 6 2 2 2 4 2 3 6" xfId="31589"/>
    <cellStyle name="Normal 6 2 2 2 4 2 4" xfId="2386"/>
    <cellStyle name="Normal 6 2 2 2 4 2 4 2" xfId="6182"/>
    <cellStyle name="Normal 6 2 2 2 4 2 4 2 2" xfId="13705"/>
    <cellStyle name="Normal 6 2 2 2 4 2 4 2 2 2" xfId="28749"/>
    <cellStyle name="Normal 6 2 2 2 4 2 4 2 2 3" xfId="43792"/>
    <cellStyle name="Normal 6 2 2 2 4 2 4 2 3" xfId="21228"/>
    <cellStyle name="Normal 6 2 2 2 4 2 4 2 4" xfId="36271"/>
    <cellStyle name="Normal 6 2 2 2 4 2 4 3" xfId="9956"/>
    <cellStyle name="Normal 6 2 2 2 4 2 4 3 2" xfId="25000"/>
    <cellStyle name="Normal 6 2 2 2 4 2 4 3 3" xfId="40043"/>
    <cellStyle name="Normal 6 2 2 2 4 2 4 4" xfId="17479"/>
    <cellStyle name="Normal 6 2 2 2 4 2 4 5" xfId="32522"/>
    <cellStyle name="Normal 6 2 2 2 4 2 5" xfId="4314"/>
    <cellStyle name="Normal 6 2 2 2 4 2 5 2" xfId="11838"/>
    <cellStyle name="Normal 6 2 2 2 4 2 5 2 2" xfId="26882"/>
    <cellStyle name="Normal 6 2 2 2 4 2 5 2 3" xfId="41925"/>
    <cellStyle name="Normal 6 2 2 2 4 2 5 3" xfId="19361"/>
    <cellStyle name="Normal 6 2 2 2 4 2 5 4" xfId="34404"/>
    <cellStyle name="Normal 6 2 2 2 4 2 6" xfId="8077"/>
    <cellStyle name="Normal 6 2 2 2 4 2 6 2" xfId="23121"/>
    <cellStyle name="Normal 6 2 2 2 4 2 6 3" xfId="38164"/>
    <cellStyle name="Normal 6 2 2 2 4 2 7" xfId="15600"/>
    <cellStyle name="Normal 6 2 2 2 4 2 8" xfId="30643"/>
    <cellStyle name="Normal 6 2 2 2 4 3" xfId="940"/>
    <cellStyle name="Normal 6 2 2 2 4 3 2" xfId="1899"/>
    <cellStyle name="Normal 6 2 2 2 4 3 2 2" xfId="3770"/>
    <cellStyle name="Normal 6 2 2 2 4 3 2 2 2" xfId="7565"/>
    <cellStyle name="Normal 6 2 2 2 4 3 2 2 2 2" xfId="15088"/>
    <cellStyle name="Normal 6 2 2 2 4 3 2 2 2 2 2" xfId="30132"/>
    <cellStyle name="Normal 6 2 2 2 4 3 2 2 2 2 3" xfId="45175"/>
    <cellStyle name="Normal 6 2 2 2 4 3 2 2 2 3" xfId="22611"/>
    <cellStyle name="Normal 6 2 2 2 4 3 2 2 2 4" xfId="37654"/>
    <cellStyle name="Normal 6 2 2 2 4 3 2 2 3" xfId="11339"/>
    <cellStyle name="Normal 6 2 2 2 4 3 2 2 3 2" xfId="26383"/>
    <cellStyle name="Normal 6 2 2 2 4 3 2 2 3 3" xfId="41426"/>
    <cellStyle name="Normal 6 2 2 2 4 3 2 2 4" xfId="18862"/>
    <cellStyle name="Normal 6 2 2 2 4 3 2 2 5" xfId="33905"/>
    <cellStyle name="Normal 6 2 2 2 4 3 2 3" xfId="5700"/>
    <cellStyle name="Normal 6 2 2 2 4 3 2 3 2" xfId="13223"/>
    <cellStyle name="Normal 6 2 2 2 4 3 2 3 2 2" xfId="28267"/>
    <cellStyle name="Normal 6 2 2 2 4 3 2 3 2 3" xfId="43310"/>
    <cellStyle name="Normal 6 2 2 2 4 3 2 3 3" xfId="20746"/>
    <cellStyle name="Normal 6 2 2 2 4 3 2 3 4" xfId="35789"/>
    <cellStyle name="Normal 6 2 2 2 4 3 2 4" xfId="9474"/>
    <cellStyle name="Normal 6 2 2 2 4 3 2 4 2" xfId="24518"/>
    <cellStyle name="Normal 6 2 2 2 4 3 2 4 3" xfId="39561"/>
    <cellStyle name="Normal 6 2 2 2 4 3 2 5" xfId="16997"/>
    <cellStyle name="Normal 6 2 2 2 4 3 2 6" xfId="32040"/>
    <cellStyle name="Normal 6 2 2 2 4 3 3" xfId="2838"/>
    <cellStyle name="Normal 6 2 2 2 4 3 3 2" xfId="6633"/>
    <cellStyle name="Normal 6 2 2 2 4 3 3 2 2" xfId="14156"/>
    <cellStyle name="Normal 6 2 2 2 4 3 3 2 2 2" xfId="29200"/>
    <cellStyle name="Normal 6 2 2 2 4 3 3 2 2 3" xfId="44243"/>
    <cellStyle name="Normal 6 2 2 2 4 3 3 2 3" xfId="21679"/>
    <cellStyle name="Normal 6 2 2 2 4 3 3 2 4" xfId="36722"/>
    <cellStyle name="Normal 6 2 2 2 4 3 3 3" xfId="10407"/>
    <cellStyle name="Normal 6 2 2 2 4 3 3 3 2" xfId="25451"/>
    <cellStyle name="Normal 6 2 2 2 4 3 3 3 3" xfId="40494"/>
    <cellStyle name="Normal 6 2 2 2 4 3 3 4" xfId="17930"/>
    <cellStyle name="Normal 6 2 2 2 4 3 3 5" xfId="32973"/>
    <cellStyle name="Normal 6 2 2 2 4 3 4" xfId="4768"/>
    <cellStyle name="Normal 6 2 2 2 4 3 4 2" xfId="12291"/>
    <cellStyle name="Normal 6 2 2 2 4 3 4 2 2" xfId="27335"/>
    <cellStyle name="Normal 6 2 2 2 4 3 4 2 3" xfId="42378"/>
    <cellStyle name="Normal 6 2 2 2 4 3 4 3" xfId="19814"/>
    <cellStyle name="Normal 6 2 2 2 4 3 4 4" xfId="34857"/>
    <cellStyle name="Normal 6 2 2 2 4 3 5" xfId="8542"/>
    <cellStyle name="Normal 6 2 2 2 4 3 5 2" xfId="23586"/>
    <cellStyle name="Normal 6 2 2 2 4 3 5 3" xfId="38629"/>
    <cellStyle name="Normal 6 2 2 2 4 3 6" xfId="16065"/>
    <cellStyle name="Normal 6 2 2 2 4 3 7" xfId="31108"/>
    <cellStyle name="Normal 6 2 2 2 4 4" xfId="1447"/>
    <cellStyle name="Normal 6 2 2 2 4 4 2" xfId="3318"/>
    <cellStyle name="Normal 6 2 2 2 4 4 2 2" xfId="7113"/>
    <cellStyle name="Normal 6 2 2 2 4 4 2 2 2" xfId="14636"/>
    <cellStyle name="Normal 6 2 2 2 4 4 2 2 2 2" xfId="29680"/>
    <cellStyle name="Normal 6 2 2 2 4 4 2 2 2 3" xfId="44723"/>
    <cellStyle name="Normal 6 2 2 2 4 4 2 2 3" xfId="22159"/>
    <cellStyle name="Normal 6 2 2 2 4 4 2 2 4" xfId="37202"/>
    <cellStyle name="Normal 6 2 2 2 4 4 2 3" xfId="10887"/>
    <cellStyle name="Normal 6 2 2 2 4 4 2 3 2" xfId="25931"/>
    <cellStyle name="Normal 6 2 2 2 4 4 2 3 3" xfId="40974"/>
    <cellStyle name="Normal 6 2 2 2 4 4 2 4" xfId="18410"/>
    <cellStyle name="Normal 6 2 2 2 4 4 2 5" xfId="33453"/>
    <cellStyle name="Normal 6 2 2 2 4 4 3" xfId="5248"/>
    <cellStyle name="Normal 6 2 2 2 4 4 3 2" xfId="12771"/>
    <cellStyle name="Normal 6 2 2 2 4 4 3 2 2" xfId="27815"/>
    <cellStyle name="Normal 6 2 2 2 4 4 3 2 3" xfId="42858"/>
    <cellStyle name="Normal 6 2 2 2 4 4 3 3" xfId="20294"/>
    <cellStyle name="Normal 6 2 2 2 4 4 3 4" xfId="35337"/>
    <cellStyle name="Normal 6 2 2 2 4 4 4" xfId="9022"/>
    <cellStyle name="Normal 6 2 2 2 4 4 4 2" xfId="24066"/>
    <cellStyle name="Normal 6 2 2 2 4 4 4 3" xfId="39109"/>
    <cellStyle name="Normal 6 2 2 2 4 4 5" xfId="16545"/>
    <cellStyle name="Normal 6 2 2 2 4 4 6" xfId="31588"/>
    <cellStyle name="Normal 6 2 2 2 4 5" xfId="2385"/>
    <cellStyle name="Normal 6 2 2 2 4 5 2" xfId="6181"/>
    <cellStyle name="Normal 6 2 2 2 4 5 2 2" xfId="13704"/>
    <cellStyle name="Normal 6 2 2 2 4 5 2 2 2" xfId="28748"/>
    <cellStyle name="Normal 6 2 2 2 4 5 2 2 3" xfId="43791"/>
    <cellStyle name="Normal 6 2 2 2 4 5 2 3" xfId="21227"/>
    <cellStyle name="Normal 6 2 2 2 4 5 2 4" xfId="36270"/>
    <cellStyle name="Normal 6 2 2 2 4 5 3" xfId="9955"/>
    <cellStyle name="Normal 6 2 2 2 4 5 3 2" xfId="24999"/>
    <cellStyle name="Normal 6 2 2 2 4 5 3 3" xfId="40042"/>
    <cellStyle name="Normal 6 2 2 2 4 5 4" xfId="17478"/>
    <cellStyle name="Normal 6 2 2 2 4 5 5" xfId="32521"/>
    <cellStyle name="Normal 6 2 2 2 4 6" xfId="4313"/>
    <cellStyle name="Normal 6 2 2 2 4 6 2" xfId="11837"/>
    <cellStyle name="Normal 6 2 2 2 4 6 2 2" xfId="26881"/>
    <cellStyle name="Normal 6 2 2 2 4 6 2 3" xfId="41924"/>
    <cellStyle name="Normal 6 2 2 2 4 6 3" xfId="19360"/>
    <cellStyle name="Normal 6 2 2 2 4 6 4" xfId="34403"/>
    <cellStyle name="Normal 6 2 2 2 4 7" xfId="8076"/>
    <cellStyle name="Normal 6 2 2 2 4 7 2" xfId="23120"/>
    <cellStyle name="Normal 6 2 2 2 4 7 3" xfId="38163"/>
    <cellStyle name="Normal 6 2 2 2 4 8" xfId="15599"/>
    <cellStyle name="Normal 6 2 2 2 4 9" xfId="30642"/>
    <cellStyle name="Normal 6 2 2 2 5" xfId="423"/>
    <cellStyle name="Normal 6 2 2 2 5 2" xfId="942"/>
    <cellStyle name="Normal 6 2 2 2 5 2 2" xfId="1901"/>
    <cellStyle name="Normal 6 2 2 2 5 2 2 2" xfId="3772"/>
    <cellStyle name="Normal 6 2 2 2 5 2 2 2 2" xfId="7567"/>
    <cellStyle name="Normal 6 2 2 2 5 2 2 2 2 2" xfId="15090"/>
    <cellStyle name="Normal 6 2 2 2 5 2 2 2 2 2 2" xfId="30134"/>
    <cellStyle name="Normal 6 2 2 2 5 2 2 2 2 2 3" xfId="45177"/>
    <cellStyle name="Normal 6 2 2 2 5 2 2 2 2 3" xfId="22613"/>
    <cellStyle name="Normal 6 2 2 2 5 2 2 2 2 4" xfId="37656"/>
    <cellStyle name="Normal 6 2 2 2 5 2 2 2 3" xfId="11341"/>
    <cellStyle name="Normal 6 2 2 2 5 2 2 2 3 2" xfId="26385"/>
    <cellStyle name="Normal 6 2 2 2 5 2 2 2 3 3" xfId="41428"/>
    <cellStyle name="Normal 6 2 2 2 5 2 2 2 4" xfId="18864"/>
    <cellStyle name="Normal 6 2 2 2 5 2 2 2 5" xfId="33907"/>
    <cellStyle name="Normal 6 2 2 2 5 2 2 3" xfId="5702"/>
    <cellStyle name="Normal 6 2 2 2 5 2 2 3 2" xfId="13225"/>
    <cellStyle name="Normal 6 2 2 2 5 2 2 3 2 2" xfId="28269"/>
    <cellStyle name="Normal 6 2 2 2 5 2 2 3 2 3" xfId="43312"/>
    <cellStyle name="Normal 6 2 2 2 5 2 2 3 3" xfId="20748"/>
    <cellStyle name="Normal 6 2 2 2 5 2 2 3 4" xfId="35791"/>
    <cellStyle name="Normal 6 2 2 2 5 2 2 4" xfId="9476"/>
    <cellStyle name="Normal 6 2 2 2 5 2 2 4 2" xfId="24520"/>
    <cellStyle name="Normal 6 2 2 2 5 2 2 4 3" xfId="39563"/>
    <cellStyle name="Normal 6 2 2 2 5 2 2 5" xfId="16999"/>
    <cellStyle name="Normal 6 2 2 2 5 2 2 6" xfId="32042"/>
    <cellStyle name="Normal 6 2 2 2 5 2 3" xfId="2840"/>
    <cellStyle name="Normal 6 2 2 2 5 2 3 2" xfId="6635"/>
    <cellStyle name="Normal 6 2 2 2 5 2 3 2 2" xfId="14158"/>
    <cellStyle name="Normal 6 2 2 2 5 2 3 2 2 2" xfId="29202"/>
    <cellStyle name="Normal 6 2 2 2 5 2 3 2 2 3" xfId="44245"/>
    <cellStyle name="Normal 6 2 2 2 5 2 3 2 3" xfId="21681"/>
    <cellStyle name="Normal 6 2 2 2 5 2 3 2 4" xfId="36724"/>
    <cellStyle name="Normal 6 2 2 2 5 2 3 3" xfId="10409"/>
    <cellStyle name="Normal 6 2 2 2 5 2 3 3 2" xfId="25453"/>
    <cellStyle name="Normal 6 2 2 2 5 2 3 3 3" xfId="40496"/>
    <cellStyle name="Normal 6 2 2 2 5 2 3 4" xfId="17932"/>
    <cellStyle name="Normal 6 2 2 2 5 2 3 5" xfId="32975"/>
    <cellStyle name="Normal 6 2 2 2 5 2 4" xfId="4770"/>
    <cellStyle name="Normal 6 2 2 2 5 2 4 2" xfId="12293"/>
    <cellStyle name="Normal 6 2 2 2 5 2 4 2 2" xfId="27337"/>
    <cellStyle name="Normal 6 2 2 2 5 2 4 2 3" xfId="42380"/>
    <cellStyle name="Normal 6 2 2 2 5 2 4 3" xfId="19816"/>
    <cellStyle name="Normal 6 2 2 2 5 2 4 4" xfId="34859"/>
    <cellStyle name="Normal 6 2 2 2 5 2 5" xfId="8544"/>
    <cellStyle name="Normal 6 2 2 2 5 2 5 2" xfId="23588"/>
    <cellStyle name="Normal 6 2 2 2 5 2 5 3" xfId="38631"/>
    <cellStyle name="Normal 6 2 2 2 5 2 6" xfId="16067"/>
    <cellStyle name="Normal 6 2 2 2 5 2 7" xfId="31110"/>
    <cellStyle name="Normal 6 2 2 2 5 3" xfId="1449"/>
    <cellStyle name="Normal 6 2 2 2 5 3 2" xfId="3320"/>
    <cellStyle name="Normal 6 2 2 2 5 3 2 2" xfId="7115"/>
    <cellStyle name="Normal 6 2 2 2 5 3 2 2 2" xfId="14638"/>
    <cellStyle name="Normal 6 2 2 2 5 3 2 2 2 2" xfId="29682"/>
    <cellStyle name="Normal 6 2 2 2 5 3 2 2 2 3" xfId="44725"/>
    <cellStyle name="Normal 6 2 2 2 5 3 2 2 3" xfId="22161"/>
    <cellStyle name="Normal 6 2 2 2 5 3 2 2 4" xfId="37204"/>
    <cellStyle name="Normal 6 2 2 2 5 3 2 3" xfId="10889"/>
    <cellStyle name="Normal 6 2 2 2 5 3 2 3 2" xfId="25933"/>
    <cellStyle name="Normal 6 2 2 2 5 3 2 3 3" xfId="40976"/>
    <cellStyle name="Normal 6 2 2 2 5 3 2 4" xfId="18412"/>
    <cellStyle name="Normal 6 2 2 2 5 3 2 5" xfId="33455"/>
    <cellStyle name="Normal 6 2 2 2 5 3 3" xfId="5250"/>
    <cellStyle name="Normal 6 2 2 2 5 3 3 2" xfId="12773"/>
    <cellStyle name="Normal 6 2 2 2 5 3 3 2 2" xfId="27817"/>
    <cellStyle name="Normal 6 2 2 2 5 3 3 2 3" xfId="42860"/>
    <cellStyle name="Normal 6 2 2 2 5 3 3 3" xfId="20296"/>
    <cellStyle name="Normal 6 2 2 2 5 3 3 4" xfId="35339"/>
    <cellStyle name="Normal 6 2 2 2 5 3 4" xfId="9024"/>
    <cellStyle name="Normal 6 2 2 2 5 3 4 2" xfId="24068"/>
    <cellStyle name="Normal 6 2 2 2 5 3 4 3" xfId="39111"/>
    <cellStyle name="Normal 6 2 2 2 5 3 5" xfId="16547"/>
    <cellStyle name="Normal 6 2 2 2 5 3 6" xfId="31590"/>
    <cellStyle name="Normal 6 2 2 2 5 4" xfId="2387"/>
    <cellStyle name="Normal 6 2 2 2 5 4 2" xfId="6183"/>
    <cellStyle name="Normal 6 2 2 2 5 4 2 2" xfId="13706"/>
    <cellStyle name="Normal 6 2 2 2 5 4 2 2 2" xfId="28750"/>
    <cellStyle name="Normal 6 2 2 2 5 4 2 2 3" xfId="43793"/>
    <cellStyle name="Normal 6 2 2 2 5 4 2 3" xfId="21229"/>
    <cellStyle name="Normal 6 2 2 2 5 4 2 4" xfId="36272"/>
    <cellStyle name="Normal 6 2 2 2 5 4 3" xfId="9957"/>
    <cellStyle name="Normal 6 2 2 2 5 4 3 2" xfId="25001"/>
    <cellStyle name="Normal 6 2 2 2 5 4 3 3" xfId="40044"/>
    <cellStyle name="Normal 6 2 2 2 5 4 4" xfId="17480"/>
    <cellStyle name="Normal 6 2 2 2 5 4 5" xfId="32523"/>
    <cellStyle name="Normal 6 2 2 2 5 5" xfId="4315"/>
    <cellStyle name="Normal 6 2 2 2 5 5 2" xfId="11839"/>
    <cellStyle name="Normal 6 2 2 2 5 5 2 2" xfId="26883"/>
    <cellStyle name="Normal 6 2 2 2 5 5 2 3" xfId="41926"/>
    <cellStyle name="Normal 6 2 2 2 5 5 3" xfId="19362"/>
    <cellStyle name="Normal 6 2 2 2 5 5 4" xfId="34405"/>
    <cellStyle name="Normal 6 2 2 2 5 6" xfId="8078"/>
    <cellStyle name="Normal 6 2 2 2 5 6 2" xfId="23122"/>
    <cellStyle name="Normal 6 2 2 2 5 6 3" xfId="38165"/>
    <cellStyle name="Normal 6 2 2 2 5 7" xfId="15601"/>
    <cellStyle name="Normal 6 2 2 2 5 8" xfId="30644"/>
    <cellStyle name="Normal 6 2 2 2 6" xfId="933"/>
    <cellStyle name="Normal 6 2 2 2 6 2" xfId="1892"/>
    <cellStyle name="Normal 6 2 2 2 6 2 2" xfId="3763"/>
    <cellStyle name="Normal 6 2 2 2 6 2 2 2" xfId="7558"/>
    <cellStyle name="Normal 6 2 2 2 6 2 2 2 2" xfId="15081"/>
    <cellStyle name="Normal 6 2 2 2 6 2 2 2 2 2" xfId="30125"/>
    <cellStyle name="Normal 6 2 2 2 6 2 2 2 2 3" xfId="45168"/>
    <cellStyle name="Normal 6 2 2 2 6 2 2 2 3" xfId="22604"/>
    <cellStyle name="Normal 6 2 2 2 6 2 2 2 4" xfId="37647"/>
    <cellStyle name="Normal 6 2 2 2 6 2 2 3" xfId="11332"/>
    <cellStyle name="Normal 6 2 2 2 6 2 2 3 2" xfId="26376"/>
    <cellStyle name="Normal 6 2 2 2 6 2 2 3 3" xfId="41419"/>
    <cellStyle name="Normal 6 2 2 2 6 2 2 4" xfId="18855"/>
    <cellStyle name="Normal 6 2 2 2 6 2 2 5" xfId="33898"/>
    <cellStyle name="Normal 6 2 2 2 6 2 3" xfId="5693"/>
    <cellStyle name="Normal 6 2 2 2 6 2 3 2" xfId="13216"/>
    <cellStyle name="Normal 6 2 2 2 6 2 3 2 2" xfId="28260"/>
    <cellStyle name="Normal 6 2 2 2 6 2 3 2 3" xfId="43303"/>
    <cellStyle name="Normal 6 2 2 2 6 2 3 3" xfId="20739"/>
    <cellStyle name="Normal 6 2 2 2 6 2 3 4" xfId="35782"/>
    <cellStyle name="Normal 6 2 2 2 6 2 4" xfId="9467"/>
    <cellStyle name="Normal 6 2 2 2 6 2 4 2" xfId="24511"/>
    <cellStyle name="Normal 6 2 2 2 6 2 4 3" xfId="39554"/>
    <cellStyle name="Normal 6 2 2 2 6 2 5" xfId="16990"/>
    <cellStyle name="Normal 6 2 2 2 6 2 6" xfId="32033"/>
    <cellStyle name="Normal 6 2 2 2 6 3" xfId="2831"/>
    <cellStyle name="Normal 6 2 2 2 6 3 2" xfId="6626"/>
    <cellStyle name="Normal 6 2 2 2 6 3 2 2" xfId="14149"/>
    <cellStyle name="Normal 6 2 2 2 6 3 2 2 2" xfId="29193"/>
    <cellStyle name="Normal 6 2 2 2 6 3 2 2 3" xfId="44236"/>
    <cellStyle name="Normal 6 2 2 2 6 3 2 3" xfId="21672"/>
    <cellStyle name="Normal 6 2 2 2 6 3 2 4" xfId="36715"/>
    <cellStyle name="Normal 6 2 2 2 6 3 3" xfId="10400"/>
    <cellStyle name="Normal 6 2 2 2 6 3 3 2" xfId="25444"/>
    <cellStyle name="Normal 6 2 2 2 6 3 3 3" xfId="40487"/>
    <cellStyle name="Normal 6 2 2 2 6 3 4" xfId="17923"/>
    <cellStyle name="Normal 6 2 2 2 6 3 5" xfId="32966"/>
    <cellStyle name="Normal 6 2 2 2 6 4" xfId="4761"/>
    <cellStyle name="Normal 6 2 2 2 6 4 2" xfId="12284"/>
    <cellStyle name="Normal 6 2 2 2 6 4 2 2" xfId="27328"/>
    <cellStyle name="Normal 6 2 2 2 6 4 2 3" xfId="42371"/>
    <cellStyle name="Normal 6 2 2 2 6 4 3" xfId="19807"/>
    <cellStyle name="Normal 6 2 2 2 6 4 4" xfId="34850"/>
    <cellStyle name="Normal 6 2 2 2 6 5" xfId="8535"/>
    <cellStyle name="Normal 6 2 2 2 6 5 2" xfId="23579"/>
    <cellStyle name="Normal 6 2 2 2 6 5 3" xfId="38622"/>
    <cellStyle name="Normal 6 2 2 2 6 6" xfId="16058"/>
    <cellStyle name="Normal 6 2 2 2 6 7" xfId="31101"/>
    <cellStyle name="Normal 6 2 2 2 7" xfId="1440"/>
    <cellStyle name="Normal 6 2 2 2 7 2" xfId="3311"/>
    <cellStyle name="Normal 6 2 2 2 7 2 2" xfId="7106"/>
    <cellStyle name="Normal 6 2 2 2 7 2 2 2" xfId="14629"/>
    <cellStyle name="Normal 6 2 2 2 7 2 2 2 2" xfId="29673"/>
    <cellStyle name="Normal 6 2 2 2 7 2 2 2 3" xfId="44716"/>
    <cellStyle name="Normal 6 2 2 2 7 2 2 3" xfId="22152"/>
    <cellStyle name="Normal 6 2 2 2 7 2 2 4" xfId="37195"/>
    <cellStyle name="Normal 6 2 2 2 7 2 3" xfId="10880"/>
    <cellStyle name="Normal 6 2 2 2 7 2 3 2" xfId="25924"/>
    <cellStyle name="Normal 6 2 2 2 7 2 3 3" xfId="40967"/>
    <cellStyle name="Normal 6 2 2 2 7 2 4" xfId="18403"/>
    <cellStyle name="Normal 6 2 2 2 7 2 5" xfId="33446"/>
    <cellStyle name="Normal 6 2 2 2 7 3" xfId="5241"/>
    <cellStyle name="Normal 6 2 2 2 7 3 2" xfId="12764"/>
    <cellStyle name="Normal 6 2 2 2 7 3 2 2" xfId="27808"/>
    <cellStyle name="Normal 6 2 2 2 7 3 2 3" xfId="42851"/>
    <cellStyle name="Normal 6 2 2 2 7 3 3" xfId="20287"/>
    <cellStyle name="Normal 6 2 2 2 7 3 4" xfId="35330"/>
    <cellStyle name="Normal 6 2 2 2 7 4" xfId="9015"/>
    <cellStyle name="Normal 6 2 2 2 7 4 2" xfId="24059"/>
    <cellStyle name="Normal 6 2 2 2 7 4 3" xfId="39102"/>
    <cellStyle name="Normal 6 2 2 2 7 5" xfId="16538"/>
    <cellStyle name="Normal 6 2 2 2 7 6" xfId="31581"/>
    <cellStyle name="Normal 6 2 2 2 8" xfId="2378"/>
    <cellStyle name="Normal 6 2 2 2 8 2" xfId="6174"/>
    <cellStyle name="Normal 6 2 2 2 8 2 2" xfId="13697"/>
    <cellStyle name="Normal 6 2 2 2 8 2 2 2" xfId="28741"/>
    <cellStyle name="Normal 6 2 2 2 8 2 2 3" xfId="43784"/>
    <cellStyle name="Normal 6 2 2 2 8 2 3" xfId="21220"/>
    <cellStyle name="Normal 6 2 2 2 8 2 4" xfId="36263"/>
    <cellStyle name="Normal 6 2 2 2 8 3" xfId="9948"/>
    <cellStyle name="Normal 6 2 2 2 8 3 2" xfId="24992"/>
    <cellStyle name="Normal 6 2 2 2 8 3 3" xfId="40035"/>
    <cellStyle name="Normal 6 2 2 2 8 4" xfId="17471"/>
    <cellStyle name="Normal 6 2 2 2 8 5" xfId="32514"/>
    <cellStyle name="Normal 6 2 2 2 9" xfId="4306"/>
    <cellStyle name="Normal 6 2 2 2 9 2" xfId="11830"/>
    <cellStyle name="Normal 6 2 2 2 9 2 2" xfId="26874"/>
    <cellStyle name="Normal 6 2 2 2 9 2 3" xfId="41917"/>
    <cellStyle name="Normal 6 2 2 2 9 3" xfId="19353"/>
    <cellStyle name="Normal 6 2 2 2 9 4" xfId="34396"/>
    <cellStyle name="Normal 6 2 2 3" xfId="424"/>
    <cellStyle name="Normal 6 2 2 3 10" xfId="15602"/>
    <cellStyle name="Normal 6 2 2 3 11" xfId="30645"/>
    <cellStyle name="Normal 6 2 2 3 2" xfId="425"/>
    <cellStyle name="Normal 6 2 2 3 2 2" xfId="426"/>
    <cellStyle name="Normal 6 2 2 3 2 2 2" xfId="945"/>
    <cellStyle name="Normal 6 2 2 3 2 2 2 2" xfId="1904"/>
    <cellStyle name="Normal 6 2 2 3 2 2 2 2 2" xfId="3775"/>
    <cellStyle name="Normal 6 2 2 3 2 2 2 2 2 2" xfId="7570"/>
    <cellStyle name="Normal 6 2 2 3 2 2 2 2 2 2 2" xfId="15093"/>
    <cellStyle name="Normal 6 2 2 3 2 2 2 2 2 2 2 2" xfId="30137"/>
    <cellStyle name="Normal 6 2 2 3 2 2 2 2 2 2 2 3" xfId="45180"/>
    <cellStyle name="Normal 6 2 2 3 2 2 2 2 2 2 3" xfId="22616"/>
    <cellStyle name="Normal 6 2 2 3 2 2 2 2 2 2 4" xfId="37659"/>
    <cellStyle name="Normal 6 2 2 3 2 2 2 2 2 3" xfId="11344"/>
    <cellStyle name="Normal 6 2 2 3 2 2 2 2 2 3 2" xfId="26388"/>
    <cellStyle name="Normal 6 2 2 3 2 2 2 2 2 3 3" xfId="41431"/>
    <cellStyle name="Normal 6 2 2 3 2 2 2 2 2 4" xfId="18867"/>
    <cellStyle name="Normal 6 2 2 3 2 2 2 2 2 5" xfId="33910"/>
    <cellStyle name="Normal 6 2 2 3 2 2 2 2 3" xfId="5705"/>
    <cellStyle name="Normal 6 2 2 3 2 2 2 2 3 2" xfId="13228"/>
    <cellStyle name="Normal 6 2 2 3 2 2 2 2 3 2 2" xfId="28272"/>
    <cellStyle name="Normal 6 2 2 3 2 2 2 2 3 2 3" xfId="43315"/>
    <cellStyle name="Normal 6 2 2 3 2 2 2 2 3 3" xfId="20751"/>
    <cellStyle name="Normal 6 2 2 3 2 2 2 2 3 4" xfId="35794"/>
    <cellStyle name="Normal 6 2 2 3 2 2 2 2 4" xfId="9479"/>
    <cellStyle name="Normal 6 2 2 3 2 2 2 2 4 2" xfId="24523"/>
    <cellStyle name="Normal 6 2 2 3 2 2 2 2 4 3" xfId="39566"/>
    <cellStyle name="Normal 6 2 2 3 2 2 2 2 5" xfId="17002"/>
    <cellStyle name="Normal 6 2 2 3 2 2 2 2 6" xfId="32045"/>
    <cellStyle name="Normal 6 2 2 3 2 2 2 3" xfId="2843"/>
    <cellStyle name="Normal 6 2 2 3 2 2 2 3 2" xfId="6638"/>
    <cellStyle name="Normal 6 2 2 3 2 2 2 3 2 2" xfId="14161"/>
    <cellStyle name="Normal 6 2 2 3 2 2 2 3 2 2 2" xfId="29205"/>
    <cellStyle name="Normal 6 2 2 3 2 2 2 3 2 2 3" xfId="44248"/>
    <cellStyle name="Normal 6 2 2 3 2 2 2 3 2 3" xfId="21684"/>
    <cellStyle name="Normal 6 2 2 3 2 2 2 3 2 4" xfId="36727"/>
    <cellStyle name="Normal 6 2 2 3 2 2 2 3 3" xfId="10412"/>
    <cellStyle name="Normal 6 2 2 3 2 2 2 3 3 2" xfId="25456"/>
    <cellStyle name="Normal 6 2 2 3 2 2 2 3 3 3" xfId="40499"/>
    <cellStyle name="Normal 6 2 2 3 2 2 2 3 4" xfId="17935"/>
    <cellStyle name="Normal 6 2 2 3 2 2 2 3 5" xfId="32978"/>
    <cellStyle name="Normal 6 2 2 3 2 2 2 4" xfId="4773"/>
    <cellStyle name="Normal 6 2 2 3 2 2 2 4 2" xfId="12296"/>
    <cellStyle name="Normal 6 2 2 3 2 2 2 4 2 2" xfId="27340"/>
    <cellStyle name="Normal 6 2 2 3 2 2 2 4 2 3" xfId="42383"/>
    <cellStyle name="Normal 6 2 2 3 2 2 2 4 3" xfId="19819"/>
    <cellStyle name="Normal 6 2 2 3 2 2 2 4 4" xfId="34862"/>
    <cellStyle name="Normal 6 2 2 3 2 2 2 5" xfId="8547"/>
    <cellStyle name="Normal 6 2 2 3 2 2 2 5 2" xfId="23591"/>
    <cellStyle name="Normal 6 2 2 3 2 2 2 5 3" xfId="38634"/>
    <cellStyle name="Normal 6 2 2 3 2 2 2 6" xfId="16070"/>
    <cellStyle name="Normal 6 2 2 3 2 2 2 7" xfId="31113"/>
    <cellStyle name="Normal 6 2 2 3 2 2 3" xfId="1452"/>
    <cellStyle name="Normal 6 2 2 3 2 2 3 2" xfId="3323"/>
    <cellStyle name="Normal 6 2 2 3 2 2 3 2 2" xfId="7118"/>
    <cellStyle name="Normal 6 2 2 3 2 2 3 2 2 2" xfId="14641"/>
    <cellStyle name="Normal 6 2 2 3 2 2 3 2 2 2 2" xfId="29685"/>
    <cellStyle name="Normal 6 2 2 3 2 2 3 2 2 2 3" xfId="44728"/>
    <cellStyle name="Normal 6 2 2 3 2 2 3 2 2 3" xfId="22164"/>
    <cellStyle name="Normal 6 2 2 3 2 2 3 2 2 4" xfId="37207"/>
    <cellStyle name="Normal 6 2 2 3 2 2 3 2 3" xfId="10892"/>
    <cellStyle name="Normal 6 2 2 3 2 2 3 2 3 2" xfId="25936"/>
    <cellStyle name="Normal 6 2 2 3 2 2 3 2 3 3" xfId="40979"/>
    <cellStyle name="Normal 6 2 2 3 2 2 3 2 4" xfId="18415"/>
    <cellStyle name="Normal 6 2 2 3 2 2 3 2 5" xfId="33458"/>
    <cellStyle name="Normal 6 2 2 3 2 2 3 3" xfId="5253"/>
    <cellStyle name="Normal 6 2 2 3 2 2 3 3 2" xfId="12776"/>
    <cellStyle name="Normal 6 2 2 3 2 2 3 3 2 2" xfId="27820"/>
    <cellStyle name="Normal 6 2 2 3 2 2 3 3 2 3" xfId="42863"/>
    <cellStyle name="Normal 6 2 2 3 2 2 3 3 3" xfId="20299"/>
    <cellStyle name="Normal 6 2 2 3 2 2 3 3 4" xfId="35342"/>
    <cellStyle name="Normal 6 2 2 3 2 2 3 4" xfId="9027"/>
    <cellStyle name="Normal 6 2 2 3 2 2 3 4 2" xfId="24071"/>
    <cellStyle name="Normal 6 2 2 3 2 2 3 4 3" xfId="39114"/>
    <cellStyle name="Normal 6 2 2 3 2 2 3 5" xfId="16550"/>
    <cellStyle name="Normal 6 2 2 3 2 2 3 6" xfId="31593"/>
    <cellStyle name="Normal 6 2 2 3 2 2 4" xfId="2390"/>
    <cellStyle name="Normal 6 2 2 3 2 2 4 2" xfId="6186"/>
    <cellStyle name="Normal 6 2 2 3 2 2 4 2 2" xfId="13709"/>
    <cellStyle name="Normal 6 2 2 3 2 2 4 2 2 2" xfId="28753"/>
    <cellStyle name="Normal 6 2 2 3 2 2 4 2 2 3" xfId="43796"/>
    <cellStyle name="Normal 6 2 2 3 2 2 4 2 3" xfId="21232"/>
    <cellStyle name="Normal 6 2 2 3 2 2 4 2 4" xfId="36275"/>
    <cellStyle name="Normal 6 2 2 3 2 2 4 3" xfId="9960"/>
    <cellStyle name="Normal 6 2 2 3 2 2 4 3 2" xfId="25004"/>
    <cellStyle name="Normal 6 2 2 3 2 2 4 3 3" xfId="40047"/>
    <cellStyle name="Normal 6 2 2 3 2 2 4 4" xfId="17483"/>
    <cellStyle name="Normal 6 2 2 3 2 2 4 5" xfId="32526"/>
    <cellStyle name="Normal 6 2 2 3 2 2 5" xfId="4318"/>
    <cellStyle name="Normal 6 2 2 3 2 2 5 2" xfId="11842"/>
    <cellStyle name="Normal 6 2 2 3 2 2 5 2 2" xfId="26886"/>
    <cellStyle name="Normal 6 2 2 3 2 2 5 2 3" xfId="41929"/>
    <cellStyle name="Normal 6 2 2 3 2 2 5 3" xfId="19365"/>
    <cellStyle name="Normal 6 2 2 3 2 2 5 4" xfId="34408"/>
    <cellStyle name="Normal 6 2 2 3 2 2 6" xfId="8081"/>
    <cellStyle name="Normal 6 2 2 3 2 2 6 2" xfId="23125"/>
    <cellStyle name="Normal 6 2 2 3 2 2 6 3" xfId="38168"/>
    <cellStyle name="Normal 6 2 2 3 2 2 7" xfId="15604"/>
    <cellStyle name="Normal 6 2 2 3 2 2 8" xfId="30647"/>
    <cellStyle name="Normal 6 2 2 3 2 3" xfId="944"/>
    <cellStyle name="Normal 6 2 2 3 2 3 2" xfId="1903"/>
    <cellStyle name="Normal 6 2 2 3 2 3 2 2" xfId="3774"/>
    <cellStyle name="Normal 6 2 2 3 2 3 2 2 2" xfId="7569"/>
    <cellStyle name="Normal 6 2 2 3 2 3 2 2 2 2" xfId="15092"/>
    <cellStyle name="Normal 6 2 2 3 2 3 2 2 2 2 2" xfId="30136"/>
    <cellStyle name="Normal 6 2 2 3 2 3 2 2 2 2 3" xfId="45179"/>
    <cellStyle name="Normal 6 2 2 3 2 3 2 2 2 3" xfId="22615"/>
    <cellStyle name="Normal 6 2 2 3 2 3 2 2 2 4" xfId="37658"/>
    <cellStyle name="Normal 6 2 2 3 2 3 2 2 3" xfId="11343"/>
    <cellStyle name="Normal 6 2 2 3 2 3 2 2 3 2" xfId="26387"/>
    <cellStyle name="Normal 6 2 2 3 2 3 2 2 3 3" xfId="41430"/>
    <cellStyle name="Normal 6 2 2 3 2 3 2 2 4" xfId="18866"/>
    <cellStyle name="Normal 6 2 2 3 2 3 2 2 5" xfId="33909"/>
    <cellStyle name="Normal 6 2 2 3 2 3 2 3" xfId="5704"/>
    <cellStyle name="Normal 6 2 2 3 2 3 2 3 2" xfId="13227"/>
    <cellStyle name="Normal 6 2 2 3 2 3 2 3 2 2" xfId="28271"/>
    <cellStyle name="Normal 6 2 2 3 2 3 2 3 2 3" xfId="43314"/>
    <cellStyle name="Normal 6 2 2 3 2 3 2 3 3" xfId="20750"/>
    <cellStyle name="Normal 6 2 2 3 2 3 2 3 4" xfId="35793"/>
    <cellStyle name="Normal 6 2 2 3 2 3 2 4" xfId="9478"/>
    <cellStyle name="Normal 6 2 2 3 2 3 2 4 2" xfId="24522"/>
    <cellStyle name="Normal 6 2 2 3 2 3 2 4 3" xfId="39565"/>
    <cellStyle name="Normal 6 2 2 3 2 3 2 5" xfId="17001"/>
    <cellStyle name="Normal 6 2 2 3 2 3 2 6" xfId="32044"/>
    <cellStyle name="Normal 6 2 2 3 2 3 3" xfId="2842"/>
    <cellStyle name="Normal 6 2 2 3 2 3 3 2" xfId="6637"/>
    <cellStyle name="Normal 6 2 2 3 2 3 3 2 2" xfId="14160"/>
    <cellStyle name="Normal 6 2 2 3 2 3 3 2 2 2" xfId="29204"/>
    <cellStyle name="Normal 6 2 2 3 2 3 3 2 2 3" xfId="44247"/>
    <cellStyle name="Normal 6 2 2 3 2 3 3 2 3" xfId="21683"/>
    <cellStyle name="Normal 6 2 2 3 2 3 3 2 4" xfId="36726"/>
    <cellStyle name="Normal 6 2 2 3 2 3 3 3" xfId="10411"/>
    <cellStyle name="Normal 6 2 2 3 2 3 3 3 2" xfId="25455"/>
    <cellStyle name="Normal 6 2 2 3 2 3 3 3 3" xfId="40498"/>
    <cellStyle name="Normal 6 2 2 3 2 3 3 4" xfId="17934"/>
    <cellStyle name="Normal 6 2 2 3 2 3 3 5" xfId="32977"/>
    <cellStyle name="Normal 6 2 2 3 2 3 4" xfId="4772"/>
    <cellStyle name="Normal 6 2 2 3 2 3 4 2" xfId="12295"/>
    <cellStyle name="Normal 6 2 2 3 2 3 4 2 2" xfId="27339"/>
    <cellStyle name="Normal 6 2 2 3 2 3 4 2 3" xfId="42382"/>
    <cellStyle name="Normal 6 2 2 3 2 3 4 3" xfId="19818"/>
    <cellStyle name="Normal 6 2 2 3 2 3 4 4" xfId="34861"/>
    <cellStyle name="Normal 6 2 2 3 2 3 5" xfId="8546"/>
    <cellStyle name="Normal 6 2 2 3 2 3 5 2" xfId="23590"/>
    <cellStyle name="Normal 6 2 2 3 2 3 5 3" xfId="38633"/>
    <cellStyle name="Normal 6 2 2 3 2 3 6" xfId="16069"/>
    <cellStyle name="Normal 6 2 2 3 2 3 7" xfId="31112"/>
    <cellStyle name="Normal 6 2 2 3 2 4" xfId="1451"/>
    <cellStyle name="Normal 6 2 2 3 2 4 2" xfId="3322"/>
    <cellStyle name="Normal 6 2 2 3 2 4 2 2" xfId="7117"/>
    <cellStyle name="Normal 6 2 2 3 2 4 2 2 2" xfId="14640"/>
    <cellStyle name="Normal 6 2 2 3 2 4 2 2 2 2" xfId="29684"/>
    <cellStyle name="Normal 6 2 2 3 2 4 2 2 2 3" xfId="44727"/>
    <cellStyle name="Normal 6 2 2 3 2 4 2 2 3" xfId="22163"/>
    <cellStyle name="Normal 6 2 2 3 2 4 2 2 4" xfId="37206"/>
    <cellStyle name="Normal 6 2 2 3 2 4 2 3" xfId="10891"/>
    <cellStyle name="Normal 6 2 2 3 2 4 2 3 2" xfId="25935"/>
    <cellStyle name="Normal 6 2 2 3 2 4 2 3 3" xfId="40978"/>
    <cellStyle name="Normal 6 2 2 3 2 4 2 4" xfId="18414"/>
    <cellStyle name="Normal 6 2 2 3 2 4 2 5" xfId="33457"/>
    <cellStyle name="Normal 6 2 2 3 2 4 3" xfId="5252"/>
    <cellStyle name="Normal 6 2 2 3 2 4 3 2" xfId="12775"/>
    <cellStyle name="Normal 6 2 2 3 2 4 3 2 2" xfId="27819"/>
    <cellStyle name="Normal 6 2 2 3 2 4 3 2 3" xfId="42862"/>
    <cellStyle name="Normal 6 2 2 3 2 4 3 3" xfId="20298"/>
    <cellStyle name="Normal 6 2 2 3 2 4 3 4" xfId="35341"/>
    <cellStyle name="Normal 6 2 2 3 2 4 4" xfId="9026"/>
    <cellStyle name="Normal 6 2 2 3 2 4 4 2" xfId="24070"/>
    <cellStyle name="Normal 6 2 2 3 2 4 4 3" xfId="39113"/>
    <cellStyle name="Normal 6 2 2 3 2 4 5" xfId="16549"/>
    <cellStyle name="Normal 6 2 2 3 2 4 6" xfId="31592"/>
    <cellStyle name="Normal 6 2 2 3 2 5" xfId="2389"/>
    <cellStyle name="Normal 6 2 2 3 2 5 2" xfId="6185"/>
    <cellStyle name="Normal 6 2 2 3 2 5 2 2" xfId="13708"/>
    <cellStyle name="Normal 6 2 2 3 2 5 2 2 2" xfId="28752"/>
    <cellStyle name="Normal 6 2 2 3 2 5 2 2 3" xfId="43795"/>
    <cellStyle name="Normal 6 2 2 3 2 5 2 3" xfId="21231"/>
    <cellStyle name="Normal 6 2 2 3 2 5 2 4" xfId="36274"/>
    <cellStyle name="Normal 6 2 2 3 2 5 3" xfId="9959"/>
    <cellStyle name="Normal 6 2 2 3 2 5 3 2" xfId="25003"/>
    <cellStyle name="Normal 6 2 2 3 2 5 3 3" xfId="40046"/>
    <cellStyle name="Normal 6 2 2 3 2 5 4" xfId="17482"/>
    <cellStyle name="Normal 6 2 2 3 2 5 5" xfId="32525"/>
    <cellStyle name="Normal 6 2 2 3 2 6" xfId="4317"/>
    <cellStyle name="Normal 6 2 2 3 2 6 2" xfId="11841"/>
    <cellStyle name="Normal 6 2 2 3 2 6 2 2" xfId="26885"/>
    <cellStyle name="Normal 6 2 2 3 2 6 2 3" xfId="41928"/>
    <cellStyle name="Normal 6 2 2 3 2 6 3" xfId="19364"/>
    <cellStyle name="Normal 6 2 2 3 2 6 4" xfId="34407"/>
    <cellStyle name="Normal 6 2 2 3 2 7" xfId="8080"/>
    <cellStyle name="Normal 6 2 2 3 2 7 2" xfId="23124"/>
    <cellStyle name="Normal 6 2 2 3 2 7 3" xfId="38167"/>
    <cellStyle name="Normal 6 2 2 3 2 8" xfId="15603"/>
    <cellStyle name="Normal 6 2 2 3 2 9" xfId="30646"/>
    <cellStyle name="Normal 6 2 2 3 3" xfId="427"/>
    <cellStyle name="Normal 6 2 2 3 3 2" xfId="428"/>
    <cellStyle name="Normal 6 2 2 3 3 2 2" xfId="947"/>
    <cellStyle name="Normal 6 2 2 3 3 2 2 2" xfId="1906"/>
    <cellStyle name="Normal 6 2 2 3 3 2 2 2 2" xfId="3777"/>
    <cellStyle name="Normal 6 2 2 3 3 2 2 2 2 2" xfId="7572"/>
    <cellStyle name="Normal 6 2 2 3 3 2 2 2 2 2 2" xfId="15095"/>
    <cellStyle name="Normal 6 2 2 3 3 2 2 2 2 2 2 2" xfId="30139"/>
    <cellStyle name="Normal 6 2 2 3 3 2 2 2 2 2 2 3" xfId="45182"/>
    <cellStyle name="Normal 6 2 2 3 3 2 2 2 2 2 3" xfId="22618"/>
    <cellStyle name="Normal 6 2 2 3 3 2 2 2 2 2 4" xfId="37661"/>
    <cellStyle name="Normal 6 2 2 3 3 2 2 2 2 3" xfId="11346"/>
    <cellStyle name="Normal 6 2 2 3 3 2 2 2 2 3 2" xfId="26390"/>
    <cellStyle name="Normal 6 2 2 3 3 2 2 2 2 3 3" xfId="41433"/>
    <cellStyle name="Normal 6 2 2 3 3 2 2 2 2 4" xfId="18869"/>
    <cellStyle name="Normal 6 2 2 3 3 2 2 2 2 5" xfId="33912"/>
    <cellStyle name="Normal 6 2 2 3 3 2 2 2 3" xfId="5707"/>
    <cellStyle name="Normal 6 2 2 3 3 2 2 2 3 2" xfId="13230"/>
    <cellStyle name="Normal 6 2 2 3 3 2 2 2 3 2 2" xfId="28274"/>
    <cellStyle name="Normal 6 2 2 3 3 2 2 2 3 2 3" xfId="43317"/>
    <cellStyle name="Normal 6 2 2 3 3 2 2 2 3 3" xfId="20753"/>
    <cellStyle name="Normal 6 2 2 3 3 2 2 2 3 4" xfId="35796"/>
    <cellStyle name="Normal 6 2 2 3 3 2 2 2 4" xfId="9481"/>
    <cellStyle name="Normal 6 2 2 3 3 2 2 2 4 2" xfId="24525"/>
    <cellStyle name="Normal 6 2 2 3 3 2 2 2 4 3" xfId="39568"/>
    <cellStyle name="Normal 6 2 2 3 3 2 2 2 5" xfId="17004"/>
    <cellStyle name="Normal 6 2 2 3 3 2 2 2 6" xfId="32047"/>
    <cellStyle name="Normal 6 2 2 3 3 2 2 3" xfId="2845"/>
    <cellStyle name="Normal 6 2 2 3 3 2 2 3 2" xfId="6640"/>
    <cellStyle name="Normal 6 2 2 3 3 2 2 3 2 2" xfId="14163"/>
    <cellStyle name="Normal 6 2 2 3 3 2 2 3 2 2 2" xfId="29207"/>
    <cellStyle name="Normal 6 2 2 3 3 2 2 3 2 2 3" xfId="44250"/>
    <cellStyle name="Normal 6 2 2 3 3 2 2 3 2 3" xfId="21686"/>
    <cellStyle name="Normal 6 2 2 3 3 2 2 3 2 4" xfId="36729"/>
    <cellStyle name="Normal 6 2 2 3 3 2 2 3 3" xfId="10414"/>
    <cellStyle name="Normal 6 2 2 3 3 2 2 3 3 2" xfId="25458"/>
    <cellStyle name="Normal 6 2 2 3 3 2 2 3 3 3" xfId="40501"/>
    <cellStyle name="Normal 6 2 2 3 3 2 2 3 4" xfId="17937"/>
    <cellStyle name="Normal 6 2 2 3 3 2 2 3 5" xfId="32980"/>
    <cellStyle name="Normal 6 2 2 3 3 2 2 4" xfId="4775"/>
    <cellStyle name="Normal 6 2 2 3 3 2 2 4 2" xfId="12298"/>
    <cellStyle name="Normal 6 2 2 3 3 2 2 4 2 2" xfId="27342"/>
    <cellStyle name="Normal 6 2 2 3 3 2 2 4 2 3" xfId="42385"/>
    <cellStyle name="Normal 6 2 2 3 3 2 2 4 3" xfId="19821"/>
    <cellStyle name="Normal 6 2 2 3 3 2 2 4 4" xfId="34864"/>
    <cellStyle name="Normal 6 2 2 3 3 2 2 5" xfId="8549"/>
    <cellStyle name="Normal 6 2 2 3 3 2 2 5 2" xfId="23593"/>
    <cellStyle name="Normal 6 2 2 3 3 2 2 5 3" xfId="38636"/>
    <cellStyle name="Normal 6 2 2 3 3 2 2 6" xfId="16072"/>
    <cellStyle name="Normal 6 2 2 3 3 2 2 7" xfId="31115"/>
    <cellStyle name="Normal 6 2 2 3 3 2 3" xfId="1454"/>
    <cellStyle name="Normal 6 2 2 3 3 2 3 2" xfId="3325"/>
    <cellStyle name="Normal 6 2 2 3 3 2 3 2 2" xfId="7120"/>
    <cellStyle name="Normal 6 2 2 3 3 2 3 2 2 2" xfId="14643"/>
    <cellStyle name="Normal 6 2 2 3 3 2 3 2 2 2 2" xfId="29687"/>
    <cellStyle name="Normal 6 2 2 3 3 2 3 2 2 2 3" xfId="44730"/>
    <cellStyle name="Normal 6 2 2 3 3 2 3 2 2 3" xfId="22166"/>
    <cellStyle name="Normal 6 2 2 3 3 2 3 2 2 4" xfId="37209"/>
    <cellStyle name="Normal 6 2 2 3 3 2 3 2 3" xfId="10894"/>
    <cellStyle name="Normal 6 2 2 3 3 2 3 2 3 2" xfId="25938"/>
    <cellStyle name="Normal 6 2 2 3 3 2 3 2 3 3" xfId="40981"/>
    <cellStyle name="Normal 6 2 2 3 3 2 3 2 4" xfId="18417"/>
    <cellStyle name="Normal 6 2 2 3 3 2 3 2 5" xfId="33460"/>
    <cellStyle name="Normal 6 2 2 3 3 2 3 3" xfId="5255"/>
    <cellStyle name="Normal 6 2 2 3 3 2 3 3 2" xfId="12778"/>
    <cellStyle name="Normal 6 2 2 3 3 2 3 3 2 2" xfId="27822"/>
    <cellStyle name="Normal 6 2 2 3 3 2 3 3 2 3" xfId="42865"/>
    <cellStyle name="Normal 6 2 2 3 3 2 3 3 3" xfId="20301"/>
    <cellStyle name="Normal 6 2 2 3 3 2 3 3 4" xfId="35344"/>
    <cellStyle name="Normal 6 2 2 3 3 2 3 4" xfId="9029"/>
    <cellStyle name="Normal 6 2 2 3 3 2 3 4 2" xfId="24073"/>
    <cellStyle name="Normal 6 2 2 3 3 2 3 4 3" xfId="39116"/>
    <cellStyle name="Normal 6 2 2 3 3 2 3 5" xfId="16552"/>
    <cellStyle name="Normal 6 2 2 3 3 2 3 6" xfId="31595"/>
    <cellStyle name="Normal 6 2 2 3 3 2 4" xfId="2392"/>
    <cellStyle name="Normal 6 2 2 3 3 2 4 2" xfId="6188"/>
    <cellStyle name="Normal 6 2 2 3 3 2 4 2 2" xfId="13711"/>
    <cellStyle name="Normal 6 2 2 3 3 2 4 2 2 2" xfId="28755"/>
    <cellStyle name="Normal 6 2 2 3 3 2 4 2 2 3" xfId="43798"/>
    <cellStyle name="Normal 6 2 2 3 3 2 4 2 3" xfId="21234"/>
    <cellStyle name="Normal 6 2 2 3 3 2 4 2 4" xfId="36277"/>
    <cellStyle name="Normal 6 2 2 3 3 2 4 3" xfId="9962"/>
    <cellStyle name="Normal 6 2 2 3 3 2 4 3 2" xfId="25006"/>
    <cellStyle name="Normal 6 2 2 3 3 2 4 3 3" xfId="40049"/>
    <cellStyle name="Normal 6 2 2 3 3 2 4 4" xfId="17485"/>
    <cellStyle name="Normal 6 2 2 3 3 2 4 5" xfId="32528"/>
    <cellStyle name="Normal 6 2 2 3 3 2 5" xfId="4320"/>
    <cellStyle name="Normal 6 2 2 3 3 2 5 2" xfId="11844"/>
    <cellStyle name="Normal 6 2 2 3 3 2 5 2 2" xfId="26888"/>
    <cellStyle name="Normal 6 2 2 3 3 2 5 2 3" xfId="41931"/>
    <cellStyle name="Normal 6 2 2 3 3 2 5 3" xfId="19367"/>
    <cellStyle name="Normal 6 2 2 3 3 2 5 4" xfId="34410"/>
    <cellStyle name="Normal 6 2 2 3 3 2 6" xfId="8083"/>
    <cellStyle name="Normal 6 2 2 3 3 2 6 2" xfId="23127"/>
    <cellStyle name="Normal 6 2 2 3 3 2 6 3" xfId="38170"/>
    <cellStyle name="Normal 6 2 2 3 3 2 7" xfId="15606"/>
    <cellStyle name="Normal 6 2 2 3 3 2 8" xfId="30649"/>
    <cellStyle name="Normal 6 2 2 3 3 3" xfId="946"/>
    <cellStyle name="Normal 6 2 2 3 3 3 2" xfId="1905"/>
    <cellStyle name="Normal 6 2 2 3 3 3 2 2" xfId="3776"/>
    <cellStyle name="Normal 6 2 2 3 3 3 2 2 2" xfId="7571"/>
    <cellStyle name="Normal 6 2 2 3 3 3 2 2 2 2" xfId="15094"/>
    <cellStyle name="Normal 6 2 2 3 3 3 2 2 2 2 2" xfId="30138"/>
    <cellStyle name="Normal 6 2 2 3 3 3 2 2 2 2 3" xfId="45181"/>
    <cellStyle name="Normal 6 2 2 3 3 3 2 2 2 3" xfId="22617"/>
    <cellStyle name="Normal 6 2 2 3 3 3 2 2 2 4" xfId="37660"/>
    <cellStyle name="Normal 6 2 2 3 3 3 2 2 3" xfId="11345"/>
    <cellStyle name="Normal 6 2 2 3 3 3 2 2 3 2" xfId="26389"/>
    <cellStyle name="Normal 6 2 2 3 3 3 2 2 3 3" xfId="41432"/>
    <cellStyle name="Normal 6 2 2 3 3 3 2 2 4" xfId="18868"/>
    <cellStyle name="Normal 6 2 2 3 3 3 2 2 5" xfId="33911"/>
    <cellStyle name="Normal 6 2 2 3 3 3 2 3" xfId="5706"/>
    <cellStyle name="Normal 6 2 2 3 3 3 2 3 2" xfId="13229"/>
    <cellStyle name="Normal 6 2 2 3 3 3 2 3 2 2" xfId="28273"/>
    <cellStyle name="Normal 6 2 2 3 3 3 2 3 2 3" xfId="43316"/>
    <cellStyle name="Normal 6 2 2 3 3 3 2 3 3" xfId="20752"/>
    <cellStyle name="Normal 6 2 2 3 3 3 2 3 4" xfId="35795"/>
    <cellStyle name="Normal 6 2 2 3 3 3 2 4" xfId="9480"/>
    <cellStyle name="Normal 6 2 2 3 3 3 2 4 2" xfId="24524"/>
    <cellStyle name="Normal 6 2 2 3 3 3 2 4 3" xfId="39567"/>
    <cellStyle name="Normal 6 2 2 3 3 3 2 5" xfId="17003"/>
    <cellStyle name="Normal 6 2 2 3 3 3 2 6" xfId="32046"/>
    <cellStyle name="Normal 6 2 2 3 3 3 3" xfId="2844"/>
    <cellStyle name="Normal 6 2 2 3 3 3 3 2" xfId="6639"/>
    <cellStyle name="Normal 6 2 2 3 3 3 3 2 2" xfId="14162"/>
    <cellStyle name="Normal 6 2 2 3 3 3 3 2 2 2" xfId="29206"/>
    <cellStyle name="Normal 6 2 2 3 3 3 3 2 2 3" xfId="44249"/>
    <cellStyle name="Normal 6 2 2 3 3 3 3 2 3" xfId="21685"/>
    <cellStyle name="Normal 6 2 2 3 3 3 3 2 4" xfId="36728"/>
    <cellStyle name="Normal 6 2 2 3 3 3 3 3" xfId="10413"/>
    <cellStyle name="Normal 6 2 2 3 3 3 3 3 2" xfId="25457"/>
    <cellStyle name="Normal 6 2 2 3 3 3 3 3 3" xfId="40500"/>
    <cellStyle name="Normal 6 2 2 3 3 3 3 4" xfId="17936"/>
    <cellStyle name="Normal 6 2 2 3 3 3 3 5" xfId="32979"/>
    <cellStyle name="Normal 6 2 2 3 3 3 4" xfId="4774"/>
    <cellStyle name="Normal 6 2 2 3 3 3 4 2" xfId="12297"/>
    <cellStyle name="Normal 6 2 2 3 3 3 4 2 2" xfId="27341"/>
    <cellStyle name="Normal 6 2 2 3 3 3 4 2 3" xfId="42384"/>
    <cellStyle name="Normal 6 2 2 3 3 3 4 3" xfId="19820"/>
    <cellStyle name="Normal 6 2 2 3 3 3 4 4" xfId="34863"/>
    <cellStyle name="Normal 6 2 2 3 3 3 5" xfId="8548"/>
    <cellStyle name="Normal 6 2 2 3 3 3 5 2" xfId="23592"/>
    <cellStyle name="Normal 6 2 2 3 3 3 5 3" xfId="38635"/>
    <cellStyle name="Normal 6 2 2 3 3 3 6" xfId="16071"/>
    <cellStyle name="Normal 6 2 2 3 3 3 7" xfId="31114"/>
    <cellStyle name="Normal 6 2 2 3 3 4" xfId="1453"/>
    <cellStyle name="Normal 6 2 2 3 3 4 2" xfId="3324"/>
    <cellStyle name="Normal 6 2 2 3 3 4 2 2" xfId="7119"/>
    <cellStyle name="Normal 6 2 2 3 3 4 2 2 2" xfId="14642"/>
    <cellStyle name="Normal 6 2 2 3 3 4 2 2 2 2" xfId="29686"/>
    <cellStyle name="Normal 6 2 2 3 3 4 2 2 2 3" xfId="44729"/>
    <cellStyle name="Normal 6 2 2 3 3 4 2 2 3" xfId="22165"/>
    <cellStyle name="Normal 6 2 2 3 3 4 2 2 4" xfId="37208"/>
    <cellStyle name="Normal 6 2 2 3 3 4 2 3" xfId="10893"/>
    <cellStyle name="Normal 6 2 2 3 3 4 2 3 2" xfId="25937"/>
    <cellStyle name="Normal 6 2 2 3 3 4 2 3 3" xfId="40980"/>
    <cellStyle name="Normal 6 2 2 3 3 4 2 4" xfId="18416"/>
    <cellStyle name="Normal 6 2 2 3 3 4 2 5" xfId="33459"/>
    <cellStyle name="Normal 6 2 2 3 3 4 3" xfId="5254"/>
    <cellStyle name="Normal 6 2 2 3 3 4 3 2" xfId="12777"/>
    <cellStyle name="Normal 6 2 2 3 3 4 3 2 2" xfId="27821"/>
    <cellStyle name="Normal 6 2 2 3 3 4 3 2 3" xfId="42864"/>
    <cellStyle name="Normal 6 2 2 3 3 4 3 3" xfId="20300"/>
    <cellStyle name="Normal 6 2 2 3 3 4 3 4" xfId="35343"/>
    <cellStyle name="Normal 6 2 2 3 3 4 4" xfId="9028"/>
    <cellStyle name="Normal 6 2 2 3 3 4 4 2" xfId="24072"/>
    <cellStyle name="Normal 6 2 2 3 3 4 4 3" xfId="39115"/>
    <cellStyle name="Normal 6 2 2 3 3 4 5" xfId="16551"/>
    <cellStyle name="Normal 6 2 2 3 3 4 6" xfId="31594"/>
    <cellStyle name="Normal 6 2 2 3 3 5" xfId="2391"/>
    <cellStyle name="Normal 6 2 2 3 3 5 2" xfId="6187"/>
    <cellStyle name="Normal 6 2 2 3 3 5 2 2" xfId="13710"/>
    <cellStyle name="Normal 6 2 2 3 3 5 2 2 2" xfId="28754"/>
    <cellStyle name="Normal 6 2 2 3 3 5 2 2 3" xfId="43797"/>
    <cellStyle name="Normal 6 2 2 3 3 5 2 3" xfId="21233"/>
    <cellStyle name="Normal 6 2 2 3 3 5 2 4" xfId="36276"/>
    <cellStyle name="Normal 6 2 2 3 3 5 3" xfId="9961"/>
    <cellStyle name="Normal 6 2 2 3 3 5 3 2" xfId="25005"/>
    <cellStyle name="Normal 6 2 2 3 3 5 3 3" xfId="40048"/>
    <cellStyle name="Normal 6 2 2 3 3 5 4" xfId="17484"/>
    <cellStyle name="Normal 6 2 2 3 3 5 5" xfId="32527"/>
    <cellStyle name="Normal 6 2 2 3 3 6" xfId="4319"/>
    <cellStyle name="Normal 6 2 2 3 3 6 2" xfId="11843"/>
    <cellStyle name="Normal 6 2 2 3 3 6 2 2" xfId="26887"/>
    <cellStyle name="Normal 6 2 2 3 3 6 2 3" xfId="41930"/>
    <cellStyle name="Normal 6 2 2 3 3 6 3" xfId="19366"/>
    <cellStyle name="Normal 6 2 2 3 3 6 4" xfId="34409"/>
    <cellStyle name="Normal 6 2 2 3 3 7" xfId="8082"/>
    <cellStyle name="Normal 6 2 2 3 3 7 2" xfId="23126"/>
    <cellStyle name="Normal 6 2 2 3 3 7 3" xfId="38169"/>
    <cellStyle name="Normal 6 2 2 3 3 8" xfId="15605"/>
    <cellStyle name="Normal 6 2 2 3 3 9" xfId="30648"/>
    <cellStyle name="Normal 6 2 2 3 4" xfId="429"/>
    <cellStyle name="Normal 6 2 2 3 4 2" xfId="948"/>
    <cellStyle name="Normal 6 2 2 3 4 2 2" xfId="1907"/>
    <cellStyle name="Normal 6 2 2 3 4 2 2 2" xfId="3778"/>
    <cellStyle name="Normal 6 2 2 3 4 2 2 2 2" xfId="7573"/>
    <cellStyle name="Normal 6 2 2 3 4 2 2 2 2 2" xfId="15096"/>
    <cellStyle name="Normal 6 2 2 3 4 2 2 2 2 2 2" xfId="30140"/>
    <cellStyle name="Normal 6 2 2 3 4 2 2 2 2 2 3" xfId="45183"/>
    <cellStyle name="Normal 6 2 2 3 4 2 2 2 2 3" xfId="22619"/>
    <cellStyle name="Normal 6 2 2 3 4 2 2 2 2 4" xfId="37662"/>
    <cellStyle name="Normal 6 2 2 3 4 2 2 2 3" xfId="11347"/>
    <cellStyle name="Normal 6 2 2 3 4 2 2 2 3 2" xfId="26391"/>
    <cellStyle name="Normal 6 2 2 3 4 2 2 2 3 3" xfId="41434"/>
    <cellStyle name="Normal 6 2 2 3 4 2 2 2 4" xfId="18870"/>
    <cellStyle name="Normal 6 2 2 3 4 2 2 2 5" xfId="33913"/>
    <cellStyle name="Normal 6 2 2 3 4 2 2 3" xfId="5708"/>
    <cellStyle name="Normal 6 2 2 3 4 2 2 3 2" xfId="13231"/>
    <cellStyle name="Normal 6 2 2 3 4 2 2 3 2 2" xfId="28275"/>
    <cellStyle name="Normal 6 2 2 3 4 2 2 3 2 3" xfId="43318"/>
    <cellStyle name="Normal 6 2 2 3 4 2 2 3 3" xfId="20754"/>
    <cellStyle name="Normal 6 2 2 3 4 2 2 3 4" xfId="35797"/>
    <cellStyle name="Normal 6 2 2 3 4 2 2 4" xfId="9482"/>
    <cellStyle name="Normal 6 2 2 3 4 2 2 4 2" xfId="24526"/>
    <cellStyle name="Normal 6 2 2 3 4 2 2 4 3" xfId="39569"/>
    <cellStyle name="Normal 6 2 2 3 4 2 2 5" xfId="17005"/>
    <cellStyle name="Normal 6 2 2 3 4 2 2 6" xfId="32048"/>
    <cellStyle name="Normal 6 2 2 3 4 2 3" xfId="2846"/>
    <cellStyle name="Normal 6 2 2 3 4 2 3 2" xfId="6641"/>
    <cellStyle name="Normal 6 2 2 3 4 2 3 2 2" xfId="14164"/>
    <cellStyle name="Normal 6 2 2 3 4 2 3 2 2 2" xfId="29208"/>
    <cellStyle name="Normal 6 2 2 3 4 2 3 2 2 3" xfId="44251"/>
    <cellStyle name="Normal 6 2 2 3 4 2 3 2 3" xfId="21687"/>
    <cellStyle name="Normal 6 2 2 3 4 2 3 2 4" xfId="36730"/>
    <cellStyle name="Normal 6 2 2 3 4 2 3 3" xfId="10415"/>
    <cellStyle name="Normal 6 2 2 3 4 2 3 3 2" xfId="25459"/>
    <cellStyle name="Normal 6 2 2 3 4 2 3 3 3" xfId="40502"/>
    <cellStyle name="Normal 6 2 2 3 4 2 3 4" xfId="17938"/>
    <cellStyle name="Normal 6 2 2 3 4 2 3 5" xfId="32981"/>
    <cellStyle name="Normal 6 2 2 3 4 2 4" xfId="4776"/>
    <cellStyle name="Normal 6 2 2 3 4 2 4 2" xfId="12299"/>
    <cellStyle name="Normal 6 2 2 3 4 2 4 2 2" xfId="27343"/>
    <cellStyle name="Normal 6 2 2 3 4 2 4 2 3" xfId="42386"/>
    <cellStyle name="Normal 6 2 2 3 4 2 4 3" xfId="19822"/>
    <cellStyle name="Normal 6 2 2 3 4 2 4 4" xfId="34865"/>
    <cellStyle name="Normal 6 2 2 3 4 2 5" xfId="8550"/>
    <cellStyle name="Normal 6 2 2 3 4 2 5 2" xfId="23594"/>
    <cellStyle name="Normal 6 2 2 3 4 2 5 3" xfId="38637"/>
    <cellStyle name="Normal 6 2 2 3 4 2 6" xfId="16073"/>
    <cellStyle name="Normal 6 2 2 3 4 2 7" xfId="31116"/>
    <cellStyle name="Normal 6 2 2 3 4 3" xfId="1455"/>
    <cellStyle name="Normal 6 2 2 3 4 3 2" xfId="3326"/>
    <cellStyle name="Normal 6 2 2 3 4 3 2 2" xfId="7121"/>
    <cellStyle name="Normal 6 2 2 3 4 3 2 2 2" xfId="14644"/>
    <cellStyle name="Normal 6 2 2 3 4 3 2 2 2 2" xfId="29688"/>
    <cellStyle name="Normal 6 2 2 3 4 3 2 2 2 3" xfId="44731"/>
    <cellStyle name="Normal 6 2 2 3 4 3 2 2 3" xfId="22167"/>
    <cellStyle name="Normal 6 2 2 3 4 3 2 2 4" xfId="37210"/>
    <cellStyle name="Normal 6 2 2 3 4 3 2 3" xfId="10895"/>
    <cellStyle name="Normal 6 2 2 3 4 3 2 3 2" xfId="25939"/>
    <cellStyle name="Normal 6 2 2 3 4 3 2 3 3" xfId="40982"/>
    <cellStyle name="Normal 6 2 2 3 4 3 2 4" xfId="18418"/>
    <cellStyle name="Normal 6 2 2 3 4 3 2 5" xfId="33461"/>
    <cellStyle name="Normal 6 2 2 3 4 3 3" xfId="5256"/>
    <cellStyle name="Normal 6 2 2 3 4 3 3 2" xfId="12779"/>
    <cellStyle name="Normal 6 2 2 3 4 3 3 2 2" xfId="27823"/>
    <cellStyle name="Normal 6 2 2 3 4 3 3 2 3" xfId="42866"/>
    <cellStyle name="Normal 6 2 2 3 4 3 3 3" xfId="20302"/>
    <cellStyle name="Normal 6 2 2 3 4 3 3 4" xfId="35345"/>
    <cellStyle name="Normal 6 2 2 3 4 3 4" xfId="9030"/>
    <cellStyle name="Normal 6 2 2 3 4 3 4 2" xfId="24074"/>
    <cellStyle name="Normal 6 2 2 3 4 3 4 3" xfId="39117"/>
    <cellStyle name="Normal 6 2 2 3 4 3 5" xfId="16553"/>
    <cellStyle name="Normal 6 2 2 3 4 3 6" xfId="31596"/>
    <cellStyle name="Normal 6 2 2 3 4 4" xfId="2393"/>
    <cellStyle name="Normal 6 2 2 3 4 4 2" xfId="6189"/>
    <cellStyle name="Normal 6 2 2 3 4 4 2 2" xfId="13712"/>
    <cellStyle name="Normal 6 2 2 3 4 4 2 2 2" xfId="28756"/>
    <cellStyle name="Normal 6 2 2 3 4 4 2 2 3" xfId="43799"/>
    <cellStyle name="Normal 6 2 2 3 4 4 2 3" xfId="21235"/>
    <cellStyle name="Normal 6 2 2 3 4 4 2 4" xfId="36278"/>
    <cellStyle name="Normal 6 2 2 3 4 4 3" xfId="9963"/>
    <cellStyle name="Normal 6 2 2 3 4 4 3 2" xfId="25007"/>
    <cellStyle name="Normal 6 2 2 3 4 4 3 3" xfId="40050"/>
    <cellStyle name="Normal 6 2 2 3 4 4 4" xfId="17486"/>
    <cellStyle name="Normal 6 2 2 3 4 4 5" xfId="32529"/>
    <cellStyle name="Normal 6 2 2 3 4 5" xfId="4321"/>
    <cellStyle name="Normal 6 2 2 3 4 5 2" xfId="11845"/>
    <cellStyle name="Normal 6 2 2 3 4 5 2 2" xfId="26889"/>
    <cellStyle name="Normal 6 2 2 3 4 5 2 3" xfId="41932"/>
    <cellStyle name="Normal 6 2 2 3 4 5 3" xfId="19368"/>
    <cellStyle name="Normal 6 2 2 3 4 5 4" xfId="34411"/>
    <cellStyle name="Normal 6 2 2 3 4 6" xfId="8084"/>
    <cellStyle name="Normal 6 2 2 3 4 6 2" xfId="23128"/>
    <cellStyle name="Normal 6 2 2 3 4 6 3" xfId="38171"/>
    <cellStyle name="Normal 6 2 2 3 4 7" xfId="15607"/>
    <cellStyle name="Normal 6 2 2 3 4 8" xfId="30650"/>
    <cellStyle name="Normal 6 2 2 3 5" xfId="943"/>
    <cellStyle name="Normal 6 2 2 3 5 2" xfId="1902"/>
    <cellStyle name="Normal 6 2 2 3 5 2 2" xfId="3773"/>
    <cellStyle name="Normal 6 2 2 3 5 2 2 2" xfId="7568"/>
    <cellStyle name="Normal 6 2 2 3 5 2 2 2 2" xfId="15091"/>
    <cellStyle name="Normal 6 2 2 3 5 2 2 2 2 2" xfId="30135"/>
    <cellStyle name="Normal 6 2 2 3 5 2 2 2 2 3" xfId="45178"/>
    <cellStyle name="Normal 6 2 2 3 5 2 2 2 3" xfId="22614"/>
    <cellStyle name="Normal 6 2 2 3 5 2 2 2 4" xfId="37657"/>
    <cellStyle name="Normal 6 2 2 3 5 2 2 3" xfId="11342"/>
    <cellStyle name="Normal 6 2 2 3 5 2 2 3 2" xfId="26386"/>
    <cellStyle name="Normal 6 2 2 3 5 2 2 3 3" xfId="41429"/>
    <cellStyle name="Normal 6 2 2 3 5 2 2 4" xfId="18865"/>
    <cellStyle name="Normal 6 2 2 3 5 2 2 5" xfId="33908"/>
    <cellStyle name="Normal 6 2 2 3 5 2 3" xfId="5703"/>
    <cellStyle name="Normal 6 2 2 3 5 2 3 2" xfId="13226"/>
    <cellStyle name="Normal 6 2 2 3 5 2 3 2 2" xfId="28270"/>
    <cellStyle name="Normal 6 2 2 3 5 2 3 2 3" xfId="43313"/>
    <cellStyle name="Normal 6 2 2 3 5 2 3 3" xfId="20749"/>
    <cellStyle name="Normal 6 2 2 3 5 2 3 4" xfId="35792"/>
    <cellStyle name="Normal 6 2 2 3 5 2 4" xfId="9477"/>
    <cellStyle name="Normal 6 2 2 3 5 2 4 2" xfId="24521"/>
    <cellStyle name="Normal 6 2 2 3 5 2 4 3" xfId="39564"/>
    <cellStyle name="Normal 6 2 2 3 5 2 5" xfId="17000"/>
    <cellStyle name="Normal 6 2 2 3 5 2 6" xfId="32043"/>
    <cellStyle name="Normal 6 2 2 3 5 3" xfId="2841"/>
    <cellStyle name="Normal 6 2 2 3 5 3 2" xfId="6636"/>
    <cellStyle name="Normal 6 2 2 3 5 3 2 2" xfId="14159"/>
    <cellStyle name="Normal 6 2 2 3 5 3 2 2 2" xfId="29203"/>
    <cellStyle name="Normal 6 2 2 3 5 3 2 2 3" xfId="44246"/>
    <cellStyle name="Normal 6 2 2 3 5 3 2 3" xfId="21682"/>
    <cellStyle name="Normal 6 2 2 3 5 3 2 4" xfId="36725"/>
    <cellStyle name="Normal 6 2 2 3 5 3 3" xfId="10410"/>
    <cellStyle name="Normal 6 2 2 3 5 3 3 2" xfId="25454"/>
    <cellStyle name="Normal 6 2 2 3 5 3 3 3" xfId="40497"/>
    <cellStyle name="Normal 6 2 2 3 5 3 4" xfId="17933"/>
    <cellStyle name="Normal 6 2 2 3 5 3 5" xfId="32976"/>
    <cellStyle name="Normal 6 2 2 3 5 4" xfId="4771"/>
    <cellStyle name="Normal 6 2 2 3 5 4 2" xfId="12294"/>
    <cellStyle name="Normal 6 2 2 3 5 4 2 2" xfId="27338"/>
    <cellStyle name="Normal 6 2 2 3 5 4 2 3" xfId="42381"/>
    <cellStyle name="Normal 6 2 2 3 5 4 3" xfId="19817"/>
    <cellStyle name="Normal 6 2 2 3 5 4 4" xfId="34860"/>
    <cellStyle name="Normal 6 2 2 3 5 5" xfId="8545"/>
    <cellStyle name="Normal 6 2 2 3 5 5 2" xfId="23589"/>
    <cellStyle name="Normal 6 2 2 3 5 5 3" xfId="38632"/>
    <cellStyle name="Normal 6 2 2 3 5 6" xfId="16068"/>
    <cellStyle name="Normal 6 2 2 3 5 7" xfId="31111"/>
    <cellStyle name="Normal 6 2 2 3 6" xfId="1450"/>
    <cellStyle name="Normal 6 2 2 3 6 2" xfId="3321"/>
    <cellStyle name="Normal 6 2 2 3 6 2 2" xfId="7116"/>
    <cellStyle name="Normal 6 2 2 3 6 2 2 2" xfId="14639"/>
    <cellStyle name="Normal 6 2 2 3 6 2 2 2 2" xfId="29683"/>
    <cellStyle name="Normal 6 2 2 3 6 2 2 2 3" xfId="44726"/>
    <cellStyle name="Normal 6 2 2 3 6 2 2 3" xfId="22162"/>
    <cellStyle name="Normal 6 2 2 3 6 2 2 4" xfId="37205"/>
    <cellStyle name="Normal 6 2 2 3 6 2 3" xfId="10890"/>
    <cellStyle name="Normal 6 2 2 3 6 2 3 2" xfId="25934"/>
    <cellStyle name="Normal 6 2 2 3 6 2 3 3" xfId="40977"/>
    <cellStyle name="Normal 6 2 2 3 6 2 4" xfId="18413"/>
    <cellStyle name="Normal 6 2 2 3 6 2 5" xfId="33456"/>
    <cellStyle name="Normal 6 2 2 3 6 3" xfId="5251"/>
    <cellStyle name="Normal 6 2 2 3 6 3 2" xfId="12774"/>
    <cellStyle name="Normal 6 2 2 3 6 3 2 2" xfId="27818"/>
    <cellStyle name="Normal 6 2 2 3 6 3 2 3" xfId="42861"/>
    <cellStyle name="Normal 6 2 2 3 6 3 3" xfId="20297"/>
    <cellStyle name="Normal 6 2 2 3 6 3 4" xfId="35340"/>
    <cellStyle name="Normal 6 2 2 3 6 4" xfId="9025"/>
    <cellStyle name="Normal 6 2 2 3 6 4 2" xfId="24069"/>
    <cellStyle name="Normal 6 2 2 3 6 4 3" xfId="39112"/>
    <cellStyle name="Normal 6 2 2 3 6 5" xfId="16548"/>
    <cellStyle name="Normal 6 2 2 3 6 6" xfId="31591"/>
    <cellStyle name="Normal 6 2 2 3 7" xfId="2388"/>
    <cellStyle name="Normal 6 2 2 3 7 2" xfId="6184"/>
    <cellStyle name="Normal 6 2 2 3 7 2 2" xfId="13707"/>
    <cellStyle name="Normal 6 2 2 3 7 2 2 2" xfId="28751"/>
    <cellStyle name="Normal 6 2 2 3 7 2 2 3" xfId="43794"/>
    <cellStyle name="Normal 6 2 2 3 7 2 3" xfId="21230"/>
    <cellStyle name="Normal 6 2 2 3 7 2 4" xfId="36273"/>
    <cellStyle name="Normal 6 2 2 3 7 3" xfId="9958"/>
    <cellStyle name="Normal 6 2 2 3 7 3 2" xfId="25002"/>
    <cellStyle name="Normal 6 2 2 3 7 3 3" xfId="40045"/>
    <cellStyle name="Normal 6 2 2 3 7 4" xfId="17481"/>
    <cellStyle name="Normal 6 2 2 3 7 5" xfId="32524"/>
    <cellStyle name="Normal 6 2 2 3 8" xfId="4316"/>
    <cellStyle name="Normal 6 2 2 3 8 2" xfId="11840"/>
    <cellStyle name="Normal 6 2 2 3 8 2 2" xfId="26884"/>
    <cellStyle name="Normal 6 2 2 3 8 2 3" xfId="41927"/>
    <cellStyle name="Normal 6 2 2 3 8 3" xfId="19363"/>
    <cellStyle name="Normal 6 2 2 3 8 4" xfId="34406"/>
    <cellStyle name="Normal 6 2 2 3 9" xfId="8079"/>
    <cellStyle name="Normal 6 2 2 3 9 2" xfId="23123"/>
    <cellStyle name="Normal 6 2 2 3 9 3" xfId="38166"/>
    <cellStyle name="Normal 6 2 2 4" xfId="430"/>
    <cellStyle name="Normal 6 2 2 4 2" xfId="431"/>
    <cellStyle name="Normal 6 2 2 4 2 2" xfId="950"/>
    <cellStyle name="Normal 6 2 2 4 2 2 2" xfId="1909"/>
    <cellStyle name="Normal 6 2 2 4 2 2 2 2" xfId="3780"/>
    <cellStyle name="Normal 6 2 2 4 2 2 2 2 2" xfId="7575"/>
    <cellStyle name="Normal 6 2 2 4 2 2 2 2 2 2" xfId="15098"/>
    <cellStyle name="Normal 6 2 2 4 2 2 2 2 2 2 2" xfId="30142"/>
    <cellStyle name="Normal 6 2 2 4 2 2 2 2 2 2 3" xfId="45185"/>
    <cellStyle name="Normal 6 2 2 4 2 2 2 2 2 3" xfId="22621"/>
    <cellStyle name="Normal 6 2 2 4 2 2 2 2 2 4" xfId="37664"/>
    <cellStyle name="Normal 6 2 2 4 2 2 2 2 3" xfId="11349"/>
    <cellStyle name="Normal 6 2 2 4 2 2 2 2 3 2" xfId="26393"/>
    <cellStyle name="Normal 6 2 2 4 2 2 2 2 3 3" xfId="41436"/>
    <cellStyle name="Normal 6 2 2 4 2 2 2 2 4" xfId="18872"/>
    <cellStyle name="Normal 6 2 2 4 2 2 2 2 5" xfId="33915"/>
    <cellStyle name="Normal 6 2 2 4 2 2 2 3" xfId="5710"/>
    <cellStyle name="Normal 6 2 2 4 2 2 2 3 2" xfId="13233"/>
    <cellStyle name="Normal 6 2 2 4 2 2 2 3 2 2" xfId="28277"/>
    <cellStyle name="Normal 6 2 2 4 2 2 2 3 2 3" xfId="43320"/>
    <cellStyle name="Normal 6 2 2 4 2 2 2 3 3" xfId="20756"/>
    <cellStyle name="Normal 6 2 2 4 2 2 2 3 4" xfId="35799"/>
    <cellStyle name="Normal 6 2 2 4 2 2 2 4" xfId="9484"/>
    <cellStyle name="Normal 6 2 2 4 2 2 2 4 2" xfId="24528"/>
    <cellStyle name="Normal 6 2 2 4 2 2 2 4 3" xfId="39571"/>
    <cellStyle name="Normal 6 2 2 4 2 2 2 5" xfId="17007"/>
    <cellStyle name="Normal 6 2 2 4 2 2 2 6" xfId="32050"/>
    <cellStyle name="Normal 6 2 2 4 2 2 3" xfId="2848"/>
    <cellStyle name="Normal 6 2 2 4 2 2 3 2" xfId="6643"/>
    <cellStyle name="Normal 6 2 2 4 2 2 3 2 2" xfId="14166"/>
    <cellStyle name="Normal 6 2 2 4 2 2 3 2 2 2" xfId="29210"/>
    <cellStyle name="Normal 6 2 2 4 2 2 3 2 2 3" xfId="44253"/>
    <cellStyle name="Normal 6 2 2 4 2 2 3 2 3" xfId="21689"/>
    <cellStyle name="Normal 6 2 2 4 2 2 3 2 4" xfId="36732"/>
    <cellStyle name="Normal 6 2 2 4 2 2 3 3" xfId="10417"/>
    <cellStyle name="Normal 6 2 2 4 2 2 3 3 2" xfId="25461"/>
    <cellStyle name="Normal 6 2 2 4 2 2 3 3 3" xfId="40504"/>
    <cellStyle name="Normal 6 2 2 4 2 2 3 4" xfId="17940"/>
    <cellStyle name="Normal 6 2 2 4 2 2 3 5" xfId="32983"/>
    <cellStyle name="Normal 6 2 2 4 2 2 4" xfId="4778"/>
    <cellStyle name="Normal 6 2 2 4 2 2 4 2" xfId="12301"/>
    <cellStyle name="Normal 6 2 2 4 2 2 4 2 2" xfId="27345"/>
    <cellStyle name="Normal 6 2 2 4 2 2 4 2 3" xfId="42388"/>
    <cellStyle name="Normal 6 2 2 4 2 2 4 3" xfId="19824"/>
    <cellStyle name="Normal 6 2 2 4 2 2 4 4" xfId="34867"/>
    <cellStyle name="Normal 6 2 2 4 2 2 5" xfId="8552"/>
    <cellStyle name="Normal 6 2 2 4 2 2 5 2" xfId="23596"/>
    <cellStyle name="Normal 6 2 2 4 2 2 5 3" xfId="38639"/>
    <cellStyle name="Normal 6 2 2 4 2 2 6" xfId="16075"/>
    <cellStyle name="Normal 6 2 2 4 2 2 7" xfId="31118"/>
    <cellStyle name="Normal 6 2 2 4 2 3" xfId="1457"/>
    <cellStyle name="Normal 6 2 2 4 2 3 2" xfId="3328"/>
    <cellStyle name="Normal 6 2 2 4 2 3 2 2" xfId="7123"/>
    <cellStyle name="Normal 6 2 2 4 2 3 2 2 2" xfId="14646"/>
    <cellStyle name="Normal 6 2 2 4 2 3 2 2 2 2" xfId="29690"/>
    <cellStyle name="Normal 6 2 2 4 2 3 2 2 2 3" xfId="44733"/>
    <cellStyle name="Normal 6 2 2 4 2 3 2 2 3" xfId="22169"/>
    <cellStyle name="Normal 6 2 2 4 2 3 2 2 4" xfId="37212"/>
    <cellStyle name="Normal 6 2 2 4 2 3 2 3" xfId="10897"/>
    <cellStyle name="Normal 6 2 2 4 2 3 2 3 2" xfId="25941"/>
    <cellStyle name="Normal 6 2 2 4 2 3 2 3 3" xfId="40984"/>
    <cellStyle name="Normal 6 2 2 4 2 3 2 4" xfId="18420"/>
    <cellStyle name="Normal 6 2 2 4 2 3 2 5" xfId="33463"/>
    <cellStyle name="Normal 6 2 2 4 2 3 3" xfId="5258"/>
    <cellStyle name="Normal 6 2 2 4 2 3 3 2" xfId="12781"/>
    <cellStyle name="Normal 6 2 2 4 2 3 3 2 2" xfId="27825"/>
    <cellStyle name="Normal 6 2 2 4 2 3 3 2 3" xfId="42868"/>
    <cellStyle name="Normal 6 2 2 4 2 3 3 3" xfId="20304"/>
    <cellStyle name="Normal 6 2 2 4 2 3 3 4" xfId="35347"/>
    <cellStyle name="Normal 6 2 2 4 2 3 4" xfId="9032"/>
    <cellStyle name="Normal 6 2 2 4 2 3 4 2" xfId="24076"/>
    <cellStyle name="Normal 6 2 2 4 2 3 4 3" xfId="39119"/>
    <cellStyle name="Normal 6 2 2 4 2 3 5" xfId="16555"/>
    <cellStyle name="Normal 6 2 2 4 2 3 6" xfId="31598"/>
    <cellStyle name="Normal 6 2 2 4 2 4" xfId="2395"/>
    <cellStyle name="Normal 6 2 2 4 2 4 2" xfId="6191"/>
    <cellStyle name="Normal 6 2 2 4 2 4 2 2" xfId="13714"/>
    <cellStyle name="Normal 6 2 2 4 2 4 2 2 2" xfId="28758"/>
    <cellStyle name="Normal 6 2 2 4 2 4 2 2 3" xfId="43801"/>
    <cellStyle name="Normal 6 2 2 4 2 4 2 3" xfId="21237"/>
    <cellStyle name="Normal 6 2 2 4 2 4 2 4" xfId="36280"/>
    <cellStyle name="Normal 6 2 2 4 2 4 3" xfId="9965"/>
    <cellStyle name="Normal 6 2 2 4 2 4 3 2" xfId="25009"/>
    <cellStyle name="Normal 6 2 2 4 2 4 3 3" xfId="40052"/>
    <cellStyle name="Normal 6 2 2 4 2 4 4" xfId="17488"/>
    <cellStyle name="Normal 6 2 2 4 2 4 5" xfId="32531"/>
    <cellStyle name="Normal 6 2 2 4 2 5" xfId="4323"/>
    <cellStyle name="Normal 6 2 2 4 2 5 2" xfId="11847"/>
    <cellStyle name="Normal 6 2 2 4 2 5 2 2" xfId="26891"/>
    <cellStyle name="Normal 6 2 2 4 2 5 2 3" xfId="41934"/>
    <cellStyle name="Normal 6 2 2 4 2 5 3" xfId="19370"/>
    <cellStyle name="Normal 6 2 2 4 2 5 4" xfId="34413"/>
    <cellStyle name="Normal 6 2 2 4 2 6" xfId="8086"/>
    <cellStyle name="Normal 6 2 2 4 2 6 2" xfId="23130"/>
    <cellStyle name="Normal 6 2 2 4 2 6 3" xfId="38173"/>
    <cellStyle name="Normal 6 2 2 4 2 7" xfId="15609"/>
    <cellStyle name="Normal 6 2 2 4 2 8" xfId="30652"/>
    <cellStyle name="Normal 6 2 2 4 3" xfId="949"/>
    <cellStyle name="Normal 6 2 2 4 3 2" xfId="1908"/>
    <cellStyle name="Normal 6 2 2 4 3 2 2" xfId="3779"/>
    <cellStyle name="Normal 6 2 2 4 3 2 2 2" xfId="7574"/>
    <cellStyle name="Normal 6 2 2 4 3 2 2 2 2" xfId="15097"/>
    <cellStyle name="Normal 6 2 2 4 3 2 2 2 2 2" xfId="30141"/>
    <cellStyle name="Normal 6 2 2 4 3 2 2 2 2 3" xfId="45184"/>
    <cellStyle name="Normal 6 2 2 4 3 2 2 2 3" xfId="22620"/>
    <cellStyle name="Normal 6 2 2 4 3 2 2 2 4" xfId="37663"/>
    <cellStyle name="Normal 6 2 2 4 3 2 2 3" xfId="11348"/>
    <cellStyle name="Normal 6 2 2 4 3 2 2 3 2" xfId="26392"/>
    <cellStyle name="Normal 6 2 2 4 3 2 2 3 3" xfId="41435"/>
    <cellStyle name="Normal 6 2 2 4 3 2 2 4" xfId="18871"/>
    <cellStyle name="Normal 6 2 2 4 3 2 2 5" xfId="33914"/>
    <cellStyle name="Normal 6 2 2 4 3 2 3" xfId="5709"/>
    <cellStyle name="Normal 6 2 2 4 3 2 3 2" xfId="13232"/>
    <cellStyle name="Normal 6 2 2 4 3 2 3 2 2" xfId="28276"/>
    <cellStyle name="Normal 6 2 2 4 3 2 3 2 3" xfId="43319"/>
    <cellStyle name="Normal 6 2 2 4 3 2 3 3" xfId="20755"/>
    <cellStyle name="Normal 6 2 2 4 3 2 3 4" xfId="35798"/>
    <cellStyle name="Normal 6 2 2 4 3 2 4" xfId="9483"/>
    <cellStyle name="Normal 6 2 2 4 3 2 4 2" xfId="24527"/>
    <cellStyle name="Normal 6 2 2 4 3 2 4 3" xfId="39570"/>
    <cellStyle name="Normal 6 2 2 4 3 2 5" xfId="17006"/>
    <cellStyle name="Normal 6 2 2 4 3 2 6" xfId="32049"/>
    <cellStyle name="Normal 6 2 2 4 3 3" xfId="2847"/>
    <cellStyle name="Normal 6 2 2 4 3 3 2" xfId="6642"/>
    <cellStyle name="Normal 6 2 2 4 3 3 2 2" xfId="14165"/>
    <cellStyle name="Normal 6 2 2 4 3 3 2 2 2" xfId="29209"/>
    <cellStyle name="Normal 6 2 2 4 3 3 2 2 3" xfId="44252"/>
    <cellStyle name="Normal 6 2 2 4 3 3 2 3" xfId="21688"/>
    <cellStyle name="Normal 6 2 2 4 3 3 2 4" xfId="36731"/>
    <cellStyle name="Normal 6 2 2 4 3 3 3" xfId="10416"/>
    <cellStyle name="Normal 6 2 2 4 3 3 3 2" xfId="25460"/>
    <cellStyle name="Normal 6 2 2 4 3 3 3 3" xfId="40503"/>
    <cellStyle name="Normal 6 2 2 4 3 3 4" xfId="17939"/>
    <cellStyle name="Normal 6 2 2 4 3 3 5" xfId="32982"/>
    <cellStyle name="Normal 6 2 2 4 3 4" xfId="4777"/>
    <cellStyle name="Normal 6 2 2 4 3 4 2" xfId="12300"/>
    <cellStyle name="Normal 6 2 2 4 3 4 2 2" xfId="27344"/>
    <cellStyle name="Normal 6 2 2 4 3 4 2 3" xfId="42387"/>
    <cellStyle name="Normal 6 2 2 4 3 4 3" xfId="19823"/>
    <cellStyle name="Normal 6 2 2 4 3 4 4" xfId="34866"/>
    <cellStyle name="Normal 6 2 2 4 3 5" xfId="8551"/>
    <cellStyle name="Normal 6 2 2 4 3 5 2" xfId="23595"/>
    <cellStyle name="Normal 6 2 2 4 3 5 3" xfId="38638"/>
    <cellStyle name="Normal 6 2 2 4 3 6" xfId="16074"/>
    <cellStyle name="Normal 6 2 2 4 3 7" xfId="31117"/>
    <cellStyle name="Normal 6 2 2 4 4" xfId="1456"/>
    <cellStyle name="Normal 6 2 2 4 4 2" xfId="3327"/>
    <cellStyle name="Normal 6 2 2 4 4 2 2" xfId="7122"/>
    <cellStyle name="Normal 6 2 2 4 4 2 2 2" xfId="14645"/>
    <cellStyle name="Normal 6 2 2 4 4 2 2 2 2" xfId="29689"/>
    <cellStyle name="Normal 6 2 2 4 4 2 2 2 3" xfId="44732"/>
    <cellStyle name="Normal 6 2 2 4 4 2 2 3" xfId="22168"/>
    <cellStyle name="Normal 6 2 2 4 4 2 2 4" xfId="37211"/>
    <cellStyle name="Normal 6 2 2 4 4 2 3" xfId="10896"/>
    <cellStyle name="Normal 6 2 2 4 4 2 3 2" xfId="25940"/>
    <cellStyle name="Normal 6 2 2 4 4 2 3 3" xfId="40983"/>
    <cellStyle name="Normal 6 2 2 4 4 2 4" xfId="18419"/>
    <cellStyle name="Normal 6 2 2 4 4 2 5" xfId="33462"/>
    <cellStyle name="Normal 6 2 2 4 4 3" xfId="5257"/>
    <cellStyle name="Normal 6 2 2 4 4 3 2" xfId="12780"/>
    <cellStyle name="Normal 6 2 2 4 4 3 2 2" xfId="27824"/>
    <cellStyle name="Normal 6 2 2 4 4 3 2 3" xfId="42867"/>
    <cellStyle name="Normal 6 2 2 4 4 3 3" xfId="20303"/>
    <cellStyle name="Normal 6 2 2 4 4 3 4" xfId="35346"/>
    <cellStyle name="Normal 6 2 2 4 4 4" xfId="9031"/>
    <cellStyle name="Normal 6 2 2 4 4 4 2" xfId="24075"/>
    <cellStyle name="Normal 6 2 2 4 4 4 3" xfId="39118"/>
    <cellStyle name="Normal 6 2 2 4 4 5" xfId="16554"/>
    <cellStyle name="Normal 6 2 2 4 4 6" xfId="31597"/>
    <cellStyle name="Normal 6 2 2 4 5" xfId="2394"/>
    <cellStyle name="Normal 6 2 2 4 5 2" xfId="6190"/>
    <cellStyle name="Normal 6 2 2 4 5 2 2" xfId="13713"/>
    <cellStyle name="Normal 6 2 2 4 5 2 2 2" xfId="28757"/>
    <cellStyle name="Normal 6 2 2 4 5 2 2 3" xfId="43800"/>
    <cellStyle name="Normal 6 2 2 4 5 2 3" xfId="21236"/>
    <cellStyle name="Normal 6 2 2 4 5 2 4" xfId="36279"/>
    <cellStyle name="Normal 6 2 2 4 5 3" xfId="9964"/>
    <cellStyle name="Normal 6 2 2 4 5 3 2" xfId="25008"/>
    <cellStyle name="Normal 6 2 2 4 5 3 3" xfId="40051"/>
    <cellStyle name="Normal 6 2 2 4 5 4" xfId="17487"/>
    <cellStyle name="Normal 6 2 2 4 5 5" xfId="32530"/>
    <cellStyle name="Normal 6 2 2 4 6" xfId="4322"/>
    <cellStyle name="Normal 6 2 2 4 6 2" xfId="11846"/>
    <cellStyle name="Normal 6 2 2 4 6 2 2" xfId="26890"/>
    <cellStyle name="Normal 6 2 2 4 6 2 3" xfId="41933"/>
    <cellStyle name="Normal 6 2 2 4 6 3" xfId="19369"/>
    <cellStyle name="Normal 6 2 2 4 6 4" xfId="34412"/>
    <cellStyle name="Normal 6 2 2 4 7" xfId="8085"/>
    <cellStyle name="Normal 6 2 2 4 7 2" xfId="23129"/>
    <cellStyle name="Normal 6 2 2 4 7 3" xfId="38172"/>
    <cellStyle name="Normal 6 2 2 4 8" xfId="15608"/>
    <cellStyle name="Normal 6 2 2 4 9" xfId="30651"/>
    <cellStyle name="Normal 6 2 2 5" xfId="432"/>
    <cellStyle name="Normal 6 2 2 5 2" xfId="433"/>
    <cellStyle name="Normal 6 2 2 5 2 2" xfId="952"/>
    <cellStyle name="Normal 6 2 2 5 2 2 2" xfId="1911"/>
    <cellStyle name="Normal 6 2 2 5 2 2 2 2" xfId="3782"/>
    <cellStyle name="Normal 6 2 2 5 2 2 2 2 2" xfId="7577"/>
    <cellStyle name="Normal 6 2 2 5 2 2 2 2 2 2" xfId="15100"/>
    <cellStyle name="Normal 6 2 2 5 2 2 2 2 2 2 2" xfId="30144"/>
    <cellStyle name="Normal 6 2 2 5 2 2 2 2 2 2 3" xfId="45187"/>
    <cellStyle name="Normal 6 2 2 5 2 2 2 2 2 3" xfId="22623"/>
    <cellStyle name="Normal 6 2 2 5 2 2 2 2 2 4" xfId="37666"/>
    <cellStyle name="Normal 6 2 2 5 2 2 2 2 3" xfId="11351"/>
    <cellStyle name="Normal 6 2 2 5 2 2 2 2 3 2" xfId="26395"/>
    <cellStyle name="Normal 6 2 2 5 2 2 2 2 3 3" xfId="41438"/>
    <cellStyle name="Normal 6 2 2 5 2 2 2 2 4" xfId="18874"/>
    <cellStyle name="Normal 6 2 2 5 2 2 2 2 5" xfId="33917"/>
    <cellStyle name="Normal 6 2 2 5 2 2 2 3" xfId="5712"/>
    <cellStyle name="Normal 6 2 2 5 2 2 2 3 2" xfId="13235"/>
    <cellStyle name="Normal 6 2 2 5 2 2 2 3 2 2" xfId="28279"/>
    <cellStyle name="Normal 6 2 2 5 2 2 2 3 2 3" xfId="43322"/>
    <cellStyle name="Normal 6 2 2 5 2 2 2 3 3" xfId="20758"/>
    <cellStyle name="Normal 6 2 2 5 2 2 2 3 4" xfId="35801"/>
    <cellStyle name="Normal 6 2 2 5 2 2 2 4" xfId="9486"/>
    <cellStyle name="Normal 6 2 2 5 2 2 2 4 2" xfId="24530"/>
    <cellStyle name="Normal 6 2 2 5 2 2 2 4 3" xfId="39573"/>
    <cellStyle name="Normal 6 2 2 5 2 2 2 5" xfId="17009"/>
    <cellStyle name="Normal 6 2 2 5 2 2 2 6" xfId="32052"/>
    <cellStyle name="Normal 6 2 2 5 2 2 3" xfId="2850"/>
    <cellStyle name="Normal 6 2 2 5 2 2 3 2" xfId="6645"/>
    <cellStyle name="Normal 6 2 2 5 2 2 3 2 2" xfId="14168"/>
    <cellStyle name="Normal 6 2 2 5 2 2 3 2 2 2" xfId="29212"/>
    <cellStyle name="Normal 6 2 2 5 2 2 3 2 2 3" xfId="44255"/>
    <cellStyle name="Normal 6 2 2 5 2 2 3 2 3" xfId="21691"/>
    <cellStyle name="Normal 6 2 2 5 2 2 3 2 4" xfId="36734"/>
    <cellStyle name="Normal 6 2 2 5 2 2 3 3" xfId="10419"/>
    <cellStyle name="Normal 6 2 2 5 2 2 3 3 2" xfId="25463"/>
    <cellStyle name="Normal 6 2 2 5 2 2 3 3 3" xfId="40506"/>
    <cellStyle name="Normal 6 2 2 5 2 2 3 4" xfId="17942"/>
    <cellStyle name="Normal 6 2 2 5 2 2 3 5" xfId="32985"/>
    <cellStyle name="Normal 6 2 2 5 2 2 4" xfId="4780"/>
    <cellStyle name="Normal 6 2 2 5 2 2 4 2" xfId="12303"/>
    <cellStyle name="Normal 6 2 2 5 2 2 4 2 2" xfId="27347"/>
    <cellStyle name="Normal 6 2 2 5 2 2 4 2 3" xfId="42390"/>
    <cellStyle name="Normal 6 2 2 5 2 2 4 3" xfId="19826"/>
    <cellStyle name="Normal 6 2 2 5 2 2 4 4" xfId="34869"/>
    <cellStyle name="Normal 6 2 2 5 2 2 5" xfId="8554"/>
    <cellStyle name="Normal 6 2 2 5 2 2 5 2" xfId="23598"/>
    <cellStyle name="Normal 6 2 2 5 2 2 5 3" xfId="38641"/>
    <cellStyle name="Normal 6 2 2 5 2 2 6" xfId="16077"/>
    <cellStyle name="Normal 6 2 2 5 2 2 7" xfId="31120"/>
    <cellStyle name="Normal 6 2 2 5 2 3" xfId="1459"/>
    <cellStyle name="Normal 6 2 2 5 2 3 2" xfId="3330"/>
    <cellStyle name="Normal 6 2 2 5 2 3 2 2" xfId="7125"/>
    <cellStyle name="Normal 6 2 2 5 2 3 2 2 2" xfId="14648"/>
    <cellStyle name="Normal 6 2 2 5 2 3 2 2 2 2" xfId="29692"/>
    <cellStyle name="Normal 6 2 2 5 2 3 2 2 2 3" xfId="44735"/>
    <cellStyle name="Normal 6 2 2 5 2 3 2 2 3" xfId="22171"/>
    <cellStyle name="Normal 6 2 2 5 2 3 2 2 4" xfId="37214"/>
    <cellStyle name="Normal 6 2 2 5 2 3 2 3" xfId="10899"/>
    <cellStyle name="Normal 6 2 2 5 2 3 2 3 2" xfId="25943"/>
    <cellStyle name="Normal 6 2 2 5 2 3 2 3 3" xfId="40986"/>
    <cellStyle name="Normal 6 2 2 5 2 3 2 4" xfId="18422"/>
    <cellStyle name="Normal 6 2 2 5 2 3 2 5" xfId="33465"/>
    <cellStyle name="Normal 6 2 2 5 2 3 3" xfId="5260"/>
    <cellStyle name="Normal 6 2 2 5 2 3 3 2" xfId="12783"/>
    <cellStyle name="Normal 6 2 2 5 2 3 3 2 2" xfId="27827"/>
    <cellStyle name="Normal 6 2 2 5 2 3 3 2 3" xfId="42870"/>
    <cellStyle name="Normal 6 2 2 5 2 3 3 3" xfId="20306"/>
    <cellStyle name="Normal 6 2 2 5 2 3 3 4" xfId="35349"/>
    <cellStyle name="Normal 6 2 2 5 2 3 4" xfId="9034"/>
    <cellStyle name="Normal 6 2 2 5 2 3 4 2" xfId="24078"/>
    <cellStyle name="Normal 6 2 2 5 2 3 4 3" xfId="39121"/>
    <cellStyle name="Normal 6 2 2 5 2 3 5" xfId="16557"/>
    <cellStyle name="Normal 6 2 2 5 2 3 6" xfId="31600"/>
    <cellStyle name="Normal 6 2 2 5 2 4" xfId="2397"/>
    <cellStyle name="Normal 6 2 2 5 2 4 2" xfId="6193"/>
    <cellStyle name="Normal 6 2 2 5 2 4 2 2" xfId="13716"/>
    <cellStyle name="Normal 6 2 2 5 2 4 2 2 2" xfId="28760"/>
    <cellStyle name="Normal 6 2 2 5 2 4 2 2 3" xfId="43803"/>
    <cellStyle name="Normal 6 2 2 5 2 4 2 3" xfId="21239"/>
    <cellStyle name="Normal 6 2 2 5 2 4 2 4" xfId="36282"/>
    <cellStyle name="Normal 6 2 2 5 2 4 3" xfId="9967"/>
    <cellStyle name="Normal 6 2 2 5 2 4 3 2" xfId="25011"/>
    <cellStyle name="Normal 6 2 2 5 2 4 3 3" xfId="40054"/>
    <cellStyle name="Normal 6 2 2 5 2 4 4" xfId="17490"/>
    <cellStyle name="Normal 6 2 2 5 2 4 5" xfId="32533"/>
    <cellStyle name="Normal 6 2 2 5 2 5" xfId="4325"/>
    <cellStyle name="Normal 6 2 2 5 2 5 2" xfId="11849"/>
    <cellStyle name="Normal 6 2 2 5 2 5 2 2" xfId="26893"/>
    <cellStyle name="Normal 6 2 2 5 2 5 2 3" xfId="41936"/>
    <cellStyle name="Normal 6 2 2 5 2 5 3" xfId="19372"/>
    <cellStyle name="Normal 6 2 2 5 2 5 4" xfId="34415"/>
    <cellStyle name="Normal 6 2 2 5 2 6" xfId="8088"/>
    <cellStyle name="Normal 6 2 2 5 2 6 2" xfId="23132"/>
    <cellStyle name="Normal 6 2 2 5 2 6 3" xfId="38175"/>
    <cellStyle name="Normal 6 2 2 5 2 7" xfId="15611"/>
    <cellStyle name="Normal 6 2 2 5 2 8" xfId="30654"/>
    <cellStyle name="Normal 6 2 2 5 3" xfId="951"/>
    <cellStyle name="Normal 6 2 2 5 3 2" xfId="1910"/>
    <cellStyle name="Normal 6 2 2 5 3 2 2" xfId="3781"/>
    <cellStyle name="Normal 6 2 2 5 3 2 2 2" xfId="7576"/>
    <cellStyle name="Normal 6 2 2 5 3 2 2 2 2" xfId="15099"/>
    <cellStyle name="Normal 6 2 2 5 3 2 2 2 2 2" xfId="30143"/>
    <cellStyle name="Normal 6 2 2 5 3 2 2 2 2 3" xfId="45186"/>
    <cellStyle name="Normal 6 2 2 5 3 2 2 2 3" xfId="22622"/>
    <cellStyle name="Normal 6 2 2 5 3 2 2 2 4" xfId="37665"/>
    <cellStyle name="Normal 6 2 2 5 3 2 2 3" xfId="11350"/>
    <cellStyle name="Normal 6 2 2 5 3 2 2 3 2" xfId="26394"/>
    <cellStyle name="Normal 6 2 2 5 3 2 2 3 3" xfId="41437"/>
    <cellStyle name="Normal 6 2 2 5 3 2 2 4" xfId="18873"/>
    <cellStyle name="Normal 6 2 2 5 3 2 2 5" xfId="33916"/>
    <cellStyle name="Normal 6 2 2 5 3 2 3" xfId="5711"/>
    <cellStyle name="Normal 6 2 2 5 3 2 3 2" xfId="13234"/>
    <cellStyle name="Normal 6 2 2 5 3 2 3 2 2" xfId="28278"/>
    <cellStyle name="Normal 6 2 2 5 3 2 3 2 3" xfId="43321"/>
    <cellStyle name="Normal 6 2 2 5 3 2 3 3" xfId="20757"/>
    <cellStyle name="Normal 6 2 2 5 3 2 3 4" xfId="35800"/>
    <cellStyle name="Normal 6 2 2 5 3 2 4" xfId="9485"/>
    <cellStyle name="Normal 6 2 2 5 3 2 4 2" xfId="24529"/>
    <cellStyle name="Normal 6 2 2 5 3 2 4 3" xfId="39572"/>
    <cellStyle name="Normal 6 2 2 5 3 2 5" xfId="17008"/>
    <cellStyle name="Normal 6 2 2 5 3 2 6" xfId="32051"/>
    <cellStyle name="Normal 6 2 2 5 3 3" xfId="2849"/>
    <cellStyle name="Normal 6 2 2 5 3 3 2" xfId="6644"/>
    <cellStyle name="Normal 6 2 2 5 3 3 2 2" xfId="14167"/>
    <cellStyle name="Normal 6 2 2 5 3 3 2 2 2" xfId="29211"/>
    <cellStyle name="Normal 6 2 2 5 3 3 2 2 3" xfId="44254"/>
    <cellStyle name="Normal 6 2 2 5 3 3 2 3" xfId="21690"/>
    <cellStyle name="Normal 6 2 2 5 3 3 2 4" xfId="36733"/>
    <cellStyle name="Normal 6 2 2 5 3 3 3" xfId="10418"/>
    <cellStyle name="Normal 6 2 2 5 3 3 3 2" xfId="25462"/>
    <cellStyle name="Normal 6 2 2 5 3 3 3 3" xfId="40505"/>
    <cellStyle name="Normal 6 2 2 5 3 3 4" xfId="17941"/>
    <cellStyle name="Normal 6 2 2 5 3 3 5" xfId="32984"/>
    <cellStyle name="Normal 6 2 2 5 3 4" xfId="4779"/>
    <cellStyle name="Normal 6 2 2 5 3 4 2" xfId="12302"/>
    <cellStyle name="Normal 6 2 2 5 3 4 2 2" xfId="27346"/>
    <cellStyle name="Normal 6 2 2 5 3 4 2 3" xfId="42389"/>
    <cellStyle name="Normal 6 2 2 5 3 4 3" xfId="19825"/>
    <cellStyle name="Normal 6 2 2 5 3 4 4" xfId="34868"/>
    <cellStyle name="Normal 6 2 2 5 3 5" xfId="8553"/>
    <cellStyle name="Normal 6 2 2 5 3 5 2" xfId="23597"/>
    <cellStyle name="Normal 6 2 2 5 3 5 3" xfId="38640"/>
    <cellStyle name="Normal 6 2 2 5 3 6" xfId="16076"/>
    <cellStyle name="Normal 6 2 2 5 3 7" xfId="31119"/>
    <cellStyle name="Normal 6 2 2 5 4" xfId="1458"/>
    <cellStyle name="Normal 6 2 2 5 4 2" xfId="3329"/>
    <cellStyle name="Normal 6 2 2 5 4 2 2" xfId="7124"/>
    <cellStyle name="Normal 6 2 2 5 4 2 2 2" xfId="14647"/>
    <cellStyle name="Normal 6 2 2 5 4 2 2 2 2" xfId="29691"/>
    <cellStyle name="Normal 6 2 2 5 4 2 2 2 3" xfId="44734"/>
    <cellStyle name="Normal 6 2 2 5 4 2 2 3" xfId="22170"/>
    <cellStyle name="Normal 6 2 2 5 4 2 2 4" xfId="37213"/>
    <cellStyle name="Normal 6 2 2 5 4 2 3" xfId="10898"/>
    <cellStyle name="Normal 6 2 2 5 4 2 3 2" xfId="25942"/>
    <cellStyle name="Normal 6 2 2 5 4 2 3 3" xfId="40985"/>
    <cellStyle name="Normal 6 2 2 5 4 2 4" xfId="18421"/>
    <cellStyle name="Normal 6 2 2 5 4 2 5" xfId="33464"/>
    <cellStyle name="Normal 6 2 2 5 4 3" xfId="5259"/>
    <cellStyle name="Normal 6 2 2 5 4 3 2" xfId="12782"/>
    <cellStyle name="Normal 6 2 2 5 4 3 2 2" xfId="27826"/>
    <cellStyle name="Normal 6 2 2 5 4 3 2 3" xfId="42869"/>
    <cellStyle name="Normal 6 2 2 5 4 3 3" xfId="20305"/>
    <cellStyle name="Normal 6 2 2 5 4 3 4" xfId="35348"/>
    <cellStyle name="Normal 6 2 2 5 4 4" xfId="9033"/>
    <cellStyle name="Normal 6 2 2 5 4 4 2" xfId="24077"/>
    <cellStyle name="Normal 6 2 2 5 4 4 3" xfId="39120"/>
    <cellStyle name="Normal 6 2 2 5 4 5" xfId="16556"/>
    <cellStyle name="Normal 6 2 2 5 4 6" xfId="31599"/>
    <cellStyle name="Normal 6 2 2 5 5" xfId="2396"/>
    <cellStyle name="Normal 6 2 2 5 5 2" xfId="6192"/>
    <cellStyle name="Normal 6 2 2 5 5 2 2" xfId="13715"/>
    <cellStyle name="Normal 6 2 2 5 5 2 2 2" xfId="28759"/>
    <cellStyle name="Normal 6 2 2 5 5 2 2 3" xfId="43802"/>
    <cellStyle name="Normal 6 2 2 5 5 2 3" xfId="21238"/>
    <cellStyle name="Normal 6 2 2 5 5 2 4" xfId="36281"/>
    <cellStyle name="Normal 6 2 2 5 5 3" xfId="9966"/>
    <cellStyle name="Normal 6 2 2 5 5 3 2" xfId="25010"/>
    <cellStyle name="Normal 6 2 2 5 5 3 3" xfId="40053"/>
    <cellStyle name="Normal 6 2 2 5 5 4" xfId="17489"/>
    <cellStyle name="Normal 6 2 2 5 5 5" xfId="32532"/>
    <cellStyle name="Normal 6 2 2 5 6" xfId="4324"/>
    <cellStyle name="Normal 6 2 2 5 6 2" xfId="11848"/>
    <cellStyle name="Normal 6 2 2 5 6 2 2" xfId="26892"/>
    <cellStyle name="Normal 6 2 2 5 6 2 3" xfId="41935"/>
    <cellStyle name="Normal 6 2 2 5 6 3" xfId="19371"/>
    <cellStyle name="Normal 6 2 2 5 6 4" xfId="34414"/>
    <cellStyle name="Normal 6 2 2 5 7" xfId="8087"/>
    <cellStyle name="Normal 6 2 2 5 7 2" xfId="23131"/>
    <cellStyle name="Normal 6 2 2 5 7 3" xfId="38174"/>
    <cellStyle name="Normal 6 2 2 5 8" xfId="15610"/>
    <cellStyle name="Normal 6 2 2 5 9" xfId="30653"/>
    <cellStyle name="Normal 6 2 2 6" xfId="434"/>
    <cellStyle name="Normal 6 2 2 6 2" xfId="953"/>
    <cellStyle name="Normal 6 2 2 6 2 2" xfId="1912"/>
    <cellStyle name="Normal 6 2 2 6 2 2 2" xfId="3783"/>
    <cellStyle name="Normal 6 2 2 6 2 2 2 2" xfId="7578"/>
    <cellStyle name="Normal 6 2 2 6 2 2 2 2 2" xfId="15101"/>
    <cellStyle name="Normal 6 2 2 6 2 2 2 2 2 2" xfId="30145"/>
    <cellStyle name="Normal 6 2 2 6 2 2 2 2 2 3" xfId="45188"/>
    <cellStyle name="Normal 6 2 2 6 2 2 2 2 3" xfId="22624"/>
    <cellStyle name="Normal 6 2 2 6 2 2 2 2 4" xfId="37667"/>
    <cellStyle name="Normal 6 2 2 6 2 2 2 3" xfId="11352"/>
    <cellStyle name="Normal 6 2 2 6 2 2 2 3 2" xfId="26396"/>
    <cellStyle name="Normal 6 2 2 6 2 2 2 3 3" xfId="41439"/>
    <cellStyle name="Normal 6 2 2 6 2 2 2 4" xfId="18875"/>
    <cellStyle name="Normal 6 2 2 6 2 2 2 5" xfId="33918"/>
    <cellStyle name="Normal 6 2 2 6 2 2 3" xfId="5713"/>
    <cellStyle name="Normal 6 2 2 6 2 2 3 2" xfId="13236"/>
    <cellStyle name="Normal 6 2 2 6 2 2 3 2 2" xfId="28280"/>
    <cellStyle name="Normal 6 2 2 6 2 2 3 2 3" xfId="43323"/>
    <cellStyle name="Normal 6 2 2 6 2 2 3 3" xfId="20759"/>
    <cellStyle name="Normal 6 2 2 6 2 2 3 4" xfId="35802"/>
    <cellStyle name="Normal 6 2 2 6 2 2 4" xfId="9487"/>
    <cellStyle name="Normal 6 2 2 6 2 2 4 2" xfId="24531"/>
    <cellStyle name="Normal 6 2 2 6 2 2 4 3" xfId="39574"/>
    <cellStyle name="Normal 6 2 2 6 2 2 5" xfId="17010"/>
    <cellStyle name="Normal 6 2 2 6 2 2 6" xfId="32053"/>
    <cellStyle name="Normal 6 2 2 6 2 3" xfId="2851"/>
    <cellStyle name="Normal 6 2 2 6 2 3 2" xfId="6646"/>
    <cellStyle name="Normal 6 2 2 6 2 3 2 2" xfId="14169"/>
    <cellStyle name="Normal 6 2 2 6 2 3 2 2 2" xfId="29213"/>
    <cellStyle name="Normal 6 2 2 6 2 3 2 2 3" xfId="44256"/>
    <cellStyle name="Normal 6 2 2 6 2 3 2 3" xfId="21692"/>
    <cellStyle name="Normal 6 2 2 6 2 3 2 4" xfId="36735"/>
    <cellStyle name="Normal 6 2 2 6 2 3 3" xfId="10420"/>
    <cellStyle name="Normal 6 2 2 6 2 3 3 2" xfId="25464"/>
    <cellStyle name="Normal 6 2 2 6 2 3 3 3" xfId="40507"/>
    <cellStyle name="Normal 6 2 2 6 2 3 4" xfId="17943"/>
    <cellStyle name="Normal 6 2 2 6 2 3 5" xfId="32986"/>
    <cellStyle name="Normal 6 2 2 6 2 4" xfId="4781"/>
    <cellStyle name="Normal 6 2 2 6 2 4 2" xfId="12304"/>
    <cellStyle name="Normal 6 2 2 6 2 4 2 2" xfId="27348"/>
    <cellStyle name="Normal 6 2 2 6 2 4 2 3" xfId="42391"/>
    <cellStyle name="Normal 6 2 2 6 2 4 3" xfId="19827"/>
    <cellStyle name="Normal 6 2 2 6 2 4 4" xfId="34870"/>
    <cellStyle name="Normal 6 2 2 6 2 5" xfId="8555"/>
    <cellStyle name="Normal 6 2 2 6 2 5 2" xfId="23599"/>
    <cellStyle name="Normal 6 2 2 6 2 5 3" xfId="38642"/>
    <cellStyle name="Normal 6 2 2 6 2 6" xfId="16078"/>
    <cellStyle name="Normal 6 2 2 6 2 7" xfId="31121"/>
    <cellStyle name="Normal 6 2 2 6 3" xfId="1460"/>
    <cellStyle name="Normal 6 2 2 6 3 2" xfId="3331"/>
    <cellStyle name="Normal 6 2 2 6 3 2 2" xfId="7126"/>
    <cellStyle name="Normal 6 2 2 6 3 2 2 2" xfId="14649"/>
    <cellStyle name="Normal 6 2 2 6 3 2 2 2 2" xfId="29693"/>
    <cellStyle name="Normal 6 2 2 6 3 2 2 2 3" xfId="44736"/>
    <cellStyle name="Normal 6 2 2 6 3 2 2 3" xfId="22172"/>
    <cellStyle name="Normal 6 2 2 6 3 2 2 4" xfId="37215"/>
    <cellStyle name="Normal 6 2 2 6 3 2 3" xfId="10900"/>
    <cellStyle name="Normal 6 2 2 6 3 2 3 2" xfId="25944"/>
    <cellStyle name="Normal 6 2 2 6 3 2 3 3" xfId="40987"/>
    <cellStyle name="Normal 6 2 2 6 3 2 4" xfId="18423"/>
    <cellStyle name="Normal 6 2 2 6 3 2 5" xfId="33466"/>
    <cellStyle name="Normal 6 2 2 6 3 3" xfId="5261"/>
    <cellStyle name="Normal 6 2 2 6 3 3 2" xfId="12784"/>
    <cellStyle name="Normal 6 2 2 6 3 3 2 2" xfId="27828"/>
    <cellStyle name="Normal 6 2 2 6 3 3 2 3" xfId="42871"/>
    <cellStyle name="Normal 6 2 2 6 3 3 3" xfId="20307"/>
    <cellStyle name="Normal 6 2 2 6 3 3 4" xfId="35350"/>
    <cellStyle name="Normal 6 2 2 6 3 4" xfId="9035"/>
    <cellStyle name="Normal 6 2 2 6 3 4 2" xfId="24079"/>
    <cellStyle name="Normal 6 2 2 6 3 4 3" xfId="39122"/>
    <cellStyle name="Normal 6 2 2 6 3 5" xfId="16558"/>
    <cellStyle name="Normal 6 2 2 6 3 6" xfId="31601"/>
    <cellStyle name="Normal 6 2 2 6 4" xfId="2398"/>
    <cellStyle name="Normal 6 2 2 6 4 2" xfId="6194"/>
    <cellStyle name="Normal 6 2 2 6 4 2 2" xfId="13717"/>
    <cellStyle name="Normal 6 2 2 6 4 2 2 2" xfId="28761"/>
    <cellStyle name="Normal 6 2 2 6 4 2 2 3" xfId="43804"/>
    <cellStyle name="Normal 6 2 2 6 4 2 3" xfId="21240"/>
    <cellStyle name="Normal 6 2 2 6 4 2 4" xfId="36283"/>
    <cellStyle name="Normal 6 2 2 6 4 3" xfId="9968"/>
    <cellStyle name="Normal 6 2 2 6 4 3 2" xfId="25012"/>
    <cellStyle name="Normal 6 2 2 6 4 3 3" xfId="40055"/>
    <cellStyle name="Normal 6 2 2 6 4 4" xfId="17491"/>
    <cellStyle name="Normal 6 2 2 6 4 5" xfId="32534"/>
    <cellStyle name="Normal 6 2 2 6 5" xfId="4326"/>
    <cellStyle name="Normal 6 2 2 6 5 2" xfId="11850"/>
    <cellStyle name="Normal 6 2 2 6 5 2 2" xfId="26894"/>
    <cellStyle name="Normal 6 2 2 6 5 2 3" xfId="41937"/>
    <cellStyle name="Normal 6 2 2 6 5 3" xfId="19373"/>
    <cellStyle name="Normal 6 2 2 6 5 4" xfId="34416"/>
    <cellStyle name="Normal 6 2 2 6 6" xfId="8089"/>
    <cellStyle name="Normal 6 2 2 6 6 2" xfId="23133"/>
    <cellStyle name="Normal 6 2 2 6 6 3" xfId="38176"/>
    <cellStyle name="Normal 6 2 2 6 7" xfId="15612"/>
    <cellStyle name="Normal 6 2 2 6 8" xfId="30655"/>
    <cellStyle name="Normal 6 2 2 7" xfId="932"/>
    <cellStyle name="Normal 6 2 2 7 2" xfId="1891"/>
    <cellStyle name="Normal 6 2 2 7 2 2" xfId="3762"/>
    <cellStyle name="Normal 6 2 2 7 2 2 2" xfId="7557"/>
    <cellStyle name="Normal 6 2 2 7 2 2 2 2" xfId="15080"/>
    <cellStyle name="Normal 6 2 2 7 2 2 2 2 2" xfId="30124"/>
    <cellStyle name="Normal 6 2 2 7 2 2 2 2 3" xfId="45167"/>
    <cellStyle name="Normal 6 2 2 7 2 2 2 3" xfId="22603"/>
    <cellStyle name="Normal 6 2 2 7 2 2 2 4" xfId="37646"/>
    <cellStyle name="Normal 6 2 2 7 2 2 3" xfId="11331"/>
    <cellStyle name="Normal 6 2 2 7 2 2 3 2" xfId="26375"/>
    <cellStyle name="Normal 6 2 2 7 2 2 3 3" xfId="41418"/>
    <cellStyle name="Normal 6 2 2 7 2 2 4" xfId="18854"/>
    <cellStyle name="Normal 6 2 2 7 2 2 5" xfId="33897"/>
    <cellStyle name="Normal 6 2 2 7 2 3" xfId="5692"/>
    <cellStyle name="Normal 6 2 2 7 2 3 2" xfId="13215"/>
    <cellStyle name="Normal 6 2 2 7 2 3 2 2" xfId="28259"/>
    <cellStyle name="Normal 6 2 2 7 2 3 2 3" xfId="43302"/>
    <cellStyle name="Normal 6 2 2 7 2 3 3" xfId="20738"/>
    <cellStyle name="Normal 6 2 2 7 2 3 4" xfId="35781"/>
    <cellStyle name="Normal 6 2 2 7 2 4" xfId="9466"/>
    <cellStyle name="Normal 6 2 2 7 2 4 2" xfId="24510"/>
    <cellStyle name="Normal 6 2 2 7 2 4 3" xfId="39553"/>
    <cellStyle name="Normal 6 2 2 7 2 5" xfId="16989"/>
    <cellStyle name="Normal 6 2 2 7 2 6" xfId="32032"/>
    <cellStyle name="Normal 6 2 2 7 3" xfId="2830"/>
    <cellStyle name="Normal 6 2 2 7 3 2" xfId="6625"/>
    <cellStyle name="Normal 6 2 2 7 3 2 2" xfId="14148"/>
    <cellStyle name="Normal 6 2 2 7 3 2 2 2" xfId="29192"/>
    <cellStyle name="Normal 6 2 2 7 3 2 2 3" xfId="44235"/>
    <cellStyle name="Normal 6 2 2 7 3 2 3" xfId="21671"/>
    <cellStyle name="Normal 6 2 2 7 3 2 4" xfId="36714"/>
    <cellStyle name="Normal 6 2 2 7 3 3" xfId="10399"/>
    <cellStyle name="Normal 6 2 2 7 3 3 2" xfId="25443"/>
    <cellStyle name="Normal 6 2 2 7 3 3 3" xfId="40486"/>
    <cellStyle name="Normal 6 2 2 7 3 4" xfId="17922"/>
    <cellStyle name="Normal 6 2 2 7 3 5" xfId="32965"/>
    <cellStyle name="Normal 6 2 2 7 4" xfId="4760"/>
    <cellStyle name="Normal 6 2 2 7 4 2" xfId="12283"/>
    <cellStyle name="Normal 6 2 2 7 4 2 2" xfId="27327"/>
    <cellStyle name="Normal 6 2 2 7 4 2 3" xfId="42370"/>
    <cellStyle name="Normal 6 2 2 7 4 3" xfId="19806"/>
    <cellStyle name="Normal 6 2 2 7 4 4" xfId="34849"/>
    <cellStyle name="Normal 6 2 2 7 5" xfId="8534"/>
    <cellStyle name="Normal 6 2 2 7 5 2" xfId="23578"/>
    <cellStyle name="Normal 6 2 2 7 5 3" xfId="38621"/>
    <cellStyle name="Normal 6 2 2 7 6" xfId="16057"/>
    <cellStyle name="Normal 6 2 2 7 7" xfId="31100"/>
    <cellStyle name="Normal 6 2 2 8" xfId="1439"/>
    <cellStyle name="Normal 6 2 2 8 2" xfId="3310"/>
    <cellStyle name="Normal 6 2 2 8 2 2" xfId="7105"/>
    <cellStyle name="Normal 6 2 2 8 2 2 2" xfId="14628"/>
    <cellStyle name="Normal 6 2 2 8 2 2 2 2" xfId="29672"/>
    <cellStyle name="Normal 6 2 2 8 2 2 2 3" xfId="44715"/>
    <cellStyle name="Normal 6 2 2 8 2 2 3" xfId="22151"/>
    <cellStyle name="Normal 6 2 2 8 2 2 4" xfId="37194"/>
    <cellStyle name="Normal 6 2 2 8 2 3" xfId="10879"/>
    <cellStyle name="Normal 6 2 2 8 2 3 2" xfId="25923"/>
    <cellStyle name="Normal 6 2 2 8 2 3 3" xfId="40966"/>
    <cellStyle name="Normal 6 2 2 8 2 4" xfId="18402"/>
    <cellStyle name="Normal 6 2 2 8 2 5" xfId="33445"/>
    <cellStyle name="Normal 6 2 2 8 3" xfId="5240"/>
    <cellStyle name="Normal 6 2 2 8 3 2" xfId="12763"/>
    <cellStyle name="Normal 6 2 2 8 3 2 2" xfId="27807"/>
    <cellStyle name="Normal 6 2 2 8 3 2 3" xfId="42850"/>
    <cellStyle name="Normal 6 2 2 8 3 3" xfId="20286"/>
    <cellStyle name="Normal 6 2 2 8 3 4" xfId="35329"/>
    <cellStyle name="Normal 6 2 2 8 4" xfId="9014"/>
    <cellStyle name="Normal 6 2 2 8 4 2" xfId="24058"/>
    <cellStyle name="Normal 6 2 2 8 4 3" xfId="39101"/>
    <cellStyle name="Normal 6 2 2 8 5" xfId="16537"/>
    <cellStyle name="Normal 6 2 2 8 6" xfId="31580"/>
    <cellStyle name="Normal 6 2 2 9" xfId="2377"/>
    <cellStyle name="Normal 6 2 2 9 2" xfId="6173"/>
    <cellStyle name="Normal 6 2 2 9 2 2" xfId="13696"/>
    <cellStyle name="Normal 6 2 2 9 2 2 2" xfId="28740"/>
    <cellStyle name="Normal 6 2 2 9 2 2 3" xfId="43783"/>
    <cellStyle name="Normal 6 2 2 9 2 3" xfId="21219"/>
    <cellStyle name="Normal 6 2 2 9 2 4" xfId="36262"/>
    <cellStyle name="Normal 6 2 2 9 3" xfId="9947"/>
    <cellStyle name="Normal 6 2 2 9 3 2" xfId="24991"/>
    <cellStyle name="Normal 6 2 2 9 3 3" xfId="40034"/>
    <cellStyle name="Normal 6 2 2 9 4" xfId="17470"/>
    <cellStyle name="Normal 6 2 2 9 5" xfId="32513"/>
    <cellStyle name="Normal 6 2 3" xfId="435"/>
    <cellStyle name="Normal 6 2 3 10" xfId="8090"/>
    <cellStyle name="Normal 6 2 3 10 2" xfId="23134"/>
    <cellStyle name="Normal 6 2 3 10 3" xfId="38177"/>
    <cellStyle name="Normal 6 2 3 11" xfId="15613"/>
    <cellStyle name="Normal 6 2 3 12" xfId="30656"/>
    <cellStyle name="Normal 6 2 3 2" xfId="436"/>
    <cellStyle name="Normal 6 2 3 2 10" xfId="30657"/>
    <cellStyle name="Normal 6 2 3 2 2" xfId="437"/>
    <cellStyle name="Normal 6 2 3 2 2 2" xfId="438"/>
    <cellStyle name="Normal 6 2 3 2 2 2 2" xfId="957"/>
    <cellStyle name="Normal 6 2 3 2 2 2 2 2" xfId="1916"/>
    <cellStyle name="Normal 6 2 3 2 2 2 2 2 2" xfId="3787"/>
    <cellStyle name="Normal 6 2 3 2 2 2 2 2 2 2" xfId="7582"/>
    <cellStyle name="Normal 6 2 3 2 2 2 2 2 2 2 2" xfId="15105"/>
    <cellStyle name="Normal 6 2 3 2 2 2 2 2 2 2 2 2" xfId="30149"/>
    <cellStyle name="Normal 6 2 3 2 2 2 2 2 2 2 2 3" xfId="45192"/>
    <cellStyle name="Normal 6 2 3 2 2 2 2 2 2 2 3" xfId="22628"/>
    <cellStyle name="Normal 6 2 3 2 2 2 2 2 2 2 4" xfId="37671"/>
    <cellStyle name="Normal 6 2 3 2 2 2 2 2 2 3" xfId="11356"/>
    <cellStyle name="Normal 6 2 3 2 2 2 2 2 2 3 2" xfId="26400"/>
    <cellStyle name="Normal 6 2 3 2 2 2 2 2 2 3 3" xfId="41443"/>
    <cellStyle name="Normal 6 2 3 2 2 2 2 2 2 4" xfId="18879"/>
    <cellStyle name="Normal 6 2 3 2 2 2 2 2 2 5" xfId="33922"/>
    <cellStyle name="Normal 6 2 3 2 2 2 2 2 3" xfId="5717"/>
    <cellStyle name="Normal 6 2 3 2 2 2 2 2 3 2" xfId="13240"/>
    <cellStyle name="Normal 6 2 3 2 2 2 2 2 3 2 2" xfId="28284"/>
    <cellStyle name="Normal 6 2 3 2 2 2 2 2 3 2 3" xfId="43327"/>
    <cellStyle name="Normal 6 2 3 2 2 2 2 2 3 3" xfId="20763"/>
    <cellStyle name="Normal 6 2 3 2 2 2 2 2 3 4" xfId="35806"/>
    <cellStyle name="Normal 6 2 3 2 2 2 2 2 4" xfId="9491"/>
    <cellStyle name="Normal 6 2 3 2 2 2 2 2 4 2" xfId="24535"/>
    <cellStyle name="Normal 6 2 3 2 2 2 2 2 4 3" xfId="39578"/>
    <cellStyle name="Normal 6 2 3 2 2 2 2 2 5" xfId="17014"/>
    <cellStyle name="Normal 6 2 3 2 2 2 2 2 6" xfId="32057"/>
    <cellStyle name="Normal 6 2 3 2 2 2 2 3" xfId="2855"/>
    <cellStyle name="Normal 6 2 3 2 2 2 2 3 2" xfId="6650"/>
    <cellStyle name="Normal 6 2 3 2 2 2 2 3 2 2" xfId="14173"/>
    <cellStyle name="Normal 6 2 3 2 2 2 2 3 2 2 2" xfId="29217"/>
    <cellStyle name="Normal 6 2 3 2 2 2 2 3 2 2 3" xfId="44260"/>
    <cellStyle name="Normal 6 2 3 2 2 2 2 3 2 3" xfId="21696"/>
    <cellStyle name="Normal 6 2 3 2 2 2 2 3 2 4" xfId="36739"/>
    <cellStyle name="Normal 6 2 3 2 2 2 2 3 3" xfId="10424"/>
    <cellStyle name="Normal 6 2 3 2 2 2 2 3 3 2" xfId="25468"/>
    <cellStyle name="Normal 6 2 3 2 2 2 2 3 3 3" xfId="40511"/>
    <cellStyle name="Normal 6 2 3 2 2 2 2 3 4" xfId="17947"/>
    <cellStyle name="Normal 6 2 3 2 2 2 2 3 5" xfId="32990"/>
    <cellStyle name="Normal 6 2 3 2 2 2 2 4" xfId="4785"/>
    <cellStyle name="Normal 6 2 3 2 2 2 2 4 2" xfId="12308"/>
    <cellStyle name="Normal 6 2 3 2 2 2 2 4 2 2" xfId="27352"/>
    <cellStyle name="Normal 6 2 3 2 2 2 2 4 2 3" xfId="42395"/>
    <cellStyle name="Normal 6 2 3 2 2 2 2 4 3" xfId="19831"/>
    <cellStyle name="Normal 6 2 3 2 2 2 2 4 4" xfId="34874"/>
    <cellStyle name="Normal 6 2 3 2 2 2 2 5" xfId="8559"/>
    <cellStyle name="Normal 6 2 3 2 2 2 2 5 2" xfId="23603"/>
    <cellStyle name="Normal 6 2 3 2 2 2 2 5 3" xfId="38646"/>
    <cellStyle name="Normal 6 2 3 2 2 2 2 6" xfId="16082"/>
    <cellStyle name="Normal 6 2 3 2 2 2 2 7" xfId="31125"/>
    <cellStyle name="Normal 6 2 3 2 2 2 3" xfId="1464"/>
    <cellStyle name="Normal 6 2 3 2 2 2 3 2" xfId="3335"/>
    <cellStyle name="Normal 6 2 3 2 2 2 3 2 2" xfId="7130"/>
    <cellStyle name="Normal 6 2 3 2 2 2 3 2 2 2" xfId="14653"/>
    <cellStyle name="Normal 6 2 3 2 2 2 3 2 2 2 2" xfId="29697"/>
    <cellStyle name="Normal 6 2 3 2 2 2 3 2 2 2 3" xfId="44740"/>
    <cellStyle name="Normal 6 2 3 2 2 2 3 2 2 3" xfId="22176"/>
    <cellStyle name="Normal 6 2 3 2 2 2 3 2 2 4" xfId="37219"/>
    <cellStyle name="Normal 6 2 3 2 2 2 3 2 3" xfId="10904"/>
    <cellStyle name="Normal 6 2 3 2 2 2 3 2 3 2" xfId="25948"/>
    <cellStyle name="Normal 6 2 3 2 2 2 3 2 3 3" xfId="40991"/>
    <cellStyle name="Normal 6 2 3 2 2 2 3 2 4" xfId="18427"/>
    <cellStyle name="Normal 6 2 3 2 2 2 3 2 5" xfId="33470"/>
    <cellStyle name="Normal 6 2 3 2 2 2 3 3" xfId="5265"/>
    <cellStyle name="Normal 6 2 3 2 2 2 3 3 2" xfId="12788"/>
    <cellStyle name="Normal 6 2 3 2 2 2 3 3 2 2" xfId="27832"/>
    <cellStyle name="Normal 6 2 3 2 2 2 3 3 2 3" xfId="42875"/>
    <cellStyle name="Normal 6 2 3 2 2 2 3 3 3" xfId="20311"/>
    <cellStyle name="Normal 6 2 3 2 2 2 3 3 4" xfId="35354"/>
    <cellStyle name="Normal 6 2 3 2 2 2 3 4" xfId="9039"/>
    <cellStyle name="Normal 6 2 3 2 2 2 3 4 2" xfId="24083"/>
    <cellStyle name="Normal 6 2 3 2 2 2 3 4 3" xfId="39126"/>
    <cellStyle name="Normal 6 2 3 2 2 2 3 5" xfId="16562"/>
    <cellStyle name="Normal 6 2 3 2 2 2 3 6" xfId="31605"/>
    <cellStyle name="Normal 6 2 3 2 2 2 4" xfId="2402"/>
    <cellStyle name="Normal 6 2 3 2 2 2 4 2" xfId="6198"/>
    <cellStyle name="Normal 6 2 3 2 2 2 4 2 2" xfId="13721"/>
    <cellStyle name="Normal 6 2 3 2 2 2 4 2 2 2" xfId="28765"/>
    <cellStyle name="Normal 6 2 3 2 2 2 4 2 2 3" xfId="43808"/>
    <cellStyle name="Normal 6 2 3 2 2 2 4 2 3" xfId="21244"/>
    <cellStyle name="Normal 6 2 3 2 2 2 4 2 4" xfId="36287"/>
    <cellStyle name="Normal 6 2 3 2 2 2 4 3" xfId="9972"/>
    <cellStyle name="Normal 6 2 3 2 2 2 4 3 2" xfId="25016"/>
    <cellStyle name="Normal 6 2 3 2 2 2 4 3 3" xfId="40059"/>
    <cellStyle name="Normal 6 2 3 2 2 2 4 4" xfId="17495"/>
    <cellStyle name="Normal 6 2 3 2 2 2 4 5" xfId="32538"/>
    <cellStyle name="Normal 6 2 3 2 2 2 5" xfId="4330"/>
    <cellStyle name="Normal 6 2 3 2 2 2 5 2" xfId="11854"/>
    <cellStyle name="Normal 6 2 3 2 2 2 5 2 2" xfId="26898"/>
    <cellStyle name="Normal 6 2 3 2 2 2 5 2 3" xfId="41941"/>
    <cellStyle name="Normal 6 2 3 2 2 2 5 3" xfId="19377"/>
    <cellStyle name="Normal 6 2 3 2 2 2 5 4" xfId="34420"/>
    <cellStyle name="Normal 6 2 3 2 2 2 6" xfId="8093"/>
    <cellStyle name="Normal 6 2 3 2 2 2 6 2" xfId="23137"/>
    <cellStyle name="Normal 6 2 3 2 2 2 6 3" xfId="38180"/>
    <cellStyle name="Normal 6 2 3 2 2 2 7" xfId="15616"/>
    <cellStyle name="Normal 6 2 3 2 2 2 8" xfId="30659"/>
    <cellStyle name="Normal 6 2 3 2 2 3" xfId="956"/>
    <cellStyle name="Normal 6 2 3 2 2 3 2" xfId="1915"/>
    <cellStyle name="Normal 6 2 3 2 2 3 2 2" xfId="3786"/>
    <cellStyle name="Normal 6 2 3 2 2 3 2 2 2" xfId="7581"/>
    <cellStyle name="Normal 6 2 3 2 2 3 2 2 2 2" xfId="15104"/>
    <cellStyle name="Normal 6 2 3 2 2 3 2 2 2 2 2" xfId="30148"/>
    <cellStyle name="Normal 6 2 3 2 2 3 2 2 2 2 3" xfId="45191"/>
    <cellStyle name="Normal 6 2 3 2 2 3 2 2 2 3" xfId="22627"/>
    <cellStyle name="Normal 6 2 3 2 2 3 2 2 2 4" xfId="37670"/>
    <cellStyle name="Normal 6 2 3 2 2 3 2 2 3" xfId="11355"/>
    <cellStyle name="Normal 6 2 3 2 2 3 2 2 3 2" xfId="26399"/>
    <cellStyle name="Normal 6 2 3 2 2 3 2 2 3 3" xfId="41442"/>
    <cellStyle name="Normal 6 2 3 2 2 3 2 2 4" xfId="18878"/>
    <cellStyle name="Normal 6 2 3 2 2 3 2 2 5" xfId="33921"/>
    <cellStyle name="Normal 6 2 3 2 2 3 2 3" xfId="5716"/>
    <cellStyle name="Normal 6 2 3 2 2 3 2 3 2" xfId="13239"/>
    <cellStyle name="Normal 6 2 3 2 2 3 2 3 2 2" xfId="28283"/>
    <cellStyle name="Normal 6 2 3 2 2 3 2 3 2 3" xfId="43326"/>
    <cellStyle name="Normal 6 2 3 2 2 3 2 3 3" xfId="20762"/>
    <cellStyle name="Normal 6 2 3 2 2 3 2 3 4" xfId="35805"/>
    <cellStyle name="Normal 6 2 3 2 2 3 2 4" xfId="9490"/>
    <cellStyle name="Normal 6 2 3 2 2 3 2 4 2" xfId="24534"/>
    <cellStyle name="Normal 6 2 3 2 2 3 2 4 3" xfId="39577"/>
    <cellStyle name="Normal 6 2 3 2 2 3 2 5" xfId="17013"/>
    <cellStyle name="Normal 6 2 3 2 2 3 2 6" xfId="32056"/>
    <cellStyle name="Normal 6 2 3 2 2 3 3" xfId="2854"/>
    <cellStyle name="Normal 6 2 3 2 2 3 3 2" xfId="6649"/>
    <cellStyle name="Normal 6 2 3 2 2 3 3 2 2" xfId="14172"/>
    <cellStyle name="Normal 6 2 3 2 2 3 3 2 2 2" xfId="29216"/>
    <cellStyle name="Normal 6 2 3 2 2 3 3 2 2 3" xfId="44259"/>
    <cellStyle name="Normal 6 2 3 2 2 3 3 2 3" xfId="21695"/>
    <cellStyle name="Normal 6 2 3 2 2 3 3 2 4" xfId="36738"/>
    <cellStyle name="Normal 6 2 3 2 2 3 3 3" xfId="10423"/>
    <cellStyle name="Normal 6 2 3 2 2 3 3 3 2" xfId="25467"/>
    <cellStyle name="Normal 6 2 3 2 2 3 3 3 3" xfId="40510"/>
    <cellStyle name="Normal 6 2 3 2 2 3 3 4" xfId="17946"/>
    <cellStyle name="Normal 6 2 3 2 2 3 3 5" xfId="32989"/>
    <cellStyle name="Normal 6 2 3 2 2 3 4" xfId="4784"/>
    <cellStyle name="Normal 6 2 3 2 2 3 4 2" xfId="12307"/>
    <cellStyle name="Normal 6 2 3 2 2 3 4 2 2" xfId="27351"/>
    <cellStyle name="Normal 6 2 3 2 2 3 4 2 3" xfId="42394"/>
    <cellStyle name="Normal 6 2 3 2 2 3 4 3" xfId="19830"/>
    <cellStyle name="Normal 6 2 3 2 2 3 4 4" xfId="34873"/>
    <cellStyle name="Normal 6 2 3 2 2 3 5" xfId="8558"/>
    <cellStyle name="Normal 6 2 3 2 2 3 5 2" xfId="23602"/>
    <cellStyle name="Normal 6 2 3 2 2 3 5 3" xfId="38645"/>
    <cellStyle name="Normal 6 2 3 2 2 3 6" xfId="16081"/>
    <cellStyle name="Normal 6 2 3 2 2 3 7" xfId="31124"/>
    <cellStyle name="Normal 6 2 3 2 2 4" xfId="1463"/>
    <cellStyle name="Normal 6 2 3 2 2 4 2" xfId="3334"/>
    <cellStyle name="Normal 6 2 3 2 2 4 2 2" xfId="7129"/>
    <cellStyle name="Normal 6 2 3 2 2 4 2 2 2" xfId="14652"/>
    <cellStyle name="Normal 6 2 3 2 2 4 2 2 2 2" xfId="29696"/>
    <cellStyle name="Normal 6 2 3 2 2 4 2 2 2 3" xfId="44739"/>
    <cellStyle name="Normal 6 2 3 2 2 4 2 2 3" xfId="22175"/>
    <cellStyle name="Normal 6 2 3 2 2 4 2 2 4" xfId="37218"/>
    <cellStyle name="Normal 6 2 3 2 2 4 2 3" xfId="10903"/>
    <cellStyle name="Normal 6 2 3 2 2 4 2 3 2" xfId="25947"/>
    <cellStyle name="Normal 6 2 3 2 2 4 2 3 3" xfId="40990"/>
    <cellStyle name="Normal 6 2 3 2 2 4 2 4" xfId="18426"/>
    <cellStyle name="Normal 6 2 3 2 2 4 2 5" xfId="33469"/>
    <cellStyle name="Normal 6 2 3 2 2 4 3" xfId="5264"/>
    <cellStyle name="Normal 6 2 3 2 2 4 3 2" xfId="12787"/>
    <cellStyle name="Normal 6 2 3 2 2 4 3 2 2" xfId="27831"/>
    <cellStyle name="Normal 6 2 3 2 2 4 3 2 3" xfId="42874"/>
    <cellStyle name="Normal 6 2 3 2 2 4 3 3" xfId="20310"/>
    <cellStyle name="Normal 6 2 3 2 2 4 3 4" xfId="35353"/>
    <cellStyle name="Normal 6 2 3 2 2 4 4" xfId="9038"/>
    <cellStyle name="Normal 6 2 3 2 2 4 4 2" xfId="24082"/>
    <cellStyle name="Normal 6 2 3 2 2 4 4 3" xfId="39125"/>
    <cellStyle name="Normal 6 2 3 2 2 4 5" xfId="16561"/>
    <cellStyle name="Normal 6 2 3 2 2 4 6" xfId="31604"/>
    <cellStyle name="Normal 6 2 3 2 2 5" xfId="2401"/>
    <cellStyle name="Normal 6 2 3 2 2 5 2" xfId="6197"/>
    <cellStyle name="Normal 6 2 3 2 2 5 2 2" xfId="13720"/>
    <cellStyle name="Normal 6 2 3 2 2 5 2 2 2" xfId="28764"/>
    <cellStyle name="Normal 6 2 3 2 2 5 2 2 3" xfId="43807"/>
    <cellStyle name="Normal 6 2 3 2 2 5 2 3" xfId="21243"/>
    <cellStyle name="Normal 6 2 3 2 2 5 2 4" xfId="36286"/>
    <cellStyle name="Normal 6 2 3 2 2 5 3" xfId="9971"/>
    <cellStyle name="Normal 6 2 3 2 2 5 3 2" xfId="25015"/>
    <cellStyle name="Normal 6 2 3 2 2 5 3 3" xfId="40058"/>
    <cellStyle name="Normal 6 2 3 2 2 5 4" xfId="17494"/>
    <cellStyle name="Normal 6 2 3 2 2 5 5" xfId="32537"/>
    <cellStyle name="Normal 6 2 3 2 2 6" xfId="4329"/>
    <cellStyle name="Normal 6 2 3 2 2 6 2" xfId="11853"/>
    <cellStyle name="Normal 6 2 3 2 2 6 2 2" xfId="26897"/>
    <cellStyle name="Normal 6 2 3 2 2 6 2 3" xfId="41940"/>
    <cellStyle name="Normal 6 2 3 2 2 6 3" xfId="19376"/>
    <cellStyle name="Normal 6 2 3 2 2 6 4" xfId="34419"/>
    <cellStyle name="Normal 6 2 3 2 2 7" xfId="8092"/>
    <cellStyle name="Normal 6 2 3 2 2 7 2" xfId="23136"/>
    <cellStyle name="Normal 6 2 3 2 2 7 3" xfId="38179"/>
    <cellStyle name="Normal 6 2 3 2 2 8" xfId="15615"/>
    <cellStyle name="Normal 6 2 3 2 2 9" xfId="30658"/>
    <cellStyle name="Normal 6 2 3 2 3" xfId="439"/>
    <cellStyle name="Normal 6 2 3 2 3 2" xfId="958"/>
    <cellStyle name="Normal 6 2 3 2 3 2 2" xfId="1917"/>
    <cellStyle name="Normal 6 2 3 2 3 2 2 2" xfId="3788"/>
    <cellStyle name="Normal 6 2 3 2 3 2 2 2 2" xfId="7583"/>
    <cellStyle name="Normal 6 2 3 2 3 2 2 2 2 2" xfId="15106"/>
    <cellStyle name="Normal 6 2 3 2 3 2 2 2 2 2 2" xfId="30150"/>
    <cellStyle name="Normal 6 2 3 2 3 2 2 2 2 2 3" xfId="45193"/>
    <cellStyle name="Normal 6 2 3 2 3 2 2 2 2 3" xfId="22629"/>
    <cellStyle name="Normal 6 2 3 2 3 2 2 2 2 4" xfId="37672"/>
    <cellStyle name="Normal 6 2 3 2 3 2 2 2 3" xfId="11357"/>
    <cellStyle name="Normal 6 2 3 2 3 2 2 2 3 2" xfId="26401"/>
    <cellStyle name="Normal 6 2 3 2 3 2 2 2 3 3" xfId="41444"/>
    <cellStyle name="Normal 6 2 3 2 3 2 2 2 4" xfId="18880"/>
    <cellStyle name="Normal 6 2 3 2 3 2 2 2 5" xfId="33923"/>
    <cellStyle name="Normal 6 2 3 2 3 2 2 3" xfId="5718"/>
    <cellStyle name="Normal 6 2 3 2 3 2 2 3 2" xfId="13241"/>
    <cellStyle name="Normal 6 2 3 2 3 2 2 3 2 2" xfId="28285"/>
    <cellStyle name="Normal 6 2 3 2 3 2 2 3 2 3" xfId="43328"/>
    <cellStyle name="Normal 6 2 3 2 3 2 2 3 3" xfId="20764"/>
    <cellStyle name="Normal 6 2 3 2 3 2 2 3 4" xfId="35807"/>
    <cellStyle name="Normal 6 2 3 2 3 2 2 4" xfId="9492"/>
    <cellStyle name="Normal 6 2 3 2 3 2 2 4 2" xfId="24536"/>
    <cellStyle name="Normal 6 2 3 2 3 2 2 4 3" xfId="39579"/>
    <cellStyle name="Normal 6 2 3 2 3 2 2 5" xfId="17015"/>
    <cellStyle name="Normal 6 2 3 2 3 2 2 6" xfId="32058"/>
    <cellStyle name="Normal 6 2 3 2 3 2 3" xfId="2856"/>
    <cellStyle name="Normal 6 2 3 2 3 2 3 2" xfId="6651"/>
    <cellStyle name="Normal 6 2 3 2 3 2 3 2 2" xfId="14174"/>
    <cellStyle name="Normal 6 2 3 2 3 2 3 2 2 2" xfId="29218"/>
    <cellStyle name="Normal 6 2 3 2 3 2 3 2 2 3" xfId="44261"/>
    <cellStyle name="Normal 6 2 3 2 3 2 3 2 3" xfId="21697"/>
    <cellStyle name="Normal 6 2 3 2 3 2 3 2 4" xfId="36740"/>
    <cellStyle name="Normal 6 2 3 2 3 2 3 3" xfId="10425"/>
    <cellStyle name="Normal 6 2 3 2 3 2 3 3 2" xfId="25469"/>
    <cellStyle name="Normal 6 2 3 2 3 2 3 3 3" xfId="40512"/>
    <cellStyle name="Normal 6 2 3 2 3 2 3 4" xfId="17948"/>
    <cellStyle name="Normal 6 2 3 2 3 2 3 5" xfId="32991"/>
    <cellStyle name="Normal 6 2 3 2 3 2 4" xfId="4786"/>
    <cellStyle name="Normal 6 2 3 2 3 2 4 2" xfId="12309"/>
    <cellStyle name="Normal 6 2 3 2 3 2 4 2 2" xfId="27353"/>
    <cellStyle name="Normal 6 2 3 2 3 2 4 2 3" xfId="42396"/>
    <cellStyle name="Normal 6 2 3 2 3 2 4 3" xfId="19832"/>
    <cellStyle name="Normal 6 2 3 2 3 2 4 4" xfId="34875"/>
    <cellStyle name="Normal 6 2 3 2 3 2 5" xfId="8560"/>
    <cellStyle name="Normal 6 2 3 2 3 2 5 2" xfId="23604"/>
    <cellStyle name="Normal 6 2 3 2 3 2 5 3" xfId="38647"/>
    <cellStyle name="Normal 6 2 3 2 3 2 6" xfId="16083"/>
    <cellStyle name="Normal 6 2 3 2 3 2 7" xfId="31126"/>
    <cellStyle name="Normal 6 2 3 2 3 3" xfId="1465"/>
    <cellStyle name="Normal 6 2 3 2 3 3 2" xfId="3336"/>
    <cellStyle name="Normal 6 2 3 2 3 3 2 2" xfId="7131"/>
    <cellStyle name="Normal 6 2 3 2 3 3 2 2 2" xfId="14654"/>
    <cellStyle name="Normal 6 2 3 2 3 3 2 2 2 2" xfId="29698"/>
    <cellStyle name="Normal 6 2 3 2 3 3 2 2 2 3" xfId="44741"/>
    <cellStyle name="Normal 6 2 3 2 3 3 2 2 3" xfId="22177"/>
    <cellStyle name="Normal 6 2 3 2 3 3 2 2 4" xfId="37220"/>
    <cellStyle name="Normal 6 2 3 2 3 3 2 3" xfId="10905"/>
    <cellStyle name="Normal 6 2 3 2 3 3 2 3 2" xfId="25949"/>
    <cellStyle name="Normal 6 2 3 2 3 3 2 3 3" xfId="40992"/>
    <cellStyle name="Normal 6 2 3 2 3 3 2 4" xfId="18428"/>
    <cellStyle name="Normal 6 2 3 2 3 3 2 5" xfId="33471"/>
    <cellStyle name="Normal 6 2 3 2 3 3 3" xfId="5266"/>
    <cellStyle name="Normal 6 2 3 2 3 3 3 2" xfId="12789"/>
    <cellStyle name="Normal 6 2 3 2 3 3 3 2 2" xfId="27833"/>
    <cellStyle name="Normal 6 2 3 2 3 3 3 2 3" xfId="42876"/>
    <cellStyle name="Normal 6 2 3 2 3 3 3 3" xfId="20312"/>
    <cellStyle name="Normal 6 2 3 2 3 3 3 4" xfId="35355"/>
    <cellStyle name="Normal 6 2 3 2 3 3 4" xfId="9040"/>
    <cellStyle name="Normal 6 2 3 2 3 3 4 2" xfId="24084"/>
    <cellStyle name="Normal 6 2 3 2 3 3 4 3" xfId="39127"/>
    <cellStyle name="Normal 6 2 3 2 3 3 5" xfId="16563"/>
    <cellStyle name="Normal 6 2 3 2 3 3 6" xfId="31606"/>
    <cellStyle name="Normal 6 2 3 2 3 4" xfId="2403"/>
    <cellStyle name="Normal 6 2 3 2 3 4 2" xfId="6199"/>
    <cellStyle name="Normal 6 2 3 2 3 4 2 2" xfId="13722"/>
    <cellStyle name="Normal 6 2 3 2 3 4 2 2 2" xfId="28766"/>
    <cellStyle name="Normal 6 2 3 2 3 4 2 2 3" xfId="43809"/>
    <cellStyle name="Normal 6 2 3 2 3 4 2 3" xfId="21245"/>
    <cellStyle name="Normal 6 2 3 2 3 4 2 4" xfId="36288"/>
    <cellStyle name="Normal 6 2 3 2 3 4 3" xfId="9973"/>
    <cellStyle name="Normal 6 2 3 2 3 4 3 2" xfId="25017"/>
    <cellStyle name="Normal 6 2 3 2 3 4 3 3" xfId="40060"/>
    <cellStyle name="Normal 6 2 3 2 3 4 4" xfId="17496"/>
    <cellStyle name="Normal 6 2 3 2 3 4 5" xfId="32539"/>
    <cellStyle name="Normal 6 2 3 2 3 5" xfId="4331"/>
    <cellStyle name="Normal 6 2 3 2 3 5 2" xfId="11855"/>
    <cellStyle name="Normal 6 2 3 2 3 5 2 2" xfId="26899"/>
    <cellStyle name="Normal 6 2 3 2 3 5 2 3" xfId="41942"/>
    <cellStyle name="Normal 6 2 3 2 3 5 3" xfId="19378"/>
    <cellStyle name="Normal 6 2 3 2 3 5 4" xfId="34421"/>
    <cellStyle name="Normal 6 2 3 2 3 6" xfId="8094"/>
    <cellStyle name="Normal 6 2 3 2 3 6 2" xfId="23138"/>
    <cellStyle name="Normal 6 2 3 2 3 6 3" xfId="38181"/>
    <cellStyle name="Normal 6 2 3 2 3 7" xfId="15617"/>
    <cellStyle name="Normal 6 2 3 2 3 8" xfId="30660"/>
    <cellStyle name="Normal 6 2 3 2 4" xfId="955"/>
    <cellStyle name="Normal 6 2 3 2 4 2" xfId="1914"/>
    <cellStyle name="Normal 6 2 3 2 4 2 2" xfId="3785"/>
    <cellStyle name="Normal 6 2 3 2 4 2 2 2" xfId="7580"/>
    <cellStyle name="Normal 6 2 3 2 4 2 2 2 2" xfId="15103"/>
    <cellStyle name="Normal 6 2 3 2 4 2 2 2 2 2" xfId="30147"/>
    <cellStyle name="Normal 6 2 3 2 4 2 2 2 2 3" xfId="45190"/>
    <cellStyle name="Normal 6 2 3 2 4 2 2 2 3" xfId="22626"/>
    <cellStyle name="Normal 6 2 3 2 4 2 2 2 4" xfId="37669"/>
    <cellStyle name="Normal 6 2 3 2 4 2 2 3" xfId="11354"/>
    <cellStyle name="Normal 6 2 3 2 4 2 2 3 2" xfId="26398"/>
    <cellStyle name="Normal 6 2 3 2 4 2 2 3 3" xfId="41441"/>
    <cellStyle name="Normal 6 2 3 2 4 2 2 4" xfId="18877"/>
    <cellStyle name="Normal 6 2 3 2 4 2 2 5" xfId="33920"/>
    <cellStyle name="Normal 6 2 3 2 4 2 3" xfId="5715"/>
    <cellStyle name="Normal 6 2 3 2 4 2 3 2" xfId="13238"/>
    <cellStyle name="Normal 6 2 3 2 4 2 3 2 2" xfId="28282"/>
    <cellStyle name="Normal 6 2 3 2 4 2 3 2 3" xfId="43325"/>
    <cellStyle name="Normal 6 2 3 2 4 2 3 3" xfId="20761"/>
    <cellStyle name="Normal 6 2 3 2 4 2 3 4" xfId="35804"/>
    <cellStyle name="Normal 6 2 3 2 4 2 4" xfId="9489"/>
    <cellStyle name="Normal 6 2 3 2 4 2 4 2" xfId="24533"/>
    <cellStyle name="Normal 6 2 3 2 4 2 4 3" xfId="39576"/>
    <cellStyle name="Normal 6 2 3 2 4 2 5" xfId="17012"/>
    <cellStyle name="Normal 6 2 3 2 4 2 6" xfId="32055"/>
    <cellStyle name="Normal 6 2 3 2 4 3" xfId="2853"/>
    <cellStyle name="Normal 6 2 3 2 4 3 2" xfId="6648"/>
    <cellStyle name="Normal 6 2 3 2 4 3 2 2" xfId="14171"/>
    <cellStyle name="Normal 6 2 3 2 4 3 2 2 2" xfId="29215"/>
    <cellStyle name="Normal 6 2 3 2 4 3 2 2 3" xfId="44258"/>
    <cellStyle name="Normal 6 2 3 2 4 3 2 3" xfId="21694"/>
    <cellStyle name="Normal 6 2 3 2 4 3 2 4" xfId="36737"/>
    <cellStyle name="Normal 6 2 3 2 4 3 3" xfId="10422"/>
    <cellStyle name="Normal 6 2 3 2 4 3 3 2" xfId="25466"/>
    <cellStyle name="Normal 6 2 3 2 4 3 3 3" xfId="40509"/>
    <cellStyle name="Normal 6 2 3 2 4 3 4" xfId="17945"/>
    <cellStyle name="Normal 6 2 3 2 4 3 5" xfId="32988"/>
    <cellStyle name="Normal 6 2 3 2 4 4" xfId="4783"/>
    <cellStyle name="Normal 6 2 3 2 4 4 2" xfId="12306"/>
    <cellStyle name="Normal 6 2 3 2 4 4 2 2" xfId="27350"/>
    <cellStyle name="Normal 6 2 3 2 4 4 2 3" xfId="42393"/>
    <cellStyle name="Normal 6 2 3 2 4 4 3" xfId="19829"/>
    <cellStyle name="Normal 6 2 3 2 4 4 4" xfId="34872"/>
    <cellStyle name="Normal 6 2 3 2 4 5" xfId="8557"/>
    <cellStyle name="Normal 6 2 3 2 4 5 2" xfId="23601"/>
    <cellStyle name="Normal 6 2 3 2 4 5 3" xfId="38644"/>
    <cellStyle name="Normal 6 2 3 2 4 6" xfId="16080"/>
    <cellStyle name="Normal 6 2 3 2 4 7" xfId="31123"/>
    <cellStyle name="Normal 6 2 3 2 5" xfId="1462"/>
    <cellStyle name="Normal 6 2 3 2 5 2" xfId="3333"/>
    <cellStyle name="Normal 6 2 3 2 5 2 2" xfId="7128"/>
    <cellStyle name="Normal 6 2 3 2 5 2 2 2" xfId="14651"/>
    <cellStyle name="Normal 6 2 3 2 5 2 2 2 2" xfId="29695"/>
    <cellStyle name="Normal 6 2 3 2 5 2 2 2 3" xfId="44738"/>
    <cellStyle name="Normal 6 2 3 2 5 2 2 3" xfId="22174"/>
    <cellStyle name="Normal 6 2 3 2 5 2 2 4" xfId="37217"/>
    <cellStyle name="Normal 6 2 3 2 5 2 3" xfId="10902"/>
    <cellStyle name="Normal 6 2 3 2 5 2 3 2" xfId="25946"/>
    <cellStyle name="Normal 6 2 3 2 5 2 3 3" xfId="40989"/>
    <cellStyle name="Normal 6 2 3 2 5 2 4" xfId="18425"/>
    <cellStyle name="Normal 6 2 3 2 5 2 5" xfId="33468"/>
    <cellStyle name="Normal 6 2 3 2 5 3" xfId="5263"/>
    <cellStyle name="Normal 6 2 3 2 5 3 2" xfId="12786"/>
    <cellStyle name="Normal 6 2 3 2 5 3 2 2" xfId="27830"/>
    <cellStyle name="Normal 6 2 3 2 5 3 2 3" xfId="42873"/>
    <cellStyle name="Normal 6 2 3 2 5 3 3" xfId="20309"/>
    <cellStyle name="Normal 6 2 3 2 5 3 4" xfId="35352"/>
    <cellStyle name="Normal 6 2 3 2 5 4" xfId="9037"/>
    <cellStyle name="Normal 6 2 3 2 5 4 2" xfId="24081"/>
    <cellStyle name="Normal 6 2 3 2 5 4 3" xfId="39124"/>
    <cellStyle name="Normal 6 2 3 2 5 5" xfId="16560"/>
    <cellStyle name="Normal 6 2 3 2 5 6" xfId="31603"/>
    <cellStyle name="Normal 6 2 3 2 6" xfId="2400"/>
    <cellStyle name="Normal 6 2 3 2 6 2" xfId="6196"/>
    <cellStyle name="Normal 6 2 3 2 6 2 2" xfId="13719"/>
    <cellStyle name="Normal 6 2 3 2 6 2 2 2" xfId="28763"/>
    <cellStyle name="Normal 6 2 3 2 6 2 2 3" xfId="43806"/>
    <cellStyle name="Normal 6 2 3 2 6 2 3" xfId="21242"/>
    <cellStyle name="Normal 6 2 3 2 6 2 4" xfId="36285"/>
    <cellStyle name="Normal 6 2 3 2 6 3" xfId="9970"/>
    <cellStyle name="Normal 6 2 3 2 6 3 2" xfId="25014"/>
    <cellStyle name="Normal 6 2 3 2 6 3 3" xfId="40057"/>
    <cellStyle name="Normal 6 2 3 2 6 4" xfId="17493"/>
    <cellStyle name="Normal 6 2 3 2 6 5" xfId="32536"/>
    <cellStyle name="Normal 6 2 3 2 7" xfId="4328"/>
    <cellStyle name="Normal 6 2 3 2 7 2" xfId="11852"/>
    <cellStyle name="Normal 6 2 3 2 7 2 2" xfId="26896"/>
    <cellStyle name="Normal 6 2 3 2 7 2 3" xfId="41939"/>
    <cellStyle name="Normal 6 2 3 2 7 3" xfId="19375"/>
    <cellStyle name="Normal 6 2 3 2 7 4" xfId="34418"/>
    <cellStyle name="Normal 6 2 3 2 8" xfId="8091"/>
    <cellStyle name="Normal 6 2 3 2 8 2" xfId="23135"/>
    <cellStyle name="Normal 6 2 3 2 8 3" xfId="38178"/>
    <cellStyle name="Normal 6 2 3 2 9" xfId="15614"/>
    <cellStyle name="Normal 6 2 3 3" xfId="440"/>
    <cellStyle name="Normal 6 2 3 3 2" xfId="441"/>
    <cellStyle name="Normal 6 2 3 3 2 2" xfId="960"/>
    <cellStyle name="Normal 6 2 3 3 2 2 2" xfId="1919"/>
    <cellStyle name="Normal 6 2 3 3 2 2 2 2" xfId="3790"/>
    <cellStyle name="Normal 6 2 3 3 2 2 2 2 2" xfId="7585"/>
    <cellStyle name="Normal 6 2 3 3 2 2 2 2 2 2" xfId="15108"/>
    <cellStyle name="Normal 6 2 3 3 2 2 2 2 2 2 2" xfId="30152"/>
    <cellStyle name="Normal 6 2 3 3 2 2 2 2 2 2 3" xfId="45195"/>
    <cellStyle name="Normal 6 2 3 3 2 2 2 2 2 3" xfId="22631"/>
    <cellStyle name="Normal 6 2 3 3 2 2 2 2 2 4" xfId="37674"/>
    <cellStyle name="Normal 6 2 3 3 2 2 2 2 3" xfId="11359"/>
    <cellStyle name="Normal 6 2 3 3 2 2 2 2 3 2" xfId="26403"/>
    <cellStyle name="Normal 6 2 3 3 2 2 2 2 3 3" xfId="41446"/>
    <cellStyle name="Normal 6 2 3 3 2 2 2 2 4" xfId="18882"/>
    <cellStyle name="Normal 6 2 3 3 2 2 2 2 5" xfId="33925"/>
    <cellStyle name="Normal 6 2 3 3 2 2 2 3" xfId="5720"/>
    <cellStyle name="Normal 6 2 3 3 2 2 2 3 2" xfId="13243"/>
    <cellStyle name="Normal 6 2 3 3 2 2 2 3 2 2" xfId="28287"/>
    <cellStyle name="Normal 6 2 3 3 2 2 2 3 2 3" xfId="43330"/>
    <cellStyle name="Normal 6 2 3 3 2 2 2 3 3" xfId="20766"/>
    <cellStyle name="Normal 6 2 3 3 2 2 2 3 4" xfId="35809"/>
    <cellStyle name="Normal 6 2 3 3 2 2 2 4" xfId="9494"/>
    <cellStyle name="Normal 6 2 3 3 2 2 2 4 2" xfId="24538"/>
    <cellStyle name="Normal 6 2 3 3 2 2 2 4 3" xfId="39581"/>
    <cellStyle name="Normal 6 2 3 3 2 2 2 5" xfId="17017"/>
    <cellStyle name="Normal 6 2 3 3 2 2 2 6" xfId="32060"/>
    <cellStyle name="Normal 6 2 3 3 2 2 3" xfId="2858"/>
    <cellStyle name="Normal 6 2 3 3 2 2 3 2" xfId="6653"/>
    <cellStyle name="Normal 6 2 3 3 2 2 3 2 2" xfId="14176"/>
    <cellStyle name="Normal 6 2 3 3 2 2 3 2 2 2" xfId="29220"/>
    <cellStyle name="Normal 6 2 3 3 2 2 3 2 2 3" xfId="44263"/>
    <cellStyle name="Normal 6 2 3 3 2 2 3 2 3" xfId="21699"/>
    <cellStyle name="Normal 6 2 3 3 2 2 3 2 4" xfId="36742"/>
    <cellStyle name="Normal 6 2 3 3 2 2 3 3" xfId="10427"/>
    <cellStyle name="Normal 6 2 3 3 2 2 3 3 2" xfId="25471"/>
    <cellStyle name="Normal 6 2 3 3 2 2 3 3 3" xfId="40514"/>
    <cellStyle name="Normal 6 2 3 3 2 2 3 4" xfId="17950"/>
    <cellStyle name="Normal 6 2 3 3 2 2 3 5" xfId="32993"/>
    <cellStyle name="Normal 6 2 3 3 2 2 4" xfId="4788"/>
    <cellStyle name="Normal 6 2 3 3 2 2 4 2" xfId="12311"/>
    <cellStyle name="Normal 6 2 3 3 2 2 4 2 2" xfId="27355"/>
    <cellStyle name="Normal 6 2 3 3 2 2 4 2 3" xfId="42398"/>
    <cellStyle name="Normal 6 2 3 3 2 2 4 3" xfId="19834"/>
    <cellStyle name="Normal 6 2 3 3 2 2 4 4" xfId="34877"/>
    <cellStyle name="Normal 6 2 3 3 2 2 5" xfId="8562"/>
    <cellStyle name="Normal 6 2 3 3 2 2 5 2" xfId="23606"/>
    <cellStyle name="Normal 6 2 3 3 2 2 5 3" xfId="38649"/>
    <cellStyle name="Normal 6 2 3 3 2 2 6" xfId="16085"/>
    <cellStyle name="Normal 6 2 3 3 2 2 7" xfId="31128"/>
    <cellStyle name="Normal 6 2 3 3 2 3" xfId="1467"/>
    <cellStyle name="Normal 6 2 3 3 2 3 2" xfId="3338"/>
    <cellStyle name="Normal 6 2 3 3 2 3 2 2" xfId="7133"/>
    <cellStyle name="Normal 6 2 3 3 2 3 2 2 2" xfId="14656"/>
    <cellStyle name="Normal 6 2 3 3 2 3 2 2 2 2" xfId="29700"/>
    <cellStyle name="Normal 6 2 3 3 2 3 2 2 2 3" xfId="44743"/>
    <cellStyle name="Normal 6 2 3 3 2 3 2 2 3" xfId="22179"/>
    <cellStyle name="Normal 6 2 3 3 2 3 2 2 4" xfId="37222"/>
    <cellStyle name="Normal 6 2 3 3 2 3 2 3" xfId="10907"/>
    <cellStyle name="Normal 6 2 3 3 2 3 2 3 2" xfId="25951"/>
    <cellStyle name="Normal 6 2 3 3 2 3 2 3 3" xfId="40994"/>
    <cellStyle name="Normal 6 2 3 3 2 3 2 4" xfId="18430"/>
    <cellStyle name="Normal 6 2 3 3 2 3 2 5" xfId="33473"/>
    <cellStyle name="Normal 6 2 3 3 2 3 3" xfId="5268"/>
    <cellStyle name="Normal 6 2 3 3 2 3 3 2" xfId="12791"/>
    <cellStyle name="Normal 6 2 3 3 2 3 3 2 2" xfId="27835"/>
    <cellStyle name="Normal 6 2 3 3 2 3 3 2 3" xfId="42878"/>
    <cellStyle name="Normal 6 2 3 3 2 3 3 3" xfId="20314"/>
    <cellStyle name="Normal 6 2 3 3 2 3 3 4" xfId="35357"/>
    <cellStyle name="Normal 6 2 3 3 2 3 4" xfId="9042"/>
    <cellStyle name="Normal 6 2 3 3 2 3 4 2" xfId="24086"/>
    <cellStyle name="Normal 6 2 3 3 2 3 4 3" xfId="39129"/>
    <cellStyle name="Normal 6 2 3 3 2 3 5" xfId="16565"/>
    <cellStyle name="Normal 6 2 3 3 2 3 6" xfId="31608"/>
    <cellStyle name="Normal 6 2 3 3 2 4" xfId="2405"/>
    <cellStyle name="Normal 6 2 3 3 2 4 2" xfId="6201"/>
    <cellStyle name="Normal 6 2 3 3 2 4 2 2" xfId="13724"/>
    <cellStyle name="Normal 6 2 3 3 2 4 2 2 2" xfId="28768"/>
    <cellStyle name="Normal 6 2 3 3 2 4 2 2 3" xfId="43811"/>
    <cellStyle name="Normal 6 2 3 3 2 4 2 3" xfId="21247"/>
    <cellStyle name="Normal 6 2 3 3 2 4 2 4" xfId="36290"/>
    <cellStyle name="Normal 6 2 3 3 2 4 3" xfId="9975"/>
    <cellStyle name="Normal 6 2 3 3 2 4 3 2" xfId="25019"/>
    <cellStyle name="Normal 6 2 3 3 2 4 3 3" xfId="40062"/>
    <cellStyle name="Normal 6 2 3 3 2 4 4" xfId="17498"/>
    <cellStyle name="Normal 6 2 3 3 2 4 5" xfId="32541"/>
    <cellStyle name="Normal 6 2 3 3 2 5" xfId="4333"/>
    <cellStyle name="Normal 6 2 3 3 2 5 2" xfId="11857"/>
    <cellStyle name="Normal 6 2 3 3 2 5 2 2" xfId="26901"/>
    <cellStyle name="Normal 6 2 3 3 2 5 2 3" xfId="41944"/>
    <cellStyle name="Normal 6 2 3 3 2 5 3" xfId="19380"/>
    <cellStyle name="Normal 6 2 3 3 2 5 4" xfId="34423"/>
    <cellStyle name="Normal 6 2 3 3 2 6" xfId="8096"/>
    <cellStyle name="Normal 6 2 3 3 2 6 2" xfId="23140"/>
    <cellStyle name="Normal 6 2 3 3 2 6 3" xfId="38183"/>
    <cellStyle name="Normal 6 2 3 3 2 7" xfId="15619"/>
    <cellStyle name="Normal 6 2 3 3 2 8" xfId="30662"/>
    <cellStyle name="Normal 6 2 3 3 3" xfId="959"/>
    <cellStyle name="Normal 6 2 3 3 3 2" xfId="1918"/>
    <cellStyle name="Normal 6 2 3 3 3 2 2" xfId="3789"/>
    <cellStyle name="Normal 6 2 3 3 3 2 2 2" xfId="7584"/>
    <cellStyle name="Normal 6 2 3 3 3 2 2 2 2" xfId="15107"/>
    <cellStyle name="Normal 6 2 3 3 3 2 2 2 2 2" xfId="30151"/>
    <cellStyle name="Normal 6 2 3 3 3 2 2 2 2 3" xfId="45194"/>
    <cellStyle name="Normal 6 2 3 3 3 2 2 2 3" xfId="22630"/>
    <cellStyle name="Normal 6 2 3 3 3 2 2 2 4" xfId="37673"/>
    <cellStyle name="Normal 6 2 3 3 3 2 2 3" xfId="11358"/>
    <cellStyle name="Normal 6 2 3 3 3 2 2 3 2" xfId="26402"/>
    <cellStyle name="Normal 6 2 3 3 3 2 2 3 3" xfId="41445"/>
    <cellStyle name="Normal 6 2 3 3 3 2 2 4" xfId="18881"/>
    <cellStyle name="Normal 6 2 3 3 3 2 2 5" xfId="33924"/>
    <cellStyle name="Normal 6 2 3 3 3 2 3" xfId="5719"/>
    <cellStyle name="Normal 6 2 3 3 3 2 3 2" xfId="13242"/>
    <cellStyle name="Normal 6 2 3 3 3 2 3 2 2" xfId="28286"/>
    <cellStyle name="Normal 6 2 3 3 3 2 3 2 3" xfId="43329"/>
    <cellStyle name="Normal 6 2 3 3 3 2 3 3" xfId="20765"/>
    <cellStyle name="Normal 6 2 3 3 3 2 3 4" xfId="35808"/>
    <cellStyle name="Normal 6 2 3 3 3 2 4" xfId="9493"/>
    <cellStyle name="Normal 6 2 3 3 3 2 4 2" xfId="24537"/>
    <cellStyle name="Normal 6 2 3 3 3 2 4 3" xfId="39580"/>
    <cellStyle name="Normal 6 2 3 3 3 2 5" xfId="17016"/>
    <cellStyle name="Normal 6 2 3 3 3 2 6" xfId="32059"/>
    <cellStyle name="Normal 6 2 3 3 3 3" xfId="2857"/>
    <cellStyle name="Normal 6 2 3 3 3 3 2" xfId="6652"/>
    <cellStyle name="Normal 6 2 3 3 3 3 2 2" xfId="14175"/>
    <cellStyle name="Normal 6 2 3 3 3 3 2 2 2" xfId="29219"/>
    <cellStyle name="Normal 6 2 3 3 3 3 2 2 3" xfId="44262"/>
    <cellStyle name="Normal 6 2 3 3 3 3 2 3" xfId="21698"/>
    <cellStyle name="Normal 6 2 3 3 3 3 2 4" xfId="36741"/>
    <cellStyle name="Normal 6 2 3 3 3 3 3" xfId="10426"/>
    <cellStyle name="Normal 6 2 3 3 3 3 3 2" xfId="25470"/>
    <cellStyle name="Normal 6 2 3 3 3 3 3 3" xfId="40513"/>
    <cellStyle name="Normal 6 2 3 3 3 3 4" xfId="17949"/>
    <cellStyle name="Normal 6 2 3 3 3 3 5" xfId="32992"/>
    <cellStyle name="Normal 6 2 3 3 3 4" xfId="4787"/>
    <cellStyle name="Normal 6 2 3 3 3 4 2" xfId="12310"/>
    <cellStyle name="Normal 6 2 3 3 3 4 2 2" xfId="27354"/>
    <cellStyle name="Normal 6 2 3 3 3 4 2 3" xfId="42397"/>
    <cellStyle name="Normal 6 2 3 3 3 4 3" xfId="19833"/>
    <cellStyle name="Normal 6 2 3 3 3 4 4" xfId="34876"/>
    <cellStyle name="Normal 6 2 3 3 3 5" xfId="8561"/>
    <cellStyle name="Normal 6 2 3 3 3 5 2" xfId="23605"/>
    <cellStyle name="Normal 6 2 3 3 3 5 3" xfId="38648"/>
    <cellStyle name="Normal 6 2 3 3 3 6" xfId="16084"/>
    <cellStyle name="Normal 6 2 3 3 3 7" xfId="31127"/>
    <cellStyle name="Normal 6 2 3 3 4" xfId="1466"/>
    <cellStyle name="Normal 6 2 3 3 4 2" xfId="3337"/>
    <cellStyle name="Normal 6 2 3 3 4 2 2" xfId="7132"/>
    <cellStyle name="Normal 6 2 3 3 4 2 2 2" xfId="14655"/>
    <cellStyle name="Normal 6 2 3 3 4 2 2 2 2" xfId="29699"/>
    <cellStyle name="Normal 6 2 3 3 4 2 2 2 3" xfId="44742"/>
    <cellStyle name="Normal 6 2 3 3 4 2 2 3" xfId="22178"/>
    <cellStyle name="Normal 6 2 3 3 4 2 2 4" xfId="37221"/>
    <cellStyle name="Normal 6 2 3 3 4 2 3" xfId="10906"/>
    <cellStyle name="Normal 6 2 3 3 4 2 3 2" xfId="25950"/>
    <cellStyle name="Normal 6 2 3 3 4 2 3 3" xfId="40993"/>
    <cellStyle name="Normal 6 2 3 3 4 2 4" xfId="18429"/>
    <cellStyle name="Normal 6 2 3 3 4 2 5" xfId="33472"/>
    <cellStyle name="Normal 6 2 3 3 4 3" xfId="5267"/>
    <cellStyle name="Normal 6 2 3 3 4 3 2" xfId="12790"/>
    <cellStyle name="Normal 6 2 3 3 4 3 2 2" xfId="27834"/>
    <cellStyle name="Normal 6 2 3 3 4 3 2 3" xfId="42877"/>
    <cellStyle name="Normal 6 2 3 3 4 3 3" xfId="20313"/>
    <cellStyle name="Normal 6 2 3 3 4 3 4" xfId="35356"/>
    <cellStyle name="Normal 6 2 3 3 4 4" xfId="9041"/>
    <cellStyle name="Normal 6 2 3 3 4 4 2" xfId="24085"/>
    <cellStyle name="Normal 6 2 3 3 4 4 3" xfId="39128"/>
    <cellStyle name="Normal 6 2 3 3 4 5" xfId="16564"/>
    <cellStyle name="Normal 6 2 3 3 4 6" xfId="31607"/>
    <cellStyle name="Normal 6 2 3 3 5" xfId="2404"/>
    <cellStyle name="Normal 6 2 3 3 5 2" xfId="6200"/>
    <cellStyle name="Normal 6 2 3 3 5 2 2" xfId="13723"/>
    <cellStyle name="Normal 6 2 3 3 5 2 2 2" xfId="28767"/>
    <cellStyle name="Normal 6 2 3 3 5 2 2 3" xfId="43810"/>
    <cellStyle name="Normal 6 2 3 3 5 2 3" xfId="21246"/>
    <cellStyle name="Normal 6 2 3 3 5 2 4" xfId="36289"/>
    <cellStyle name="Normal 6 2 3 3 5 3" xfId="9974"/>
    <cellStyle name="Normal 6 2 3 3 5 3 2" xfId="25018"/>
    <cellStyle name="Normal 6 2 3 3 5 3 3" xfId="40061"/>
    <cellStyle name="Normal 6 2 3 3 5 4" xfId="17497"/>
    <cellStyle name="Normal 6 2 3 3 5 5" xfId="32540"/>
    <cellStyle name="Normal 6 2 3 3 6" xfId="4332"/>
    <cellStyle name="Normal 6 2 3 3 6 2" xfId="11856"/>
    <cellStyle name="Normal 6 2 3 3 6 2 2" xfId="26900"/>
    <cellStyle name="Normal 6 2 3 3 6 2 3" xfId="41943"/>
    <cellStyle name="Normal 6 2 3 3 6 3" xfId="19379"/>
    <cellStyle name="Normal 6 2 3 3 6 4" xfId="34422"/>
    <cellStyle name="Normal 6 2 3 3 7" xfId="8095"/>
    <cellStyle name="Normal 6 2 3 3 7 2" xfId="23139"/>
    <cellStyle name="Normal 6 2 3 3 7 3" xfId="38182"/>
    <cellStyle name="Normal 6 2 3 3 8" xfId="15618"/>
    <cellStyle name="Normal 6 2 3 3 9" xfId="30661"/>
    <cellStyle name="Normal 6 2 3 4" xfId="442"/>
    <cellStyle name="Normal 6 2 3 4 2" xfId="443"/>
    <cellStyle name="Normal 6 2 3 4 2 2" xfId="962"/>
    <cellStyle name="Normal 6 2 3 4 2 2 2" xfId="1921"/>
    <cellStyle name="Normal 6 2 3 4 2 2 2 2" xfId="3792"/>
    <cellStyle name="Normal 6 2 3 4 2 2 2 2 2" xfId="7587"/>
    <cellStyle name="Normal 6 2 3 4 2 2 2 2 2 2" xfId="15110"/>
    <cellStyle name="Normal 6 2 3 4 2 2 2 2 2 2 2" xfId="30154"/>
    <cellStyle name="Normal 6 2 3 4 2 2 2 2 2 2 3" xfId="45197"/>
    <cellStyle name="Normal 6 2 3 4 2 2 2 2 2 3" xfId="22633"/>
    <cellStyle name="Normal 6 2 3 4 2 2 2 2 2 4" xfId="37676"/>
    <cellStyle name="Normal 6 2 3 4 2 2 2 2 3" xfId="11361"/>
    <cellStyle name="Normal 6 2 3 4 2 2 2 2 3 2" xfId="26405"/>
    <cellStyle name="Normal 6 2 3 4 2 2 2 2 3 3" xfId="41448"/>
    <cellStyle name="Normal 6 2 3 4 2 2 2 2 4" xfId="18884"/>
    <cellStyle name="Normal 6 2 3 4 2 2 2 2 5" xfId="33927"/>
    <cellStyle name="Normal 6 2 3 4 2 2 2 3" xfId="5722"/>
    <cellStyle name="Normal 6 2 3 4 2 2 2 3 2" xfId="13245"/>
    <cellStyle name="Normal 6 2 3 4 2 2 2 3 2 2" xfId="28289"/>
    <cellStyle name="Normal 6 2 3 4 2 2 2 3 2 3" xfId="43332"/>
    <cellStyle name="Normal 6 2 3 4 2 2 2 3 3" xfId="20768"/>
    <cellStyle name="Normal 6 2 3 4 2 2 2 3 4" xfId="35811"/>
    <cellStyle name="Normal 6 2 3 4 2 2 2 4" xfId="9496"/>
    <cellStyle name="Normal 6 2 3 4 2 2 2 4 2" xfId="24540"/>
    <cellStyle name="Normal 6 2 3 4 2 2 2 4 3" xfId="39583"/>
    <cellStyle name="Normal 6 2 3 4 2 2 2 5" xfId="17019"/>
    <cellStyle name="Normal 6 2 3 4 2 2 2 6" xfId="32062"/>
    <cellStyle name="Normal 6 2 3 4 2 2 3" xfId="2860"/>
    <cellStyle name="Normal 6 2 3 4 2 2 3 2" xfId="6655"/>
    <cellStyle name="Normal 6 2 3 4 2 2 3 2 2" xfId="14178"/>
    <cellStyle name="Normal 6 2 3 4 2 2 3 2 2 2" xfId="29222"/>
    <cellStyle name="Normal 6 2 3 4 2 2 3 2 2 3" xfId="44265"/>
    <cellStyle name="Normal 6 2 3 4 2 2 3 2 3" xfId="21701"/>
    <cellStyle name="Normal 6 2 3 4 2 2 3 2 4" xfId="36744"/>
    <cellStyle name="Normal 6 2 3 4 2 2 3 3" xfId="10429"/>
    <cellStyle name="Normal 6 2 3 4 2 2 3 3 2" xfId="25473"/>
    <cellStyle name="Normal 6 2 3 4 2 2 3 3 3" xfId="40516"/>
    <cellStyle name="Normal 6 2 3 4 2 2 3 4" xfId="17952"/>
    <cellStyle name="Normal 6 2 3 4 2 2 3 5" xfId="32995"/>
    <cellStyle name="Normal 6 2 3 4 2 2 4" xfId="4790"/>
    <cellStyle name="Normal 6 2 3 4 2 2 4 2" xfId="12313"/>
    <cellStyle name="Normal 6 2 3 4 2 2 4 2 2" xfId="27357"/>
    <cellStyle name="Normal 6 2 3 4 2 2 4 2 3" xfId="42400"/>
    <cellStyle name="Normal 6 2 3 4 2 2 4 3" xfId="19836"/>
    <cellStyle name="Normal 6 2 3 4 2 2 4 4" xfId="34879"/>
    <cellStyle name="Normal 6 2 3 4 2 2 5" xfId="8564"/>
    <cellStyle name="Normal 6 2 3 4 2 2 5 2" xfId="23608"/>
    <cellStyle name="Normal 6 2 3 4 2 2 5 3" xfId="38651"/>
    <cellStyle name="Normal 6 2 3 4 2 2 6" xfId="16087"/>
    <cellStyle name="Normal 6 2 3 4 2 2 7" xfId="31130"/>
    <cellStyle name="Normal 6 2 3 4 2 3" xfId="1469"/>
    <cellStyle name="Normal 6 2 3 4 2 3 2" xfId="3340"/>
    <cellStyle name="Normal 6 2 3 4 2 3 2 2" xfId="7135"/>
    <cellStyle name="Normal 6 2 3 4 2 3 2 2 2" xfId="14658"/>
    <cellStyle name="Normal 6 2 3 4 2 3 2 2 2 2" xfId="29702"/>
    <cellStyle name="Normal 6 2 3 4 2 3 2 2 2 3" xfId="44745"/>
    <cellStyle name="Normal 6 2 3 4 2 3 2 2 3" xfId="22181"/>
    <cellStyle name="Normal 6 2 3 4 2 3 2 2 4" xfId="37224"/>
    <cellStyle name="Normal 6 2 3 4 2 3 2 3" xfId="10909"/>
    <cellStyle name="Normal 6 2 3 4 2 3 2 3 2" xfId="25953"/>
    <cellStyle name="Normal 6 2 3 4 2 3 2 3 3" xfId="40996"/>
    <cellStyle name="Normal 6 2 3 4 2 3 2 4" xfId="18432"/>
    <cellStyle name="Normal 6 2 3 4 2 3 2 5" xfId="33475"/>
    <cellStyle name="Normal 6 2 3 4 2 3 3" xfId="5270"/>
    <cellStyle name="Normal 6 2 3 4 2 3 3 2" xfId="12793"/>
    <cellStyle name="Normal 6 2 3 4 2 3 3 2 2" xfId="27837"/>
    <cellStyle name="Normal 6 2 3 4 2 3 3 2 3" xfId="42880"/>
    <cellStyle name="Normal 6 2 3 4 2 3 3 3" xfId="20316"/>
    <cellStyle name="Normal 6 2 3 4 2 3 3 4" xfId="35359"/>
    <cellStyle name="Normal 6 2 3 4 2 3 4" xfId="9044"/>
    <cellStyle name="Normal 6 2 3 4 2 3 4 2" xfId="24088"/>
    <cellStyle name="Normal 6 2 3 4 2 3 4 3" xfId="39131"/>
    <cellStyle name="Normal 6 2 3 4 2 3 5" xfId="16567"/>
    <cellStyle name="Normal 6 2 3 4 2 3 6" xfId="31610"/>
    <cellStyle name="Normal 6 2 3 4 2 4" xfId="2407"/>
    <cellStyle name="Normal 6 2 3 4 2 4 2" xfId="6203"/>
    <cellStyle name="Normal 6 2 3 4 2 4 2 2" xfId="13726"/>
    <cellStyle name="Normal 6 2 3 4 2 4 2 2 2" xfId="28770"/>
    <cellStyle name="Normal 6 2 3 4 2 4 2 2 3" xfId="43813"/>
    <cellStyle name="Normal 6 2 3 4 2 4 2 3" xfId="21249"/>
    <cellStyle name="Normal 6 2 3 4 2 4 2 4" xfId="36292"/>
    <cellStyle name="Normal 6 2 3 4 2 4 3" xfId="9977"/>
    <cellStyle name="Normal 6 2 3 4 2 4 3 2" xfId="25021"/>
    <cellStyle name="Normal 6 2 3 4 2 4 3 3" xfId="40064"/>
    <cellStyle name="Normal 6 2 3 4 2 4 4" xfId="17500"/>
    <cellStyle name="Normal 6 2 3 4 2 4 5" xfId="32543"/>
    <cellStyle name="Normal 6 2 3 4 2 5" xfId="4335"/>
    <cellStyle name="Normal 6 2 3 4 2 5 2" xfId="11859"/>
    <cellStyle name="Normal 6 2 3 4 2 5 2 2" xfId="26903"/>
    <cellStyle name="Normal 6 2 3 4 2 5 2 3" xfId="41946"/>
    <cellStyle name="Normal 6 2 3 4 2 5 3" xfId="19382"/>
    <cellStyle name="Normal 6 2 3 4 2 5 4" xfId="34425"/>
    <cellStyle name="Normal 6 2 3 4 2 6" xfId="8098"/>
    <cellStyle name="Normal 6 2 3 4 2 6 2" xfId="23142"/>
    <cellStyle name="Normal 6 2 3 4 2 6 3" xfId="38185"/>
    <cellStyle name="Normal 6 2 3 4 2 7" xfId="15621"/>
    <cellStyle name="Normal 6 2 3 4 2 8" xfId="30664"/>
    <cellStyle name="Normal 6 2 3 4 3" xfId="961"/>
    <cellStyle name="Normal 6 2 3 4 3 2" xfId="1920"/>
    <cellStyle name="Normal 6 2 3 4 3 2 2" xfId="3791"/>
    <cellStyle name="Normal 6 2 3 4 3 2 2 2" xfId="7586"/>
    <cellStyle name="Normal 6 2 3 4 3 2 2 2 2" xfId="15109"/>
    <cellStyle name="Normal 6 2 3 4 3 2 2 2 2 2" xfId="30153"/>
    <cellStyle name="Normal 6 2 3 4 3 2 2 2 2 3" xfId="45196"/>
    <cellStyle name="Normal 6 2 3 4 3 2 2 2 3" xfId="22632"/>
    <cellStyle name="Normal 6 2 3 4 3 2 2 2 4" xfId="37675"/>
    <cellStyle name="Normal 6 2 3 4 3 2 2 3" xfId="11360"/>
    <cellStyle name="Normal 6 2 3 4 3 2 2 3 2" xfId="26404"/>
    <cellStyle name="Normal 6 2 3 4 3 2 2 3 3" xfId="41447"/>
    <cellStyle name="Normal 6 2 3 4 3 2 2 4" xfId="18883"/>
    <cellStyle name="Normal 6 2 3 4 3 2 2 5" xfId="33926"/>
    <cellStyle name="Normal 6 2 3 4 3 2 3" xfId="5721"/>
    <cellStyle name="Normal 6 2 3 4 3 2 3 2" xfId="13244"/>
    <cellStyle name="Normal 6 2 3 4 3 2 3 2 2" xfId="28288"/>
    <cellStyle name="Normal 6 2 3 4 3 2 3 2 3" xfId="43331"/>
    <cellStyle name="Normal 6 2 3 4 3 2 3 3" xfId="20767"/>
    <cellStyle name="Normal 6 2 3 4 3 2 3 4" xfId="35810"/>
    <cellStyle name="Normal 6 2 3 4 3 2 4" xfId="9495"/>
    <cellStyle name="Normal 6 2 3 4 3 2 4 2" xfId="24539"/>
    <cellStyle name="Normal 6 2 3 4 3 2 4 3" xfId="39582"/>
    <cellStyle name="Normal 6 2 3 4 3 2 5" xfId="17018"/>
    <cellStyle name="Normal 6 2 3 4 3 2 6" xfId="32061"/>
    <cellStyle name="Normal 6 2 3 4 3 3" xfId="2859"/>
    <cellStyle name="Normal 6 2 3 4 3 3 2" xfId="6654"/>
    <cellStyle name="Normal 6 2 3 4 3 3 2 2" xfId="14177"/>
    <cellStyle name="Normal 6 2 3 4 3 3 2 2 2" xfId="29221"/>
    <cellStyle name="Normal 6 2 3 4 3 3 2 2 3" xfId="44264"/>
    <cellStyle name="Normal 6 2 3 4 3 3 2 3" xfId="21700"/>
    <cellStyle name="Normal 6 2 3 4 3 3 2 4" xfId="36743"/>
    <cellStyle name="Normal 6 2 3 4 3 3 3" xfId="10428"/>
    <cellStyle name="Normal 6 2 3 4 3 3 3 2" xfId="25472"/>
    <cellStyle name="Normal 6 2 3 4 3 3 3 3" xfId="40515"/>
    <cellStyle name="Normal 6 2 3 4 3 3 4" xfId="17951"/>
    <cellStyle name="Normal 6 2 3 4 3 3 5" xfId="32994"/>
    <cellStyle name="Normal 6 2 3 4 3 4" xfId="4789"/>
    <cellStyle name="Normal 6 2 3 4 3 4 2" xfId="12312"/>
    <cellStyle name="Normal 6 2 3 4 3 4 2 2" xfId="27356"/>
    <cellStyle name="Normal 6 2 3 4 3 4 2 3" xfId="42399"/>
    <cellStyle name="Normal 6 2 3 4 3 4 3" xfId="19835"/>
    <cellStyle name="Normal 6 2 3 4 3 4 4" xfId="34878"/>
    <cellStyle name="Normal 6 2 3 4 3 5" xfId="8563"/>
    <cellStyle name="Normal 6 2 3 4 3 5 2" xfId="23607"/>
    <cellStyle name="Normal 6 2 3 4 3 5 3" xfId="38650"/>
    <cellStyle name="Normal 6 2 3 4 3 6" xfId="16086"/>
    <cellStyle name="Normal 6 2 3 4 3 7" xfId="31129"/>
    <cellStyle name="Normal 6 2 3 4 4" xfId="1468"/>
    <cellStyle name="Normal 6 2 3 4 4 2" xfId="3339"/>
    <cellStyle name="Normal 6 2 3 4 4 2 2" xfId="7134"/>
    <cellStyle name="Normal 6 2 3 4 4 2 2 2" xfId="14657"/>
    <cellStyle name="Normal 6 2 3 4 4 2 2 2 2" xfId="29701"/>
    <cellStyle name="Normal 6 2 3 4 4 2 2 2 3" xfId="44744"/>
    <cellStyle name="Normal 6 2 3 4 4 2 2 3" xfId="22180"/>
    <cellStyle name="Normal 6 2 3 4 4 2 2 4" xfId="37223"/>
    <cellStyle name="Normal 6 2 3 4 4 2 3" xfId="10908"/>
    <cellStyle name="Normal 6 2 3 4 4 2 3 2" xfId="25952"/>
    <cellStyle name="Normal 6 2 3 4 4 2 3 3" xfId="40995"/>
    <cellStyle name="Normal 6 2 3 4 4 2 4" xfId="18431"/>
    <cellStyle name="Normal 6 2 3 4 4 2 5" xfId="33474"/>
    <cellStyle name="Normal 6 2 3 4 4 3" xfId="5269"/>
    <cellStyle name="Normal 6 2 3 4 4 3 2" xfId="12792"/>
    <cellStyle name="Normal 6 2 3 4 4 3 2 2" xfId="27836"/>
    <cellStyle name="Normal 6 2 3 4 4 3 2 3" xfId="42879"/>
    <cellStyle name="Normal 6 2 3 4 4 3 3" xfId="20315"/>
    <cellStyle name="Normal 6 2 3 4 4 3 4" xfId="35358"/>
    <cellStyle name="Normal 6 2 3 4 4 4" xfId="9043"/>
    <cellStyle name="Normal 6 2 3 4 4 4 2" xfId="24087"/>
    <cellStyle name="Normal 6 2 3 4 4 4 3" xfId="39130"/>
    <cellStyle name="Normal 6 2 3 4 4 5" xfId="16566"/>
    <cellStyle name="Normal 6 2 3 4 4 6" xfId="31609"/>
    <cellStyle name="Normal 6 2 3 4 5" xfId="2406"/>
    <cellStyle name="Normal 6 2 3 4 5 2" xfId="6202"/>
    <cellStyle name="Normal 6 2 3 4 5 2 2" xfId="13725"/>
    <cellStyle name="Normal 6 2 3 4 5 2 2 2" xfId="28769"/>
    <cellStyle name="Normal 6 2 3 4 5 2 2 3" xfId="43812"/>
    <cellStyle name="Normal 6 2 3 4 5 2 3" xfId="21248"/>
    <cellStyle name="Normal 6 2 3 4 5 2 4" xfId="36291"/>
    <cellStyle name="Normal 6 2 3 4 5 3" xfId="9976"/>
    <cellStyle name="Normal 6 2 3 4 5 3 2" xfId="25020"/>
    <cellStyle name="Normal 6 2 3 4 5 3 3" xfId="40063"/>
    <cellStyle name="Normal 6 2 3 4 5 4" xfId="17499"/>
    <cellStyle name="Normal 6 2 3 4 5 5" xfId="32542"/>
    <cellStyle name="Normal 6 2 3 4 6" xfId="4334"/>
    <cellStyle name="Normal 6 2 3 4 6 2" xfId="11858"/>
    <cellStyle name="Normal 6 2 3 4 6 2 2" xfId="26902"/>
    <cellStyle name="Normal 6 2 3 4 6 2 3" xfId="41945"/>
    <cellStyle name="Normal 6 2 3 4 6 3" xfId="19381"/>
    <cellStyle name="Normal 6 2 3 4 6 4" xfId="34424"/>
    <cellStyle name="Normal 6 2 3 4 7" xfId="8097"/>
    <cellStyle name="Normal 6 2 3 4 7 2" xfId="23141"/>
    <cellStyle name="Normal 6 2 3 4 7 3" xfId="38184"/>
    <cellStyle name="Normal 6 2 3 4 8" xfId="15620"/>
    <cellStyle name="Normal 6 2 3 4 9" xfId="30663"/>
    <cellStyle name="Normal 6 2 3 5" xfId="444"/>
    <cellStyle name="Normal 6 2 3 5 2" xfId="963"/>
    <cellStyle name="Normal 6 2 3 5 2 2" xfId="1922"/>
    <cellStyle name="Normal 6 2 3 5 2 2 2" xfId="3793"/>
    <cellStyle name="Normal 6 2 3 5 2 2 2 2" xfId="7588"/>
    <cellStyle name="Normal 6 2 3 5 2 2 2 2 2" xfId="15111"/>
    <cellStyle name="Normal 6 2 3 5 2 2 2 2 2 2" xfId="30155"/>
    <cellStyle name="Normal 6 2 3 5 2 2 2 2 2 3" xfId="45198"/>
    <cellStyle name="Normal 6 2 3 5 2 2 2 2 3" xfId="22634"/>
    <cellStyle name="Normal 6 2 3 5 2 2 2 2 4" xfId="37677"/>
    <cellStyle name="Normal 6 2 3 5 2 2 2 3" xfId="11362"/>
    <cellStyle name="Normal 6 2 3 5 2 2 2 3 2" xfId="26406"/>
    <cellStyle name="Normal 6 2 3 5 2 2 2 3 3" xfId="41449"/>
    <cellStyle name="Normal 6 2 3 5 2 2 2 4" xfId="18885"/>
    <cellStyle name="Normal 6 2 3 5 2 2 2 5" xfId="33928"/>
    <cellStyle name="Normal 6 2 3 5 2 2 3" xfId="5723"/>
    <cellStyle name="Normal 6 2 3 5 2 2 3 2" xfId="13246"/>
    <cellStyle name="Normal 6 2 3 5 2 2 3 2 2" xfId="28290"/>
    <cellStyle name="Normal 6 2 3 5 2 2 3 2 3" xfId="43333"/>
    <cellStyle name="Normal 6 2 3 5 2 2 3 3" xfId="20769"/>
    <cellStyle name="Normal 6 2 3 5 2 2 3 4" xfId="35812"/>
    <cellStyle name="Normal 6 2 3 5 2 2 4" xfId="9497"/>
    <cellStyle name="Normal 6 2 3 5 2 2 4 2" xfId="24541"/>
    <cellStyle name="Normal 6 2 3 5 2 2 4 3" xfId="39584"/>
    <cellStyle name="Normal 6 2 3 5 2 2 5" xfId="17020"/>
    <cellStyle name="Normal 6 2 3 5 2 2 6" xfId="32063"/>
    <cellStyle name="Normal 6 2 3 5 2 3" xfId="2861"/>
    <cellStyle name="Normal 6 2 3 5 2 3 2" xfId="6656"/>
    <cellStyle name="Normal 6 2 3 5 2 3 2 2" xfId="14179"/>
    <cellStyle name="Normal 6 2 3 5 2 3 2 2 2" xfId="29223"/>
    <cellStyle name="Normal 6 2 3 5 2 3 2 2 3" xfId="44266"/>
    <cellStyle name="Normal 6 2 3 5 2 3 2 3" xfId="21702"/>
    <cellStyle name="Normal 6 2 3 5 2 3 2 4" xfId="36745"/>
    <cellStyle name="Normal 6 2 3 5 2 3 3" xfId="10430"/>
    <cellStyle name="Normal 6 2 3 5 2 3 3 2" xfId="25474"/>
    <cellStyle name="Normal 6 2 3 5 2 3 3 3" xfId="40517"/>
    <cellStyle name="Normal 6 2 3 5 2 3 4" xfId="17953"/>
    <cellStyle name="Normal 6 2 3 5 2 3 5" xfId="32996"/>
    <cellStyle name="Normal 6 2 3 5 2 4" xfId="4791"/>
    <cellStyle name="Normal 6 2 3 5 2 4 2" xfId="12314"/>
    <cellStyle name="Normal 6 2 3 5 2 4 2 2" xfId="27358"/>
    <cellStyle name="Normal 6 2 3 5 2 4 2 3" xfId="42401"/>
    <cellStyle name="Normal 6 2 3 5 2 4 3" xfId="19837"/>
    <cellStyle name="Normal 6 2 3 5 2 4 4" xfId="34880"/>
    <cellStyle name="Normal 6 2 3 5 2 5" xfId="8565"/>
    <cellStyle name="Normal 6 2 3 5 2 5 2" xfId="23609"/>
    <cellStyle name="Normal 6 2 3 5 2 5 3" xfId="38652"/>
    <cellStyle name="Normal 6 2 3 5 2 6" xfId="16088"/>
    <cellStyle name="Normal 6 2 3 5 2 7" xfId="31131"/>
    <cellStyle name="Normal 6 2 3 5 3" xfId="1470"/>
    <cellStyle name="Normal 6 2 3 5 3 2" xfId="3341"/>
    <cellStyle name="Normal 6 2 3 5 3 2 2" xfId="7136"/>
    <cellStyle name="Normal 6 2 3 5 3 2 2 2" xfId="14659"/>
    <cellStyle name="Normal 6 2 3 5 3 2 2 2 2" xfId="29703"/>
    <cellStyle name="Normal 6 2 3 5 3 2 2 2 3" xfId="44746"/>
    <cellStyle name="Normal 6 2 3 5 3 2 2 3" xfId="22182"/>
    <cellStyle name="Normal 6 2 3 5 3 2 2 4" xfId="37225"/>
    <cellStyle name="Normal 6 2 3 5 3 2 3" xfId="10910"/>
    <cellStyle name="Normal 6 2 3 5 3 2 3 2" xfId="25954"/>
    <cellStyle name="Normal 6 2 3 5 3 2 3 3" xfId="40997"/>
    <cellStyle name="Normal 6 2 3 5 3 2 4" xfId="18433"/>
    <cellStyle name="Normal 6 2 3 5 3 2 5" xfId="33476"/>
    <cellStyle name="Normal 6 2 3 5 3 3" xfId="5271"/>
    <cellStyle name="Normal 6 2 3 5 3 3 2" xfId="12794"/>
    <cellStyle name="Normal 6 2 3 5 3 3 2 2" xfId="27838"/>
    <cellStyle name="Normal 6 2 3 5 3 3 2 3" xfId="42881"/>
    <cellStyle name="Normal 6 2 3 5 3 3 3" xfId="20317"/>
    <cellStyle name="Normal 6 2 3 5 3 3 4" xfId="35360"/>
    <cellStyle name="Normal 6 2 3 5 3 4" xfId="9045"/>
    <cellStyle name="Normal 6 2 3 5 3 4 2" xfId="24089"/>
    <cellStyle name="Normal 6 2 3 5 3 4 3" xfId="39132"/>
    <cellStyle name="Normal 6 2 3 5 3 5" xfId="16568"/>
    <cellStyle name="Normal 6 2 3 5 3 6" xfId="31611"/>
    <cellStyle name="Normal 6 2 3 5 4" xfId="2408"/>
    <cellStyle name="Normal 6 2 3 5 4 2" xfId="6204"/>
    <cellStyle name="Normal 6 2 3 5 4 2 2" xfId="13727"/>
    <cellStyle name="Normal 6 2 3 5 4 2 2 2" xfId="28771"/>
    <cellStyle name="Normal 6 2 3 5 4 2 2 3" xfId="43814"/>
    <cellStyle name="Normal 6 2 3 5 4 2 3" xfId="21250"/>
    <cellStyle name="Normal 6 2 3 5 4 2 4" xfId="36293"/>
    <cellStyle name="Normal 6 2 3 5 4 3" xfId="9978"/>
    <cellStyle name="Normal 6 2 3 5 4 3 2" xfId="25022"/>
    <cellStyle name="Normal 6 2 3 5 4 3 3" xfId="40065"/>
    <cellStyle name="Normal 6 2 3 5 4 4" xfId="17501"/>
    <cellStyle name="Normal 6 2 3 5 4 5" xfId="32544"/>
    <cellStyle name="Normal 6 2 3 5 5" xfId="4336"/>
    <cellStyle name="Normal 6 2 3 5 5 2" xfId="11860"/>
    <cellStyle name="Normal 6 2 3 5 5 2 2" xfId="26904"/>
    <cellStyle name="Normal 6 2 3 5 5 2 3" xfId="41947"/>
    <cellStyle name="Normal 6 2 3 5 5 3" xfId="19383"/>
    <cellStyle name="Normal 6 2 3 5 5 4" xfId="34426"/>
    <cellStyle name="Normal 6 2 3 5 6" xfId="8099"/>
    <cellStyle name="Normal 6 2 3 5 6 2" xfId="23143"/>
    <cellStyle name="Normal 6 2 3 5 6 3" xfId="38186"/>
    <cellStyle name="Normal 6 2 3 5 7" xfId="15622"/>
    <cellStyle name="Normal 6 2 3 5 8" xfId="30665"/>
    <cellStyle name="Normal 6 2 3 6" xfId="954"/>
    <cellStyle name="Normal 6 2 3 6 2" xfId="1913"/>
    <cellStyle name="Normal 6 2 3 6 2 2" xfId="3784"/>
    <cellStyle name="Normal 6 2 3 6 2 2 2" xfId="7579"/>
    <cellStyle name="Normal 6 2 3 6 2 2 2 2" xfId="15102"/>
    <cellStyle name="Normal 6 2 3 6 2 2 2 2 2" xfId="30146"/>
    <cellStyle name="Normal 6 2 3 6 2 2 2 2 3" xfId="45189"/>
    <cellStyle name="Normal 6 2 3 6 2 2 2 3" xfId="22625"/>
    <cellStyle name="Normal 6 2 3 6 2 2 2 4" xfId="37668"/>
    <cellStyle name="Normal 6 2 3 6 2 2 3" xfId="11353"/>
    <cellStyle name="Normal 6 2 3 6 2 2 3 2" xfId="26397"/>
    <cellStyle name="Normal 6 2 3 6 2 2 3 3" xfId="41440"/>
    <cellStyle name="Normal 6 2 3 6 2 2 4" xfId="18876"/>
    <cellStyle name="Normal 6 2 3 6 2 2 5" xfId="33919"/>
    <cellStyle name="Normal 6 2 3 6 2 3" xfId="5714"/>
    <cellStyle name="Normal 6 2 3 6 2 3 2" xfId="13237"/>
    <cellStyle name="Normal 6 2 3 6 2 3 2 2" xfId="28281"/>
    <cellStyle name="Normal 6 2 3 6 2 3 2 3" xfId="43324"/>
    <cellStyle name="Normal 6 2 3 6 2 3 3" xfId="20760"/>
    <cellStyle name="Normal 6 2 3 6 2 3 4" xfId="35803"/>
    <cellStyle name="Normal 6 2 3 6 2 4" xfId="9488"/>
    <cellStyle name="Normal 6 2 3 6 2 4 2" xfId="24532"/>
    <cellStyle name="Normal 6 2 3 6 2 4 3" xfId="39575"/>
    <cellStyle name="Normal 6 2 3 6 2 5" xfId="17011"/>
    <cellStyle name="Normal 6 2 3 6 2 6" xfId="32054"/>
    <cellStyle name="Normal 6 2 3 6 3" xfId="2852"/>
    <cellStyle name="Normal 6 2 3 6 3 2" xfId="6647"/>
    <cellStyle name="Normal 6 2 3 6 3 2 2" xfId="14170"/>
    <cellStyle name="Normal 6 2 3 6 3 2 2 2" xfId="29214"/>
    <cellStyle name="Normal 6 2 3 6 3 2 2 3" xfId="44257"/>
    <cellStyle name="Normal 6 2 3 6 3 2 3" xfId="21693"/>
    <cellStyle name="Normal 6 2 3 6 3 2 4" xfId="36736"/>
    <cellStyle name="Normal 6 2 3 6 3 3" xfId="10421"/>
    <cellStyle name="Normal 6 2 3 6 3 3 2" xfId="25465"/>
    <cellStyle name="Normal 6 2 3 6 3 3 3" xfId="40508"/>
    <cellStyle name="Normal 6 2 3 6 3 4" xfId="17944"/>
    <cellStyle name="Normal 6 2 3 6 3 5" xfId="32987"/>
    <cellStyle name="Normal 6 2 3 6 4" xfId="4782"/>
    <cellStyle name="Normal 6 2 3 6 4 2" xfId="12305"/>
    <cellStyle name="Normal 6 2 3 6 4 2 2" xfId="27349"/>
    <cellStyle name="Normal 6 2 3 6 4 2 3" xfId="42392"/>
    <cellStyle name="Normal 6 2 3 6 4 3" xfId="19828"/>
    <cellStyle name="Normal 6 2 3 6 4 4" xfId="34871"/>
    <cellStyle name="Normal 6 2 3 6 5" xfId="8556"/>
    <cellStyle name="Normal 6 2 3 6 5 2" xfId="23600"/>
    <cellStyle name="Normal 6 2 3 6 5 3" xfId="38643"/>
    <cellStyle name="Normal 6 2 3 6 6" xfId="16079"/>
    <cellStyle name="Normal 6 2 3 6 7" xfId="31122"/>
    <cellStyle name="Normal 6 2 3 7" xfId="1461"/>
    <cellStyle name="Normal 6 2 3 7 2" xfId="3332"/>
    <cellStyle name="Normal 6 2 3 7 2 2" xfId="7127"/>
    <cellStyle name="Normal 6 2 3 7 2 2 2" xfId="14650"/>
    <cellStyle name="Normal 6 2 3 7 2 2 2 2" xfId="29694"/>
    <cellStyle name="Normal 6 2 3 7 2 2 2 3" xfId="44737"/>
    <cellStyle name="Normal 6 2 3 7 2 2 3" xfId="22173"/>
    <cellStyle name="Normal 6 2 3 7 2 2 4" xfId="37216"/>
    <cellStyle name="Normal 6 2 3 7 2 3" xfId="10901"/>
    <cellStyle name="Normal 6 2 3 7 2 3 2" xfId="25945"/>
    <cellStyle name="Normal 6 2 3 7 2 3 3" xfId="40988"/>
    <cellStyle name="Normal 6 2 3 7 2 4" xfId="18424"/>
    <cellStyle name="Normal 6 2 3 7 2 5" xfId="33467"/>
    <cellStyle name="Normal 6 2 3 7 3" xfId="5262"/>
    <cellStyle name="Normal 6 2 3 7 3 2" xfId="12785"/>
    <cellStyle name="Normal 6 2 3 7 3 2 2" xfId="27829"/>
    <cellStyle name="Normal 6 2 3 7 3 2 3" xfId="42872"/>
    <cellStyle name="Normal 6 2 3 7 3 3" xfId="20308"/>
    <cellStyle name="Normal 6 2 3 7 3 4" xfId="35351"/>
    <cellStyle name="Normal 6 2 3 7 4" xfId="9036"/>
    <cellStyle name="Normal 6 2 3 7 4 2" xfId="24080"/>
    <cellStyle name="Normal 6 2 3 7 4 3" xfId="39123"/>
    <cellStyle name="Normal 6 2 3 7 5" xfId="16559"/>
    <cellStyle name="Normal 6 2 3 7 6" xfId="31602"/>
    <cellStyle name="Normal 6 2 3 8" xfId="2399"/>
    <cellStyle name="Normal 6 2 3 8 2" xfId="6195"/>
    <cellStyle name="Normal 6 2 3 8 2 2" xfId="13718"/>
    <cellStyle name="Normal 6 2 3 8 2 2 2" xfId="28762"/>
    <cellStyle name="Normal 6 2 3 8 2 2 3" xfId="43805"/>
    <cellStyle name="Normal 6 2 3 8 2 3" xfId="21241"/>
    <cellStyle name="Normal 6 2 3 8 2 4" xfId="36284"/>
    <cellStyle name="Normal 6 2 3 8 3" xfId="9969"/>
    <cellStyle name="Normal 6 2 3 8 3 2" xfId="25013"/>
    <cellStyle name="Normal 6 2 3 8 3 3" xfId="40056"/>
    <cellStyle name="Normal 6 2 3 8 4" xfId="17492"/>
    <cellStyle name="Normal 6 2 3 8 5" xfId="32535"/>
    <cellStyle name="Normal 6 2 3 9" xfId="4327"/>
    <cellStyle name="Normal 6 2 3 9 2" xfId="11851"/>
    <cellStyle name="Normal 6 2 3 9 2 2" xfId="26895"/>
    <cellStyle name="Normal 6 2 3 9 2 3" xfId="41938"/>
    <cellStyle name="Normal 6 2 3 9 3" xfId="19374"/>
    <cellStyle name="Normal 6 2 3 9 4" xfId="34417"/>
    <cellStyle name="Normal 6 2 4" xfId="445"/>
    <cellStyle name="Normal 6 2 4 10" xfId="15623"/>
    <cellStyle name="Normal 6 2 4 11" xfId="30666"/>
    <cellStyle name="Normal 6 2 4 2" xfId="446"/>
    <cellStyle name="Normal 6 2 4 2 2" xfId="447"/>
    <cellStyle name="Normal 6 2 4 2 2 2" xfId="966"/>
    <cellStyle name="Normal 6 2 4 2 2 2 2" xfId="1925"/>
    <cellStyle name="Normal 6 2 4 2 2 2 2 2" xfId="3796"/>
    <cellStyle name="Normal 6 2 4 2 2 2 2 2 2" xfId="7591"/>
    <cellStyle name="Normal 6 2 4 2 2 2 2 2 2 2" xfId="15114"/>
    <cellStyle name="Normal 6 2 4 2 2 2 2 2 2 2 2" xfId="30158"/>
    <cellStyle name="Normal 6 2 4 2 2 2 2 2 2 2 3" xfId="45201"/>
    <cellStyle name="Normal 6 2 4 2 2 2 2 2 2 3" xfId="22637"/>
    <cellStyle name="Normal 6 2 4 2 2 2 2 2 2 4" xfId="37680"/>
    <cellStyle name="Normal 6 2 4 2 2 2 2 2 3" xfId="11365"/>
    <cellStyle name="Normal 6 2 4 2 2 2 2 2 3 2" xfId="26409"/>
    <cellStyle name="Normal 6 2 4 2 2 2 2 2 3 3" xfId="41452"/>
    <cellStyle name="Normal 6 2 4 2 2 2 2 2 4" xfId="18888"/>
    <cellStyle name="Normal 6 2 4 2 2 2 2 2 5" xfId="33931"/>
    <cellStyle name="Normal 6 2 4 2 2 2 2 3" xfId="5726"/>
    <cellStyle name="Normal 6 2 4 2 2 2 2 3 2" xfId="13249"/>
    <cellStyle name="Normal 6 2 4 2 2 2 2 3 2 2" xfId="28293"/>
    <cellStyle name="Normal 6 2 4 2 2 2 2 3 2 3" xfId="43336"/>
    <cellStyle name="Normal 6 2 4 2 2 2 2 3 3" xfId="20772"/>
    <cellStyle name="Normal 6 2 4 2 2 2 2 3 4" xfId="35815"/>
    <cellStyle name="Normal 6 2 4 2 2 2 2 4" xfId="9500"/>
    <cellStyle name="Normal 6 2 4 2 2 2 2 4 2" xfId="24544"/>
    <cellStyle name="Normal 6 2 4 2 2 2 2 4 3" xfId="39587"/>
    <cellStyle name="Normal 6 2 4 2 2 2 2 5" xfId="17023"/>
    <cellStyle name="Normal 6 2 4 2 2 2 2 6" xfId="32066"/>
    <cellStyle name="Normal 6 2 4 2 2 2 3" xfId="2864"/>
    <cellStyle name="Normal 6 2 4 2 2 2 3 2" xfId="6659"/>
    <cellStyle name="Normal 6 2 4 2 2 2 3 2 2" xfId="14182"/>
    <cellStyle name="Normal 6 2 4 2 2 2 3 2 2 2" xfId="29226"/>
    <cellStyle name="Normal 6 2 4 2 2 2 3 2 2 3" xfId="44269"/>
    <cellStyle name="Normal 6 2 4 2 2 2 3 2 3" xfId="21705"/>
    <cellStyle name="Normal 6 2 4 2 2 2 3 2 4" xfId="36748"/>
    <cellStyle name="Normal 6 2 4 2 2 2 3 3" xfId="10433"/>
    <cellStyle name="Normal 6 2 4 2 2 2 3 3 2" xfId="25477"/>
    <cellStyle name="Normal 6 2 4 2 2 2 3 3 3" xfId="40520"/>
    <cellStyle name="Normal 6 2 4 2 2 2 3 4" xfId="17956"/>
    <cellStyle name="Normal 6 2 4 2 2 2 3 5" xfId="32999"/>
    <cellStyle name="Normal 6 2 4 2 2 2 4" xfId="4794"/>
    <cellStyle name="Normal 6 2 4 2 2 2 4 2" xfId="12317"/>
    <cellStyle name="Normal 6 2 4 2 2 2 4 2 2" xfId="27361"/>
    <cellStyle name="Normal 6 2 4 2 2 2 4 2 3" xfId="42404"/>
    <cellStyle name="Normal 6 2 4 2 2 2 4 3" xfId="19840"/>
    <cellStyle name="Normal 6 2 4 2 2 2 4 4" xfId="34883"/>
    <cellStyle name="Normal 6 2 4 2 2 2 5" xfId="8568"/>
    <cellStyle name="Normal 6 2 4 2 2 2 5 2" xfId="23612"/>
    <cellStyle name="Normal 6 2 4 2 2 2 5 3" xfId="38655"/>
    <cellStyle name="Normal 6 2 4 2 2 2 6" xfId="16091"/>
    <cellStyle name="Normal 6 2 4 2 2 2 7" xfId="31134"/>
    <cellStyle name="Normal 6 2 4 2 2 3" xfId="1473"/>
    <cellStyle name="Normal 6 2 4 2 2 3 2" xfId="3344"/>
    <cellStyle name="Normal 6 2 4 2 2 3 2 2" xfId="7139"/>
    <cellStyle name="Normal 6 2 4 2 2 3 2 2 2" xfId="14662"/>
    <cellStyle name="Normal 6 2 4 2 2 3 2 2 2 2" xfId="29706"/>
    <cellStyle name="Normal 6 2 4 2 2 3 2 2 2 3" xfId="44749"/>
    <cellStyle name="Normal 6 2 4 2 2 3 2 2 3" xfId="22185"/>
    <cellStyle name="Normal 6 2 4 2 2 3 2 2 4" xfId="37228"/>
    <cellStyle name="Normal 6 2 4 2 2 3 2 3" xfId="10913"/>
    <cellStyle name="Normal 6 2 4 2 2 3 2 3 2" xfId="25957"/>
    <cellStyle name="Normal 6 2 4 2 2 3 2 3 3" xfId="41000"/>
    <cellStyle name="Normal 6 2 4 2 2 3 2 4" xfId="18436"/>
    <cellStyle name="Normal 6 2 4 2 2 3 2 5" xfId="33479"/>
    <cellStyle name="Normal 6 2 4 2 2 3 3" xfId="5274"/>
    <cellStyle name="Normal 6 2 4 2 2 3 3 2" xfId="12797"/>
    <cellStyle name="Normal 6 2 4 2 2 3 3 2 2" xfId="27841"/>
    <cellStyle name="Normal 6 2 4 2 2 3 3 2 3" xfId="42884"/>
    <cellStyle name="Normal 6 2 4 2 2 3 3 3" xfId="20320"/>
    <cellStyle name="Normal 6 2 4 2 2 3 3 4" xfId="35363"/>
    <cellStyle name="Normal 6 2 4 2 2 3 4" xfId="9048"/>
    <cellStyle name="Normal 6 2 4 2 2 3 4 2" xfId="24092"/>
    <cellStyle name="Normal 6 2 4 2 2 3 4 3" xfId="39135"/>
    <cellStyle name="Normal 6 2 4 2 2 3 5" xfId="16571"/>
    <cellStyle name="Normal 6 2 4 2 2 3 6" xfId="31614"/>
    <cellStyle name="Normal 6 2 4 2 2 4" xfId="2411"/>
    <cellStyle name="Normal 6 2 4 2 2 4 2" xfId="6207"/>
    <cellStyle name="Normal 6 2 4 2 2 4 2 2" xfId="13730"/>
    <cellStyle name="Normal 6 2 4 2 2 4 2 2 2" xfId="28774"/>
    <cellStyle name="Normal 6 2 4 2 2 4 2 2 3" xfId="43817"/>
    <cellStyle name="Normal 6 2 4 2 2 4 2 3" xfId="21253"/>
    <cellStyle name="Normal 6 2 4 2 2 4 2 4" xfId="36296"/>
    <cellStyle name="Normal 6 2 4 2 2 4 3" xfId="9981"/>
    <cellStyle name="Normal 6 2 4 2 2 4 3 2" xfId="25025"/>
    <cellStyle name="Normal 6 2 4 2 2 4 3 3" xfId="40068"/>
    <cellStyle name="Normal 6 2 4 2 2 4 4" xfId="17504"/>
    <cellStyle name="Normal 6 2 4 2 2 4 5" xfId="32547"/>
    <cellStyle name="Normal 6 2 4 2 2 5" xfId="4339"/>
    <cellStyle name="Normal 6 2 4 2 2 5 2" xfId="11863"/>
    <cellStyle name="Normal 6 2 4 2 2 5 2 2" xfId="26907"/>
    <cellStyle name="Normal 6 2 4 2 2 5 2 3" xfId="41950"/>
    <cellStyle name="Normal 6 2 4 2 2 5 3" xfId="19386"/>
    <cellStyle name="Normal 6 2 4 2 2 5 4" xfId="34429"/>
    <cellStyle name="Normal 6 2 4 2 2 6" xfId="8102"/>
    <cellStyle name="Normal 6 2 4 2 2 6 2" xfId="23146"/>
    <cellStyle name="Normal 6 2 4 2 2 6 3" xfId="38189"/>
    <cellStyle name="Normal 6 2 4 2 2 7" xfId="15625"/>
    <cellStyle name="Normal 6 2 4 2 2 8" xfId="30668"/>
    <cellStyle name="Normal 6 2 4 2 3" xfId="965"/>
    <cellStyle name="Normal 6 2 4 2 3 2" xfId="1924"/>
    <cellStyle name="Normal 6 2 4 2 3 2 2" xfId="3795"/>
    <cellStyle name="Normal 6 2 4 2 3 2 2 2" xfId="7590"/>
    <cellStyle name="Normal 6 2 4 2 3 2 2 2 2" xfId="15113"/>
    <cellStyle name="Normal 6 2 4 2 3 2 2 2 2 2" xfId="30157"/>
    <cellStyle name="Normal 6 2 4 2 3 2 2 2 2 3" xfId="45200"/>
    <cellStyle name="Normal 6 2 4 2 3 2 2 2 3" xfId="22636"/>
    <cellStyle name="Normal 6 2 4 2 3 2 2 2 4" xfId="37679"/>
    <cellStyle name="Normal 6 2 4 2 3 2 2 3" xfId="11364"/>
    <cellStyle name="Normal 6 2 4 2 3 2 2 3 2" xfId="26408"/>
    <cellStyle name="Normal 6 2 4 2 3 2 2 3 3" xfId="41451"/>
    <cellStyle name="Normal 6 2 4 2 3 2 2 4" xfId="18887"/>
    <cellStyle name="Normal 6 2 4 2 3 2 2 5" xfId="33930"/>
    <cellStyle name="Normal 6 2 4 2 3 2 3" xfId="5725"/>
    <cellStyle name="Normal 6 2 4 2 3 2 3 2" xfId="13248"/>
    <cellStyle name="Normal 6 2 4 2 3 2 3 2 2" xfId="28292"/>
    <cellStyle name="Normal 6 2 4 2 3 2 3 2 3" xfId="43335"/>
    <cellStyle name="Normal 6 2 4 2 3 2 3 3" xfId="20771"/>
    <cellStyle name="Normal 6 2 4 2 3 2 3 4" xfId="35814"/>
    <cellStyle name="Normal 6 2 4 2 3 2 4" xfId="9499"/>
    <cellStyle name="Normal 6 2 4 2 3 2 4 2" xfId="24543"/>
    <cellStyle name="Normal 6 2 4 2 3 2 4 3" xfId="39586"/>
    <cellStyle name="Normal 6 2 4 2 3 2 5" xfId="17022"/>
    <cellStyle name="Normal 6 2 4 2 3 2 6" xfId="32065"/>
    <cellStyle name="Normal 6 2 4 2 3 3" xfId="2863"/>
    <cellStyle name="Normal 6 2 4 2 3 3 2" xfId="6658"/>
    <cellStyle name="Normal 6 2 4 2 3 3 2 2" xfId="14181"/>
    <cellStyle name="Normal 6 2 4 2 3 3 2 2 2" xfId="29225"/>
    <cellStyle name="Normal 6 2 4 2 3 3 2 2 3" xfId="44268"/>
    <cellStyle name="Normal 6 2 4 2 3 3 2 3" xfId="21704"/>
    <cellStyle name="Normal 6 2 4 2 3 3 2 4" xfId="36747"/>
    <cellStyle name="Normal 6 2 4 2 3 3 3" xfId="10432"/>
    <cellStyle name="Normal 6 2 4 2 3 3 3 2" xfId="25476"/>
    <cellStyle name="Normal 6 2 4 2 3 3 3 3" xfId="40519"/>
    <cellStyle name="Normal 6 2 4 2 3 3 4" xfId="17955"/>
    <cellStyle name="Normal 6 2 4 2 3 3 5" xfId="32998"/>
    <cellStyle name="Normal 6 2 4 2 3 4" xfId="4793"/>
    <cellStyle name="Normal 6 2 4 2 3 4 2" xfId="12316"/>
    <cellStyle name="Normal 6 2 4 2 3 4 2 2" xfId="27360"/>
    <cellStyle name="Normal 6 2 4 2 3 4 2 3" xfId="42403"/>
    <cellStyle name="Normal 6 2 4 2 3 4 3" xfId="19839"/>
    <cellStyle name="Normal 6 2 4 2 3 4 4" xfId="34882"/>
    <cellStyle name="Normal 6 2 4 2 3 5" xfId="8567"/>
    <cellStyle name="Normal 6 2 4 2 3 5 2" xfId="23611"/>
    <cellStyle name="Normal 6 2 4 2 3 5 3" xfId="38654"/>
    <cellStyle name="Normal 6 2 4 2 3 6" xfId="16090"/>
    <cellStyle name="Normal 6 2 4 2 3 7" xfId="31133"/>
    <cellStyle name="Normal 6 2 4 2 4" xfId="1472"/>
    <cellStyle name="Normal 6 2 4 2 4 2" xfId="3343"/>
    <cellStyle name="Normal 6 2 4 2 4 2 2" xfId="7138"/>
    <cellStyle name="Normal 6 2 4 2 4 2 2 2" xfId="14661"/>
    <cellStyle name="Normal 6 2 4 2 4 2 2 2 2" xfId="29705"/>
    <cellStyle name="Normal 6 2 4 2 4 2 2 2 3" xfId="44748"/>
    <cellStyle name="Normal 6 2 4 2 4 2 2 3" xfId="22184"/>
    <cellStyle name="Normal 6 2 4 2 4 2 2 4" xfId="37227"/>
    <cellStyle name="Normal 6 2 4 2 4 2 3" xfId="10912"/>
    <cellStyle name="Normal 6 2 4 2 4 2 3 2" xfId="25956"/>
    <cellStyle name="Normal 6 2 4 2 4 2 3 3" xfId="40999"/>
    <cellStyle name="Normal 6 2 4 2 4 2 4" xfId="18435"/>
    <cellStyle name="Normal 6 2 4 2 4 2 5" xfId="33478"/>
    <cellStyle name="Normal 6 2 4 2 4 3" xfId="5273"/>
    <cellStyle name="Normal 6 2 4 2 4 3 2" xfId="12796"/>
    <cellStyle name="Normal 6 2 4 2 4 3 2 2" xfId="27840"/>
    <cellStyle name="Normal 6 2 4 2 4 3 2 3" xfId="42883"/>
    <cellStyle name="Normal 6 2 4 2 4 3 3" xfId="20319"/>
    <cellStyle name="Normal 6 2 4 2 4 3 4" xfId="35362"/>
    <cellStyle name="Normal 6 2 4 2 4 4" xfId="9047"/>
    <cellStyle name="Normal 6 2 4 2 4 4 2" xfId="24091"/>
    <cellStyle name="Normal 6 2 4 2 4 4 3" xfId="39134"/>
    <cellStyle name="Normal 6 2 4 2 4 5" xfId="16570"/>
    <cellStyle name="Normal 6 2 4 2 4 6" xfId="31613"/>
    <cellStyle name="Normal 6 2 4 2 5" xfId="2410"/>
    <cellStyle name="Normal 6 2 4 2 5 2" xfId="6206"/>
    <cellStyle name="Normal 6 2 4 2 5 2 2" xfId="13729"/>
    <cellStyle name="Normal 6 2 4 2 5 2 2 2" xfId="28773"/>
    <cellStyle name="Normal 6 2 4 2 5 2 2 3" xfId="43816"/>
    <cellStyle name="Normal 6 2 4 2 5 2 3" xfId="21252"/>
    <cellStyle name="Normal 6 2 4 2 5 2 4" xfId="36295"/>
    <cellStyle name="Normal 6 2 4 2 5 3" xfId="9980"/>
    <cellStyle name="Normal 6 2 4 2 5 3 2" xfId="25024"/>
    <cellStyle name="Normal 6 2 4 2 5 3 3" xfId="40067"/>
    <cellStyle name="Normal 6 2 4 2 5 4" xfId="17503"/>
    <cellStyle name="Normal 6 2 4 2 5 5" xfId="32546"/>
    <cellStyle name="Normal 6 2 4 2 6" xfId="4338"/>
    <cellStyle name="Normal 6 2 4 2 6 2" xfId="11862"/>
    <cellStyle name="Normal 6 2 4 2 6 2 2" xfId="26906"/>
    <cellStyle name="Normal 6 2 4 2 6 2 3" xfId="41949"/>
    <cellStyle name="Normal 6 2 4 2 6 3" xfId="19385"/>
    <cellStyle name="Normal 6 2 4 2 6 4" xfId="34428"/>
    <cellStyle name="Normal 6 2 4 2 7" xfId="8101"/>
    <cellStyle name="Normal 6 2 4 2 7 2" xfId="23145"/>
    <cellStyle name="Normal 6 2 4 2 7 3" xfId="38188"/>
    <cellStyle name="Normal 6 2 4 2 8" xfId="15624"/>
    <cellStyle name="Normal 6 2 4 2 9" xfId="30667"/>
    <cellStyle name="Normal 6 2 4 3" xfId="448"/>
    <cellStyle name="Normal 6 2 4 3 2" xfId="449"/>
    <cellStyle name="Normal 6 2 4 3 2 2" xfId="968"/>
    <cellStyle name="Normal 6 2 4 3 2 2 2" xfId="1927"/>
    <cellStyle name="Normal 6 2 4 3 2 2 2 2" xfId="3798"/>
    <cellStyle name="Normal 6 2 4 3 2 2 2 2 2" xfId="7593"/>
    <cellStyle name="Normal 6 2 4 3 2 2 2 2 2 2" xfId="15116"/>
    <cellStyle name="Normal 6 2 4 3 2 2 2 2 2 2 2" xfId="30160"/>
    <cellStyle name="Normal 6 2 4 3 2 2 2 2 2 2 3" xfId="45203"/>
    <cellStyle name="Normal 6 2 4 3 2 2 2 2 2 3" xfId="22639"/>
    <cellStyle name="Normal 6 2 4 3 2 2 2 2 2 4" xfId="37682"/>
    <cellStyle name="Normal 6 2 4 3 2 2 2 2 3" xfId="11367"/>
    <cellStyle name="Normal 6 2 4 3 2 2 2 2 3 2" xfId="26411"/>
    <cellStyle name="Normal 6 2 4 3 2 2 2 2 3 3" xfId="41454"/>
    <cellStyle name="Normal 6 2 4 3 2 2 2 2 4" xfId="18890"/>
    <cellStyle name="Normal 6 2 4 3 2 2 2 2 5" xfId="33933"/>
    <cellStyle name="Normal 6 2 4 3 2 2 2 3" xfId="5728"/>
    <cellStyle name="Normal 6 2 4 3 2 2 2 3 2" xfId="13251"/>
    <cellStyle name="Normal 6 2 4 3 2 2 2 3 2 2" xfId="28295"/>
    <cellStyle name="Normal 6 2 4 3 2 2 2 3 2 3" xfId="43338"/>
    <cellStyle name="Normal 6 2 4 3 2 2 2 3 3" xfId="20774"/>
    <cellStyle name="Normal 6 2 4 3 2 2 2 3 4" xfId="35817"/>
    <cellStyle name="Normal 6 2 4 3 2 2 2 4" xfId="9502"/>
    <cellStyle name="Normal 6 2 4 3 2 2 2 4 2" xfId="24546"/>
    <cellStyle name="Normal 6 2 4 3 2 2 2 4 3" xfId="39589"/>
    <cellStyle name="Normal 6 2 4 3 2 2 2 5" xfId="17025"/>
    <cellStyle name="Normal 6 2 4 3 2 2 2 6" xfId="32068"/>
    <cellStyle name="Normal 6 2 4 3 2 2 3" xfId="2866"/>
    <cellStyle name="Normal 6 2 4 3 2 2 3 2" xfId="6661"/>
    <cellStyle name="Normal 6 2 4 3 2 2 3 2 2" xfId="14184"/>
    <cellStyle name="Normal 6 2 4 3 2 2 3 2 2 2" xfId="29228"/>
    <cellStyle name="Normal 6 2 4 3 2 2 3 2 2 3" xfId="44271"/>
    <cellStyle name="Normal 6 2 4 3 2 2 3 2 3" xfId="21707"/>
    <cellStyle name="Normal 6 2 4 3 2 2 3 2 4" xfId="36750"/>
    <cellStyle name="Normal 6 2 4 3 2 2 3 3" xfId="10435"/>
    <cellStyle name="Normal 6 2 4 3 2 2 3 3 2" xfId="25479"/>
    <cellStyle name="Normal 6 2 4 3 2 2 3 3 3" xfId="40522"/>
    <cellStyle name="Normal 6 2 4 3 2 2 3 4" xfId="17958"/>
    <cellStyle name="Normal 6 2 4 3 2 2 3 5" xfId="33001"/>
    <cellStyle name="Normal 6 2 4 3 2 2 4" xfId="4796"/>
    <cellStyle name="Normal 6 2 4 3 2 2 4 2" xfId="12319"/>
    <cellStyle name="Normal 6 2 4 3 2 2 4 2 2" xfId="27363"/>
    <cellStyle name="Normal 6 2 4 3 2 2 4 2 3" xfId="42406"/>
    <cellStyle name="Normal 6 2 4 3 2 2 4 3" xfId="19842"/>
    <cellStyle name="Normal 6 2 4 3 2 2 4 4" xfId="34885"/>
    <cellStyle name="Normal 6 2 4 3 2 2 5" xfId="8570"/>
    <cellStyle name="Normal 6 2 4 3 2 2 5 2" xfId="23614"/>
    <cellStyle name="Normal 6 2 4 3 2 2 5 3" xfId="38657"/>
    <cellStyle name="Normal 6 2 4 3 2 2 6" xfId="16093"/>
    <cellStyle name="Normal 6 2 4 3 2 2 7" xfId="31136"/>
    <cellStyle name="Normal 6 2 4 3 2 3" xfId="1475"/>
    <cellStyle name="Normal 6 2 4 3 2 3 2" xfId="3346"/>
    <cellStyle name="Normal 6 2 4 3 2 3 2 2" xfId="7141"/>
    <cellStyle name="Normal 6 2 4 3 2 3 2 2 2" xfId="14664"/>
    <cellStyle name="Normal 6 2 4 3 2 3 2 2 2 2" xfId="29708"/>
    <cellStyle name="Normal 6 2 4 3 2 3 2 2 2 3" xfId="44751"/>
    <cellStyle name="Normal 6 2 4 3 2 3 2 2 3" xfId="22187"/>
    <cellStyle name="Normal 6 2 4 3 2 3 2 2 4" xfId="37230"/>
    <cellStyle name="Normal 6 2 4 3 2 3 2 3" xfId="10915"/>
    <cellStyle name="Normal 6 2 4 3 2 3 2 3 2" xfId="25959"/>
    <cellStyle name="Normal 6 2 4 3 2 3 2 3 3" xfId="41002"/>
    <cellStyle name="Normal 6 2 4 3 2 3 2 4" xfId="18438"/>
    <cellStyle name="Normal 6 2 4 3 2 3 2 5" xfId="33481"/>
    <cellStyle name="Normal 6 2 4 3 2 3 3" xfId="5276"/>
    <cellStyle name="Normal 6 2 4 3 2 3 3 2" xfId="12799"/>
    <cellStyle name="Normal 6 2 4 3 2 3 3 2 2" xfId="27843"/>
    <cellStyle name="Normal 6 2 4 3 2 3 3 2 3" xfId="42886"/>
    <cellStyle name="Normal 6 2 4 3 2 3 3 3" xfId="20322"/>
    <cellStyle name="Normal 6 2 4 3 2 3 3 4" xfId="35365"/>
    <cellStyle name="Normal 6 2 4 3 2 3 4" xfId="9050"/>
    <cellStyle name="Normal 6 2 4 3 2 3 4 2" xfId="24094"/>
    <cellStyle name="Normal 6 2 4 3 2 3 4 3" xfId="39137"/>
    <cellStyle name="Normal 6 2 4 3 2 3 5" xfId="16573"/>
    <cellStyle name="Normal 6 2 4 3 2 3 6" xfId="31616"/>
    <cellStyle name="Normal 6 2 4 3 2 4" xfId="2413"/>
    <cellStyle name="Normal 6 2 4 3 2 4 2" xfId="6209"/>
    <cellStyle name="Normal 6 2 4 3 2 4 2 2" xfId="13732"/>
    <cellStyle name="Normal 6 2 4 3 2 4 2 2 2" xfId="28776"/>
    <cellStyle name="Normal 6 2 4 3 2 4 2 2 3" xfId="43819"/>
    <cellStyle name="Normal 6 2 4 3 2 4 2 3" xfId="21255"/>
    <cellStyle name="Normal 6 2 4 3 2 4 2 4" xfId="36298"/>
    <cellStyle name="Normal 6 2 4 3 2 4 3" xfId="9983"/>
    <cellStyle name="Normal 6 2 4 3 2 4 3 2" xfId="25027"/>
    <cellStyle name="Normal 6 2 4 3 2 4 3 3" xfId="40070"/>
    <cellStyle name="Normal 6 2 4 3 2 4 4" xfId="17506"/>
    <cellStyle name="Normal 6 2 4 3 2 4 5" xfId="32549"/>
    <cellStyle name="Normal 6 2 4 3 2 5" xfId="4341"/>
    <cellStyle name="Normal 6 2 4 3 2 5 2" xfId="11865"/>
    <cellStyle name="Normal 6 2 4 3 2 5 2 2" xfId="26909"/>
    <cellStyle name="Normal 6 2 4 3 2 5 2 3" xfId="41952"/>
    <cellStyle name="Normal 6 2 4 3 2 5 3" xfId="19388"/>
    <cellStyle name="Normal 6 2 4 3 2 5 4" xfId="34431"/>
    <cellStyle name="Normal 6 2 4 3 2 6" xfId="8104"/>
    <cellStyle name="Normal 6 2 4 3 2 6 2" xfId="23148"/>
    <cellStyle name="Normal 6 2 4 3 2 6 3" xfId="38191"/>
    <cellStyle name="Normal 6 2 4 3 2 7" xfId="15627"/>
    <cellStyle name="Normal 6 2 4 3 2 8" xfId="30670"/>
    <cellStyle name="Normal 6 2 4 3 3" xfId="967"/>
    <cellStyle name="Normal 6 2 4 3 3 2" xfId="1926"/>
    <cellStyle name="Normal 6 2 4 3 3 2 2" xfId="3797"/>
    <cellStyle name="Normal 6 2 4 3 3 2 2 2" xfId="7592"/>
    <cellStyle name="Normal 6 2 4 3 3 2 2 2 2" xfId="15115"/>
    <cellStyle name="Normal 6 2 4 3 3 2 2 2 2 2" xfId="30159"/>
    <cellStyle name="Normal 6 2 4 3 3 2 2 2 2 3" xfId="45202"/>
    <cellStyle name="Normal 6 2 4 3 3 2 2 2 3" xfId="22638"/>
    <cellStyle name="Normal 6 2 4 3 3 2 2 2 4" xfId="37681"/>
    <cellStyle name="Normal 6 2 4 3 3 2 2 3" xfId="11366"/>
    <cellStyle name="Normal 6 2 4 3 3 2 2 3 2" xfId="26410"/>
    <cellStyle name="Normal 6 2 4 3 3 2 2 3 3" xfId="41453"/>
    <cellStyle name="Normal 6 2 4 3 3 2 2 4" xfId="18889"/>
    <cellStyle name="Normal 6 2 4 3 3 2 2 5" xfId="33932"/>
    <cellStyle name="Normal 6 2 4 3 3 2 3" xfId="5727"/>
    <cellStyle name="Normal 6 2 4 3 3 2 3 2" xfId="13250"/>
    <cellStyle name="Normal 6 2 4 3 3 2 3 2 2" xfId="28294"/>
    <cellStyle name="Normal 6 2 4 3 3 2 3 2 3" xfId="43337"/>
    <cellStyle name="Normal 6 2 4 3 3 2 3 3" xfId="20773"/>
    <cellStyle name="Normal 6 2 4 3 3 2 3 4" xfId="35816"/>
    <cellStyle name="Normal 6 2 4 3 3 2 4" xfId="9501"/>
    <cellStyle name="Normal 6 2 4 3 3 2 4 2" xfId="24545"/>
    <cellStyle name="Normal 6 2 4 3 3 2 4 3" xfId="39588"/>
    <cellStyle name="Normal 6 2 4 3 3 2 5" xfId="17024"/>
    <cellStyle name="Normal 6 2 4 3 3 2 6" xfId="32067"/>
    <cellStyle name="Normal 6 2 4 3 3 3" xfId="2865"/>
    <cellStyle name="Normal 6 2 4 3 3 3 2" xfId="6660"/>
    <cellStyle name="Normal 6 2 4 3 3 3 2 2" xfId="14183"/>
    <cellStyle name="Normal 6 2 4 3 3 3 2 2 2" xfId="29227"/>
    <cellStyle name="Normal 6 2 4 3 3 3 2 2 3" xfId="44270"/>
    <cellStyle name="Normal 6 2 4 3 3 3 2 3" xfId="21706"/>
    <cellStyle name="Normal 6 2 4 3 3 3 2 4" xfId="36749"/>
    <cellStyle name="Normal 6 2 4 3 3 3 3" xfId="10434"/>
    <cellStyle name="Normal 6 2 4 3 3 3 3 2" xfId="25478"/>
    <cellStyle name="Normal 6 2 4 3 3 3 3 3" xfId="40521"/>
    <cellStyle name="Normal 6 2 4 3 3 3 4" xfId="17957"/>
    <cellStyle name="Normal 6 2 4 3 3 3 5" xfId="33000"/>
    <cellStyle name="Normal 6 2 4 3 3 4" xfId="4795"/>
    <cellStyle name="Normal 6 2 4 3 3 4 2" xfId="12318"/>
    <cellStyle name="Normal 6 2 4 3 3 4 2 2" xfId="27362"/>
    <cellStyle name="Normal 6 2 4 3 3 4 2 3" xfId="42405"/>
    <cellStyle name="Normal 6 2 4 3 3 4 3" xfId="19841"/>
    <cellStyle name="Normal 6 2 4 3 3 4 4" xfId="34884"/>
    <cellStyle name="Normal 6 2 4 3 3 5" xfId="8569"/>
    <cellStyle name="Normal 6 2 4 3 3 5 2" xfId="23613"/>
    <cellStyle name="Normal 6 2 4 3 3 5 3" xfId="38656"/>
    <cellStyle name="Normal 6 2 4 3 3 6" xfId="16092"/>
    <cellStyle name="Normal 6 2 4 3 3 7" xfId="31135"/>
    <cellStyle name="Normal 6 2 4 3 4" xfId="1474"/>
    <cellStyle name="Normal 6 2 4 3 4 2" xfId="3345"/>
    <cellStyle name="Normal 6 2 4 3 4 2 2" xfId="7140"/>
    <cellStyle name="Normal 6 2 4 3 4 2 2 2" xfId="14663"/>
    <cellStyle name="Normal 6 2 4 3 4 2 2 2 2" xfId="29707"/>
    <cellStyle name="Normal 6 2 4 3 4 2 2 2 3" xfId="44750"/>
    <cellStyle name="Normal 6 2 4 3 4 2 2 3" xfId="22186"/>
    <cellStyle name="Normal 6 2 4 3 4 2 2 4" xfId="37229"/>
    <cellStyle name="Normal 6 2 4 3 4 2 3" xfId="10914"/>
    <cellStyle name="Normal 6 2 4 3 4 2 3 2" xfId="25958"/>
    <cellStyle name="Normal 6 2 4 3 4 2 3 3" xfId="41001"/>
    <cellStyle name="Normal 6 2 4 3 4 2 4" xfId="18437"/>
    <cellStyle name="Normal 6 2 4 3 4 2 5" xfId="33480"/>
    <cellStyle name="Normal 6 2 4 3 4 3" xfId="5275"/>
    <cellStyle name="Normal 6 2 4 3 4 3 2" xfId="12798"/>
    <cellStyle name="Normal 6 2 4 3 4 3 2 2" xfId="27842"/>
    <cellStyle name="Normal 6 2 4 3 4 3 2 3" xfId="42885"/>
    <cellStyle name="Normal 6 2 4 3 4 3 3" xfId="20321"/>
    <cellStyle name="Normal 6 2 4 3 4 3 4" xfId="35364"/>
    <cellStyle name="Normal 6 2 4 3 4 4" xfId="9049"/>
    <cellStyle name="Normal 6 2 4 3 4 4 2" xfId="24093"/>
    <cellStyle name="Normal 6 2 4 3 4 4 3" xfId="39136"/>
    <cellStyle name="Normal 6 2 4 3 4 5" xfId="16572"/>
    <cellStyle name="Normal 6 2 4 3 4 6" xfId="31615"/>
    <cellStyle name="Normal 6 2 4 3 5" xfId="2412"/>
    <cellStyle name="Normal 6 2 4 3 5 2" xfId="6208"/>
    <cellStyle name="Normal 6 2 4 3 5 2 2" xfId="13731"/>
    <cellStyle name="Normal 6 2 4 3 5 2 2 2" xfId="28775"/>
    <cellStyle name="Normal 6 2 4 3 5 2 2 3" xfId="43818"/>
    <cellStyle name="Normal 6 2 4 3 5 2 3" xfId="21254"/>
    <cellStyle name="Normal 6 2 4 3 5 2 4" xfId="36297"/>
    <cellStyle name="Normal 6 2 4 3 5 3" xfId="9982"/>
    <cellStyle name="Normal 6 2 4 3 5 3 2" xfId="25026"/>
    <cellStyle name="Normal 6 2 4 3 5 3 3" xfId="40069"/>
    <cellStyle name="Normal 6 2 4 3 5 4" xfId="17505"/>
    <cellStyle name="Normal 6 2 4 3 5 5" xfId="32548"/>
    <cellStyle name="Normal 6 2 4 3 6" xfId="4340"/>
    <cellStyle name="Normal 6 2 4 3 6 2" xfId="11864"/>
    <cellStyle name="Normal 6 2 4 3 6 2 2" xfId="26908"/>
    <cellStyle name="Normal 6 2 4 3 6 2 3" xfId="41951"/>
    <cellStyle name="Normal 6 2 4 3 6 3" xfId="19387"/>
    <cellStyle name="Normal 6 2 4 3 6 4" xfId="34430"/>
    <cellStyle name="Normal 6 2 4 3 7" xfId="8103"/>
    <cellStyle name="Normal 6 2 4 3 7 2" xfId="23147"/>
    <cellStyle name="Normal 6 2 4 3 7 3" xfId="38190"/>
    <cellStyle name="Normal 6 2 4 3 8" xfId="15626"/>
    <cellStyle name="Normal 6 2 4 3 9" xfId="30669"/>
    <cellStyle name="Normal 6 2 4 4" xfId="450"/>
    <cellStyle name="Normal 6 2 4 4 2" xfId="969"/>
    <cellStyle name="Normal 6 2 4 4 2 2" xfId="1928"/>
    <cellStyle name="Normal 6 2 4 4 2 2 2" xfId="3799"/>
    <cellStyle name="Normal 6 2 4 4 2 2 2 2" xfId="7594"/>
    <cellStyle name="Normal 6 2 4 4 2 2 2 2 2" xfId="15117"/>
    <cellStyle name="Normal 6 2 4 4 2 2 2 2 2 2" xfId="30161"/>
    <cellStyle name="Normal 6 2 4 4 2 2 2 2 2 3" xfId="45204"/>
    <cellStyle name="Normal 6 2 4 4 2 2 2 2 3" xfId="22640"/>
    <cellStyle name="Normal 6 2 4 4 2 2 2 2 4" xfId="37683"/>
    <cellStyle name="Normal 6 2 4 4 2 2 2 3" xfId="11368"/>
    <cellStyle name="Normal 6 2 4 4 2 2 2 3 2" xfId="26412"/>
    <cellStyle name="Normal 6 2 4 4 2 2 2 3 3" xfId="41455"/>
    <cellStyle name="Normal 6 2 4 4 2 2 2 4" xfId="18891"/>
    <cellStyle name="Normal 6 2 4 4 2 2 2 5" xfId="33934"/>
    <cellStyle name="Normal 6 2 4 4 2 2 3" xfId="5729"/>
    <cellStyle name="Normal 6 2 4 4 2 2 3 2" xfId="13252"/>
    <cellStyle name="Normal 6 2 4 4 2 2 3 2 2" xfId="28296"/>
    <cellStyle name="Normal 6 2 4 4 2 2 3 2 3" xfId="43339"/>
    <cellStyle name="Normal 6 2 4 4 2 2 3 3" xfId="20775"/>
    <cellStyle name="Normal 6 2 4 4 2 2 3 4" xfId="35818"/>
    <cellStyle name="Normal 6 2 4 4 2 2 4" xfId="9503"/>
    <cellStyle name="Normal 6 2 4 4 2 2 4 2" xfId="24547"/>
    <cellStyle name="Normal 6 2 4 4 2 2 4 3" xfId="39590"/>
    <cellStyle name="Normal 6 2 4 4 2 2 5" xfId="17026"/>
    <cellStyle name="Normal 6 2 4 4 2 2 6" xfId="32069"/>
    <cellStyle name="Normal 6 2 4 4 2 3" xfId="2867"/>
    <cellStyle name="Normal 6 2 4 4 2 3 2" xfId="6662"/>
    <cellStyle name="Normal 6 2 4 4 2 3 2 2" xfId="14185"/>
    <cellStyle name="Normal 6 2 4 4 2 3 2 2 2" xfId="29229"/>
    <cellStyle name="Normal 6 2 4 4 2 3 2 2 3" xfId="44272"/>
    <cellStyle name="Normal 6 2 4 4 2 3 2 3" xfId="21708"/>
    <cellStyle name="Normal 6 2 4 4 2 3 2 4" xfId="36751"/>
    <cellStyle name="Normal 6 2 4 4 2 3 3" xfId="10436"/>
    <cellStyle name="Normal 6 2 4 4 2 3 3 2" xfId="25480"/>
    <cellStyle name="Normal 6 2 4 4 2 3 3 3" xfId="40523"/>
    <cellStyle name="Normal 6 2 4 4 2 3 4" xfId="17959"/>
    <cellStyle name="Normal 6 2 4 4 2 3 5" xfId="33002"/>
    <cellStyle name="Normal 6 2 4 4 2 4" xfId="4797"/>
    <cellStyle name="Normal 6 2 4 4 2 4 2" xfId="12320"/>
    <cellStyle name="Normal 6 2 4 4 2 4 2 2" xfId="27364"/>
    <cellStyle name="Normal 6 2 4 4 2 4 2 3" xfId="42407"/>
    <cellStyle name="Normal 6 2 4 4 2 4 3" xfId="19843"/>
    <cellStyle name="Normal 6 2 4 4 2 4 4" xfId="34886"/>
    <cellStyle name="Normal 6 2 4 4 2 5" xfId="8571"/>
    <cellStyle name="Normal 6 2 4 4 2 5 2" xfId="23615"/>
    <cellStyle name="Normal 6 2 4 4 2 5 3" xfId="38658"/>
    <cellStyle name="Normal 6 2 4 4 2 6" xfId="16094"/>
    <cellStyle name="Normal 6 2 4 4 2 7" xfId="31137"/>
    <cellStyle name="Normal 6 2 4 4 3" xfId="1476"/>
    <cellStyle name="Normal 6 2 4 4 3 2" xfId="3347"/>
    <cellStyle name="Normal 6 2 4 4 3 2 2" xfId="7142"/>
    <cellStyle name="Normal 6 2 4 4 3 2 2 2" xfId="14665"/>
    <cellStyle name="Normal 6 2 4 4 3 2 2 2 2" xfId="29709"/>
    <cellStyle name="Normal 6 2 4 4 3 2 2 2 3" xfId="44752"/>
    <cellStyle name="Normal 6 2 4 4 3 2 2 3" xfId="22188"/>
    <cellStyle name="Normal 6 2 4 4 3 2 2 4" xfId="37231"/>
    <cellStyle name="Normal 6 2 4 4 3 2 3" xfId="10916"/>
    <cellStyle name="Normal 6 2 4 4 3 2 3 2" xfId="25960"/>
    <cellStyle name="Normal 6 2 4 4 3 2 3 3" xfId="41003"/>
    <cellStyle name="Normal 6 2 4 4 3 2 4" xfId="18439"/>
    <cellStyle name="Normal 6 2 4 4 3 2 5" xfId="33482"/>
    <cellStyle name="Normal 6 2 4 4 3 3" xfId="5277"/>
    <cellStyle name="Normal 6 2 4 4 3 3 2" xfId="12800"/>
    <cellStyle name="Normal 6 2 4 4 3 3 2 2" xfId="27844"/>
    <cellStyle name="Normal 6 2 4 4 3 3 2 3" xfId="42887"/>
    <cellStyle name="Normal 6 2 4 4 3 3 3" xfId="20323"/>
    <cellStyle name="Normal 6 2 4 4 3 3 4" xfId="35366"/>
    <cellStyle name="Normal 6 2 4 4 3 4" xfId="9051"/>
    <cellStyle name="Normal 6 2 4 4 3 4 2" xfId="24095"/>
    <cellStyle name="Normal 6 2 4 4 3 4 3" xfId="39138"/>
    <cellStyle name="Normal 6 2 4 4 3 5" xfId="16574"/>
    <cellStyle name="Normal 6 2 4 4 3 6" xfId="31617"/>
    <cellStyle name="Normal 6 2 4 4 4" xfId="2414"/>
    <cellStyle name="Normal 6 2 4 4 4 2" xfId="6210"/>
    <cellStyle name="Normal 6 2 4 4 4 2 2" xfId="13733"/>
    <cellStyle name="Normal 6 2 4 4 4 2 2 2" xfId="28777"/>
    <cellStyle name="Normal 6 2 4 4 4 2 2 3" xfId="43820"/>
    <cellStyle name="Normal 6 2 4 4 4 2 3" xfId="21256"/>
    <cellStyle name="Normal 6 2 4 4 4 2 4" xfId="36299"/>
    <cellStyle name="Normal 6 2 4 4 4 3" xfId="9984"/>
    <cellStyle name="Normal 6 2 4 4 4 3 2" xfId="25028"/>
    <cellStyle name="Normal 6 2 4 4 4 3 3" xfId="40071"/>
    <cellStyle name="Normal 6 2 4 4 4 4" xfId="17507"/>
    <cellStyle name="Normal 6 2 4 4 4 5" xfId="32550"/>
    <cellStyle name="Normal 6 2 4 4 5" xfId="4342"/>
    <cellStyle name="Normal 6 2 4 4 5 2" xfId="11866"/>
    <cellStyle name="Normal 6 2 4 4 5 2 2" xfId="26910"/>
    <cellStyle name="Normal 6 2 4 4 5 2 3" xfId="41953"/>
    <cellStyle name="Normal 6 2 4 4 5 3" xfId="19389"/>
    <cellStyle name="Normal 6 2 4 4 5 4" xfId="34432"/>
    <cellStyle name="Normal 6 2 4 4 6" xfId="8105"/>
    <cellStyle name="Normal 6 2 4 4 6 2" xfId="23149"/>
    <cellStyle name="Normal 6 2 4 4 6 3" xfId="38192"/>
    <cellStyle name="Normal 6 2 4 4 7" xfId="15628"/>
    <cellStyle name="Normal 6 2 4 4 8" xfId="30671"/>
    <cellStyle name="Normal 6 2 4 5" xfId="964"/>
    <cellStyle name="Normal 6 2 4 5 2" xfId="1923"/>
    <cellStyle name="Normal 6 2 4 5 2 2" xfId="3794"/>
    <cellStyle name="Normal 6 2 4 5 2 2 2" xfId="7589"/>
    <cellStyle name="Normal 6 2 4 5 2 2 2 2" xfId="15112"/>
    <cellStyle name="Normal 6 2 4 5 2 2 2 2 2" xfId="30156"/>
    <cellStyle name="Normal 6 2 4 5 2 2 2 2 3" xfId="45199"/>
    <cellStyle name="Normal 6 2 4 5 2 2 2 3" xfId="22635"/>
    <cellStyle name="Normal 6 2 4 5 2 2 2 4" xfId="37678"/>
    <cellStyle name="Normal 6 2 4 5 2 2 3" xfId="11363"/>
    <cellStyle name="Normal 6 2 4 5 2 2 3 2" xfId="26407"/>
    <cellStyle name="Normal 6 2 4 5 2 2 3 3" xfId="41450"/>
    <cellStyle name="Normal 6 2 4 5 2 2 4" xfId="18886"/>
    <cellStyle name="Normal 6 2 4 5 2 2 5" xfId="33929"/>
    <cellStyle name="Normal 6 2 4 5 2 3" xfId="5724"/>
    <cellStyle name="Normal 6 2 4 5 2 3 2" xfId="13247"/>
    <cellStyle name="Normal 6 2 4 5 2 3 2 2" xfId="28291"/>
    <cellStyle name="Normal 6 2 4 5 2 3 2 3" xfId="43334"/>
    <cellStyle name="Normal 6 2 4 5 2 3 3" xfId="20770"/>
    <cellStyle name="Normal 6 2 4 5 2 3 4" xfId="35813"/>
    <cellStyle name="Normal 6 2 4 5 2 4" xfId="9498"/>
    <cellStyle name="Normal 6 2 4 5 2 4 2" xfId="24542"/>
    <cellStyle name="Normal 6 2 4 5 2 4 3" xfId="39585"/>
    <cellStyle name="Normal 6 2 4 5 2 5" xfId="17021"/>
    <cellStyle name="Normal 6 2 4 5 2 6" xfId="32064"/>
    <cellStyle name="Normal 6 2 4 5 3" xfId="2862"/>
    <cellStyle name="Normal 6 2 4 5 3 2" xfId="6657"/>
    <cellStyle name="Normal 6 2 4 5 3 2 2" xfId="14180"/>
    <cellStyle name="Normal 6 2 4 5 3 2 2 2" xfId="29224"/>
    <cellStyle name="Normal 6 2 4 5 3 2 2 3" xfId="44267"/>
    <cellStyle name="Normal 6 2 4 5 3 2 3" xfId="21703"/>
    <cellStyle name="Normal 6 2 4 5 3 2 4" xfId="36746"/>
    <cellStyle name="Normal 6 2 4 5 3 3" xfId="10431"/>
    <cellStyle name="Normal 6 2 4 5 3 3 2" xfId="25475"/>
    <cellStyle name="Normal 6 2 4 5 3 3 3" xfId="40518"/>
    <cellStyle name="Normal 6 2 4 5 3 4" xfId="17954"/>
    <cellStyle name="Normal 6 2 4 5 3 5" xfId="32997"/>
    <cellStyle name="Normal 6 2 4 5 4" xfId="4792"/>
    <cellStyle name="Normal 6 2 4 5 4 2" xfId="12315"/>
    <cellStyle name="Normal 6 2 4 5 4 2 2" xfId="27359"/>
    <cellStyle name="Normal 6 2 4 5 4 2 3" xfId="42402"/>
    <cellStyle name="Normal 6 2 4 5 4 3" xfId="19838"/>
    <cellStyle name="Normal 6 2 4 5 4 4" xfId="34881"/>
    <cellStyle name="Normal 6 2 4 5 5" xfId="8566"/>
    <cellStyle name="Normal 6 2 4 5 5 2" xfId="23610"/>
    <cellStyle name="Normal 6 2 4 5 5 3" xfId="38653"/>
    <cellStyle name="Normal 6 2 4 5 6" xfId="16089"/>
    <cellStyle name="Normal 6 2 4 5 7" xfId="31132"/>
    <cellStyle name="Normal 6 2 4 6" xfId="1471"/>
    <cellStyle name="Normal 6 2 4 6 2" xfId="3342"/>
    <cellStyle name="Normal 6 2 4 6 2 2" xfId="7137"/>
    <cellStyle name="Normal 6 2 4 6 2 2 2" xfId="14660"/>
    <cellStyle name="Normal 6 2 4 6 2 2 2 2" xfId="29704"/>
    <cellStyle name="Normal 6 2 4 6 2 2 2 3" xfId="44747"/>
    <cellStyle name="Normal 6 2 4 6 2 2 3" xfId="22183"/>
    <cellStyle name="Normal 6 2 4 6 2 2 4" xfId="37226"/>
    <cellStyle name="Normal 6 2 4 6 2 3" xfId="10911"/>
    <cellStyle name="Normal 6 2 4 6 2 3 2" xfId="25955"/>
    <cellStyle name="Normal 6 2 4 6 2 3 3" xfId="40998"/>
    <cellStyle name="Normal 6 2 4 6 2 4" xfId="18434"/>
    <cellStyle name="Normal 6 2 4 6 2 5" xfId="33477"/>
    <cellStyle name="Normal 6 2 4 6 3" xfId="5272"/>
    <cellStyle name="Normal 6 2 4 6 3 2" xfId="12795"/>
    <cellStyle name="Normal 6 2 4 6 3 2 2" xfId="27839"/>
    <cellStyle name="Normal 6 2 4 6 3 2 3" xfId="42882"/>
    <cellStyle name="Normal 6 2 4 6 3 3" xfId="20318"/>
    <cellStyle name="Normal 6 2 4 6 3 4" xfId="35361"/>
    <cellStyle name="Normal 6 2 4 6 4" xfId="9046"/>
    <cellStyle name="Normal 6 2 4 6 4 2" xfId="24090"/>
    <cellStyle name="Normal 6 2 4 6 4 3" xfId="39133"/>
    <cellStyle name="Normal 6 2 4 6 5" xfId="16569"/>
    <cellStyle name="Normal 6 2 4 6 6" xfId="31612"/>
    <cellStyle name="Normal 6 2 4 7" xfId="2409"/>
    <cellStyle name="Normal 6 2 4 7 2" xfId="6205"/>
    <cellStyle name="Normal 6 2 4 7 2 2" xfId="13728"/>
    <cellStyle name="Normal 6 2 4 7 2 2 2" xfId="28772"/>
    <cellStyle name="Normal 6 2 4 7 2 2 3" xfId="43815"/>
    <cellStyle name="Normal 6 2 4 7 2 3" xfId="21251"/>
    <cellStyle name="Normal 6 2 4 7 2 4" xfId="36294"/>
    <cellStyle name="Normal 6 2 4 7 3" xfId="9979"/>
    <cellStyle name="Normal 6 2 4 7 3 2" xfId="25023"/>
    <cellStyle name="Normal 6 2 4 7 3 3" xfId="40066"/>
    <cellStyle name="Normal 6 2 4 7 4" xfId="17502"/>
    <cellStyle name="Normal 6 2 4 7 5" xfId="32545"/>
    <cellStyle name="Normal 6 2 4 8" xfId="4337"/>
    <cellStyle name="Normal 6 2 4 8 2" xfId="11861"/>
    <cellStyle name="Normal 6 2 4 8 2 2" xfId="26905"/>
    <cellStyle name="Normal 6 2 4 8 2 3" xfId="41948"/>
    <cellStyle name="Normal 6 2 4 8 3" xfId="19384"/>
    <cellStyle name="Normal 6 2 4 8 4" xfId="34427"/>
    <cellStyle name="Normal 6 2 4 9" xfId="8100"/>
    <cellStyle name="Normal 6 2 4 9 2" xfId="23144"/>
    <cellStyle name="Normal 6 2 4 9 3" xfId="38187"/>
    <cellStyle name="Normal 6 2 5" xfId="451"/>
    <cellStyle name="Normal 6 2 5 2" xfId="452"/>
    <cellStyle name="Normal 6 2 5 2 2" xfId="971"/>
    <cellStyle name="Normal 6 2 5 2 2 2" xfId="1930"/>
    <cellStyle name="Normal 6 2 5 2 2 2 2" xfId="3801"/>
    <cellStyle name="Normal 6 2 5 2 2 2 2 2" xfId="7596"/>
    <cellStyle name="Normal 6 2 5 2 2 2 2 2 2" xfId="15119"/>
    <cellStyle name="Normal 6 2 5 2 2 2 2 2 2 2" xfId="30163"/>
    <cellStyle name="Normal 6 2 5 2 2 2 2 2 2 3" xfId="45206"/>
    <cellStyle name="Normal 6 2 5 2 2 2 2 2 3" xfId="22642"/>
    <cellStyle name="Normal 6 2 5 2 2 2 2 2 4" xfId="37685"/>
    <cellStyle name="Normal 6 2 5 2 2 2 2 3" xfId="11370"/>
    <cellStyle name="Normal 6 2 5 2 2 2 2 3 2" xfId="26414"/>
    <cellStyle name="Normal 6 2 5 2 2 2 2 3 3" xfId="41457"/>
    <cellStyle name="Normal 6 2 5 2 2 2 2 4" xfId="18893"/>
    <cellStyle name="Normal 6 2 5 2 2 2 2 5" xfId="33936"/>
    <cellStyle name="Normal 6 2 5 2 2 2 3" xfId="5731"/>
    <cellStyle name="Normal 6 2 5 2 2 2 3 2" xfId="13254"/>
    <cellStyle name="Normal 6 2 5 2 2 2 3 2 2" xfId="28298"/>
    <cellStyle name="Normal 6 2 5 2 2 2 3 2 3" xfId="43341"/>
    <cellStyle name="Normal 6 2 5 2 2 2 3 3" xfId="20777"/>
    <cellStyle name="Normal 6 2 5 2 2 2 3 4" xfId="35820"/>
    <cellStyle name="Normal 6 2 5 2 2 2 4" xfId="9505"/>
    <cellStyle name="Normal 6 2 5 2 2 2 4 2" xfId="24549"/>
    <cellStyle name="Normal 6 2 5 2 2 2 4 3" xfId="39592"/>
    <cellStyle name="Normal 6 2 5 2 2 2 5" xfId="17028"/>
    <cellStyle name="Normal 6 2 5 2 2 2 6" xfId="32071"/>
    <cellStyle name="Normal 6 2 5 2 2 3" xfId="2869"/>
    <cellStyle name="Normal 6 2 5 2 2 3 2" xfId="6664"/>
    <cellStyle name="Normal 6 2 5 2 2 3 2 2" xfId="14187"/>
    <cellStyle name="Normal 6 2 5 2 2 3 2 2 2" xfId="29231"/>
    <cellStyle name="Normal 6 2 5 2 2 3 2 2 3" xfId="44274"/>
    <cellStyle name="Normal 6 2 5 2 2 3 2 3" xfId="21710"/>
    <cellStyle name="Normal 6 2 5 2 2 3 2 4" xfId="36753"/>
    <cellStyle name="Normal 6 2 5 2 2 3 3" xfId="10438"/>
    <cellStyle name="Normal 6 2 5 2 2 3 3 2" xfId="25482"/>
    <cellStyle name="Normal 6 2 5 2 2 3 3 3" xfId="40525"/>
    <cellStyle name="Normal 6 2 5 2 2 3 4" xfId="17961"/>
    <cellStyle name="Normal 6 2 5 2 2 3 5" xfId="33004"/>
    <cellStyle name="Normal 6 2 5 2 2 4" xfId="4799"/>
    <cellStyle name="Normal 6 2 5 2 2 4 2" xfId="12322"/>
    <cellStyle name="Normal 6 2 5 2 2 4 2 2" xfId="27366"/>
    <cellStyle name="Normal 6 2 5 2 2 4 2 3" xfId="42409"/>
    <cellStyle name="Normal 6 2 5 2 2 4 3" xfId="19845"/>
    <cellStyle name="Normal 6 2 5 2 2 4 4" xfId="34888"/>
    <cellStyle name="Normal 6 2 5 2 2 5" xfId="8573"/>
    <cellStyle name="Normal 6 2 5 2 2 5 2" xfId="23617"/>
    <cellStyle name="Normal 6 2 5 2 2 5 3" xfId="38660"/>
    <cellStyle name="Normal 6 2 5 2 2 6" xfId="16096"/>
    <cellStyle name="Normal 6 2 5 2 2 7" xfId="31139"/>
    <cellStyle name="Normal 6 2 5 2 3" xfId="1478"/>
    <cellStyle name="Normal 6 2 5 2 3 2" xfId="3349"/>
    <cellStyle name="Normal 6 2 5 2 3 2 2" xfId="7144"/>
    <cellStyle name="Normal 6 2 5 2 3 2 2 2" xfId="14667"/>
    <cellStyle name="Normal 6 2 5 2 3 2 2 2 2" xfId="29711"/>
    <cellStyle name="Normal 6 2 5 2 3 2 2 2 3" xfId="44754"/>
    <cellStyle name="Normal 6 2 5 2 3 2 2 3" xfId="22190"/>
    <cellStyle name="Normal 6 2 5 2 3 2 2 4" xfId="37233"/>
    <cellStyle name="Normal 6 2 5 2 3 2 3" xfId="10918"/>
    <cellStyle name="Normal 6 2 5 2 3 2 3 2" xfId="25962"/>
    <cellStyle name="Normal 6 2 5 2 3 2 3 3" xfId="41005"/>
    <cellStyle name="Normal 6 2 5 2 3 2 4" xfId="18441"/>
    <cellStyle name="Normal 6 2 5 2 3 2 5" xfId="33484"/>
    <cellStyle name="Normal 6 2 5 2 3 3" xfId="5279"/>
    <cellStyle name="Normal 6 2 5 2 3 3 2" xfId="12802"/>
    <cellStyle name="Normal 6 2 5 2 3 3 2 2" xfId="27846"/>
    <cellStyle name="Normal 6 2 5 2 3 3 2 3" xfId="42889"/>
    <cellStyle name="Normal 6 2 5 2 3 3 3" xfId="20325"/>
    <cellStyle name="Normal 6 2 5 2 3 3 4" xfId="35368"/>
    <cellStyle name="Normal 6 2 5 2 3 4" xfId="9053"/>
    <cellStyle name="Normal 6 2 5 2 3 4 2" xfId="24097"/>
    <cellStyle name="Normal 6 2 5 2 3 4 3" xfId="39140"/>
    <cellStyle name="Normal 6 2 5 2 3 5" xfId="16576"/>
    <cellStyle name="Normal 6 2 5 2 3 6" xfId="31619"/>
    <cellStyle name="Normal 6 2 5 2 4" xfId="2416"/>
    <cellStyle name="Normal 6 2 5 2 4 2" xfId="6212"/>
    <cellStyle name="Normal 6 2 5 2 4 2 2" xfId="13735"/>
    <cellStyle name="Normal 6 2 5 2 4 2 2 2" xfId="28779"/>
    <cellStyle name="Normal 6 2 5 2 4 2 2 3" xfId="43822"/>
    <cellStyle name="Normal 6 2 5 2 4 2 3" xfId="21258"/>
    <cellStyle name="Normal 6 2 5 2 4 2 4" xfId="36301"/>
    <cellStyle name="Normal 6 2 5 2 4 3" xfId="9986"/>
    <cellStyle name="Normal 6 2 5 2 4 3 2" xfId="25030"/>
    <cellStyle name="Normal 6 2 5 2 4 3 3" xfId="40073"/>
    <cellStyle name="Normal 6 2 5 2 4 4" xfId="17509"/>
    <cellStyle name="Normal 6 2 5 2 4 5" xfId="32552"/>
    <cellStyle name="Normal 6 2 5 2 5" xfId="4344"/>
    <cellStyle name="Normal 6 2 5 2 5 2" xfId="11868"/>
    <cellStyle name="Normal 6 2 5 2 5 2 2" xfId="26912"/>
    <cellStyle name="Normal 6 2 5 2 5 2 3" xfId="41955"/>
    <cellStyle name="Normal 6 2 5 2 5 3" xfId="19391"/>
    <cellStyle name="Normal 6 2 5 2 5 4" xfId="34434"/>
    <cellStyle name="Normal 6 2 5 2 6" xfId="8107"/>
    <cellStyle name="Normal 6 2 5 2 6 2" xfId="23151"/>
    <cellStyle name="Normal 6 2 5 2 6 3" xfId="38194"/>
    <cellStyle name="Normal 6 2 5 2 7" xfId="15630"/>
    <cellStyle name="Normal 6 2 5 2 8" xfId="30673"/>
    <cellStyle name="Normal 6 2 5 3" xfId="970"/>
    <cellStyle name="Normal 6 2 5 3 2" xfId="1929"/>
    <cellStyle name="Normal 6 2 5 3 2 2" xfId="3800"/>
    <cellStyle name="Normal 6 2 5 3 2 2 2" xfId="7595"/>
    <cellStyle name="Normal 6 2 5 3 2 2 2 2" xfId="15118"/>
    <cellStyle name="Normal 6 2 5 3 2 2 2 2 2" xfId="30162"/>
    <cellStyle name="Normal 6 2 5 3 2 2 2 2 3" xfId="45205"/>
    <cellStyle name="Normal 6 2 5 3 2 2 2 3" xfId="22641"/>
    <cellStyle name="Normal 6 2 5 3 2 2 2 4" xfId="37684"/>
    <cellStyle name="Normal 6 2 5 3 2 2 3" xfId="11369"/>
    <cellStyle name="Normal 6 2 5 3 2 2 3 2" xfId="26413"/>
    <cellStyle name="Normal 6 2 5 3 2 2 3 3" xfId="41456"/>
    <cellStyle name="Normal 6 2 5 3 2 2 4" xfId="18892"/>
    <cellStyle name="Normal 6 2 5 3 2 2 5" xfId="33935"/>
    <cellStyle name="Normal 6 2 5 3 2 3" xfId="5730"/>
    <cellStyle name="Normal 6 2 5 3 2 3 2" xfId="13253"/>
    <cellStyle name="Normal 6 2 5 3 2 3 2 2" xfId="28297"/>
    <cellStyle name="Normal 6 2 5 3 2 3 2 3" xfId="43340"/>
    <cellStyle name="Normal 6 2 5 3 2 3 3" xfId="20776"/>
    <cellStyle name="Normal 6 2 5 3 2 3 4" xfId="35819"/>
    <cellStyle name="Normal 6 2 5 3 2 4" xfId="9504"/>
    <cellStyle name="Normal 6 2 5 3 2 4 2" xfId="24548"/>
    <cellStyle name="Normal 6 2 5 3 2 4 3" xfId="39591"/>
    <cellStyle name="Normal 6 2 5 3 2 5" xfId="17027"/>
    <cellStyle name="Normal 6 2 5 3 2 6" xfId="32070"/>
    <cellStyle name="Normal 6 2 5 3 3" xfId="2868"/>
    <cellStyle name="Normal 6 2 5 3 3 2" xfId="6663"/>
    <cellStyle name="Normal 6 2 5 3 3 2 2" xfId="14186"/>
    <cellStyle name="Normal 6 2 5 3 3 2 2 2" xfId="29230"/>
    <cellStyle name="Normal 6 2 5 3 3 2 2 3" xfId="44273"/>
    <cellStyle name="Normal 6 2 5 3 3 2 3" xfId="21709"/>
    <cellStyle name="Normal 6 2 5 3 3 2 4" xfId="36752"/>
    <cellStyle name="Normal 6 2 5 3 3 3" xfId="10437"/>
    <cellStyle name="Normal 6 2 5 3 3 3 2" xfId="25481"/>
    <cellStyle name="Normal 6 2 5 3 3 3 3" xfId="40524"/>
    <cellStyle name="Normal 6 2 5 3 3 4" xfId="17960"/>
    <cellStyle name="Normal 6 2 5 3 3 5" xfId="33003"/>
    <cellStyle name="Normal 6 2 5 3 4" xfId="4798"/>
    <cellStyle name="Normal 6 2 5 3 4 2" xfId="12321"/>
    <cellStyle name="Normal 6 2 5 3 4 2 2" xfId="27365"/>
    <cellStyle name="Normal 6 2 5 3 4 2 3" xfId="42408"/>
    <cellStyle name="Normal 6 2 5 3 4 3" xfId="19844"/>
    <cellStyle name="Normal 6 2 5 3 4 4" xfId="34887"/>
    <cellStyle name="Normal 6 2 5 3 5" xfId="8572"/>
    <cellStyle name="Normal 6 2 5 3 5 2" xfId="23616"/>
    <cellStyle name="Normal 6 2 5 3 5 3" xfId="38659"/>
    <cellStyle name="Normal 6 2 5 3 6" xfId="16095"/>
    <cellStyle name="Normal 6 2 5 3 7" xfId="31138"/>
    <cellStyle name="Normal 6 2 5 4" xfId="1477"/>
    <cellStyle name="Normal 6 2 5 4 2" xfId="3348"/>
    <cellStyle name="Normal 6 2 5 4 2 2" xfId="7143"/>
    <cellStyle name="Normal 6 2 5 4 2 2 2" xfId="14666"/>
    <cellStyle name="Normal 6 2 5 4 2 2 2 2" xfId="29710"/>
    <cellStyle name="Normal 6 2 5 4 2 2 2 3" xfId="44753"/>
    <cellStyle name="Normal 6 2 5 4 2 2 3" xfId="22189"/>
    <cellStyle name="Normal 6 2 5 4 2 2 4" xfId="37232"/>
    <cellStyle name="Normal 6 2 5 4 2 3" xfId="10917"/>
    <cellStyle name="Normal 6 2 5 4 2 3 2" xfId="25961"/>
    <cellStyle name="Normal 6 2 5 4 2 3 3" xfId="41004"/>
    <cellStyle name="Normal 6 2 5 4 2 4" xfId="18440"/>
    <cellStyle name="Normal 6 2 5 4 2 5" xfId="33483"/>
    <cellStyle name="Normal 6 2 5 4 3" xfId="5278"/>
    <cellStyle name="Normal 6 2 5 4 3 2" xfId="12801"/>
    <cellStyle name="Normal 6 2 5 4 3 2 2" xfId="27845"/>
    <cellStyle name="Normal 6 2 5 4 3 2 3" xfId="42888"/>
    <cellStyle name="Normal 6 2 5 4 3 3" xfId="20324"/>
    <cellStyle name="Normal 6 2 5 4 3 4" xfId="35367"/>
    <cellStyle name="Normal 6 2 5 4 4" xfId="9052"/>
    <cellStyle name="Normal 6 2 5 4 4 2" xfId="24096"/>
    <cellStyle name="Normal 6 2 5 4 4 3" xfId="39139"/>
    <cellStyle name="Normal 6 2 5 4 5" xfId="16575"/>
    <cellStyle name="Normal 6 2 5 4 6" xfId="31618"/>
    <cellStyle name="Normal 6 2 5 5" xfId="2415"/>
    <cellStyle name="Normal 6 2 5 5 2" xfId="6211"/>
    <cellStyle name="Normal 6 2 5 5 2 2" xfId="13734"/>
    <cellStyle name="Normal 6 2 5 5 2 2 2" xfId="28778"/>
    <cellStyle name="Normal 6 2 5 5 2 2 3" xfId="43821"/>
    <cellStyle name="Normal 6 2 5 5 2 3" xfId="21257"/>
    <cellStyle name="Normal 6 2 5 5 2 4" xfId="36300"/>
    <cellStyle name="Normal 6 2 5 5 3" xfId="9985"/>
    <cellStyle name="Normal 6 2 5 5 3 2" xfId="25029"/>
    <cellStyle name="Normal 6 2 5 5 3 3" xfId="40072"/>
    <cellStyle name="Normal 6 2 5 5 4" xfId="17508"/>
    <cellStyle name="Normal 6 2 5 5 5" xfId="32551"/>
    <cellStyle name="Normal 6 2 5 6" xfId="4343"/>
    <cellStyle name="Normal 6 2 5 6 2" xfId="11867"/>
    <cellStyle name="Normal 6 2 5 6 2 2" xfId="26911"/>
    <cellStyle name="Normal 6 2 5 6 2 3" xfId="41954"/>
    <cellStyle name="Normal 6 2 5 6 3" xfId="19390"/>
    <cellStyle name="Normal 6 2 5 6 4" xfId="34433"/>
    <cellStyle name="Normal 6 2 5 7" xfId="8106"/>
    <cellStyle name="Normal 6 2 5 7 2" xfId="23150"/>
    <cellStyle name="Normal 6 2 5 7 3" xfId="38193"/>
    <cellStyle name="Normal 6 2 5 8" xfId="15629"/>
    <cellStyle name="Normal 6 2 5 9" xfId="30672"/>
    <cellStyle name="Normal 6 2 6" xfId="453"/>
    <cellStyle name="Normal 6 2 6 2" xfId="454"/>
    <cellStyle name="Normal 6 2 6 2 2" xfId="973"/>
    <cellStyle name="Normal 6 2 6 2 2 2" xfId="1932"/>
    <cellStyle name="Normal 6 2 6 2 2 2 2" xfId="3803"/>
    <cellStyle name="Normal 6 2 6 2 2 2 2 2" xfId="7598"/>
    <cellStyle name="Normal 6 2 6 2 2 2 2 2 2" xfId="15121"/>
    <cellStyle name="Normal 6 2 6 2 2 2 2 2 2 2" xfId="30165"/>
    <cellStyle name="Normal 6 2 6 2 2 2 2 2 2 3" xfId="45208"/>
    <cellStyle name="Normal 6 2 6 2 2 2 2 2 3" xfId="22644"/>
    <cellStyle name="Normal 6 2 6 2 2 2 2 2 4" xfId="37687"/>
    <cellStyle name="Normal 6 2 6 2 2 2 2 3" xfId="11372"/>
    <cellStyle name="Normal 6 2 6 2 2 2 2 3 2" xfId="26416"/>
    <cellStyle name="Normal 6 2 6 2 2 2 2 3 3" xfId="41459"/>
    <cellStyle name="Normal 6 2 6 2 2 2 2 4" xfId="18895"/>
    <cellStyle name="Normal 6 2 6 2 2 2 2 5" xfId="33938"/>
    <cellStyle name="Normal 6 2 6 2 2 2 3" xfId="5733"/>
    <cellStyle name="Normal 6 2 6 2 2 2 3 2" xfId="13256"/>
    <cellStyle name="Normal 6 2 6 2 2 2 3 2 2" xfId="28300"/>
    <cellStyle name="Normal 6 2 6 2 2 2 3 2 3" xfId="43343"/>
    <cellStyle name="Normal 6 2 6 2 2 2 3 3" xfId="20779"/>
    <cellStyle name="Normal 6 2 6 2 2 2 3 4" xfId="35822"/>
    <cellStyle name="Normal 6 2 6 2 2 2 4" xfId="9507"/>
    <cellStyle name="Normal 6 2 6 2 2 2 4 2" xfId="24551"/>
    <cellStyle name="Normal 6 2 6 2 2 2 4 3" xfId="39594"/>
    <cellStyle name="Normal 6 2 6 2 2 2 5" xfId="17030"/>
    <cellStyle name="Normal 6 2 6 2 2 2 6" xfId="32073"/>
    <cellStyle name="Normal 6 2 6 2 2 3" xfId="2871"/>
    <cellStyle name="Normal 6 2 6 2 2 3 2" xfId="6666"/>
    <cellStyle name="Normal 6 2 6 2 2 3 2 2" xfId="14189"/>
    <cellStyle name="Normal 6 2 6 2 2 3 2 2 2" xfId="29233"/>
    <cellStyle name="Normal 6 2 6 2 2 3 2 2 3" xfId="44276"/>
    <cellStyle name="Normal 6 2 6 2 2 3 2 3" xfId="21712"/>
    <cellStyle name="Normal 6 2 6 2 2 3 2 4" xfId="36755"/>
    <cellStyle name="Normal 6 2 6 2 2 3 3" xfId="10440"/>
    <cellStyle name="Normal 6 2 6 2 2 3 3 2" xfId="25484"/>
    <cellStyle name="Normal 6 2 6 2 2 3 3 3" xfId="40527"/>
    <cellStyle name="Normal 6 2 6 2 2 3 4" xfId="17963"/>
    <cellStyle name="Normal 6 2 6 2 2 3 5" xfId="33006"/>
    <cellStyle name="Normal 6 2 6 2 2 4" xfId="4801"/>
    <cellStyle name="Normal 6 2 6 2 2 4 2" xfId="12324"/>
    <cellStyle name="Normal 6 2 6 2 2 4 2 2" xfId="27368"/>
    <cellStyle name="Normal 6 2 6 2 2 4 2 3" xfId="42411"/>
    <cellStyle name="Normal 6 2 6 2 2 4 3" xfId="19847"/>
    <cellStyle name="Normal 6 2 6 2 2 4 4" xfId="34890"/>
    <cellStyle name="Normal 6 2 6 2 2 5" xfId="8575"/>
    <cellStyle name="Normal 6 2 6 2 2 5 2" xfId="23619"/>
    <cellStyle name="Normal 6 2 6 2 2 5 3" xfId="38662"/>
    <cellStyle name="Normal 6 2 6 2 2 6" xfId="16098"/>
    <cellStyle name="Normal 6 2 6 2 2 7" xfId="31141"/>
    <cellStyle name="Normal 6 2 6 2 3" xfId="1480"/>
    <cellStyle name="Normal 6 2 6 2 3 2" xfId="3351"/>
    <cellStyle name="Normal 6 2 6 2 3 2 2" xfId="7146"/>
    <cellStyle name="Normal 6 2 6 2 3 2 2 2" xfId="14669"/>
    <cellStyle name="Normal 6 2 6 2 3 2 2 2 2" xfId="29713"/>
    <cellStyle name="Normal 6 2 6 2 3 2 2 2 3" xfId="44756"/>
    <cellStyle name="Normal 6 2 6 2 3 2 2 3" xfId="22192"/>
    <cellStyle name="Normal 6 2 6 2 3 2 2 4" xfId="37235"/>
    <cellStyle name="Normal 6 2 6 2 3 2 3" xfId="10920"/>
    <cellStyle name="Normal 6 2 6 2 3 2 3 2" xfId="25964"/>
    <cellStyle name="Normal 6 2 6 2 3 2 3 3" xfId="41007"/>
    <cellStyle name="Normal 6 2 6 2 3 2 4" xfId="18443"/>
    <cellStyle name="Normal 6 2 6 2 3 2 5" xfId="33486"/>
    <cellStyle name="Normal 6 2 6 2 3 3" xfId="5281"/>
    <cellStyle name="Normal 6 2 6 2 3 3 2" xfId="12804"/>
    <cellStyle name="Normal 6 2 6 2 3 3 2 2" xfId="27848"/>
    <cellStyle name="Normal 6 2 6 2 3 3 2 3" xfId="42891"/>
    <cellStyle name="Normal 6 2 6 2 3 3 3" xfId="20327"/>
    <cellStyle name="Normal 6 2 6 2 3 3 4" xfId="35370"/>
    <cellStyle name="Normal 6 2 6 2 3 4" xfId="9055"/>
    <cellStyle name="Normal 6 2 6 2 3 4 2" xfId="24099"/>
    <cellStyle name="Normal 6 2 6 2 3 4 3" xfId="39142"/>
    <cellStyle name="Normal 6 2 6 2 3 5" xfId="16578"/>
    <cellStyle name="Normal 6 2 6 2 3 6" xfId="31621"/>
    <cellStyle name="Normal 6 2 6 2 4" xfId="2418"/>
    <cellStyle name="Normal 6 2 6 2 4 2" xfId="6214"/>
    <cellStyle name="Normal 6 2 6 2 4 2 2" xfId="13737"/>
    <cellStyle name="Normal 6 2 6 2 4 2 2 2" xfId="28781"/>
    <cellStyle name="Normal 6 2 6 2 4 2 2 3" xfId="43824"/>
    <cellStyle name="Normal 6 2 6 2 4 2 3" xfId="21260"/>
    <cellStyle name="Normal 6 2 6 2 4 2 4" xfId="36303"/>
    <cellStyle name="Normal 6 2 6 2 4 3" xfId="9988"/>
    <cellStyle name="Normal 6 2 6 2 4 3 2" xfId="25032"/>
    <cellStyle name="Normal 6 2 6 2 4 3 3" xfId="40075"/>
    <cellStyle name="Normal 6 2 6 2 4 4" xfId="17511"/>
    <cellStyle name="Normal 6 2 6 2 4 5" xfId="32554"/>
    <cellStyle name="Normal 6 2 6 2 5" xfId="4346"/>
    <cellStyle name="Normal 6 2 6 2 5 2" xfId="11870"/>
    <cellStyle name="Normal 6 2 6 2 5 2 2" xfId="26914"/>
    <cellStyle name="Normal 6 2 6 2 5 2 3" xfId="41957"/>
    <cellStyle name="Normal 6 2 6 2 5 3" xfId="19393"/>
    <cellStyle name="Normal 6 2 6 2 5 4" xfId="34436"/>
    <cellStyle name="Normal 6 2 6 2 6" xfId="8109"/>
    <cellStyle name="Normal 6 2 6 2 6 2" xfId="23153"/>
    <cellStyle name="Normal 6 2 6 2 6 3" xfId="38196"/>
    <cellStyle name="Normal 6 2 6 2 7" xfId="15632"/>
    <cellStyle name="Normal 6 2 6 2 8" xfId="30675"/>
    <cellStyle name="Normal 6 2 6 3" xfId="972"/>
    <cellStyle name="Normal 6 2 6 3 2" xfId="1931"/>
    <cellStyle name="Normal 6 2 6 3 2 2" xfId="3802"/>
    <cellStyle name="Normal 6 2 6 3 2 2 2" xfId="7597"/>
    <cellStyle name="Normal 6 2 6 3 2 2 2 2" xfId="15120"/>
    <cellStyle name="Normal 6 2 6 3 2 2 2 2 2" xfId="30164"/>
    <cellStyle name="Normal 6 2 6 3 2 2 2 2 3" xfId="45207"/>
    <cellStyle name="Normal 6 2 6 3 2 2 2 3" xfId="22643"/>
    <cellStyle name="Normal 6 2 6 3 2 2 2 4" xfId="37686"/>
    <cellStyle name="Normal 6 2 6 3 2 2 3" xfId="11371"/>
    <cellStyle name="Normal 6 2 6 3 2 2 3 2" xfId="26415"/>
    <cellStyle name="Normal 6 2 6 3 2 2 3 3" xfId="41458"/>
    <cellStyle name="Normal 6 2 6 3 2 2 4" xfId="18894"/>
    <cellStyle name="Normal 6 2 6 3 2 2 5" xfId="33937"/>
    <cellStyle name="Normal 6 2 6 3 2 3" xfId="5732"/>
    <cellStyle name="Normal 6 2 6 3 2 3 2" xfId="13255"/>
    <cellStyle name="Normal 6 2 6 3 2 3 2 2" xfId="28299"/>
    <cellStyle name="Normal 6 2 6 3 2 3 2 3" xfId="43342"/>
    <cellStyle name="Normal 6 2 6 3 2 3 3" xfId="20778"/>
    <cellStyle name="Normal 6 2 6 3 2 3 4" xfId="35821"/>
    <cellStyle name="Normal 6 2 6 3 2 4" xfId="9506"/>
    <cellStyle name="Normal 6 2 6 3 2 4 2" xfId="24550"/>
    <cellStyle name="Normal 6 2 6 3 2 4 3" xfId="39593"/>
    <cellStyle name="Normal 6 2 6 3 2 5" xfId="17029"/>
    <cellStyle name="Normal 6 2 6 3 2 6" xfId="32072"/>
    <cellStyle name="Normal 6 2 6 3 3" xfId="2870"/>
    <cellStyle name="Normal 6 2 6 3 3 2" xfId="6665"/>
    <cellStyle name="Normal 6 2 6 3 3 2 2" xfId="14188"/>
    <cellStyle name="Normal 6 2 6 3 3 2 2 2" xfId="29232"/>
    <cellStyle name="Normal 6 2 6 3 3 2 2 3" xfId="44275"/>
    <cellStyle name="Normal 6 2 6 3 3 2 3" xfId="21711"/>
    <cellStyle name="Normal 6 2 6 3 3 2 4" xfId="36754"/>
    <cellStyle name="Normal 6 2 6 3 3 3" xfId="10439"/>
    <cellStyle name="Normal 6 2 6 3 3 3 2" xfId="25483"/>
    <cellStyle name="Normal 6 2 6 3 3 3 3" xfId="40526"/>
    <cellStyle name="Normal 6 2 6 3 3 4" xfId="17962"/>
    <cellStyle name="Normal 6 2 6 3 3 5" xfId="33005"/>
    <cellStyle name="Normal 6 2 6 3 4" xfId="4800"/>
    <cellStyle name="Normal 6 2 6 3 4 2" xfId="12323"/>
    <cellStyle name="Normal 6 2 6 3 4 2 2" xfId="27367"/>
    <cellStyle name="Normal 6 2 6 3 4 2 3" xfId="42410"/>
    <cellStyle name="Normal 6 2 6 3 4 3" xfId="19846"/>
    <cellStyle name="Normal 6 2 6 3 4 4" xfId="34889"/>
    <cellStyle name="Normal 6 2 6 3 5" xfId="8574"/>
    <cellStyle name="Normal 6 2 6 3 5 2" xfId="23618"/>
    <cellStyle name="Normal 6 2 6 3 5 3" xfId="38661"/>
    <cellStyle name="Normal 6 2 6 3 6" xfId="16097"/>
    <cellStyle name="Normal 6 2 6 3 7" xfId="31140"/>
    <cellStyle name="Normal 6 2 6 4" xfId="1479"/>
    <cellStyle name="Normal 6 2 6 4 2" xfId="3350"/>
    <cellStyle name="Normal 6 2 6 4 2 2" xfId="7145"/>
    <cellStyle name="Normal 6 2 6 4 2 2 2" xfId="14668"/>
    <cellStyle name="Normal 6 2 6 4 2 2 2 2" xfId="29712"/>
    <cellStyle name="Normal 6 2 6 4 2 2 2 3" xfId="44755"/>
    <cellStyle name="Normal 6 2 6 4 2 2 3" xfId="22191"/>
    <cellStyle name="Normal 6 2 6 4 2 2 4" xfId="37234"/>
    <cellStyle name="Normal 6 2 6 4 2 3" xfId="10919"/>
    <cellStyle name="Normal 6 2 6 4 2 3 2" xfId="25963"/>
    <cellStyle name="Normal 6 2 6 4 2 3 3" xfId="41006"/>
    <cellStyle name="Normal 6 2 6 4 2 4" xfId="18442"/>
    <cellStyle name="Normal 6 2 6 4 2 5" xfId="33485"/>
    <cellStyle name="Normal 6 2 6 4 3" xfId="5280"/>
    <cellStyle name="Normal 6 2 6 4 3 2" xfId="12803"/>
    <cellStyle name="Normal 6 2 6 4 3 2 2" xfId="27847"/>
    <cellStyle name="Normal 6 2 6 4 3 2 3" xfId="42890"/>
    <cellStyle name="Normal 6 2 6 4 3 3" xfId="20326"/>
    <cellStyle name="Normal 6 2 6 4 3 4" xfId="35369"/>
    <cellStyle name="Normal 6 2 6 4 4" xfId="9054"/>
    <cellStyle name="Normal 6 2 6 4 4 2" xfId="24098"/>
    <cellStyle name="Normal 6 2 6 4 4 3" xfId="39141"/>
    <cellStyle name="Normal 6 2 6 4 5" xfId="16577"/>
    <cellStyle name="Normal 6 2 6 4 6" xfId="31620"/>
    <cellStyle name="Normal 6 2 6 5" xfId="2417"/>
    <cellStyle name="Normal 6 2 6 5 2" xfId="6213"/>
    <cellStyle name="Normal 6 2 6 5 2 2" xfId="13736"/>
    <cellStyle name="Normal 6 2 6 5 2 2 2" xfId="28780"/>
    <cellStyle name="Normal 6 2 6 5 2 2 3" xfId="43823"/>
    <cellStyle name="Normal 6 2 6 5 2 3" xfId="21259"/>
    <cellStyle name="Normal 6 2 6 5 2 4" xfId="36302"/>
    <cellStyle name="Normal 6 2 6 5 3" xfId="9987"/>
    <cellStyle name="Normal 6 2 6 5 3 2" xfId="25031"/>
    <cellStyle name="Normal 6 2 6 5 3 3" xfId="40074"/>
    <cellStyle name="Normal 6 2 6 5 4" xfId="17510"/>
    <cellStyle name="Normal 6 2 6 5 5" xfId="32553"/>
    <cellStyle name="Normal 6 2 6 6" xfId="4345"/>
    <cellStyle name="Normal 6 2 6 6 2" xfId="11869"/>
    <cellStyle name="Normal 6 2 6 6 2 2" xfId="26913"/>
    <cellStyle name="Normal 6 2 6 6 2 3" xfId="41956"/>
    <cellStyle name="Normal 6 2 6 6 3" xfId="19392"/>
    <cellStyle name="Normal 6 2 6 6 4" xfId="34435"/>
    <cellStyle name="Normal 6 2 6 7" xfId="8108"/>
    <cellStyle name="Normal 6 2 6 7 2" xfId="23152"/>
    <cellStyle name="Normal 6 2 6 7 3" xfId="38195"/>
    <cellStyle name="Normal 6 2 6 8" xfId="15631"/>
    <cellStyle name="Normal 6 2 6 9" xfId="30674"/>
    <cellStyle name="Normal 6 2 7" xfId="455"/>
    <cellStyle name="Normal 6 2 7 2" xfId="974"/>
    <cellStyle name="Normal 6 2 7 2 2" xfId="1933"/>
    <cellStyle name="Normal 6 2 7 2 2 2" xfId="3804"/>
    <cellStyle name="Normal 6 2 7 2 2 2 2" xfId="7599"/>
    <cellStyle name="Normal 6 2 7 2 2 2 2 2" xfId="15122"/>
    <cellStyle name="Normal 6 2 7 2 2 2 2 2 2" xfId="30166"/>
    <cellStyle name="Normal 6 2 7 2 2 2 2 2 3" xfId="45209"/>
    <cellStyle name="Normal 6 2 7 2 2 2 2 3" xfId="22645"/>
    <cellStyle name="Normal 6 2 7 2 2 2 2 4" xfId="37688"/>
    <cellStyle name="Normal 6 2 7 2 2 2 3" xfId="11373"/>
    <cellStyle name="Normal 6 2 7 2 2 2 3 2" xfId="26417"/>
    <cellStyle name="Normal 6 2 7 2 2 2 3 3" xfId="41460"/>
    <cellStyle name="Normal 6 2 7 2 2 2 4" xfId="18896"/>
    <cellStyle name="Normal 6 2 7 2 2 2 5" xfId="33939"/>
    <cellStyle name="Normal 6 2 7 2 2 3" xfId="5734"/>
    <cellStyle name="Normal 6 2 7 2 2 3 2" xfId="13257"/>
    <cellStyle name="Normal 6 2 7 2 2 3 2 2" xfId="28301"/>
    <cellStyle name="Normal 6 2 7 2 2 3 2 3" xfId="43344"/>
    <cellStyle name="Normal 6 2 7 2 2 3 3" xfId="20780"/>
    <cellStyle name="Normal 6 2 7 2 2 3 4" xfId="35823"/>
    <cellStyle name="Normal 6 2 7 2 2 4" xfId="9508"/>
    <cellStyle name="Normal 6 2 7 2 2 4 2" xfId="24552"/>
    <cellStyle name="Normal 6 2 7 2 2 4 3" xfId="39595"/>
    <cellStyle name="Normal 6 2 7 2 2 5" xfId="17031"/>
    <cellStyle name="Normal 6 2 7 2 2 6" xfId="32074"/>
    <cellStyle name="Normal 6 2 7 2 3" xfId="2872"/>
    <cellStyle name="Normal 6 2 7 2 3 2" xfId="6667"/>
    <cellStyle name="Normal 6 2 7 2 3 2 2" xfId="14190"/>
    <cellStyle name="Normal 6 2 7 2 3 2 2 2" xfId="29234"/>
    <cellStyle name="Normal 6 2 7 2 3 2 2 3" xfId="44277"/>
    <cellStyle name="Normal 6 2 7 2 3 2 3" xfId="21713"/>
    <cellStyle name="Normal 6 2 7 2 3 2 4" xfId="36756"/>
    <cellStyle name="Normal 6 2 7 2 3 3" xfId="10441"/>
    <cellStyle name="Normal 6 2 7 2 3 3 2" xfId="25485"/>
    <cellStyle name="Normal 6 2 7 2 3 3 3" xfId="40528"/>
    <cellStyle name="Normal 6 2 7 2 3 4" xfId="17964"/>
    <cellStyle name="Normal 6 2 7 2 3 5" xfId="33007"/>
    <cellStyle name="Normal 6 2 7 2 4" xfId="4802"/>
    <cellStyle name="Normal 6 2 7 2 4 2" xfId="12325"/>
    <cellStyle name="Normal 6 2 7 2 4 2 2" xfId="27369"/>
    <cellStyle name="Normal 6 2 7 2 4 2 3" xfId="42412"/>
    <cellStyle name="Normal 6 2 7 2 4 3" xfId="19848"/>
    <cellStyle name="Normal 6 2 7 2 4 4" xfId="34891"/>
    <cellStyle name="Normal 6 2 7 2 5" xfId="8576"/>
    <cellStyle name="Normal 6 2 7 2 5 2" xfId="23620"/>
    <cellStyle name="Normal 6 2 7 2 5 3" xfId="38663"/>
    <cellStyle name="Normal 6 2 7 2 6" xfId="16099"/>
    <cellStyle name="Normal 6 2 7 2 7" xfId="31142"/>
    <cellStyle name="Normal 6 2 7 3" xfId="1481"/>
    <cellStyle name="Normal 6 2 7 3 2" xfId="3352"/>
    <cellStyle name="Normal 6 2 7 3 2 2" xfId="7147"/>
    <cellStyle name="Normal 6 2 7 3 2 2 2" xfId="14670"/>
    <cellStyle name="Normal 6 2 7 3 2 2 2 2" xfId="29714"/>
    <cellStyle name="Normal 6 2 7 3 2 2 2 3" xfId="44757"/>
    <cellStyle name="Normal 6 2 7 3 2 2 3" xfId="22193"/>
    <cellStyle name="Normal 6 2 7 3 2 2 4" xfId="37236"/>
    <cellStyle name="Normal 6 2 7 3 2 3" xfId="10921"/>
    <cellStyle name="Normal 6 2 7 3 2 3 2" xfId="25965"/>
    <cellStyle name="Normal 6 2 7 3 2 3 3" xfId="41008"/>
    <cellStyle name="Normal 6 2 7 3 2 4" xfId="18444"/>
    <cellStyle name="Normal 6 2 7 3 2 5" xfId="33487"/>
    <cellStyle name="Normal 6 2 7 3 3" xfId="5282"/>
    <cellStyle name="Normal 6 2 7 3 3 2" xfId="12805"/>
    <cellStyle name="Normal 6 2 7 3 3 2 2" xfId="27849"/>
    <cellStyle name="Normal 6 2 7 3 3 2 3" xfId="42892"/>
    <cellStyle name="Normal 6 2 7 3 3 3" xfId="20328"/>
    <cellStyle name="Normal 6 2 7 3 3 4" xfId="35371"/>
    <cellStyle name="Normal 6 2 7 3 4" xfId="9056"/>
    <cellStyle name="Normal 6 2 7 3 4 2" xfId="24100"/>
    <cellStyle name="Normal 6 2 7 3 4 3" xfId="39143"/>
    <cellStyle name="Normal 6 2 7 3 5" xfId="16579"/>
    <cellStyle name="Normal 6 2 7 3 6" xfId="31622"/>
    <cellStyle name="Normal 6 2 7 4" xfId="2419"/>
    <cellStyle name="Normal 6 2 7 4 2" xfId="6215"/>
    <cellStyle name="Normal 6 2 7 4 2 2" xfId="13738"/>
    <cellStyle name="Normal 6 2 7 4 2 2 2" xfId="28782"/>
    <cellStyle name="Normal 6 2 7 4 2 2 3" xfId="43825"/>
    <cellStyle name="Normal 6 2 7 4 2 3" xfId="21261"/>
    <cellStyle name="Normal 6 2 7 4 2 4" xfId="36304"/>
    <cellStyle name="Normal 6 2 7 4 3" xfId="9989"/>
    <cellStyle name="Normal 6 2 7 4 3 2" xfId="25033"/>
    <cellStyle name="Normal 6 2 7 4 3 3" xfId="40076"/>
    <cellStyle name="Normal 6 2 7 4 4" xfId="17512"/>
    <cellStyle name="Normal 6 2 7 4 5" xfId="32555"/>
    <cellStyle name="Normal 6 2 7 5" xfId="4347"/>
    <cellStyle name="Normal 6 2 7 5 2" xfId="11871"/>
    <cellStyle name="Normal 6 2 7 5 2 2" xfId="26915"/>
    <cellStyle name="Normal 6 2 7 5 2 3" xfId="41958"/>
    <cellStyle name="Normal 6 2 7 5 3" xfId="19394"/>
    <cellStyle name="Normal 6 2 7 5 4" xfId="34437"/>
    <cellStyle name="Normal 6 2 7 6" xfId="8110"/>
    <cellStyle name="Normal 6 2 7 6 2" xfId="23154"/>
    <cellStyle name="Normal 6 2 7 6 3" xfId="38197"/>
    <cellStyle name="Normal 6 2 7 7" xfId="15633"/>
    <cellStyle name="Normal 6 2 7 8" xfId="30676"/>
    <cellStyle name="Normal 6 2 8" xfId="931"/>
    <cellStyle name="Normal 6 2 8 2" xfId="1890"/>
    <cellStyle name="Normal 6 2 8 2 2" xfId="3761"/>
    <cellStyle name="Normal 6 2 8 2 2 2" xfId="7556"/>
    <cellStyle name="Normal 6 2 8 2 2 2 2" xfId="15079"/>
    <cellStyle name="Normal 6 2 8 2 2 2 2 2" xfId="30123"/>
    <cellStyle name="Normal 6 2 8 2 2 2 2 3" xfId="45166"/>
    <cellStyle name="Normal 6 2 8 2 2 2 3" xfId="22602"/>
    <cellStyle name="Normal 6 2 8 2 2 2 4" xfId="37645"/>
    <cellStyle name="Normal 6 2 8 2 2 3" xfId="11330"/>
    <cellStyle name="Normal 6 2 8 2 2 3 2" xfId="26374"/>
    <cellStyle name="Normal 6 2 8 2 2 3 3" xfId="41417"/>
    <cellStyle name="Normal 6 2 8 2 2 4" xfId="18853"/>
    <cellStyle name="Normal 6 2 8 2 2 5" xfId="33896"/>
    <cellStyle name="Normal 6 2 8 2 3" xfId="5691"/>
    <cellStyle name="Normal 6 2 8 2 3 2" xfId="13214"/>
    <cellStyle name="Normal 6 2 8 2 3 2 2" xfId="28258"/>
    <cellStyle name="Normal 6 2 8 2 3 2 3" xfId="43301"/>
    <cellStyle name="Normal 6 2 8 2 3 3" xfId="20737"/>
    <cellStyle name="Normal 6 2 8 2 3 4" xfId="35780"/>
    <cellStyle name="Normal 6 2 8 2 4" xfId="9465"/>
    <cellStyle name="Normal 6 2 8 2 4 2" xfId="24509"/>
    <cellStyle name="Normal 6 2 8 2 4 3" xfId="39552"/>
    <cellStyle name="Normal 6 2 8 2 5" xfId="16988"/>
    <cellStyle name="Normal 6 2 8 2 6" xfId="32031"/>
    <cellStyle name="Normal 6 2 8 3" xfId="2829"/>
    <cellStyle name="Normal 6 2 8 3 2" xfId="6624"/>
    <cellStyle name="Normal 6 2 8 3 2 2" xfId="14147"/>
    <cellStyle name="Normal 6 2 8 3 2 2 2" xfId="29191"/>
    <cellStyle name="Normal 6 2 8 3 2 2 3" xfId="44234"/>
    <cellStyle name="Normal 6 2 8 3 2 3" xfId="21670"/>
    <cellStyle name="Normal 6 2 8 3 2 4" xfId="36713"/>
    <cellStyle name="Normal 6 2 8 3 3" xfId="10398"/>
    <cellStyle name="Normal 6 2 8 3 3 2" xfId="25442"/>
    <cellStyle name="Normal 6 2 8 3 3 3" xfId="40485"/>
    <cellStyle name="Normal 6 2 8 3 4" xfId="17921"/>
    <cellStyle name="Normal 6 2 8 3 5" xfId="32964"/>
    <cellStyle name="Normal 6 2 8 4" xfId="4759"/>
    <cellStyle name="Normal 6 2 8 4 2" xfId="12282"/>
    <cellStyle name="Normal 6 2 8 4 2 2" xfId="27326"/>
    <cellStyle name="Normal 6 2 8 4 2 3" xfId="42369"/>
    <cellStyle name="Normal 6 2 8 4 3" xfId="19805"/>
    <cellStyle name="Normal 6 2 8 4 4" xfId="34848"/>
    <cellStyle name="Normal 6 2 8 5" xfId="8533"/>
    <cellStyle name="Normal 6 2 8 5 2" xfId="23577"/>
    <cellStyle name="Normal 6 2 8 5 3" xfId="38620"/>
    <cellStyle name="Normal 6 2 8 6" xfId="16056"/>
    <cellStyle name="Normal 6 2 8 7" xfId="31099"/>
    <cellStyle name="Normal 6 2 9" xfId="1438"/>
    <cellStyle name="Normal 6 2 9 2" xfId="3309"/>
    <cellStyle name="Normal 6 2 9 2 2" xfId="7104"/>
    <cellStyle name="Normal 6 2 9 2 2 2" xfId="14627"/>
    <cellStyle name="Normal 6 2 9 2 2 2 2" xfId="29671"/>
    <cellStyle name="Normal 6 2 9 2 2 2 3" xfId="44714"/>
    <cellStyle name="Normal 6 2 9 2 2 3" xfId="22150"/>
    <cellStyle name="Normal 6 2 9 2 2 4" xfId="37193"/>
    <cellStyle name="Normal 6 2 9 2 3" xfId="10878"/>
    <cellStyle name="Normal 6 2 9 2 3 2" xfId="25922"/>
    <cellStyle name="Normal 6 2 9 2 3 3" xfId="40965"/>
    <cellStyle name="Normal 6 2 9 2 4" xfId="18401"/>
    <cellStyle name="Normal 6 2 9 2 5" xfId="33444"/>
    <cellStyle name="Normal 6 2 9 3" xfId="5239"/>
    <cellStyle name="Normal 6 2 9 3 2" xfId="12762"/>
    <cellStyle name="Normal 6 2 9 3 2 2" xfId="27806"/>
    <cellStyle name="Normal 6 2 9 3 2 3" xfId="42849"/>
    <cellStyle name="Normal 6 2 9 3 3" xfId="20285"/>
    <cellStyle name="Normal 6 2 9 3 4" xfId="35328"/>
    <cellStyle name="Normal 6 2 9 4" xfId="9013"/>
    <cellStyle name="Normal 6 2 9 4 2" xfId="24057"/>
    <cellStyle name="Normal 6 2 9 4 3" xfId="39100"/>
    <cellStyle name="Normal 6 2 9 5" xfId="16536"/>
    <cellStyle name="Normal 6 2 9 6" xfId="31579"/>
    <cellStyle name="Normal 6 3" xfId="456"/>
    <cellStyle name="Normal 6 3 10" xfId="4348"/>
    <cellStyle name="Normal 6 3 10 2" xfId="11872"/>
    <cellStyle name="Normal 6 3 10 2 2" xfId="26916"/>
    <cellStyle name="Normal 6 3 10 2 3" xfId="41959"/>
    <cellStyle name="Normal 6 3 10 3" xfId="19395"/>
    <cellStyle name="Normal 6 3 10 4" xfId="34438"/>
    <cellStyle name="Normal 6 3 11" xfId="8111"/>
    <cellStyle name="Normal 6 3 11 2" xfId="23155"/>
    <cellStyle name="Normal 6 3 11 3" xfId="38198"/>
    <cellStyle name="Normal 6 3 12" xfId="15634"/>
    <cellStyle name="Normal 6 3 13" xfId="30677"/>
    <cellStyle name="Normal 6 3 2" xfId="457"/>
    <cellStyle name="Normal 6 3 2 10" xfId="8112"/>
    <cellStyle name="Normal 6 3 2 10 2" xfId="23156"/>
    <cellStyle name="Normal 6 3 2 10 3" xfId="38199"/>
    <cellStyle name="Normal 6 3 2 11" xfId="15635"/>
    <cellStyle name="Normal 6 3 2 12" xfId="30678"/>
    <cellStyle name="Normal 6 3 2 2" xfId="458"/>
    <cellStyle name="Normal 6 3 2 2 10" xfId="30679"/>
    <cellStyle name="Normal 6 3 2 2 2" xfId="459"/>
    <cellStyle name="Normal 6 3 2 2 2 2" xfId="460"/>
    <cellStyle name="Normal 6 3 2 2 2 2 2" xfId="979"/>
    <cellStyle name="Normal 6 3 2 2 2 2 2 2" xfId="1938"/>
    <cellStyle name="Normal 6 3 2 2 2 2 2 2 2" xfId="3809"/>
    <cellStyle name="Normal 6 3 2 2 2 2 2 2 2 2" xfId="7604"/>
    <cellStyle name="Normal 6 3 2 2 2 2 2 2 2 2 2" xfId="15127"/>
    <cellStyle name="Normal 6 3 2 2 2 2 2 2 2 2 2 2" xfId="30171"/>
    <cellStyle name="Normal 6 3 2 2 2 2 2 2 2 2 2 3" xfId="45214"/>
    <cellStyle name="Normal 6 3 2 2 2 2 2 2 2 2 3" xfId="22650"/>
    <cellStyle name="Normal 6 3 2 2 2 2 2 2 2 2 4" xfId="37693"/>
    <cellStyle name="Normal 6 3 2 2 2 2 2 2 2 3" xfId="11378"/>
    <cellStyle name="Normal 6 3 2 2 2 2 2 2 2 3 2" xfId="26422"/>
    <cellStyle name="Normal 6 3 2 2 2 2 2 2 2 3 3" xfId="41465"/>
    <cellStyle name="Normal 6 3 2 2 2 2 2 2 2 4" xfId="18901"/>
    <cellStyle name="Normal 6 3 2 2 2 2 2 2 2 5" xfId="33944"/>
    <cellStyle name="Normal 6 3 2 2 2 2 2 2 3" xfId="5739"/>
    <cellStyle name="Normal 6 3 2 2 2 2 2 2 3 2" xfId="13262"/>
    <cellStyle name="Normal 6 3 2 2 2 2 2 2 3 2 2" xfId="28306"/>
    <cellStyle name="Normal 6 3 2 2 2 2 2 2 3 2 3" xfId="43349"/>
    <cellStyle name="Normal 6 3 2 2 2 2 2 2 3 3" xfId="20785"/>
    <cellStyle name="Normal 6 3 2 2 2 2 2 2 3 4" xfId="35828"/>
    <cellStyle name="Normal 6 3 2 2 2 2 2 2 4" xfId="9513"/>
    <cellStyle name="Normal 6 3 2 2 2 2 2 2 4 2" xfId="24557"/>
    <cellStyle name="Normal 6 3 2 2 2 2 2 2 4 3" xfId="39600"/>
    <cellStyle name="Normal 6 3 2 2 2 2 2 2 5" xfId="17036"/>
    <cellStyle name="Normal 6 3 2 2 2 2 2 2 6" xfId="32079"/>
    <cellStyle name="Normal 6 3 2 2 2 2 2 3" xfId="2877"/>
    <cellStyle name="Normal 6 3 2 2 2 2 2 3 2" xfId="6672"/>
    <cellStyle name="Normal 6 3 2 2 2 2 2 3 2 2" xfId="14195"/>
    <cellStyle name="Normal 6 3 2 2 2 2 2 3 2 2 2" xfId="29239"/>
    <cellStyle name="Normal 6 3 2 2 2 2 2 3 2 2 3" xfId="44282"/>
    <cellStyle name="Normal 6 3 2 2 2 2 2 3 2 3" xfId="21718"/>
    <cellStyle name="Normal 6 3 2 2 2 2 2 3 2 4" xfId="36761"/>
    <cellStyle name="Normal 6 3 2 2 2 2 2 3 3" xfId="10446"/>
    <cellStyle name="Normal 6 3 2 2 2 2 2 3 3 2" xfId="25490"/>
    <cellStyle name="Normal 6 3 2 2 2 2 2 3 3 3" xfId="40533"/>
    <cellStyle name="Normal 6 3 2 2 2 2 2 3 4" xfId="17969"/>
    <cellStyle name="Normal 6 3 2 2 2 2 2 3 5" xfId="33012"/>
    <cellStyle name="Normal 6 3 2 2 2 2 2 4" xfId="4807"/>
    <cellStyle name="Normal 6 3 2 2 2 2 2 4 2" xfId="12330"/>
    <cellStyle name="Normal 6 3 2 2 2 2 2 4 2 2" xfId="27374"/>
    <cellStyle name="Normal 6 3 2 2 2 2 2 4 2 3" xfId="42417"/>
    <cellStyle name="Normal 6 3 2 2 2 2 2 4 3" xfId="19853"/>
    <cellStyle name="Normal 6 3 2 2 2 2 2 4 4" xfId="34896"/>
    <cellStyle name="Normal 6 3 2 2 2 2 2 5" xfId="8581"/>
    <cellStyle name="Normal 6 3 2 2 2 2 2 5 2" xfId="23625"/>
    <cellStyle name="Normal 6 3 2 2 2 2 2 5 3" xfId="38668"/>
    <cellStyle name="Normal 6 3 2 2 2 2 2 6" xfId="16104"/>
    <cellStyle name="Normal 6 3 2 2 2 2 2 7" xfId="31147"/>
    <cellStyle name="Normal 6 3 2 2 2 2 3" xfId="1486"/>
    <cellStyle name="Normal 6 3 2 2 2 2 3 2" xfId="3357"/>
    <cellStyle name="Normal 6 3 2 2 2 2 3 2 2" xfId="7152"/>
    <cellStyle name="Normal 6 3 2 2 2 2 3 2 2 2" xfId="14675"/>
    <cellStyle name="Normal 6 3 2 2 2 2 3 2 2 2 2" xfId="29719"/>
    <cellStyle name="Normal 6 3 2 2 2 2 3 2 2 2 3" xfId="44762"/>
    <cellStyle name="Normal 6 3 2 2 2 2 3 2 2 3" xfId="22198"/>
    <cellStyle name="Normal 6 3 2 2 2 2 3 2 2 4" xfId="37241"/>
    <cellStyle name="Normal 6 3 2 2 2 2 3 2 3" xfId="10926"/>
    <cellStyle name="Normal 6 3 2 2 2 2 3 2 3 2" xfId="25970"/>
    <cellStyle name="Normal 6 3 2 2 2 2 3 2 3 3" xfId="41013"/>
    <cellStyle name="Normal 6 3 2 2 2 2 3 2 4" xfId="18449"/>
    <cellStyle name="Normal 6 3 2 2 2 2 3 2 5" xfId="33492"/>
    <cellStyle name="Normal 6 3 2 2 2 2 3 3" xfId="5287"/>
    <cellStyle name="Normal 6 3 2 2 2 2 3 3 2" xfId="12810"/>
    <cellStyle name="Normal 6 3 2 2 2 2 3 3 2 2" xfId="27854"/>
    <cellStyle name="Normal 6 3 2 2 2 2 3 3 2 3" xfId="42897"/>
    <cellStyle name="Normal 6 3 2 2 2 2 3 3 3" xfId="20333"/>
    <cellStyle name="Normal 6 3 2 2 2 2 3 3 4" xfId="35376"/>
    <cellStyle name="Normal 6 3 2 2 2 2 3 4" xfId="9061"/>
    <cellStyle name="Normal 6 3 2 2 2 2 3 4 2" xfId="24105"/>
    <cellStyle name="Normal 6 3 2 2 2 2 3 4 3" xfId="39148"/>
    <cellStyle name="Normal 6 3 2 2 2 2 3 5" xfId="16584"/>
    <cellStyle name="Normal 6 3 2 2 2 2 3 6" xfId="31627"/>
    <cellStyle name="Normal 6 3 2 2 2 2 4" xfId="2424"/>
    <cellStyle name="Normal 6 3 2 2 2 2 4 2" xfId="6220"/>
    <cellStyle name="Normal 6 3 2 2 2 2 4 2 2" xfId="13743"/>
    <cellStyle name="Normal 6 3 2 2 2 2 4 2 2 2" xfId="28787"/>
    <cellStyle name="Normal 6 3 2 2 2 2 4 2 2 3" xfId="43830"/>
    <cellStyle name="Normal 6 3 2 2 2 2 4 2 3" xfId="21266"/>
    <cellStyle name="Normal 6 3 2 2 2 2 4 2 4" xfId="36309"/>
    <cellStyle name="Normal 6 3 2 2 2 2 4 3" xfId="9994"/>
    <cellStyle name="Normal 6 3 2 2 2 2 4 3 2" xfId="25038"/>
    <cellStyle name="Normal 6 3 2 2 2 2 4 3 3" xfId="40081"/>
    <cellStyle name="Normal 6 3 2 2 2 2 4 4" xfId="17517"/>
    <cellStyle name="Normal 6 3 2 2 2 2 4 5" xfId="32560"/>
    <cellStyle name="Normal 6 3 2 2 2 2 5" xfId="4352"/>
    <cellStyle name="Normal 6 3 2 2 2 2 5 2" xfId="11876"/>
    <cellStyle name="Normal 6 3 2 2 2 2 5 2 2" xfId="26920"/>
    <cellStyle name="Normal 6 3 2 2 2 2 5 2 3" xfId="41963"/>
    <cellStyle name="Normal 6 3 2 2 2 2 5 3" xfId="19399"/>
    <cellStyle name="Normal 6 3 2 2 2 2 5 4" xfId="34442"/>
    <cellStyle name="Normal 6 3 2 2 2 2 6" xfId="8115"/>
    <cellStyle name="Normal 6 3 2 2 2 2 6 2" xfId="23159"/>
    <cellStyle name="Normal 6 3 2 2 2 2 6 3" xfId="38202"/>
    <cellStyle name="Normal 6 3 2 2 2 2 7" xfId="15638"/>
    <cellStyle name="Normal 6 3 2 2 2 2 8" xfId="30681"/>
    <cellStyle name="Normal 6 3 2 2 2 3" xfId="978"/>
    <cellStyle name="Normal 6 3 2 2 2 3 2" xfId="1937"/>
    <cellStyle name="Normal 6 3 2 2 2 3 2 2" xfId="3808"/>
    <cellStyle name="Normal 6 3 2 2 2 3 2 2 2" xfId="7603"/>
    <cellStyle name="Normal 6 3 2 2 2 3 2 2 2 2" xfId="15126"/>
    <cellStyle name="Normal 6 3 2 2 2 3 2 2 2 2 2" xfId="30170"/>
    <cellStyle name="Normal 6 3 2 2 2 3 2 2 2 2 3" xfId="45213"/>
    <cellStyle name="Normal 6 3 2 2 2 3 2 2 2 3" xfId="22649"/>
    <cellStyle name="Normal 6 3 2 2 2 3 2 2 2 4" xfId="37692"/>
    <cellStyle name="Normal 6 3 2 2 2 3 2 2 3" xfId="11377"/>
    <cellStyle name="Normal 6 3 2 2 2 3 2 2 3 2" xfId="26421"/>
    <cellStyle name="Normal 6 3 2 2 2 3 2 2 3 3" xfId="41464"/>
    <cellStyle name="Normal 6 3 2 2 2 3 2 2 4" xfId="18900"/>
    <cellStyle name="Normal 6 3 2 2 2 3 2 2 5" xfId="33943"/>
    <cellStyle name="Normal 6 3 2 2 2 3 2 3" xfId="5738"/>
    <cellStyle name="Normal 6 3 2 2 2 3 2 3 2" xfId="13261"/>
    <cellStyle name="Normal 6 3 2 2 2 3 2 3 2 2" xfId="28305"/>
    <cellStyle name="Normal 6 3 2 2 2 3 2 3 2 3" xfId="43348"/>
    <cellStyle name="Normal 6 3 2 2 2 3 2 3 3" xfId="20784"/>
    <cellStyle name="Normal 6 3 2 2 2 3 2 3 4" xfId="35827"/>
    <cellStyle name="Normal 6 3 2 2 2 3 2 4" xfId="9512"/>
    <cellStyle name="Normal 6 3 2 2 2 3 2 4 2" xfId="24556"/>
    <cellStyle name="Normal 6 3 2 2 2 3 2 4 3" xfId="39599"/>
    <cellStyle name="Normal 6 3 2 2 2 3 2 5" xfId="17035"/>
    <cellStyle name="Normal 6 3 2 2 2 3 2 6" xfId="32078"/>
    <cellStyle name="Normal 6 3 2 2 2 3 3" xfId="2876"/>
    <cellStyle name="Normal 6 3 2 2 2 3 3 2" xfId="6671"/>
    <cellStyle name="Normal 6 3 2 2 2 3 3 2 2" xfId="14194"/>
    <cellStyle name="Normal 6 3 2 2 2 3 3 2 2 2" xfId="29238"/>
    <cellStyle name="Normal 6 3 2 2 2 3 3 2 2 3" xfId="44281"/>
    <cellStyle name="Normal 6 3 2 2 2 3 3 2 3" xfId="21717"/>
    <cellStyle name="Normal 6 3 2 2 2 3 3 2 4" xfId="36760"/>
    <cellStyle name="Normal 6 3 2 2 2 3 3 3" xfId="10445"/>
    <cellStyle name="Normal 6 3 2 2 2 3 3 3 2" xfId="25489"/>
    <cellStyle name="Normal 6 3 2 2 2 3 3 3 3" xfId="40532"/>
    <cellStyle name="Normal 6 3 2 2 2 3 3 4" xfId="17968"/>
    <cellStyle name="Normal 6 3 2 2 2 3 3 5" xfId="33011"/>
    <cellStyle name="Normal 6 3 2 2 2 3 4" xfId="4806"/>
    <cellStyle name="Normal 6 3 2 2 2 3 4 2" xfId="12329"/>
    <cellStyle name="Normal 6 3 2 2 2 3 4 2 2" xfId="27373"/>
    <cellStyle name="Normal 6 3 2 2 2 3 4 2 3" xfId="42416"/>
    <cellStyle name="Normal 6 3 2 2 2 3 4 3" xfId="19852"/>
    <cellStyle name="Normal 6 3 2 2 2 3 4 4" xfId="34895"/>
    <cellStyle name="Normal 6 3 2 2 2 3 5" xfId="8580"/>
    <cellStyle name="Normal 6 3 2 2 2 3 5 2" xfId="23624"/>
    <cellStyle name="Normal 6 3 2 2 2 3 5 3" xfId="38667"/>
    <cellStyle name="Normal 6 3 2 2 2 3 6" xfId="16103"/>
    <cellStyle name="Normal 6 3 2 2 2 3 7" xfId="31146"/>
    <cellStyle name="Normal 6 3 2 2 2 4" xfId="1485"/>
    <cellStyle name="Normal 6 3 2 2 2 4 2" xfId="3356"/>
    <cellStyle name="Normal 6 3 2 2 2 4 2 2" xfId="7151"/>
    <cellStyle name="Normal 6 3 2 2 2 4 2 2 2" xfId="14674"/>
    <cellStyle name="Normal 6 3 2 2 2 4 2 2 2 2" xfId="29718"/>
    <cellStyle name="Normal 6 3 2 2 2 4 2 2 2 3" xfId="44761"/>
    <cellStyle name="Normal 6 3 2 2 2 4 2 2 3" xfId="22197"/>
    <cellStyle name="Normal 6 3 2 2 2 4 2 2 4" xfId="37240"/>
    <cellStyle name="Normal 6 3 2 2 2 4 2 3" xfId="10925"/>
    <cellStyle name="Normal 6 3 2 2 2 4 2 3 2" xfId="25969"/>
    <cellStyle name="Normal 6 3 2 2 2 4 2 3 3" xfId="41012"/>
    <cellStyle name="Normal 6 3 2 2 2 4 2 4" xfId="18448"/>
    <cellStyle name="Normal 6 3 2 2 2 4 2 5" xfId="33491"/>
    <cellStyle name="Normal 6 3 2 2 2 4 3" xfId="5286"/>
    <cellStyle name="Normal 6 3 2 2 2 4 3 2" xfId="12809"/>
    <cellStyle name="Normal 6 3 2 2 2 4 3 2 2" xfId="27853"/>
    <cellStyle name="Normal 6 3 2 2 2 4 3 2 3" xfId="42896"/>
    <cellStyle name="Normal 6 3 2 2 2 4 3 3" xfId="20332"/>
    <cellStyle name="Normal 6 3 2 2 2 4 3 4" xfId="35375"/>
    <cellStyle name="Normal 6 3 2 2 2 4 4" xfId="9060"/>
    <cellStyle name="Normal 6 3 2 2 2 4 4 2" xfId="24104"/>
    <cellStyle name="Normal 6 3 2 2 2 4 4 3" xfId="39147"/>
    <cellStyle name="Normal 6 3 2 2 2 4 5" xfId="16583"/>
    <cellStyle name="Normal 6 3 2 2 2 4 6" xfId="31626"/>
    <cellStyle name="Normal 6 3 2 2 2 5" xfId="2423"/>
    <cellStyle name="Normal 6 3 2 2 2 5 2" xfId="6219"/>
    <cellStyle name="Normal 6 3 2 2 2 5 2 2" xfId="13742"/>
    <cellStyle name="Normal 6 3 2 2 2 5 2 2 2" xfId="28786"/>
    <cellStyle name="Normal 6 3 2 2 2 5 2 2 3" xfId="43829"/>
    <cellStyle name="Normal 6 3 2 2 2 5 2 3" xfId="21265"/>
    <cellStyle name="Normal 6 3 2 2 2 5 2 4" xfId="36308"/>
    <cellStyle name="Normal 6 3 2 2 2 5 3" xfId="9993"/>
    <cellStyle name="Normal 6 3 2 2 2 5 3 2" xfId="25037"/>
    <cellStyle name="Normal 6 3 2 2 2 5 3 3" xfId="40080"/>
    <cellStyle name="Normal 6 3 2 2 2 5 4" xfId="17516"/>
    <cellStyle name="Normal 6 3 2 2 2 5 5" xfId="32559"/>
    <cellStyle name="Normal 6 3 2 2 2 6" xfId="4351"/>
    <cellStyle name="Normal 6 3 2 2 2 6 2" xfId="11875"/>
    <cellStyle name="Normal 6 3 2 2 2 6 2 2" xfId="26919"/>
    <cellStyle name="Normal 6 3 2 2 2 6 2 3" xfId="41962"/>
    <cellStyle name="Normal 6 3 2 2 2 6 3" xfId="19398"/>
    <cellStyle name="Normal 6 3 2 2 2 6 4" xfId="34441"/>
    <cellStyle name="Normal 6 3 2 2 2 7" xfId="8114"/>
    <cellStyle name="Normal 6 3 2 2 2 7 2" xfId="23158"/>
    <cellStyle name="Normal 6 3 2 2 2 7 3" xfId="38201"/>
    <cellStyle name="Normal 6 3 2 2 2 8" xfId="15637"/>
    <cellStyle name="Normal 6 3 2 2 2 9" xfId="30680"/>
    <cellStyle name="Normal 6 3 2 2 3" xfId="461"/>
    <cellStyle name="Normal 6 3 2 2 3 2" xfId="980"/>
    <cellStyle name="Normal 6 3 2 2 3 2 2" xfId="1939"/>
    <cellStyle name="Normal 6 3 2 2 3 2 2 2" xfId="3810"/>
    <cellStyle name="Normal 6 3 2 2 3 2 2 2 2" xfId="7605"/>
    <cellStyle name="Normal 6 3 2 2 3 2 2 2 2 2" xfId="15128"/>
    <cellStyle name="Normal 6 3 2 2 3 2 2 2 2 2 2" xfId="30172"/>
    <cellStyle name="Normal 6 3 2 2 3 2 2 2 2 2 3" xfId="45215"/>
    <cellStyle name="Normal 6 3 2 2 3 2 2 2 2 3" xfId="22651"/>
    <cellStyle name="Normal 6 3 2 2 3 2 2 2 2 4" xfId="37694"/>
    <cellStyle name="Normal 6 3 2 2 3 2 2 2 3" xfId="11379"/>
    <cellStyle name="Normal 6 3 2 2 3 2 2 2 3 2" xfId="26423"/>
    <cellStyle name="Normal 6 3 2 2 3 2 2 2 3 3" xfId="41466"/>
    <cellStyle name="Normal 6 3 2 2 3 2 2 2 4" xfId="18902"/>
    <cellStyle name="Normal 6 3 2 2 3 2 2 2 5" xfId="33945"/>
    <cellStyle name="Normal 6 3 2 2 3 2 2 3" xfId="5740"/>
    <cellStyle name="Normal 6 3 2 2 3 2 2 3 2" xfId="13263"/>
    <cellStyle name="Normal 6 3 2 2 3 2 2 3 2 2" xfId="28307"/>
    <cellStyle name="Normal 6 3 2 2 3 2 2 3 2 3" xfId="43350"/>
    <cellStyle name="Normal 6 3 2 2 3 2 2 3 3" xfId="20786"/>
    <cellStyle name="Normal 6 3 2 2 3 2 2 3 4" xfId="35829"/>
    <cellStyle name="Normal 6 3 2 2 3 2 2 4" xfId="9514"/>
    <cellStyle name="Normal 6 3 2 2 3 2 2 4 2" xfId="24558"/>
    <cellStyle name="Normal 6 3 2 2 3 2 2 4 3" xfId="39601"/>
    <cellStyle name="Normal 6 3 2 2 3 2 2 5" xfId="17037"/>
    <cellStyle name="Normal 6 3 2 2 3 2 2 6" xfId="32080"/>
    <cellStyle name="Normal 6 3 2 2 3 2 3" xfId="2878"/>
    <cellStyle name="Normal 6 3 2 2 3 2 3 2" xfId="6673"/>
    <cellStyle name="Normal 6 3 2 2 3 2 3 2 2" xfId="14196"/>
    <cellStyle name="Normal 6 3 2 2 3 2 3 2 2 2" xfId="29240"/>
    <cellStyle name="Normal 6 3 2 2 3 2 3 2 2 3" xfId="44283"/>
    <cellStyle name="Normal 6 3 2 2 3 2 3 2 3" xfId="21719"/>
    <cellStyle name="Normal 6 3 2 2 3 2 3 2 4" xfId="36762"/>
    <cellStyle name="Normal 6 3 2 2 3 2 3 3" xfId="10447"/>
    <cellStyle name="Normal 6 3 2 2 3 2 3 3 2" xfId="25491"/>
    <cellStyle name="Normal 6 3 2 2 3 2 3 3 3" xfId="40534"/>
    <cellStyle name="Normal 6 3 2 2 3 2 3 4" xfId="17970"/>
    <cellStyle name="Normal 6 3 2 2 3 2 3 5" xfId="33013"/>
    <cellStyle name="Normal 6 3 2 2 3 2 4" xfId="4808"/>
    <cellStyle name="Normal 6 3 2 2 3 2 4 2" xfId="12331"/>
    <cellStyle name="Normal 6 3 2 2 3 2 4 2 2" xfId="27375"/>
    <cellStyle name="Normal 6 3 2 2 3 2 4 2 3" xfId="42418"/>
    <cellStyle name="Normal 6 3 2 2 3 2 4 3" xfId="19854"/>
    <cellStyle name="Normal 6 3 2 2 3 2 4 4" xfId="34897"/>
    <cellStyle name="Normal 6 3 2 2 3 2 5" xfId="8582"/>
    <cellStyle name="Normal 6 3 2 2 3 2 5 2" xfId="23626"/>
    <cellStyle name="Normal 6 3 2 2 3 2 5 3" xfId="38669"/>
    <cellStyle name="Normal 6 3 2 2 3 2 6" xfId="16105"/>
    <cellStyle name="Normal 6 3 2 2 3 2 7" xfId="31148"/>
    <cellStyle name="Normal 6 3 2 2 3 3" xfId="1487"/>
    <cellStyle name="Normal 6 3 2 2 3 3 2" xfId="3358"/>
    <cellStyle name="Normal 6 3 2 2 3 3 2 2" xfId="7153"/>
    <cellStyle name="Normal 6 3 2 2 3 3 2 2 2" xfId="14676"/>
    <cellStyle name="Normal 6 3 2 2 3 3 2 2 2 2" xfId="29720"/>
    <cellStyle name="Normal 6 3 2 2 3 3 2 2 2 3" xfId="44763"/>
    <cellStyle name="Normal 6 3 2 2 3 3 2 2 3" xfId="22199"/>
    <cellStyle name="Normal 6 3 2 2 3 3 2 2 4" xfId="37242"/>
    <cellStyle name="Normal 6 3 2 2 3 3 2 3" xfId="10927"/>
    <cellStyle name="Normal 6 3 2 2 3 3 2 3 2" xfId="25971"/>
    <cellStyle name="Normal 6 3 2 2 3 3 2 3 3" xfId="41014"/>
    <cellStyle name="Normal 6 3 2 2 3 3 2 4" xfId="18450"/>
    <cellStyle name="Normal 6 3 2 2 3 3 2 5" xfId="33493"/>
    <cellStyle name="Normal 6 3 2 2 3 3 3" xfId="5288"/>
    <cellStyle name="Normal 6 3 2 2 3 3 3 2" xfId="12811"/>
    <cellStyle name="Normal 6 3 2 2 3 3 3 2 2" xfId="27855"/>
    <cellStyle name="Normal 6 3 2 2 3 3 3 2 3" xfId="42898"/>
    <cellStyle name="Normal 6 3 2 2 3 3 3 3" xfId="20334"/>
    <cellStyle name="Normal 6 3 2 2 3 3 3 4" xfId="35377"/>
    <cellStyle name="Normal 6 3 2 2 3 3 4" xfId="9062"/>
    <cellStyle name="Normal 6 3 2 2 3 3 4 2" xfId="24106"/>
    <cellStyle name="Normal 6 3 2 2 3 3 4 3" xfId="39149"/>
    <cellStyle name="Normal 6 3 2 2 3 3 5" xfId="16585"/>
    <cellStyle name="Normal 6 3 2 2 3 3 6" xfId="31628"/>
    <cellStyle name="Normal 6 3 2 2 3 4" xfId="2425"/>
    <cellStyle name="Normal 6 3 2 2 3 4 2" xfId="6221"/>
    <cellStyle name="Normal 6 3 2 2 3 4 2 2" xfId="13744"/>
    <cellStyle name="Normal 6 3 2 2 3 4 2 2 2" xfId="28788"/>
    <cellStyle name="Normal 6 3 2 2 3 4 2 2 3" xfId="43831"/>
    <cellStyle name="Normal 6 3 2 2 3 4 2 3" xfId="21267"/>
    <cellStyle name="Normal 6 3 2 2 3 4 2 4" xfId="36310"/>
    <cellStyle name="Normal 6 3 2 2 3 4 3" xfId="9995"/>
    <cellStyle name="Normal 6 3 2 2 3 4 3 2" xfId="25039"/>
    <cellStyle name="Normal 6 3 2 2 3 4 3 3" xfId="40082"/>
    <cellStyle name="Normal 6 3 2 2 3 4 4" xfId="17518"/>
    <cellStyle name="Normal 6 3 2 2 3 4 5" xfId="32561"/>
    <cellStyle name="Normal 6 3 2 2 3 5" xfId="4353"/>
    <cellStyle name="Normal 6 3 2 2 3 5 2" xfId="11877"/>
    <cellStyle name="Normal 6 3 2 2 3 5 2 2" xfId="26921"/>
    <cellStyle name="Normal 6 3 2 2 3 5 2 3" xfId="41964"/>
    <cellStyle name="Normal 6 3 2 2 3 5 3" xfId="19400"/>
    <cellStyle name="Normal 6 3 2 2 3 5 4" xfId="34443"/>
    <cellStyle name="Normal 6 3 2 2 3 6" xfId="8116"/>
    <cellStyle name="Normal 6 3 2 2 3 6 2" xfId="23160"/>
    <cellStyle name="Normal 6 3 2 2 3 6 3" xfId="38203"/>
    <cellStyle name="Normal 6 3 2 2 3 7" xfId="15639"/>
    <cellStyle name="Normal 6 3 2 2 3 8" xfId="30682"/>
    <cellStyle name="Normal 6 3 2 2 4" xfId="977"/>
    <cellStyle name="Normal 6 3 2 2 4 2" xfId="1936"/>
    <cellStyle name="Normal 6 3 2 2 4 2 2" xfId="3807"/>
    <cellStyle name="Normal 6 3 2 2 4 2 2 2" xfId="7602"/>
    <cellStyle name="Normal 6 3 2 2 4 2 2 2 2" xfId="15125"/>
    <cellStyle name="Normal 6 3 2 2 4 2 2 2 2 2" xfId="30169"/>
    <cellStyle name="Normal 6 3 2 2 4 2 2 2 2 3" xfId="45212"/>
    <cellStyle name="Normal 6 3 2 2 4 2 2 2 3" xfId="22648"/>
    <cellStyle name="Normal 6 3 2 2 4 2 2 2 4" xfId="37691"/>
    <cellStyle name="Normal 6 3 2 2 4 2 2 3" xfId="11376"/>
    <cellStyle name="Normal 6 3 2 2 4 2 2 3 2" xfId="26420"/>
    <cellStyle name="Normal 6 3 2 2 4 2 2 3 3" xfId="41463"/>
    <cellStyle name="Normal 6 3 2 2 4 2 2 4" xfId="18899"/>
    <cellStyle name="Normal 6 3 2 2 4 2 2 5" xfId="33942"/>
    <cellStyle name="Normal 6 3 2 2 4 2 3" xfId="5737"/>
    <cellStyle name="Normal 6 3 2 2 4 2 3 2" xfId="13260"/>
    <cellStyle name="Normal 6 3 2 2 4 2 3 2 2" xfId="28304"/>
    <cellStyle name="Normal 6 3 2 2 4 2 3 2 3" xfId="43347"/>
    <cellStyle name="Normal 6 3 2 2 4 2 3 3" xfId="20783"/>
    <cellStyle name="Normal 6 3 2 2 4 2 3 4" xfId="35826"/>
    <cellStyle name="Normal 6 3 2 2 4 2 4" xfId="9511"/>
    <cellStyle name="Normal 6 3 2 2 4 2 4 2" xfId="24555"/>
    <cellStyle name="Normal 6 3 2 2 4 2 4 3" xfId="39598"/>
    <cellStyle name="Normal 6 3 2 2 4 2 5" xfId="17034"/>
    <cellStyle name="Normal 6 3 2 2 4 2 6" xfId="32077"/>
    <cellStyle name="Normal 6 3 2 2 4 3" xfId="2875"/>
    <cellStyle name="Normal 6 3 2 2 4 3 2" xfId="6670"/>
    <cellStyle name="Normal 6 3 2 2 4 3 2 2" xfId="14193"/>
    <cellStyle name="Normal 6 3 2 2 4 3 2 2 2" xfId="29237"/>
    <cellStyle name="Normal 6 3 2 2 4 3 2 2 3" xfId="44280"/>
    <cellStyle name="Normal 6 3 2 2 4 3 2 3" xfId="21716"/>
    <cellStyle name="Normal 6 3 2 2 4 3 2 4" xfId="36759"/>
    <cellStyle name="Normal 6 3 2 2 4 3 3" xfId="10444"/>
    <cellStyle name="Normal 6 3 2 2 4 3 3 2" xfId="25488"/>
    <cellStyle name="Normal 6 3 2 2 4 3 3 3" xfId="40531"/>
    <cellStyle name="Normal 6 3 2 2 4 3 4" xfId="17967"/>
    <cellStyle name="Normal 6 3 2 2 4 3 5" xfId="33010"/>
    <cellStyle name="Normal 6 3 2 2 4 4" xfId="4805"/>
    <cellStyle name="Normal 6 3 2 2 4 4 2" xfId="12328"/>
    <cellStyle name="Normal 6 3 2 2 4 4 2 2" xfId="27372"/>
    <cellStyle name="Normal 6 3 2 2 4 4 2 3" xfId="42415"/>
    <cellStyle name="Normal 6 3 2 2 4 4 3" xfId="19851"/>
    <cellStyle name="Normal 6 3 2 2 4 4 4" xfId="34894"/>
    <cellStyle name="Normal 6 3 2 2 4 5" xfId="8579"/>
    <cellStyle name="Normal 6 3 2 2 4 5 2" xfId="23623"/>
    <cellStyle name="Normal 6 3 2 2 4 5 3" xfId="38666"/>
    <cellStyle name="Normal 6 3 2 2 4 6" xfId="16102"/>
    <cellStyle name="Normal 6 3 2 2 4 7" xfId="31145"/>
    <cellStyle name="Normal 6 3 2 2 5" xfId="1484"/>
    <cellStyle name="Normal 6 3 2 2 5 2" xfId="3355"/>
    <cellStyle name="Normal 6 3 2 2 5 2 2" xfId="7150"/>
    <cellStyle name="Normal 6 3 2 2 5 2 2 2" xfId="14673"/>
    <cellStyle name="Normal 6 3 2 2 5 2 2 2 2" xfId="29717"/>
    <cellStyle name="Normal 6 3 2 2 5 2 2 2 3" xfId="44760"/>
    <cellStyle name="Normal 6 3 2 2 5 2 2 3" xfId="22196"/>
    <cellStyle name="Normal 6 3 2 2 5 2 2 4" xfId="37239"/>
    <cellStyle name="Normal 6 3 2 2 5 2 3" xfId="10924"/>
    <cellStyle name="Normal 6 3 2 2 5 2 3 2" xfId="25968"/>
    <cellStyle name="Normal 6 3 2 2 5 2 3 3" xfId="41011"/>
    <cellStyle name="Normal 6 3 2 2 5 2 4" xfId="18447"/>
    <cellStyle name="Normal 6 3 2 2 5 2 5" xfId="33490"/>
    <cellStyle name="Normal 6 3 2 2 5 3" xfId="5285"/>
    <cellStyle name="Normal 6 3 2 2 5 3 2" xfId="12808"/>
    <cellStyle name="Normal 6 3 2 2 5 3 2 2" xfId="27852"/>
    <cellStyle name="Normal 6 3 2 2 5 3 2 3" xfId="42895"/>
    <cellStyle name="Normal 6 3 2 2 5 3 3" xfId="20331"/>
    <cellStyle name="Normal 6 3 2 2 5 3 4" xfId="35374"/>
    <cellStyle name="Normal 6 3 2 2 5 4" xfId="9059"/>
    <cellStyle name="Normal 6 3 2 2 5 4 2" xfId="24103"/>
    <cellStyle name="Normal 6 3 2 2 5 4 3" xfId="39146"/>
    <cellStyle name="Normal 6 3 2 2 5 5" xfId="16582"/>
    <cellStyle name="Normal 6 3 2 2 5 6" xfId="31625"/>
    <cellStyle name="Normal 6 3 2 2 6" xfId="2422"/>
    <cellStyle name="Normal 6 3 2 2 6 2" xfId="6218"/>
    <cellStyle name="Normal 6 3 2 2 6 2 2" xfId="13741"/>
    <cellStyle name="Normal 6 3 2 2 6 2 2 2" xfId="28785"/>
    <cellStyle name="Normal 6 3 2 2 6 2 2 3" xfId="43828"/>
    <cellStyle name="Normal 6 3 2 2 6 2 3" xfId="21264"/>
    <cellStyle name="Normal 6 3 2 2 6 2 4" xfId="36307"/>
    <cellStyle name="Normal 6 3 2 2 6 3" xfId="9992"/>
    <cellStyle name="Normal 6 3 2 2 6 3 2" xfId="25036"/>
    <cellStyle name="Normal 6 3 2 2 6 3 3" xfId="40079"/>
    <cellStyle name="Normal 6 3 2 2 6 4" xfId="17515"/>
    <cellStyle name="Normal 6 3 2 2 6 5" xfId="32558"/>
    <cellStyle name="Normal 6 3 2 2 7" xfId="4350"/>
    <cellStyle name="Normal 6 3 2 2 7 2" xfId="11874"/>
    <cellStyle name="Normal 6 3 2 2 7 2 2" xfId="26918"/>
    <cellStyle name="Normal 6 3 2 2 7 2 3" xfId="41961"/>
    <cellStyle name="Normal 6 3 2 2 7 3" xfId="19397"/>
    <cellStyle name="Normal 6 3 2 2 7 4" xfId="34440"/>
    <cellStyle name="Normal 6 3 2 2 8" xfId="8113"/>
    <cellStyle name="Normal 6 3 2 2 8 2" xfId="23157"/>
    <cellStyle name="Normal 6 3 2 2 8 3" xfId="38200"/>
    <cellStyle name="Normal 6 3 2 2 9" xfId="15636"/>
    <cellStyle name="Normal 6 3 2 3" xfId="462"/>
    <cellStyle name="Normal 6 3 2 3 2" xfId="463"/>
    <cellStyle name="Normal 6 3 2 3 2 2" xfId="982"/>
    <cellStyle name="Normal 6 3 2 3 2 2 2" xfId="1941"/>
    <cellStyle name="Normal 6 3 2 3 2 2 2 2" xfId="3812"/>
    <cellStyle name="Normal 6 3 2 3 2 2 2 2 2" xfId="7607"/>
    <cellStyle name="Normal 6 3 2 3 2 2 2 2 2 2" xfId="15130"/>
    <cellStyle name="Normal 6 3 2 3 2 2 2 2 2 2 2" xfId="30174"/>
    <cellStyle name="Normal 6 3 2 3 2 2 2 2 2 2 3" xfId="45217"/>
    <cellStyle name="Normal 6 3 2 3 2 2 2 2 2 3" xfId="22653"/>
    <cellStyle name="Normal 6 3 2 3 2 2 2 2 2 4" xfId="37696"/>
    <cellStyle name="Normal 6 3 2 3 2 2 2 2 3" xfId="11381"/>
    <cellStyle name="Normal 6 3 2 3 2 2 2 2 3 2" xfId="26425"/>
    <cellStyle name="Normal 6 3 2 3 2 2 2 2 3 3" xfId="41468"/>
    <cellStyle name="Normal 6 3 2 3 2 2 2 2 4" xfId="18904"/>
    <cellStyle name="Normal 6 3 2 3 2 2 2 2 5" xfId="33947"/>
    <cellStyle name="Normal 6 3 2 3 2 2 2 3" xfId="5742"/>
    <cellStyle name="Normal 6 3 2 3 2 2 2 3 2" xfId="13265"/>
    <cellStyle name="Normal 6 3 2 3 2 2 2 3 2 2" xfId="28309"/>
    <cellStyle name="Normal 6 3 2 3 2 2 2 3 2 3" xfId="43352"/>
    <cellStyle name="Normal 6 3 2 3 2 2 2 3 3" xfId="20788"/>
    <cellStyle name="Normal 6 3 2 3 2 2 2 3 4" xfId="35831"/>
    <cellStyle name="Normal 6 3 2 3 2 2 2 4" xfId="9516"/>
    <cellStyle name="Normal 6 3 2 3 2 2 2 4 2" xfId="24560"/>
    <cellStyle name="Normal 6 3 2 3 2 2 2 4 3" xfId="39603"/>
    <cellStyle name="Normal 6 3 2 3 2 2 2 5" xfId="17039"/>
    <cellStyle name="Normal 6 3 2 3 2 2 2 6" xfId="32082"/>
    <cellStyle name="Normal 6 3 2 3 2 2 3" xfId="2880"/>
    <cellStyle name="Normal 6 3 2 3 2 2 3 2" xfId="6675"/>
    <cellStyle name="Normal 6 3 2 3 2 2 3 2 2" xfId="14198"/>
    <cellStyle name="Normal 6 3 2 3 2 2 3 2 2 2" xfId="29242"/>
    <cellStyle name="Normal 6 3 2 3 2 2 3 2 2 3" xfId="44285"/>
    <cellStyle name="Normal 6 3 2 3 2 2 3 2 3" xfId="21721"/>
    <cellStyle name="Normal 6 3 2 3 2 2 3 2 4" xfId="36764"/>
    <cellStyle name="Normal 6 3 2 3 2 2 3 3" xfId="10449"/>
    <cellStyle name="Normal 6 3 2 3 2 2 3 3 2" xfId="25493"/>
    <cellStyle name="Normal 6 3 2 3 2 2 3 3 3" xfId="40536"/>
    <cellStyle name="Normal 6 3 2 3 2 2 3 4" xfId="17972"/>
    <cellStyle name="Normal 6 3 2 3 2 2 3 5" xfId="33015"/>
    <cellStyle name="Normal 6 3 2 3 2 2 4" xfId="4810"/>
    <cellStyle name="Normal 6 3 2 3 2 2 4 2" xfId="12333"/>
    <cellStyle name="Normal 6 3 2 3 2 2 4 2 2" xfId="27377"/>
    <cellStyle name="Normal 6 3 2 3 2 2 4 2 3" xfId="42420"/>
    <cellStyle name="Normal 6 3 2 3 2 2 4 3" xfId="19856"/>
    <cellStyle name="Normal 6 3 2 3 2 2 4 4" xfId="34899"/>
    <cellStyle name="Normal 6 3 2 3 2 2 5" xfId="8584"/>
    <cellStyle name="Normal 6 3 2 3 2 2 5 2" xfId="23628"/>
    <cellStyle name="Normal 6 3 2 3 2 2 5 3" xfId="38671"/>
    <cellStyle name="Normal 6 3 2 3 2 2 6" xfId="16107"/>
    <cellStyle name="Normal 6 3 2 3 2 2 7" xfId="31150"/>
    <cellStyle name="Normal 6 3 2 3 2 3" xfId="1489"/>
    <cellStyle name="Normal 6 3 2 3 2 3 2" xfId="3360"/>
    <cellStyle name="Normal 6 3 2 3 2 3 2 2" xfId="7155"/>
    <cellStyle name="Normal 6 3 2 3 2 3 2 2 2" xfId="14678"/>
    <cellStyle name="Normal 6 3 2 3 2 3 2 2 2 2" xfId="29722"/>
    <cellStyle name="Normal 6 3 2 3 2 3 2 2 2 3" xfId="44765"/>
    <cellStyle name="Normal 6 3 2 3 2 3 2 2 3" xfId="22201"/>
    <cellStyle name="Normal 6 3 2 3 2 3 2 2 4" xfId="37244"/>
    <cellStyle name="Normal 6 3 2 3 2 3 2 3" xfId="10929"/>
    <cellStyle name="Normal 6 3 2 3 2 3 2 3 2" xfId="25973"/>
    <cellStyle name="Normal 6 3 2 3 2 3 2 3 3" xfId="41016"/>
    <cellStyle name="Normal 6 3 2 3 2 3 2 4" xfId="18452"/>
    <cellStyle name="Normal 6 3 2 3 2 3 2 5" xfId="33495"/>
    <cellStyle name="Normal 6 3 2 3 2 3 3" xfId="5290"/>
    <cellStyle name="Normal 6 3 2 3 2 3 3 2" xfId="12813"/>
    <cellStyle name="Normal 6 3 2 3 2 3 3 2 2" xfId="27857"/>
    <cellStyle name="Normal 6 3 2 3 2 3 3 2 3" xfId="42900"/>
    <cellStyle name="Normal 6 3 2 3 2 3 3 3" xfId="20336"/>
    <cellStyle name="Normal 6 3 2 3 2 3 3 4" xfId="35379"/>
    <cellStyle name="Normal 6 3 2 3 2 3 4" xfId="9064"/>
    <cellStyle name="Normal 6 3 2 3 2 3 4 2" xfId="24108"/>
    <cellStyle name="Normal 6 3 2 3 2 3 4 3" xfId="39151"/>
    <cellStyle name="Normal 6 3 2 3 2 3 5" xfId="16587"/>
    <cellStyle name="Normal 6 3 2 3 2 3 6" xfId="31630"/>
    <cellStyle name="Normal 6 3 2 3 2 4" xfId="2427"/>
    <cellStyle name="Normal 6 3 2 3 2 4 2" xfId="6223"/>
    <cellStyle name="Normal 6 3 2 3 2 4 2 2" xfId="13746"/>
    <cellStyle name="Normal 6 3 2 3 2 4 2 2 2" xfId="28790"/>
    <cellStyle name="Normal 6 3 2 3 2 4 2 2 3" xfId="43833"/>
    <cellStyle name="Normal 6 3 2 3 2 4 2 3" xfId="21269"/>
    <cellStyle name="Normal 6 3 2 3 2 4 2 4" xfId="36312"/>
    <cellStyle name="Normal 6 3 2 3 2 4 3" xfId="9997"/>
    <cellStyle name="Normal 6 3 2 3 2 4 3 2" xfId="25041"/>
    <cellStyle name="Normal 6 3 2 3 2 4 3 3" xfId="40084"/>
    <cellStyle name="Normal 6 3 2 3 2 4 4" xfId="17520"/>
    <cellStyle name="Normal 6 3 2 3 2 4 5" xfId="32563"/>
    <cellStyle name="Normal 6 3 2 3 2 5" xfId="4355"/>
    <cellStyle name="Normal 6 3 2 3 2 5 2" xfId="11879"/>
    <cellStyle name="Normal 6 3 2 3 2 5 2 2" xfId="26923"/>
    <cellStyle name="Normal 6 3 2 3 2 5 2 3" xfId="41966"/>
    <cellStyle name="Normal 6 3 2 3 2 5 3" xfId="19402"/>
    <cellStyle name="Normal 6 3 2 3 2 5 4" xfId="34445"/>
    <cellStyle name="Normal 6 3 2 3 2 6" xfId="8118"/>
    <cellStyle name="Normal 6 3 2 3 2 6 2" xfId="23162"/>
    <cellStyle name="Normal 6 3 2 3 2 6 3" xfId="38205"/>
    <cellStyle name="Normal 6 3 2 3 2 7" xfId="15641"/>
    <cellStyle name="Normal 6 3 2 3 2 8" xfId="30684"/>
    <cellStyle name="Normal 6 3 2 3 3" xfId="981"/>
    <cellStyle name="Normal 6 3 2 3 3 2" xfId="1940"/>
    <cellStyle name="Normal 6 3 2 3 3 2 2" xfId="3811"/>
    <cellStyle name="Normal 6 3 2 3 3 2 2 2" xfId="7606"/>
    <cellStyle name="Normal 6 3 2 3 3 2 2 2 2" xfId="15129"/>
    <cellStyle name="Normal 6 3 2 3 3 2 2 2 2 2" xfId="30173"/>
    <cellStyle name="Normal 6 3 2 3 3 2 2 2 2 3" xfId="45216"/>
    <cellStyle name="Normal 6 3 2 3 3 2 2 2 3" xfId="22652"/>
    <cellStyle name="Normal 6 3 2 3 3 2 2 2 4" xfId="37695"/>
    <cellStyle name="Normal 6 3 2 3 3 2 2 3" xfId="11380"/>
    <cellStyle name="Normal 6 3 2 3 3 2 2 3 2" xfId="26424"/>
    <cellStyle name="Normal 6 3 2 3 3 2 2 3 3" xfId="41467"/>
    <cellStyle name="Normal 6 3 2 3 3 2 2 4" xfId="18903"/>
    <cellStyle name="Normal 6 3 2 3 3 2 2 5" xfId="33946"/>
    <cellStyle name="Normal 6 3 2 3 3 2 3" xfId="5741"/>
    <cellStyle name="Normal 6 3 2 3 3 2 3 2" xfId="13264"/>
    <cellStyle name="Normal 6 3 2 3 3 2 3 2 2" xfId="28308"/>
    <cellStyle name="Normal 6 3 2 3 3 2 3 2 3" xfId="43351"/>
    <cellStyle name="Normal 6 3 2 3 3 2 3 3" xfId="20787"/>
    <cellStyle name="Normal 6 3 2 3 3 2 3 4" xfId="35830"/>
    <cellStyle name="Normal 6 3 2 3 3 2 4" xfId="9515"/>
    <cellStyle name="Normal 6 3 2 3 3 2 4 2" xfId="24559"/>
    <cellStyle name="Normal 6 3 2 3 3 2 4 3" xfId="39602"/>
    <cellStyle name="Normal 6 3 2 3 3 2 5" xfId="17038"/>
    <cellStyle name="Normal 6 3 2 3 3 2 6" xfId="32081"/>
    <cellStyle name="Normal 6 3 2 3 3 3" xfId="2879"/>
    <cellStyle name="Normal 6 3 2 3 3 3 2" xfId="6674"/>
    <cellStyle name="Normal 6 3 2 3 3 3 2 2" xfId="14197"/>
    <cellStyle name="Normal 6 3 2 3 3 3 2 2 2" xfId="29241"/>
    <cellStyle name="Normal 6 3 2 3 3 3 2 2 3" xfId="44284"/>
    <cellStyle name="Normal 6 3 2 3 3 3 2 3" xfId="21720"/>
    <cellStyle name="Normal 6 3 2 3 3 3 2 4" xfId="36763"/>
    <cellStyle name="Normal 6 3 2 3 3 3 3" xfId="10448"/>
    <cellStyle name="Normal 6 3 2 3 3 3 3 2" xfId="25492"/>
    <cellStyle name="Normal 6 3 2 3 3 3 3 3" xfId="40535"/>
    <cellStyle name="Normal 6 3 2 3 3 3 4" xfId="17971"/>
    <cellStyle name="Normal 6 3 2 3 3 3 5" xfId="33014"/>
    <cellStyle name="Normal 6 3 2 3 3 4" xfId="4809"/>
    <cellStyle name="Normal 6 3 2 3 3 4 2" xfId="12332"/>
    <cellStyle name="Normal 6 3 2 3 3 4 2 2" xfId="27376"/>
    <cellStyle name="Normal 6 3 2 3 3 4 2 3" xfId="42419"/>
    <cellStyle name="Normal 6 3 2 3 3 4 3" xfId="19855"/>
    <cellStyle name="Normal 6 3 2 3 3 4 4" xfId="34898"/>
    <cellStyle name="Normal 6 3 2 3 3 5" xfId="8583"/>
    <cellStyle name="Normal 6 3 2 3 3 5 2" xfId="23627"/>
    <cellStyle name="Normal 6 3 2 3 3 5 3" xfId="38670"/>
    <cellStyle name="Normal 6 3 2 3 3 6" xfId="16106"/>
    <cellStyle name="Normal 6 3 2 3 3 7" xfId="31149"/>
    <cellStyle name="Normal 6 3 2 3 4" xfId="1488"/>
    <cellStyle name="Normal 6 3 2 3 4 2" xfId="3359"/>
    <cellStyle name="Normal 6 3 2 3 4 2 2" xfId="7154"/>
    <cellStyle name="Normal 6 3 2 3 4 2 2 2" xfId="14677"/>
    <cellStyle name="Normal 6 3 2 3 4 2 2 2 2" xfId="29721"/>
    <cellStyle name="Normal 6 3 2 3 4 2 2 2 3" xfId="44764"/>
    <cellStyle name="Normal 6 3 2 3 4 2 2 3" xfId="22200"/>
    <cellStyle name="Normal 6 3 2 3 4 2 2 4" xfId="37243"/>
    <cellStyle name="Normal 6 3 2 3 4 2 3" xfId="10928"/>
    <cellStyle name="Normal 6 3 2 3 4 2 3 2" xfId="25972"/>
    <cellStyle name="Normal 6 3 2 3 4 2 3 3" xfId="41015"/>
    <cellStyle name="Normal 6 3 2 3 4 2 4" xfId="18451"/>
    <cellStyle name="Normal 6 3 2 3 4 2 5" xfId="33494"/>
    <cellStyle name="Normal 6 3 2 3 4 3" xfId="5289"/>
    <cellStyle name="Normal 6 3 2 3 4 3 2" xfId="12812"/>
    <cellStyle name="Normal 6 3 2 3 4 3 2 2" xfId="27856"/>
    <cellStyle name="Normal 6 3 2 3 4 3 2 3" xfId="42899"/>
    <cellStyle name="Normal 6 3 2 3 4 3 3" xfId="20335"/>
    <cellStyle name="Normal 6 3 2 3 4 3 4" xfId="35378"/>
    <cellStyle name="Normal 6 3 2 3 4 4" xfId="9063"/>
    <cellStyle name="Normal 6 3 2 3 4 4 2" xfId="24107"/>
    <cellStyle name="Normal 6 3 2 3 4 4 3" xfId="39150"/>
    <cellStyle name="Normal 6 3 2 3 4 5" xfId="16586"/>
    <cellStyle name="Normal 6 3 2 3 4 6" xfId="31629"/>
    <cellStyle name="Normal 6 3 2 3 5" xfId="2426"/>
    <cellStyle name="Normal 6 3 2 3 5 2" xfId="6222"/>
    <cellStyle name="Normal 6 3 2 3 5 2 2" xfId="13745"/>
    <cellStyle name="Normal 6 3 2 3 5 2 2 2" xfId="28789"/>
    <cellStyle name="Normal 6 3 2 3 5 2 2 3" xfId="43832"/>
    <cellStyle name="Normal 6 3 2 3 5 2 3" xfId="21268"/>
    <cellStyle name="Normal 6 3 2 3 5 2 4" xfId="36311"/>
    <cellStyle name="Normal 6 3 2 3 5 3" xfId="9996"/>
    <cellStyle name="Normal 6 3 2 3 5 3 2" xfId="25040"/>
    <cellStyle name="Normal 6 3 2 3 5 3 3" xfId="40083"/>
    <cellStyle name="Normal 6 3 2 3 5 4" xfId="17519"/>
    <cellStyle name="Normal 6 3 2 3 5 5" xfId="32562"/>
    <cellStyle name="Normal 6 3 2 3 6" xfId="4354"/>
    <cellStyle name="Normal 6 3 2 3 6 2" xfId="11878"/>
    <cellStyle name="Normal 6 3 2 3 6 2 2" xfId="26922"/>
    <cellStyle name="Normal 6 3 2 3 6 2 3" xfId="41965"/>
    <cellStyle name="Normal 6 3 2 3 6 3" xfId="19401"/>
    <cellStyle name="Normal 6 3 2 3 6 4" xfId="34444"/>
    <cellStyle name="Normal 6 3 2 3 7" xfId="8117"/>
    <cellStyle name="Normal 6 3 2 3 7 2" xfId="23161"/>
    <cellStyle name="Normal 6 3 2 3 7 3" xfId="38204"/>
    <cellStyle name="Normal 6 3 2 3 8" xfId="15640"/>
    <cellStyle name="Normal 6 3 2 3 9" xfId="30683"/>
    <cellStyle name="Normal 6 3 2 4" xfId="464"/>
    <cellStyle name="Normal 6 3 2 4 2" xfId="465"/>
    <cellStyle name="Normal 6 3 2 4 2 2" xfId="984"/>
    <cellStyle name="Normal 6 3 2 4 2 2 2" xfId="1943"/>
    <cellStyle name="Normal 6 3 2 4 2 2 2 2" xfId="3814"/>
    <cellStyle name="Normal 6 3 2 4 2 2 2 2 2" xfId="7609"/>
    <cellStyle name="Normal 6 3 2 4 2 2 2 2 2 2" xfId="15132"/>
    <cellStyle name="Normal 6 3 2 4 2 2 2 2 2 2 2" xfId="30176"/>
    <cellStyle name="Normal 6 3 2 4 2 2 2 2 2 2 3" xfId="45219"/>
    <cellStyle name="Normal 6 3 2 4 2 2 2 2 2 3" xfId="22655"/>
    <cellStyle name="Normal 6 3 2 4 2 2 2 2 2 4" xfId="37698"/>
    <cellStyle name="Normal 6 3 2 4 2 2 2 2 3" xfId="11383"/>
    <cellStyle name="Normal 6 3 2 4 2 2 2 2 3 2" xfId="26427"/>
    <cellStyle name="Normal 6 3 2 4 2 2 2 2 3 3" xfId="41470"/>
    <cellStyle name="Normal 6 3 2 4 2 2 2 2 4" xfId="18906"/>
    <cellStyle name="Normal 6 3 2 4 2 2 2 2 5" xfId="33949"/>
    <cellStyle name="Normal 6 3 2 4 2 2 2 3" xfId="5744"/>
    <cellStyle name="Normal 6 3 2 4 2 2 2 3 2" xfId="13267"/>
    <cellStyle name="Normal 6 3 2 4 2 2 2 3 2 2" xfId="28311"/>
    <cellStyle name="Normal 6 3 2 4 2 2 2 3 2 3" xfId="43354"/>
    <cellStyle name="Normal 6 3 2 4 2 2 2 3 3" xfId="20790"/>
    <cellStyle name="Normal 6 3 2 4 2 2 2 3 4" xfId="35833"/>
    <cellStyle name="Normal 6 3 2 4 2 2 2 4" xfId="9518"/>
    <cellStyle name="Normal 6 3 2 4 2 2 2 4 2" xfId="24562"/>
    <cellStyle name="Normal 6 3 2 4 2 2 2 4 3" xfId="39605"/>
    <cellStyle name="Normal 6 3 2 4 2 2 2 5" xfId="17041"/>
    <cellStyle name="Normal 6 3 2 4 2 2 2 6" xfId="32084"/>
    <cellStyle name="Normal 6 3 2 4 2 2 3" xfId="2882"/>
    <cellStyle name="Normal 6 3 2 4 2 2 3 2" xfId="6677"/>
    <cellStyle name="Normal 6 3 2 4 2 2 3 2 2" xfId="14200"/>
    <cellStyle name="Normal 6 3 2 4 2 2 3 2 2 2" xfId="29244"/>
    <cellStyle name="Normal 6 3 2 4 2 2 3 2 2 3" xfId="44287"/>
    <cellStyle name="Normal 6 3 2 4 2 2 3 2 3" xfId="21723"/>
    <cellStyle name="Normal 6 3 2 4 2 2 3 2 4" xfId="36766"/>
    <cellStyle name="Normal 6 3 2 4 2 2 3 3" xfId="10451"/>
    <cellStyle name="Normal 6 3 2 4 2 2 3 3 2" xfId="25495"/>
    <cellStyle name="Normal 6 3 2 4 2 2 3 3 3" xfId="40538"/>
    <cellStyle name="Normal 6 3 2 4 2 2 3 4" xfId="17974"/>
    <cellStyle name="Normal 6 3 2 4 2 2 3 5" xfId="33017"/>
    <cellStyle name="Normal 6 3 2 4 2 2 4" xfId="4812"/>
    <cellStyle name="Normal 6 3 2 4 2 2 4 2" xfId="12335"/>
    <cellStyle name="Normal 6 3 2 4 2 2 4 2 2" xfId="27379"/>
    <cellStyle name="Normal 6 3 2 4 2 2 4 2 3" xfId="42422"/>
    <cellStyle name="Normal 6 3 2 4 2 2 4 3" xfId="19858"/>
    <cellStyle name="Normal 6 3 2 4 2 2 4 4" xfId="34901"/>
    <cellStyle name="Normal 6 3 2 4 2 2 5" xfId="8586"/>
    <cellStyle name="Normal 6 3 2 4 2 2 5 2" xfId="23630"/>
    <cellStyle name="Normal 6 3 2 4 2 2 5 3" xfId="38673"/>
    <cellStyle name="Normal 6 3 2 4 2 2 6" xfId="16109"/>
    <cellStyle name="Normal 6 3 2 4 2 2 7" xfId="31152"/>
    <cellStyle name="Normal 6 3 2 4 2 3" xfId="1491"/>
    <cellStyle name="Normal 6 3 2 4 2 3 2" xfId="3362"/>
    <cellStyle name="Normal 6 3 2 4 2 3 2 2" xfId="7157"/>
    <cellStyle name="Normal 6 3 2 4 2 3 2 2 2" xfId="14680"/>
    <cellStyle name="Normal 6 3 2 4 2 3 2 2 2 2" xfId="29724"/>
    <cellStyle name="Normal 6 3 2 4 2 3 2 2 2 3" xfId="44767"/>
    <cellStyle name="Normal 6 3 2 4 2 3 2 2 3" xfId="22203"/>
    <cellStyle name="Normal 6 3 2 4 2 3 2 2 4" xfId="37246"/>
    <cellStyle name="Normal 6 3 2 4 2 3 2 3" xfId="10931"/>
    <cellStyle name="Normal 6 3 2 4 2 3 2 3 2" xfId="25975"/>
    <cellStyle name="Normal 6 3 2 4 2 3 2 3 3" xfId="41018"/>
    <cellStyle name="Normal 6 3 2 4 2 3 2 4" xfId="18454"/>
    <cellStyle name="Normal 6 3 2 4 2 3 2 5" xfId="33497"/>
    <cellStyle name="Normal 6 3 2 4 2 3 3" xfId="5292"/>
    <cellStyle name="Normal 6 3 2 4 2 3 3 2" xfId="12815"/>
    <cellStyle name="Normal 6 3 2 4 2 3 3 2 2" xfId="27859"/>
    <cellStyle name="Normal 6 3 2 4 2 3 3 2 3" xfId="42902"/>
    <cellStyle name="Normal 6 3 2 4 2 3 3 3" xfId="20338"/>
    <cellStyle name="Normal 6 3 2 4 2 3 3 4" xfId="35381"/>
    <cellStyle name="Normal 6 3 2 4 2 3 4" xfId="9066"/>
    <cellStyle name="Normal 6 3 2 4 2 3 4 2" xfId="24110"/>
    <cellStyle name="Normal 6 3 2 4 2 3 4 3" xfId="39153"/>
    <cellStyle name="Normal 6 3 2 4 2 3 5" xfId="16589"/>
    <cellStyle name="Normal 6 3 2 4 2 3 6" xfId="31632"/>
    <cellStyle name="Normal 6 3 2 4 2 4" xfId="2429"/>
    <cellStyle name="Normal 6 3 2 4 2 4 2" xfId="6225"/>
    <cellStyle name="Normal 6 3 2 4 2 4 2 2" xfId="13748"/>
    <cellStyle name="Normal 6 3 2 4 2 4 2 2 2" xfId="28792"/>
    <cellStyle name="Normal 6 3 2 4 2 4 2 2 3" xfId="43835"/>
    <cellStyle name="Normal 6 3 2 4 2 4 2 3" xfId="21271"/>
    <cellStyle name="Normal 6 3 2 4 2 4 2 4" xfId="36314"/>
    <cellStyle name="Normal 6 3 2 4 2 4 3" xfId="9999"/>
    <cellStyle name="Normal 6 3 2 4 2 4 3 2" xfId="25043"/>
    <cellStyle name="Normal 6 3 2 4 2 4 3 3" xfId="40086"/>
    <cellStyle name="Normal 6 3 2 4 2 4 4" xfId="17522"/>
    <cellStyle name="Normal 6 3 2 4 2 4 5" xfId="32565"/>
    <cellStyle name="Normal 6 3 2 4 2 5" xfId="4357"/>
    <cellStyle name="Normal 6 3 2 4 2 5 2" xfId="11881"/>
    <cellStyle name="Normal 6 3 2 4 2 5 2 2" xfId="26925"/>
    <cellStyle name="Normal 6 3 2 4 2 5 2 3" xfId="41968"/>
    <cellStyle name="Normal 6 3 2 4 2 5 3" xfId="19404"/>
    <cellStyle name="Normal 6 3 2 4 2 5 4" xfId="34447"/>
    <cellStyle name="Normal 6 3 2 4 2 6" xfId="8120"/>
    <cellStyle name="Normal 6 3 2 4 2 6 2" xfId="23164"/>
    <cellStyle name="Normal 6 3 2 4 2 6 3" xfId="38207"/>
    <cellStyle name="Normal 6 3 2 4 2 7" xfId="15643"/>
    <cellStyle name="Normal 6 3 2 4 2 8" xfId="30686"/>
    <cellStyle name="Normal 6 3 2 4 3" xfId="983"/>
    <cellStyle name="Normal 6 3 2 4 3 2" xfId="1942"/>
    <cellStyle name="Normal 6 3 2 4 3 2 2" xfId="3813"/>
    <cellStyle name="Normal 6 3 2 4 3 2 2 2" xfId="7608"/>
    <cellStyle name="Normal 6 3 2 4 3 2 2 2 2" xfId="15131"/>
    <cellStyle name="Normal 6 3 2 4 3 2 2 2 2 2" xfId="30175"/>
    <cellStyle name="Normal 6 3 2 4 3 2 2 2 2 3" xfId="45218"/>
    <cellStyle name="Normal 6 3 2 4 3 2 2 2 3" xfId="22654"/>
    <cellStyle name="Normal 6 3 2 4 3 2 2 2 4" xfId="37697"/>
    <cellStyle name="Normal 6 3 2 4 3 2 2 3" xfId="11382"/>
    <cellStyle name="Normal 6 3 2 4 3 2 2 3 2" xfId="26426"/>
    <cellStyle name="Normal 6 3 2 4 3 2 2 3 3" xfId="41469"/>
    <cellStyle name="Normal 6 3 2 4 3 2 2 4" xfId="18905"/>
    <cellStyle name="Normal 6 3 2 4 3 2 2 5" xfId="33948"/>
    <cellStyle name="Normal 6 3 2 4 3 2 3" xfId="5743"/>
    <cellStyle name="Normal 6 3 2 4 3 2 3 2" xfId="13266"/>
    <cellStyle name="Normal 6 3 2 4 3 2 3 2 2" xfId="28310"/>
    <cellStyle name="Normal 6 3 2 4 3 2 3 2 3" xfId="43353"/>
    <cellStyle name="Normal 6 3 2 4 3 2 3 3" xfId="20789"/>
    <cellStyle name="Normal 6 3 2 4 3 2 3 4" xfId="35832"/>
    <cellStyle name="Normal 6 3 2 4 3 2 4" xfId="9517"/>
    <cellStyle name="Normal 6 3 2 4 3 2 4 2" xfId="24561"/>
    <cellStyle name="Normal 6 3 2 4 3 2 4 3" xfId="39604"/>
    <cellStyle name="Normal 6 3 2 4 3 2 5" xfId="17040"/>
    <cellStyle name="Normal 6 3 2 4 3 2 6" xfId="32083"/>
    <cellStyle name="Normal 6 3 2 4 3 3" xfId="2881"/>
    <cellStyle name="Normal 6 3 2 4 3 3 2" xfId="6676"/>
    <cellStyle name="Normal 6 3 2 4 3 3 2 2" xfId="14199"/>
    <cellStyle name="Normal 6 3 2 4 3 3 2 2 2" xfId="29243"/>
    <cellStyle name="Normal 6 3 2 4 3 3 2 2 3" xfId="44286"/>
    <cellStyle name="Normal 6 3 2 4 3 3 2 3" xfId="21722"/>
    <cellStyle name="Normal 6 3 2 4 3 3 2 4" xfId="36765"/>
    <cellStyle name="Normal 6 3 2 4 3 3 3" xfId="10450"/>
    <cellStyle name="Normal 6 3 2 4 3 3 3 2" xfId="25494"/>
    <cellStyle name="Normal 6 3 2 4 3 3 3 3" xfId="40537"/>
    <cellStyle name="Normal 6 3 2 4 3 3 4" xfId="17973"/>
    <cellStyle name="Normal 6 3 2 4 3 3 5" xfId="33016"/>
    <cellStyle name="Normal 6 3 2 4 3 4" xfId="4811"/>
    <cellStyle name="Normal 6 3 2 4 3 4 2" xfId="12334"/>
    <cellStyle name="Normal 6 3 2 4 3 4 2 2" xfId="27378"/>
    <cellStyle name="Normal 6 3 2 4 3 4 2 3" xfId="42421"/>
    <cellStyle name="Normal 6 3 2 4 3 4 3" xfId="19857"/>
    <cellStyle name="Normal 6 3 2 4 3 4 4" xfId="34900"/>
    <cellStyle name="Normal 6 3 2 4 3 5" xfId="8585"/>
    <cellStyle name="Normal 6 3 2 4 3 5 2" xfId="23629"/>
    <cellStyle name="Normal 6 3 2 4 3 5 3" xfId="38672"/>
    <cellStyle name="Normal 6 3 2 4 3 6" xfId="16108"/>
    <cellStyle name="Normal 6 3 2 4 3 7" xfId="31151"/>
    <cellStyle name="Normal 6 3 2 4 4" xfId="1490"/>
    <cellStyle name="Normal 6 3 2 4 4 2" xfId="3361"/>
    <cellStyle name="Normal 6 3 2 4 4 2 2" xfId="7156"/>
    <cellStyle name="Normal 6 3 2 4 4 2 2 2" xfId="14679"/>
    <cellStyle name="Normal 6 3 2 4 4 2 2 2 2" xfId="29723"/>
    <cellStyle name="Normal 6 3 2 4 4 2 2 2 3" xfId="44766"/>
    <cellStyle name="Normal 6 3 2 4 4 2 2 3" xfId="22202"/>
    <cellStyle name="Normal 6 3 2 4 4 2 2 4" xfId="37245"/>
    <cellStyle name="Normal 6 3 2 4 4 2 3" xfId="10930"/>
    <cellStyle name="Normal 6 3 2 4 4 2 3 2" xfId="25974"/>
    <cellStyle name="Normal 6 3 2 4 4 2 3 3" xfId="41017"/>
    <cellStyle name="Normal 6 3 2 4 4 2 4" xfId="18453"/>
    <cellStyle name="Normal 6 3 2 4 4 2 5" xfId="33496"/>
    <cellStyle name="Normal 6 3 2 4 4 3" xfId="5291"/>
    <cellStyle name="Normal 6 3 2 4 4 3 2" xfId="12814"/>
    <cellStyle name="Normal 6 3 2 4 4 3 2 2" xfId="27858"/>
    <cellStyle name="Normal 6 3 2 4 4 3 2 3" xfId="42901"/>
    <cellStyle name="Normal 6 3 2 4 4 3 3" xfId="20337"/>
    <cellStyle name="Normal 6 3 2 4 4 3 4" xfId="35380"/>
    <cellStyle name="Normal 6 3 2 4 4 4" xfId="9065"/>
    <cellStyle name="Normal 6 3 2 4 4 4 2" xfId="24109"/>
    <cellStyle name="Normal 6 3 2 4 4 4 3" xfId="39152"/>
    <cellStyle name="Normal 6 3 2 4 4 5" xfId="16588"/>
    <cellStyle name="Normal 6 3 2 4 4 6" xfId="31631"/>
    <cellStyle name="Normal 6 3 2 4 5" xfId="2428"/>
    <cellStyle name="Normal 6 3 2 4 5 2" xfId="6224"/>
    <cellStyle name="Normal 6 3 2 4 5 2 2" xfId="13747"/>
    <cellStyle name="Normal 6 3 2 4 5 2 2 2" xfId="28791"/>
    <cellStyle name="Normal 6 3 2 4 5 2 2 3" xfId="43834"/>
    <cellStyle name="Normal 6 3 2 4 5 2 3" xfId="21270"/>
    <cellStyle name="Normal 6 3 2 4 5 2 4" xfId="36313"/>
    <cellStyle name="Normal 6 3 2 4 5 3" xfId="9998"/>
    <cellStyle name="Normal 6 3 2 4 5 3 2" xfId="25042"/>
    <cellStyle name="Normal 6 3 2 4 5 3 3" xfId="40085"/>
    <cellStyle name="Normal 6 3 2 4 5 4" xfId="17521"/>
    <cellStyle name="Normal 6 3 2 4 5 5" xfId="32564"/>
    <cellStyle name="Normal 6 3 2 4 6" xfId="4356"/>
    <cellStyle name="Normal 6 3 2 4 6 2" xfId="11880"/>
    <cellStyle name="Normal 6 3 2 4 6 2 2" xfId="26924"/>
    <cellStyle name="Normal 6 3 2 4 6 2 3" xfId="41967"/>
    <cellStyle name="Normal 6 3 2 4 6 3" xfId="19403"/>
    <cellStyle name="Normal 6 3 2 4 6 4" xfId="34446"/>
    <cellStyle name="Normal 6 3 2 4 7" xfId="8119"/>
    <cellStyle name="Normal 6 3 2 4 7 2" xfId="23163"/>
    <cellStyle name="Normal 6 3 2 4 7 3" xfId="38206"/>
    <cellStyle name="Normal 6 3 2 4 8" xfId="15642"/>
    <cellStyle name="Normal 6 3 2 4 9" xfId="30685"/>
    <cellStyle name="Normal 6 3 2 5" xfId="466"/>
    <cellStyle name="Normal 6 3 2 5 2" xfId="985"/>
    <cellStyle name="Normal 6 3 2 5 2 2" xfId="1944"/>
    <cellStyle name="Normal 6 3 2 5 2 2 2" xfId="3815"/>
    <cellStyle name="Normal 6 3 2 5 2 2 2 2" xfId="7610"/>
    <cellStyle name="Normal 6 3 2 5 2 2 2 2 2" xfId="15133"/>
    <cellStyle name="Normal 6 3 2 5 2 2 2 2 2 2" xfId="30177"/>
    <cellStyle name="Normal 6 3 2 5 2 2 2 2 2 3" xfId="45220"/>
    <cellStyle name="Normal 6 3 2 5 2 2 2 2 3" xfId="22656"/>
    <cellStyle name="Normal 6 3 2 5 2 2 2 2 4" xfId="37699"/>
    <cellStyle name="Normal 6 3 2 5 2 2 2 3" xfId="11384"/>
    <cellStyle name="Normal 6 3 2 5 2 2 2 3 2" xfId="26428"/>
    <cellStyle name="Normal 6 3 2 5 2 2 2 3 3" xfId="41471"/>
    <cellStyle name="Normal 6 3 2 5 2 2 2 4" xfId="18907"/>
    <cellStyle name="Normal 6 3 2 5 2 2 2 5" xfId="33950"/>
    <cellStyle name="Normal 6 3 2 5 2 2 3" xfId="5745"/>
    <cellStyle name="Normal 6 3 2 5 2 2 3 2" xfId="13268"/>
    <cellStyle name="Normal 6 3 2 5 2 2 3 2 2" xfId="28312"/>
    <cellStyle name="Normal 6 3 2 5 2 2 3 2 3" xfId="43355"/>
    <cellStyle name="Normal 6 3 2 5 2 2 3 3" xfId="20791"/>
    <cellStyle name="Normal 6 3 2 5 2 2 3 4" xfId="35834"/>
    <cellStyle name="Normal 6 3 2 5 2 2 4" xfId="9519"/>
    <cellStyle name="Normal 6 3 2 5 2 2 4 2" xfId="24563"/>
    <cellStyle name="Normal 6 3 2 5 2 2 4 3" xfId="39606"/>
    <cellStyle name="Normal 6 3 2 5 2 2 5" xfId="17042"/>
    <cellStyle name="Normal 6 3 2 5 2 2 6" xfId="32085"/>
    <cellStyle name="Normal 6 3 2 5 2 3" xfId="2883"/>
    <cellStyle name="Normal 6 3 2 5 2 3 2" xfId="6678"/>
    <cellStyle name="Normal 6 3 2 5 2 3 2 2" xfId="14201"/>
    <cellStyle name="Normal 6 3 2 5 2 3 2 2 2" xfId="29245"/>
    <cellStyle name="Normal 6 3 2 5 2 3 2 2 3" xfId="44288"/>
    <cellStyle name="Normal 6 3 2 5 2 3 2 3" xfId="21724"/>
    <cellStyle name="Normal 6 3 2 5 2 3 2 4" xfId="36767"/>
    <cellStyle name="Normal 6 3 2 5 2 3 3" xfId="10452"/>
    <cellStyle name="Normal 6 3 2 5 2 3 3 2" xfId="25496"/>
    <cellStyle name="Normal 6 3 2 5 2 3 3 3" xfId="40539"/>
    <cellStyle name="Normal 6 3 2 5 2 3 4" xfId="17975"/>
    <cellStyle name="Normal 6 3 2 5 2 3 5" xfId="33018"/>
    <cellStyle name="Normal 6 3 2 5 2 4" xfId="4813"/>
    <cellStyle name="Normal 6 3 2 5 2 4 2" xfId="12336"/>
    <cellStyle name="Normal 6 3 2 5 2 4 2 2" xfId="27380"/>
    <cellStyle name="Normal 6 3 2 5 2 4 2 3" xfId="42423"/>
    <cellStyle name="Normal 6 3 2 5 2 4 3" xfId="19859"/>
    <cellStyle name="Normal 6 3 2 5 2 4 4" xfId="34902"/>
    <cellStyle name="Normal 6 3 2 5 2 5" xfId="8587"/>
    <cellStyle name="Normal 6 3 2 5 2 5 2" xfId="23631"/>
    <cellStyle name="Normal 6 3 2 5 2 5 3" xfId="38674"/>
    <cellStyle name="Normal 6 3 2 5 2 6" xfId="16110"/>
    <cellStyle name="Normal 6 3 2 5 2 7" xfId="31153"/>
    <cellStyle name="Normal 6 3 2 5 3" xfId="1492"/>
    <cellStyle name="Normal 6 3 2 5 3 2" xfId="3363"/>
    <cellStyle name="Normal 6 3 2 5 3 2 2" xfId="7158"/>
    <cellStyle name="Normal 6 3 2 5 3 2 2 2" xfId="14681"/>
    <cellStyle name="Normal 6 3 2 5 3 2 2 2 2" xfId="29725"/>
    <cellStyle name="Normal 6 3 2 5 3 2 2 2 3" xfId="44768"/>
    <cellStyle name="Normal 6 3 2 5 3 2 2 3" xfId="22204"/>
    <cellStyle name="Normal 6 3 2 5 3 2 2 4" xfId="37247"/>
    <cellStyle name="Normal 6 3 2 5 3 2 3" xfId="10932"/>
    <cellStyle name="Normal 6 3 2 5 3 2 3 2" xfId="25976"/>
    <cellStyle name="Normal 6 3 2 5 3 2 3 3" xfId="41019"/>
    <cellStyle name="Normal 6 3 2 5 3 2 4" xfId="18455"/>
    <cellStyle name="Normal 6 3 2 5 3 2 5" xfId="33498"/>
    <cellStyle name="Normal 6 3 2 5 3 3" xfId="5293"/>
    <cellStyle name="Normal 6 3 2 5 3 3 2" xfId="12816"/>
    <cellStyle name="Normal 6 3 2 5 3 3 2 2" xfId="27860"/>
    <cellStyle name="Normal 6 3 2 5 3 3 2 3" xfId="42903"/>
    <cellStyle name="Normal 6 3 2 5 3 3 3" xfId="20339"/>
    <cellStyle name="Normal 6 3 2 5 3 3 4" xfId="35382"/>
    <cellStyle name="Normal 6 3 2 5 3 4" xfId="9067"/>
    <cellStyle name="Normal 6 3 2 5 3 4 2" xfId="24111"/>
    <cellStyle name="Normal 6 3 2 5 3 4 3" xfId="39154"/>
    <cellStyle name="Normal 6 3 2 5 3 5" xfId="16590"/>
    <cellStyle name="Normal 6 3 2 5 3 6" xfId="31633"/>
    <cellStyle name="Normal 6 3 2 5 4" xfId="2430"/>
    <cellStyle name="Normal 6 3 2 5 4 2" xfId="6226"/>
    <cellStyle name="Normal 6 3 2 5 4 2 2" xfId="13749"/>
    <cellStyle name="Normal 6 3 2 5 4 2 2 2" xfId="28793"/>
    <cellStyle name="Normal 6 3 2 5 4 2 2 3" xfId="43836"/>
    <cellStyle name="Normal 6 3 2 5 4 2 3" xfId="21272"/>
    <cellStyle name="Normal 6 3 2 5 4 2 4" xfId="36315"/>
    <cellStyle name="Normal 6 3 2 5 4 3" xfId="10000"/>
    <cellStyle name="Normal 6 3 2 5 4 3 2" xfId="25044"/>
    <cellStyle name="Normal 6 3 2 5 4 3 3" xfId="40087"/>
    <cellStyle name="Normal 6 3 2 5 4 4" xfId="17523"/>
    <cellStyle name="Normal 6 3 2 5 4 5" xfId="32566"/>
    <cellStyle name="Normal 6 3 2 5 5" xfId="4358"/>
    <cellStyle name="Normal 6 3 2 5 5 2" xfId="11882"/>
    <cellStyle name="Normal 6 3 2 5 5 2 2" xfId="26926"/>
    <cellStyle name="Normal 6 3 2 5 5 2 3" xfId="41969"/>
    <cellStyle name="Normal 6 3 2 5 5 3" xfId="19405"/>
    <cellStyle name="Normal 6 3 2 5 5 4" xfId="34448"/>
    <cellStyle name="Normal 6 3 2 5 6" xfId="8121"/>
    <cellStyle name="Normal 6 3 2 5 6 2" xfId="23165"/>
    <cellStyle name="Normal 6 3 2 5 6 3" xfId="38208"/>
    <cellStyle name="Normal 6 3 2 5 7" xfId="15644"/>
    <cellStyle name="Normal 6 3 2 5 8" xfId="30687"/>
    <cellStyle name="Normal 6 3 2 6" xfId="976"/>
    <cellStyle name="Normal 6 3 2 6 2" xfId="1935"/>
    <cellStyle name="Normal 6 3 2 6 2 2" xfId="3806"/>
    <cellStyle name="Normal 6 3 2 6 2 2 2" xfId="7601"/>
    <cellStyle name="Normal 6 3 2 6 2 2 2 2" xfId="15124"/>
    <cellStyle name="Normal 6 3 2 6 2 2 2 2 2" xfId="30168"/>
    <cellStyle name="Normal 6 3 2 6 2 2 2 2 3" xfId="45211"/>
    <cellStyle name="Normal 6 3 2 6 2 2 2 3" xfId="22647"/>
    <cellStyle name="Normal 6 3 2 6 2 2 2 4" xfId="37690"/>
    <cellStyle name="Normal 6 3 2 6 2 2 3" xfId="11375"/>
    <cellStyle name="Normal 6 3 2 6 2 2 3 2" xfId="26419"/>
    <cellStyle name="Normal 6 3 2 6 2 2 3 3" xfId="41462"/>
    <cellStyle name="Normal 6 3 2 6 2 2 4" xfId="18898"/>
    <cellStyle name="Normal 6 3 2 6 2 2 5" xfId="33941"/>
    <cellStyle name="Normal 6 3 2 6 2 3" xfId="5736"/>
    <cellStyle name="Normal 6 3 2 6 2 3 2" xfId="13259"/>
    <cellStyle name="Normal 6 3 2 6 2 3 2 2" xfId="28303"/>
    <cellStyle name="Normal 6 3 2 6 2 3 2 3" xfId="43346"/>
    <cellStyle name="Normal 6 3 2 6 2 3 3" xfId="20782"/>
    <cellStyle name="Normal 6 3 2 6 2 3 4" xfId="35825"/>
    <cellStyle name="Normal 6 3 2 6 2 4" xfId="9510"/>
    <cellStyle name="Normal 6 3 2 6 2 4 2" xfId="24554"/>
    <cellStyle name="Normal 6 3 2 6 2 4 3" xfId="39597"/>
    <cellStyle name="Normal 6 3 2 6 2 5" xfId="17033"/>
    <cellStyle name="Normal 6 3 2 6 2 6" xfId="32076"/>
    <cellStyle name="Normal 6 3 2 6 3" xfId="2874"/>
    <cellStyle name="Normal 6 3 2 6 3 2" xfId="6669"/>
    <cellStyle name="Normal 6 3 2 6 3 2 2" xfId="14192"/>
    <cellStyle name="Normal 6 3 2 6 3 2 2 2" xfId="29236"/>
    <cellStyle name="Normal 6 3 2 6 3 2 2 3" xfId="44279"/>
    <cellStyle name="Normal 6 3 2 6 3 2 3" xfId="21715"/>
    <cellStyle name="Normal 6 3 2 6 3 2 4" xfId="36758"/>
    <cellStyle name="Normal 6 3 2 6 3 3" xfId="10443"/>
    <cellStyle name="Normal 6 3 2 6 3 3 2" xfId="25487"/>
    <cellStyle name="Normal 6 3 2 6 3 3 3" xfId="40530"/>
    <cellStyle name="Normal 6 3 2 6 3 4" xfId="17966"/>
    <cellStyle name="Normal 6 3 2 6 3 5" xfId="33009"/>
    <cellStyle name="Normal 6 3 2 6 4" xfId="4804"/>
    <cellStyle name="Normal 6 3 2 6 4 2" xfId="12327"/>
    <cellStyle name="Normal 6 3 2 6 4 2 2" xfId="27371"/>
    <cellStyle name="Normal 6 3 2 6 4 2 3" xfId="42414"/>
    <cellStyle name="Normal 6 3 2 6 4 3" xfId="19850"/>
    <cellStyle name="Normal 6 3 2 6 4 4" xfId="34893"/>
    <cellStyle name="Normal 6 3 2 6 5" xfId="8578"/>
    <cellStyle name="Normal 6 3 2 6 5 2" xfId="23622"/>
    <cellStyle name="Normal 6 3 2 6 5 3" xfId="38665"/>
    <cellStyle name="Normal 6 3 2 6 6" xfId="16101"/>
    <cellStyle name="Normal 6 3 2 6 7" xfId="31144"/>
    <cellStyle name="Normal 6 3 2 7" xfId="1483"/>
    <cellStyle name="Normal 6 3 2 7 2" xfId="3354"/>
    <cellStyle name="Normal 6 3 2 7 2 2" xfId="7149"/>
    <cellStyle name="Normal 6 3 2 7 2 2 2" xfId="14672"/>
    <cellStyle name="Normal 6 3 2 7 2 2 2 2" xfId="29716"/>
    <cellStyle name="Normal 6 3 2 7 2 2 2 3" xfId="44759"/>
    <cellStyle name="Normal 6 3 2 7 2 2 3" xfId="22195"/>
    <cellStyle name="Normal 6 3 2 7 2 2 4" xfId="37238"/>
    <cellStyle name="Normal 6 3 2 7 2 3" xfId="10923"/>
    <cellStyle name="Normal 6 3 2 7 2 3 2" xfId="25967"/>
    <cellStyle name="Normal 6 3 2 7 2 3 3" xfId="41010"/>
    <cellStyle name="Normal 6 3 2 7 2 4" xfId="18446"/>
    <cellStyle name="Normal 6 3 2 7 2 5" xfId="33489"/>
    <cellStyle name="Normal 6 3 2 7 3" xfId="5284"/>
    <cellStyle name="Normal 6 3 2 7 3 2" xfId="12807"/>
    <cellStyle name="Normal 6 3 2 7 3 2 2" xfId="27851"/>
    <cellStyle name="Normal 6 3 2 7 3 2 3" xfId="42894"/>
    <cellStyle name="Normal 6 3 2 7 3 3" xfId="20330"/>
    <cellStyle name="Normal 6 3 2 7 3 4" xfId="35373"/>
    <cellStyle name="Normal 6 3 2 7 4" xfId="9058"/>
    <cellStyle name="Normal 6 3 2 7 4 2" xfId="24102"/>
    <cellStyle name="Normal 6 3 2 7 4 3" xfId="39145"/>
    <cellStyle name="Normal 6 3 2 7 5" xfId="16581"/>
    <cellStyle name="Normal 6 3 2 7 6" xfId="31624"/>
    <cellStyle name="Normal 6 3 2 8" xfId="2421"/>
    <cellStyle name="Normal 6 3 2 8 2" xfId="6217"/>
    <cellStyle name="Normal 6 3 2 8 2 2" xfId="13740"/>
    <cellStyle name="Normal 6 3 2 8 2 2 2" xfId="28784"/>
    <cellStyle name="Normal 6 3 2 8 2 2 3" xfId="43827"/>
    <cellStyle name="Normal 6 3 2 8 2 3" xfId="21263"/>
    <cellStyle name="Normal 6 3 2 8 2 4" xfId="36306"/>
    <cellStyle name="Normal 6 3 2 8 3" xfId="9991"/>
    <cellStyle name="Normal 6 3 2 8 3 2" xfId="25035"/>
    <cellStyle name="Normal 6 3 2 8 3 3" xfId="40078"/>
    <cellStyle name="Normal 6 3 2 8 4" xfId="17514"/>
    <cellStyle name="Normal 6 3 2 8 5" xfId="32557"/>
    <cellStyle name="Normal 6 3 2 9" xfId="4349"/>
    <cellStyle name="Normal 6 3 2 9 2" xfId="11873"/>
    <cellStyle name="Normal 6 3 2 9 2 2" xfId="26917"/>
    <cellStyle name="Normal 6 3 2 9 2 3" xfId="41960"/>
    <cellStyle name="Normal 6 3 2 9 3" xfId="19396"/>
    <cellStyle name="Normal 6 3 2 9 4" xfId="34439"/>
    <cellStyle name="Normal 6 3 3" xfId="467"/>
    <cellStyle name="Normal 6 3 3 10" xfId="15645"/>
    <cellStyle name="Normal 6 3 3 11" xfId="30688"/>
    <cellStyle name="Normal 6 3 3 2" xfId="468"/>
    <cellStyle name="Normal 6 3 3 2 2" xfId="469"/>
    <cellStyle name="Normal 6 3 3 2 2 2" xfId="988"/>
    <cellStyle name="Normal 6 3 3 2 2 2 2" xfId="1947"/>
    <cellStyle name="Normal 6 3 3 2 2 2 2 2" xfId="3818"/>
    <cellStyle name="Normal 6 3 3 2 2 2 2 2 2" xfId="7613"/>
    <cellStyle name="Normal 6 3 3 2 2 2 2 2 2 2" xfId="15136"/>
    <cellStyle name="Normal 6 3 3 2 2 2 2 2 2 2 2" xfId="30180"/>
    <cellStyle name="Normal 6 3 3 2 2 2 2 2 2 2 3" xfId="45223"/>
    <cellStyle name="Normal 6 3 3 2 2 2 2 2 2 3" xfId="22659"/>
    <cellStyle name="Normal 6 3 3 2 2 2 2 2 2 4" xfId="37702"/>
    <cellStyle name="Normal 6 3 3 2 2 2 2 2 3" xfId="11387"/>
    <cellStyle name="Normal 6 3 3 2 2 2 2 2 3 2" xfId="26431"/>
    <cellStyle name="Normal 6 3 3 2 2 2 2 2 3 3" xfId="41474"/>
    <cellStyle name="Normal 6 3 3 2 2 2 2 2 4" xfId="18910"/>
    <cellStyle name="Normal 6 3 3 2 2 2 2 2 5" xfId="33953"/>
    <cellStyle name="Normal 6 3 3 2 2 2 2 3" xfId="5748"/>
    <cellStyle name="Normal 6 3 3 2 2 2 2 3 2" xfId="13271"/>
    <cellStyle name="Normal 6 3 3 2 2 2 2 3 2 2" xfId="28315"/>
    <cellStyle name="Normal 6 3 3 2 2 2 2 3 2 3" xfId="43358"/>
    <cellStyle name="Normal 6 3 3 2 2 2 2 3 3" xfId="20794"/>
    <cellStyle name="Normal 6 3 3 2 2 2 2 3 4" xfId="35837"/>
    <cellStyle name="Normal 6 3 3 2 2 2 2 4" xfId="9522"/>
    <cellStyle name="Normal 6 3 3 2 2 2 2 4 2" xfId="24566"/>
    <cellStyle name="Normal 6 3 3 2 2 2 2 4 3" xfId="39609"/>
    <cellStyle name="Normal 6 3 3 2 2 2 2 5" xfId="17045"/>
    <cellStyle name="Normal 6 3 3 2 2 2 2 6" xfId="32088"/>
    <cellStyle name="Normal 6 3 3 2 2 2 3" xfId="2886"/>
    <cellStyle name="Normal 6 3 3 2 2 2 3 2" xfId="6681"/>
    <cellStyle name="Normal 6 3 3 2 2 2 3 2 2" xfId="14204"/>
    <cellStyle name="Normal 6 3 3 2 2 2 3 2 2 2" xfId="29248"/>
    <cellStyle name="Normal 6 3 3 2 2 2 3 2 2 3" xfId="44291"/>
    <cellStyle name="Normal 6 3 3 2 2 2 3 2 3" xfId="21727"/>
    <cellStyle name="Normal 6 3 3 2 2 2 3 2 4" xfId="36770"/>
    <cellStyle name="Normal 6 3 3 2 2 2 3 3" xfId="10455"/>
    <cellStyle name="Normal 6 3 3 2 2 2 3 3 2" xfId="25499"/>
    <cellStyle name="Normal 6 3 3 2 2 2 3 3 3" xfId="40542"/>
    <cellStyle name="Normal 6 3 3 2 2 2 3 4" xfId="17978"/>
    <cellStyle name="Normal 6 3 3 2 2 2 3 5" xfId="33021"/>
    <cellStyle name="Normal 6 3 3 2 2 2 4" xfId="4816"/>
    <cellStyle name="Normal 6 3 3 2 2 2 4 2" xfId="12339"/>
    <cellStyle name="Normal 6 3 3 2 2 2 4 2 2" xfId="27383"/>
    <cellStyle name="Normal 6 3 3 2 2 2 4 2 3" xfId="42426"/>
    <cellStyle name="Normal 6 3 3 2 2 2 4 3" xfId="19862"/>
    <cellStyle name="Normal 6 3 3 2 2 2 4 4" xfId="34905"/>
    <cellStyle name="Normal 6 3 3 2 2 2 5" xfId="8590"/>
    <cellStyle name="Normal 6 3 3 2 2 2 5 2" xfId="23634"/>
    <cellStyle name="Normal 6 3 3 2 2 2 5 3" xfId="38677"/>
    <cellStyle name="Normal 6 3 3 2 2 2 6" xfId="16113"/>
    <cellStyle name="Normal 6 3 3 2 2 2 7" xfId="31156"/>
    <cellStyle name="Normal 6 3 3 2 2 3" xfId="1495"/>
    <cellStyle name="Normal 6 3 3 2 2 3 2" xfId="3366"/>
    <cellStyle name="Normal 6 3 3 2 2 3 2 2" xfId="7161"/>
    <cellStyle name="Normal 6 3 3 2 2 3 2 2 2" xfId="14684"/>
    <cellStyle name="Normal 6 3 3 2 2 3 2 2 2 2" xfId="29728"/>
    <cellStyle name="Normal 6 3 3 2 2 3 2 2 2 3" xfId="44771"/>
    <cellStyle name="Normal 6 3 3 2 2 3 2 2 3" xfId="22207"/>
    <cellStyle name="Normal 6 3 3 2 2 3 2 2 4" xfId="37250"/>
    <cellStyle name="Normal 6 3 3 2 2 3 2 3" xfId="10935"/>
    <cellStyle name="Normal 6 3 3 2 2 3 2 3 2" xfId="25979"/>
    <cellStyle name="Normal 6 3 3 2 2 3 2 3 3" xfId="41022"/>
    <cellStyle name="Normal 6 3 3 2 2 3 2 4" xfId="18458"/>
    <cellStyle name="Normal 6 3 3 2 2 3 2 5" xfId="33501"/>
    <cellStyle name="Normal 6 3 3 2 2 3 3" xfId="5296"/>
    <cellStyle name="Normal 6 3 3 2 2 3 3 2" xfId="12819"/>
    <cellStyle name="Normal 6 3 3 2 2 3 3 2 2" xfId="27863"/>
    <cellStyle name="Normal 6 3 3 2 2 3 3 2 3" xfId="42906"/>
    <cellStyle name="Normal 6 3 3 2 2 3 3 3" xfId="20342"/>
    <cellStyle name="Normal 6 3 3 2 2 3 3 4" xfId="35385"/>
    <cellStyle name="Normal 6 3 3 2 2 3 4" xfId="9070"/>
    <cellStyle name="Normal 6 3 3 2 2 3 4 2" xfId="24114"/>
    <cellStyle name="Normal 6 3 3 2 2 3 4 3" xfId="39157"/>
    <cellStyle name="Normal 6 3 3 2 2 3 5" xfId="16593"/>
    <cellStyle name="Normal 6 3 3 2 2 3 6" xfId="31636"/>
    <cellStyle name="Normal 6 3 3 2 2 4" xfId="2433"/>
    <cellStyle name="Normal 6 3 3 2 2 4 2" xfId="6229"/>
    <cellStyle name="Normal 6 3 3 2 2 4 2 2" xfId="13752"/>
    <cellStyle name="Normal 6 3 3 2 2 4 2 2 2" xfId="28796"/>
    <cellStyle name="Normal 6 3 3 2 2 4 2 2 3" xfId="43839"/>
    <cellStyle name="Normal 6 3 3 2 2 4 2 3" xfId="21275"/>
    <cellStyle name="Normal 6 3 3 2 2 4 2 4" xfId="36318"/>
    <cellStyle name="Normal 6 3 3 2 2 4 3" xfId="10003"/>
    <cellStyle name="Normal 6 3 3 2 2 4 3 2" xfId="25047"/>
    <cellStyle name="Normal 6 3 3 2 2 4 3 3" xfId="40090"/>
    <cellStyle name="Normal 6 3 3 2 2 4 4" xfId="17526"/>
    <cellStyle name="Normal 6 3 3 2 2 4 5" xfId="32569"/>
    <cellStyle name="Normal 6 3 3 2 2 5" xfId="4361"/>
    <cellStyle name="Normal 6 3 3 2 2 5 2" xfId="11885"/>
    <cellStyle name="Normal 6 3 3 2 2 5 2 2" xfId="26929"/>
    <cellStyle name="Normal 6 3 3 2 2 5 2 3" xfId="41972"/>
    <cellStyle name="Normal 6 3 3 2 2 5 3" xfId="19408"/>
    <cellStyle name="Normal 6 3 3 2 2 5 4" xfId="34451"/>
    <cellStyle name="Normal 6 3 3 2 2 6" xfId="8124"/>
    <cellStyle name="Normal 6 3 3 2 2 6 2" xfId="23168"/>
    <cellStyle name="Normal 6 3 3 2 2 6 3" xfId="38211"/>
    <cellStyle name="Normal 6 3 3 2 2 7" xfId="15647"/>
    <cellStyle name="Normal 6 3 3 2 2 8" xfId="30690"/>
    <cellStyle name="Normal 6 3 3 2 3" xfId="987"/>
    <cellStyle name="Normal 6 3 3 2 3 2" xfId="1946"/>
    <cellStyle name="Normal 6 3 3 2 3 2 2" xfId="3817"/>
    <cellStyle name="Normal 6 3 3 2 3 2 2 2" xfId="7612"/>
    <cellStyle name="Normal 6 3 3 2 3 2 2 2 2" xfId="15135"/>
    <cellStyle name="Normal 6 3 3 2 3 2 2 2 2 2" xfId="30179"/>
    <cellStyle name="Normal 6 3 3 2 3 2 2 2 2 3" xfId="45222"/>
    <cellStyle name="Normal 6 3 3 2 3 2 2 2 3" xfId="22658"/>
    <cellStyle name="Normal 6 3 3 2 3 2 2 2 4" xfId="37701"/>
    <cellStyle name="Normal 6 3 3 2 3 2 2 3" xfId="11386"/>
    <cellStyle name="Normal 6 3 3 2 3 2 2 3 2" xfId="26430"/>
    <cellStyle name="Normal 6 3 3 2 3 2 2 3 3" xfId="41473"/>
    <cellStyle name="Normal 6 3 3 2 3 2 2 4" xfId="18909"/>
    <cellStyle name="Normal 6 3 3 2 3 2 2 5" xfId="33952"/>
    <cellStyle name="Normal 6 3 3 2 3 2 3" xfId="5747"/>
    <cellStyle name="Normal 6 3 3 2 3 2 3 2" xfId="13270"/>
    <cellStyle name="Normal 6 3 3 2 3 2 3 2 2" xfId="28314"/>
    <cellStyle name="Normal 6 3 3 2 3 2 3 2 3" xfId="43357"/>
    <cellStyle name="Normal 6 3 3 2 3 2 3 3" xfId="20793"/>
    <cellStyle name="Normal 6 3 3 2 3 2 3 4" xfId="35836"/>
    <cellStyle name="Normal 6 3 3 2 3 2 4" xfId="9521"/>
    <cellStyle name="Normal 6 3 3 2 3 2 4 2" xfId="24565"/>
    <cellStyle name="Normal 6 3 3 2 3 2 4 3" xfId="39608"/>
    <cellStyle name="Normal 6 3 3 2 3 2 5" xfId="17044"/>
    <cellStyle name="Normal 6 3 3 2 3 2 6" xfId="32087"/>
    <cellStyle name="Normal 6 3 3 2 3 3" xfId="2885"/>
    <cellStyle name="Normal 6 3 3 2 3 3 2" xfId="6680"/>
    <cellStyle name="Normal 6 3 3 2 3 3 2 2" xfId="14203"/>
    <cellStyle name="Normal 6 3 3 2 3 3 2 2 2" xfId="29247"/>
    <cellStyle name="Normal 6 3 3 2 3 3 2 2 3" xfId="44290"/>
    <cellStyle name="Normal 6 3 3 2 3 3 2 3" xfId="21726"/>
    <cellStyle name="Normal 6 3 3 2 3 3 2 4" xfId="36769"/>
    <cellStyle name="Normal 6 3 3 2 3 3 3" xfId="10454"/>
    <cellStyle name="Normal 6 3 3 2 3 3 3 2" xfId="25498"/>
    <cellStyle name="Normal 6 3 3 2 3 3 3 3" xfId="40541"/>
    <cellStyle name="Normal 6 3 3 2 3 3 4" xfId="17977"/>
    <cellStyle name="Normal 6 3 3 2 3 3 5" xfId="33020"/>
    <cellStyle name="Normal 6 3 3 2 3 4" xfId="4815"/>
    <cellStyle name="Normal 6 3 3 2 3 4 2" xfId="12338"/>
    <cellStyle name="Normal 6 3 3 2 3 4 2 2" xfId="27382"/>
    <cellStyle name="Normal 6 3 3 2 3 4 2 3" xfId="42425"/>
    <cellStyle name="Normal 6 3 3 2 3 4 3" xfId="19861"/>
    <cellStyle name="Normal 6 3 3 2 3 4 4" xfId="34904"/>
    <cellStyle name="Normal 6 3 3 2 3 5" xfId="8589"/>
    <cellStyle name="Normal 6 3 3 2 3 5 2" xfId="23633"/>
    <cellStyle name="Normal 6 3 3 2 3 5 3" xfId="38676"/>
    <cellStyle name="Normal 6 3 3 2 3 6" xfId="16112"/>
    <cellStyle name="Normal 6 3 3 2 3 7" xfId="31155"/>
    <cellStyle name="Normal 6 3 3 2 4" xfId="1494"/>
    <cellStyle name="Normal 6 3 3 2 4 2" xfId="3365"/>
    <cellStyle name="Normal 6 3 3 2 4 2 2" xfId="7160"/>
    <cellStyle name="Normal 6 3 3 2 4 2 2 2" xfId="14683"/>
    <cellStyle name="Normal 6 3 3 2 4 2 2 2 2" xfId="29727"/>
    <cellStyle name="Normal 6 3 3 2 4 2 2 2 3" xfId="44770"/>
    <cellStyle name="Normal 6 3 3 2 4 2 2 3" xfId="22206"/>
    <cellStyle name="Normal 6 3 3 2 4 2 2 4" xfId="37249"/>
    <cellStyle name="Normal 6 3 3 2 4 2 3" xfId="10934"/>
    <cellStyle name="Normal 6 3 3 2 4 2 3 2" xfId="25978"/>
    <cellStyle name="Normal 6 3 3 2 4 2 3 3" xfId="41021"/>
    <cellStyle name="Normal 6 3 3 2 4 2 4" xfId="18457"/>
    <cellStyle name="Normal 6 3 3 2 4 2 5" xfId="33500"/>
    <cellStyle name="Normal 6 3 3 2 4 3" xfId="5295"/>
    <cellStyle name="Normal 6 3 3 2 4 3 2" xfId="12818"/>
    <cellStyle name="Normal 6 3 3 2 4 3 2 2" xfId="27862"/>
    <cellStyle name="Normal 6 3 3 2 4 3 2 3" xfId="42905"/>
    <cellStyle name="Normal 6 3 3 2 4 3 3" xfId="20341"/>
    <cellStyle name="Normal 6 3 3 2 4 3 4" xfId="35384"/>
    <cellStyle name="Normal 6 3 3 2 4 4" xfId="9069"/>
    <cellStyle name="Normal 6 3 3 2 4 4 2" xfId="24113"/>
    <cellStyle name="Normal 6 3 3 2 4 4 3" xfId="39156"/>
    <cellStyle name="Normal 6 3 3 2 4 5" xfId="16592"/>
    <cellStyle name="Normal 6 3 3 2 4 6" xfId="31635"/>
    <cellStyle name="Normal 6 3 3 2 5" xfId="2432"/>
    <cellStyle name="Normal 6 3 3 2 5 2" xfId="6228"/>
    <cellStyle name="Normal 6 3 3 2 5 2 2" xfId="13751"/>
    <cellStyle name="Normal 6 3 3 2 5 2 2 2" xfId="28795"/>
    <cellStyle name="Normal 6 3 3 2 5 2 2 3" xfId="43838"/>
    <cellStyle name="Normal 6 3 3 2 5 2 3" xfId="21274"/>
    <cellStyle name="Normal 6 3 3 2 5 2 4" xfId="36317"/>
    <cellStyle name="Normal 6 3 3 2 5 3" xfId="10002"/>
    <cellStyle name="Normal 6 3 3 2 5 3 2" xfId="25046"/>
    <cellStyle name="Normal 6 3 3 2 5 3 3" xfId="40089"/>
    <cellStyle name="Normal 6 3 3 2 5 4" xfId="17525"/>
    <cellStyle name="Normal 6 3 3 2 5 5" xfId="32568"/>
    <cellStyle name="Normal 6 3 3 2 6" xfId="4360"/>
    <cellStyle name="Normal 6 3 3 2 6 2" xfId="11884"/>
    <cellStyle name="Normal 6 3 3 2 6 2 2" xfId="26928"/>
    <cellStyle name="Normal 6 3 3 2 6 2 3" xfId="41971"/>
    <cellStyle name="Normal 6 3 3 2 6 3" xfId="19407"/>
    <cellStyle name="Normal 6 3 3 2 6 4" xfId="34450"/>
    <cellStyle name="Normal 6 3 3 2 7" xfId="8123"/>
    <cellStyle name="Normal 6 3 3 2 7 2" xfId="23167"/>
    <cellStyle name="Normal 6 3 3 2 7 3" xfId="38210"/>
    <cellStyle name="Normal 6 3 3 2 8" xfId="15646"/>
    <cellStyle name="Normal 6 3 3 2 9" xfId="30689"/>
    <cellStyle name="Normal 6 3 3 3" xfId="470"/>
    <cellStyle name="Normal 6 3 3 3 2" xfId="471"/>
    <cellStyle name="Normal 6 3 3 3 2 2" xfId="990"/>
    <cellStyle name="Normal 6 3 3 3 2 2 2" xfId="1949"/>
    <cellStyle name="Normal 6 3 3 3 2 2 2 2" xfId="3820"/>
    <cellStyle name="Normal 6 3 3 3 2 2 2 2 2" xfId="7615"/>
    <cellStyle name="Normal 6 3 3 3 2 2 2 2 2 2" xfId="15138"/>
    <cellStyle name="Normal 6 3 3 3 2 2 2 2 2 2 2" xfId="30182"/>
    <cellStyle name="Normal 6 3 3 3 2 2 2 2 2 2 3" xfId="45225"/>
    <cellStyle name="Normal 6 3 3 3 2 2 2 2 2 3" xfId="22661"/>
    <cellStyle name="Normal 6 3 3 3 2 2 2 2 2 4" xfId="37704"/>
    <cellStyle name="Normal 6 3 3 3 2 2 2 2 3" xfId="11389"/>
    <cellStyle name="Normal 6 3 3 3 2 2 2 2 3 2" xfId="26433"/>
    <cellStyle name="Normal 6 3 3 3 2 2 2 2 3 3" xfId="41476"/>
    <cellStyle name="Normal 6 3 3 3 2 2 2 2 4" xfId="18912"/>
    <cellStyle name="Normal 6 3 3 3 2 2 2 2 5" xfId="33955"/>
    <cellStyle name="Normal 6 3 3 3 2 2 2 3" xfId="5750"/>
    <cellStyle name="Normal 6 3 3 3 2 2 2 3 2" xfId="13273"/>
    <cellStyle name="Normal 6 3 3 3 2 2 2 3 2 2" xfId="28317"/>
    <cellStyle name="Normal 6 3 3 3 2 2 2 3 2 3" xfId="43360"/>
    <cellStyle name="Normal 6 3 3 3 2 2 2 3 3" xfId="20796"/>
    <cellStyle name="Normal 6 3 3 3 2 2 2 3 4" xfId="35839"/>
    <cellStyle name="Normal 6 3 3 3 2 2 2 4" xfId="9524"/>
    <cellStyle name="Normal 6 3 3 3 2 2 2 4 2" xfId="24568"/>
    <cellStyle name="Normal 6 3 3 3 2 2 2 4 3" xfId="39611"/>
    <cellStyle name="Normal 6 3 3 3 2 2 2 5" xfId="17047"/>
    <cellStyle name="Normal 6 3 3 3 2 2 2 6" xfId="32090"/>
    <cellStyle name="Normal 6 3 3 3 2 2 3" xfId="2888"/>
    <cellStyle name="Normal 6 3 3 3 2 2 3 2" xfId="6683"/>
    <cellStyle name="Normal 6 3 3 3 2 2 3 2 2" xfId="14206"/>
    <cellStyle name="Normal 6 3 3 3 2 2 3 2 2 2" xfId="29250"/>
    <cellStyle name="Normal 6 3 3 3 2 2 3 2 2 3" xfId="44293"/>
    <cellStyle name="Normal 6 3 3 3 2 2 3 2 3" xfId="21729"/>
    <cellStyle name="Normal 6 3 3 3 2 2 3 2 4" xfId="36772"/>
    <cellStyle name="Normal 6 3 3 3 2 2 3 3" xfId="10457"/>
    <cellStyle name="Normal 6 3 3 3 2 2 3 3 2" xfId="25501"/>
    <cellStyle name="Normal 6 3 3 3 2 2 3 3 3" xfId="40544"/>
    <cellStyle name="Normal 6 3 3 3 2 2 3 4" xfId="17980"/>
    <cellStyle name="Normal 6 3 3 3 2 2 3 5" xfId="33023"/>
    <cellStyle name="Normal 6 3 3 3 2 2 4" xfId="4818"/>
    <cellStyle name="Normal 6 3 3 3 2 2 4 2" xfId="12341"/>
    <cellStyle name="Normal 6 3 3 3 2 2 4 2 2" xfId="27385"/>
    <cellStyle name="Normal 6 3 3 3 2 2 4 2 3" xfId="42428"/>
    <cellStyle name="Normal 6 3 3 3 2 2 4 3" xfId="19864"/>
    <cellStyle name="Normal 6 3 3 3 2 2 4 4" xfId="34907"/>
    <cellStyle name="Normal 6 3 3 3 2 2 5" xfId="8592"/>
    <cellStyle name="Normal 6 3 3 3 2 2 5 2" xfId="23636"/>
    <cellStyle name="Normal 6 3 3 3 2 2 5 3" xfId="38679"/>
    <cellStyle name="Normal 6 3 3 3 2 2 6" xfId="16115"/>
    <cellStyle name="Normal 6 3 3 3 2 2 7" xfId="31158"/>
    <cellStyle name="Normal 6 3 3 3 2 3" xfId="1497"/>
    <cellStyle name="Normal 6 3 3 3 2 3 2" xfId="3368"/>
    <cellStyle name="Normal 6 3 3 3 2 3 2 2" xfId="7163"/>
    <cellStyle name="Normal 6 3 3 3 2 3 2 2 2" xfId="14686"/>
    <cellStyle name="Normal 6 3 3 3 2 3 2 2 2 2" xfId="29730"/>
    <cellStyle name="Normal 6 3 3 3 2 3 2 2 2 3" xfId="44773"/>
    <cellStyle name="Normal 6 3 3 3 2 3 2 2 3" xfId="22209"/>
    <cellStyle name="Normal 6 3 3 3 2 3 2 2 4" xfId="37252"/>
    <cellStyle name="Normal 6 3 3 3 2 3 2 3" xfId="10937"/>
    <cellStyle name="Normal 6 3 3 3 2 3 2 3 2" xfId="25981"/>
    <cellStyle name="Normal 6 3 3 3 2 3 2 3 3" xfId="41024"/>
    <cellStyle name="Normal 6 3 3 3 2 3 2 4" xfId="18460"/>
    <cellStyle name="Normal 6 3 3 3 2 3 2 5" xfId="33503"/>
    <cellStyle name="Normal 6 3 3 3 2 3 3" xfId="5298"/>
    <cellStyle name="Normal 6 3 3 3 2 3 3 2" xfId="12821"/>
    <cellStyle name="Normal 6 3 3 3 2 3 3 2 2" xfId="27865"/>
    <cellStyle name="Normal 6 3 3 3 2 3 3 2 3" xfId="42908"/>
    <cellStyle name="Normal 6 3 3 3 2 3 3 3" xfId="20344"/>
    <cellStyle name="Normal 6 3 3 3 2 3 3 4" xfId="35387"/>
    <cellStyle name="Normal 6 3 3 3 2 3 4" xfId="9072"/>
    <cellStyle name="Normal 6 3 3 3 2 3 4 2" xfId="24116"/>
    <cellStyle name="Normal 6 3 3 3 2 3 4 3" xfId="39159"/>
    <cellStyle name="Normal 6 3 3 3 2 3 5" xfId="16595"/>
    <cellStyle name="Normal 6 3 3 3 2 3 6" xfId="31638"/>
    <cellStyle name="Normal 6 3 3 3 2 4" xfId="2435"/>
    <cellStyle name="Normal 6 3 3 3 2 4 2" xfId="6231"/>
    <cellStyle name="Normal 6 3 3 3 2 4 2 2" xfId="13754"/>
    <cellStyle name="Normal 6 3 3 3 2 4 2 2 2" xfId="28798"/>
    <cellStyle name="Normal 6 3 3 3 2 4 2 2 3" xfId="43841"/>
    <cellStyle name="Normal 6 3 3 3 2 4 2 3" xfId="21277"/>
    <cellStyle name="Normal 6 3 3 3 2 4 2 4" xfId="36320"/>
    <cellStyle name="Normal 6 3 3 3 2 4 3" xfId="10005"/>
    <cellStyle name="Normal 6 3 3 3 2 4 3 2" xfId="25049"/>
    <cellStyle name="Normal 6 3 3 3 2 4 3 3" xfId="40092"/>
    <cellStyle name="Normal 6 3 3 3 2 4 4" xfId="17528"/>
    <cellStyle name="Normal 6 3 3 3 2 4 5" xfId="32571"/>
    <cellStyle name="Normal 6 3 3 3 2 5" xfId="4363"/>
    <cellStyle name="Normal 6 3 3 3 2 5 2" xfId="11887"/>
    <cellStyle name="Normal 6 3 3 3 2 5 2 2" xfId="26931"/>
    <cellStyle name="Normal 6 3 3 3 2 5 2 3" xfId="41974"/>
    <cellStyle name="Normal 6 3 3 3 2 5 3" xfId="19410"/>
    <cellStyle name="Normal 6 3 3 3 2 5 4" xfId="34453"/>
    <cellStyle name="Normal 6 3 3 3 2 6" xfId="8126"/>
    <cellStyle name="Normal 6 3 3 3 2 6 2" xfId="23170"/>
    <cellStyle name="Normal 6 3 3 3 2 6 3" xfId="38213"/>
    <cellStyle name="Normal 6 3 3 3 2 7" xfId="15649"/>
    <cellStyle name="Normal 6 3 3 3 2 8" xfId="30692"/>
    <cellStyle name="Normal 6 3 3 3 3" xfId="989"/>
    <cellStyle name="Normal 6 3 3 3 3 2" xfId="1948"/>
    <cellStyle name="Normal 6 3 3 3 3 2 2" xfId="3819"/>
    <cellStyle name="Normal 6 3 3 3 3 2 2 2" xfId="7614"/>
    <cellStyle name="Normal 6 3 3 3 3 2 2 2 2" xfId="15137"/>
    <cellStyle name="Normal 6 3 3 3 3 2 2 2 2 2" xfId="30181"/>
    <cellStyle name="Normal 6 3 3 3 3 2 2 2 2 3" xfId="45224"/>
    <cellStyle name="Normal 6 3 3 3 3 2 2 2 3" xfId="22660"/>
    <cellStyle name="Normal 6 3 3 3 3 2 2 2 4" xfId="37703"/>
    <cellStyle name="Normal 6 3 3 3 3 2 2 3" xfId="11388"/>
    <cellStyle name="Normal 6 3 3 3 3 2 2 3 2" xfId="26432"/>
    <cellStyle name="Normal 6 3 3 3 3 2 2 3 3" xfId="41475"/>
    <cellStyle name="Normal 6 3 3 3 3 2 2 4" xfId="18911"/>
    <cellStyle name="Normal 6 3 3 3 3 2 2 5" xfId="33954"/>
    <cellStyle name="Normal 6 3 3 3 3 2 3" xfId="5749"/>
    <cellStyle name="Normal 6 3 3 3 3 2 3 2" xfId="13272"/>
    <cellStyle name="Normal 6 3 3 3 3 2 3 2 2" xfId="28316"/>
    <cellStyle name="Normal 6 3 3 3 3 2 3 2 3" xfId="43359"/>
    <cellStyle name="Normal 6 3 3 3 3 2 3 3" xfId="20795"/>
    <cellStyle name="Normal 6 3 3 3 3 2 3 4" xfId="35838"/>
    <cellStyle name="Normal 6 3 3 3 3 2 4" xfId="9523"/>
    <cellStyle name="Normal 6 3 3 3 3 2 4 2" xfId="24567"/>
    <cellStyle name="Normal 6 3 3 3 3 2 4 3" xfId="39610"/>
    <cellStyle name="Normal 6 3 3 3 3 2 5" xfId="17046"/>
    <cellStyle name="Normal 6 3 3 3 3 2 6" xfId="32089"/>
    <cellStyle name="Normal 6 3 3 3 3 3" xfId="2887"/>
    <cellStyle name="Normal 6 3 3 3 3 3 2" xfId="6682"/>
    <cellStyle name="Normal 6 3 3 3 3 3 2 2" xfId="14205"/>
    <cellStyle name="Normal 6 3 3 3 3 3 2 2 2" xfId="29249"/>
    <cellStyle name="Normal 6 3 3 3 3 3 2 2 3" xfId="44292"/>
    <cellStyle name="Normal 6 3 3 3 3 3 2 3" xfId="21728"/>
    <cellStyle name="Normal 6 3 3 3 3 3 2 4" xfId="36771"/>
    <cellStyle name="Normal 6 3 3 3 3 3 3" xfId="10456"/>
    <cellStyle name="Normal 6 3 3 3 3 3 3 2" xfId="25500"/>
    <cellStyle name="Normal 6 3 3 3 3 3 3 3" xfId="40543"/>
    <cellStyle name="Normal 6 3 3 3 3 3 4" xfId="17979"/>
    <cellStyle name="Normal 6 3 3 3 3 3 5" xfId="33022"/>
    <cellStyle name="Normal 6 3 3 3 3 4" xfId="4817"/>
    <cellStyle name="Normal 6 3 3 3 3 4 2" xfId="12340"/>
    <cellStyle name="Normal 6 3 3 3 3 4 2 2" xfId="27384"/>
    <cellStyle name="Normal 6 3 3 3 3 4 2 3" xfId="42427"/>
    <cellStyle name="Normal 6 3 3 3 3 4 3" xfId="19863"/>
    <cellStyle name="Normal 6 3 3 3 3 4 4" xfId="34906"/>
    <cellStyle name="Normal 6 3 3 3 3 5" xfId="8591"/>
    <cellStyle name="Normal 6 3 3 3 3 5 2" xfId="23635"/>
    <cellStyle name="Normal 6 3 3 3 3 5 3" xfId="38678"/>
    <cellStyle name="Normal 6 3 3 3 3 6" xfId="16114"/>
    <cellStyle name="Normal 6 3 3 3 3 7" xfId="31157"/>
    <cellStyle name="Normal 6 3 3 3 4" xfId="1496"/>
    <cellStyle name="Normal 6 3 3 3 4 2" xfId="3367"/>
    <cellStyle name="Normal 6 3 3 3 4 2 2" xfId="7162"/>
    <cellStyle name="Normal 6 3 3 3 4 2 2 2" xfId="14685"/>
    <cellStyle name="Normal 6 3 3 3 4 2 2 2 2" xfId="29729"/>
    <cellStyle name="Normal 6 3 3 3 4 2 2 2 3" xfId="44772"/>
    <cellStyle name="Normal 6 3 3 3 4 2 2 3" xfId="22208"/>
    <cellStyle name="Normal 6 3 3 3 4 2 2 4" xfId="37251"/>
    <cellStyle name="Normal 6 3 3 3 4 2 3" xfId="10936"/>
    <cellStyle name="Normal 6 3 3 3 4 2 3 2" xfId="25980"/>
    <cellStyle name="Normal 6 3 3 3 4 2 3 3" xfId="41023"/>
    <cellStyle name="Normal 6 3 3 3 4 2 4" xfId="18459"/>
    <cellStyle name="Normal 6 3 3 3 4 2 5" xfId="33502"/>
    <cellStyle name="Normal 6 3 3 3 4 3" xfId="5297"/>
    <cellStyle name="Normal 6 3 3 3 4 3 2" xfId="12820"/>
    <cellStyle name="Normal 6 3 3 3 4 3 2 2" xfId="27864"/>
    <cellStyle name="Normal 6 3 3 3 4 3 2 3" xfId="42907"/>
    <cellStyle name="Normal 6 3 3 3 4 3 3" xfId="20343"/>
    <cellStyle name="Normal 6 3 3 3 4 3 4" xfId="35386"/>
    <cellStyle name="Normal 6 3 3 3 4 4" xfId="9071"/>
    <cellStyle name="Normal 6 3 3 3 4 4 2" xfId="24115"/>
    <cellStyle name="Normal 6 3 3 3 4 4 3" xfId="39158"/>
    <cellStyle name="Normal 6 3 3 3 4 5" xfId="16594"/>
    <cellStyle name="Normal 6 3 3 3 4 6" xfId="31637"/>
    <cellStyle name="Normal 6 3 3 3 5" xfId="2434"/>
    <cellStyle name="Normal 6 3 3 3 5 2" xfId="6230"/>
    <cellStyle name="Normal 6 3 3 3 5 2 2" xfId="13753"/>
    <cellStyle name="Normal 6 3 3 3 5 2 2 2" xfId="28797"/>
    <cellStyle name="Normal 6 3 3 3 5 2 2 3" xfId="43840"/>
    <cellStyle name="Normal 6 3 3 3 5 2 3" xfId="21276"/>
    <cellStyle name="Normal 6 3 3 3 5 2 4" xfId="36319"/>
    <cellStyle name="Normal 6 3 3 3 5 3" xfId="10004"/>
    <cellStyle name="Normal 6 3 3 3 5 3 2" xfId="25048"/>
    <cellStyle name="Normal 6 3 3 3 5 3 3" xfId="40091"/>
    <cellStyle name="Normal 6 3 3 3 5 4" xfId="17527"/>
    <cellStyle name="Normal 6 3 3 3 5 5" xfId="32570"/>
    <cellStyle name="Normal 6 3 3 3 6" xfId="4362"/>
    <cellStyle name="Normal 6 3 3 3 6 2" xfId="11886"/>
    <cellStyle name="Normal 6 3 3 3 6 2 2" xfId="26930"/>
    <cellStyle name="Normal 6 3 3 3 6 2 3" xfId="41973"/>
    <cellStyle name="Normal 6 3 3 3 6 3" xfId="19409"/>
    <cellStyle name="Normal 6 3 3 3 6 4" xfId="34452"/>
    <cellStyle name="Normal 6 3 3 3 7" xfId="8125"/>
    <cellStyle name="Normal 6 3 3 3 7 2" xfId="23169"/>
    <cellStyle name="Normal 6 3 3 3 7 3" xfId="38212"/>
    <cellStyle name="Normal 6 3 3 3 8" xfId="15648"/>
    <cellStyle name="Normal 6 3 3 3 9" xfId="30691"/>
    <cellStyle name="Normal 6 3 3 4" xfId="472"/>
    <cellStyle name="Normal 6 3 3 4 2" xfId="991"/>
    <cellStyle name="Normal 6 3 3 4 2 2" xfId="1950"/>
    <cellStyle name="Normal 6 3 3 4 2 2 2" xfId="3821"/>
    <cellStyle name="Normal 6 3 3 4 2 2 2 2" xfId="7616"/>
    <cellStyle name="Normal 6 3 3 4 2 2 2 2 2" xfId="15139"/>
    <cellStyle name="Normal 6 3 3 4 2 2 2 2 2 2" xfId="30183"/>
    <cellStyle name="Normal 6 3 3 4 2 2 2 2 2 3" xfId="45226"/>
    <cellStyle name="Normal 6 3 3 4 2 2 2 2 3" xfId="22662"/>
    <cellStyle name="Normal 6 3 3 4 2 2 2 2 4" xfId="37705"/>
    <cellStyle name="Normal 6 3 3 4 2 2 2 3" xfId="11390"/>
    <cellStyle name="Normal 6 3 3 4 2 2 2 3 2" xfId="26434"/>
    <cellStyle name="Normal 6 3 3 4 2 2 2 3 3" xfId="41477"/>
    <cellStyle name="Normal 6 3 3 4 2 2 2 4" xfId="18913"/>
    <cellStyle name="Normal 6 3 3 4 2 2 2 5" xfId="33956"/>
    <cellStyle name="Normal 6 3 3 4 2 2 3" xfId="5751"/>
    <cellStyle name="Normal 6 3 3 4 2 2 3 2" xfId="13274"/>
    <cellStyle name="Normal 6 3 3 4 2 2 3 2 2" xfId="28318"/>
    <cellStyle name="Normal 6 3 3 4 2 2 3 2 3" xfId="43361"/>
    <cellStyle name="Normal 6 3 3 4 2 2 3 3" xfId="20797"/>
    <cellStyle name="Normal 6 3 3 4 2 2 3 4" xfId="35840"/>
    <cellStyle name="Normal 6 3 3 4 2 2 4" xfId="9525"/>
    <cellStyle name="Normal 6 3 3 4 2 2 4 2" xfId="24569"/>
    <cellStyle name="Normal 6 3 3 4 2 2 4 3" xfId="39612"/>
    <cellStyle name="Normal 6 3 3 4 2 2 5" xfId="17048"/>
    <cellStyle name="Normal 6 3 3 4 2 2 6" xfId="32091"/>
    <cellStyle name="Normal 6 3 3 4 2 3" xfId="2889"/>
    <cellStyle name="Normal 6 3 3 4 2 3 2" xfId="6684"/>
    <cellStyle name="Normal 6 3 3 4 2 3 2 2" xfId="14207"/>
    <cellStyle name="Normal 6 3 3 4 2 3 2 2 2" xfId="29251"/>
    <cellStyle name="Normal 6 3 3 4 2 3 2 2 3" xfId="44294"/>
    <cellStyle name="Normal 6 3 3 4 2 3 2 3" xfId="21730"/>
    <cellStyle name="Normal 6 3 3 4 2 3 2 4" xfId="36773"/>
    <cellStyle name="Normal 6 3 3 4 2 3 3" xfId="10458"/>
    <cellStyle name="Normal 6 3 3 4 2 3 3 2" xfId="25502"/>
    <cellStyle name="Normal 6 3 3 4 2 3 3 3" xfId="40545"/>
    <cellStyle name="Normal 6 3 3 4 2 3 4" xfId="17981"/>
    <cellStyle name="Normal 6 3 3 4 2 3 5" xfId="33024"/>
    <cellStyle name="Normal 6 3 3 4 2 4" xfId="4819"/>
    <cellStyle name="Normal 6 3 3 4 2 4 2" xfId="12342"/>
    <cellStyle name="Normal 6 3 3 4 2 4 2 2" xfId="27386"/>
    <cellStyle name="Normal 6 3 3 4 2 4 2 3" xfId="42429"/>
    <cellStyle name="Normal 6 3 3 4 2 4 3" xfId="19865"/>
    <cellStyle name="Normal 6 3 3 4 2 4 4" xfId="34908"/>
    <cellStyle name="Normal 6 3 3 4 2 5" xfId="8593"/>
    <cellStyle name="Normal 6 3 3 4 2 5 2" xfId="23637"/>
    <cellStyle name="Normal 6 3 3 4 2 5 3" xfId="38680"/>
    <cellStyle name="Normal 6 3 3 4 2 6" xfId="16116"/>
    <cellStyle name="Normal 6 3 3 4 2 7" xfId="31159"/>
    <cellStyle name="Normal 6 3 3 4 3" xfId="1498"/>
    <cellStyle name="Normal 6 3 3 4 3 2" xfId="3369"/>
    <cellStyle name="Normal 6 3 3 4 3 2 2" xfId="7164"/>
    <cellStyle name="Normal 6 3 3 4 3 2 2 2" xfId="14687"/>
    <cellStyle name="Normal 6 3 3 4 3 2 2 2 2" xfId="29731"/>
    <cellStyle name="Normal 6 3 3 4 3 2 2 2 3" xfId="44774"/>
    <cellStyle name="Normal 6 3 3 4 3 2 2 3" xfId="22210"/>
    <cellStyle name="Normal 6 3 3 4 3 2 2 4" xfId="37253"/>
    <cellStyle name="Normal 6 3 3 4 3 2 3" xfId="10938"/>
    <cellStyle name="Normal 6 3 3 4 3 2 3 2" xfId="25982"/>
    <cellStyle name="Normal 6 3 3 4 3 2 3 3" xfId="41025"/>
    <cellStyle name="Normal 6 3 3 4 3 2 4" xfId="18461"/>
    <cellStyle name="Normal 6 3 3 4 3 2 5" xfId="33504"/>
    <cellStyle name="Normal 6 3 3 4 3 3" xfId="5299"/>
    <cellStyle name="Normal 6 3 3 4 3 3 2" xfId="12822"/>
    <cellStyle name="Normal 6 3 3 4 3 3 2 2" xfId="27866"/>
    <cellStyle name="Normal 6 3 3 4 3 3 2 3" xfId="42909"/>
    <cellStyle name="Normal 6 3 3 4 3 3 3" xfId="20345"/>
    <cellStyle name="Normal 6 3 3 4 3 3 4" xfId="35388"/>
    <cellStyle name="Normal 6 3 3 4 3 4" xfId="9073"/>
    <cellStyle name="Normal 6 3 3 4 3 4 2" xfId="24117"/>
    <cellStyle name="Normal 6 3 3 4 3 4 3" xfId="39160"/>
    <cellStyle name="Normal 6 3 3 4 3 5" xfId="16596"/>
    <cellStyle name="Normal 6 3 3 4 3 6" xfId="31639"/>
    <cellStyle name="Normal 6 3 3 4 4" xfId="2436"/>
    <cellStyle name="Normal 6 3 3 4 4 2" xfId="6232"/>
    <cellStyle name="Normal 6 3 3 4 4 2 2" xfId="13755"/>
    <cellStyle name="Normal 6 3 3 4 4 2 2 2" xfId="28799"/>
    <cellStyle name="Normal 6 3 3 4 4 2 2 3" xfId="43842"/>
    <cellStyle name="Normal 6 3 3 4 4 2 3" xfId="21278"/>
    <cellStyle name="Normal 6 3 3 4 4 2 4" xfId="36321"/>
    <cellStyle name="Normal 6 3 3 4 4 3" xfId="10006"/>
    <cellStyle name="Normal 6 3 3 4 4 3 2" xfId="25050"/>
    <cellStyle name="Normal 6 3 3 4 4 3 3" xfId="40093"/>
    <cellStyle name="Normal 6 3 3 4 4 4" xfId="17529"/>
    <cellStyle name="Normal 6 3 3 4 4 5" xfId="32572"/>
    <cellStyle name="Normal 6 3 3 4 5" xfId="4364"/>
    <cellStyle name="Normal 6 3 3 4 5 2" xfId="11888"/>
    <cellStyle name="Normal 6 3 3 4 5 2 2" xfId="26932"/>
    <cellStyle name="Normal 6 3 3 4 5 2 3" xfId="41975"/>
    <cellStyle name="Normal 6 3 3 4 5 3" xfId="19411"/>
    <cellStyle name="Normal 6 3 3 4 5 4" xfId="34454"/>
    <cellStyle name="Normal 6 3 3 4 6" xfId="8127"/>
    <cellStyle name="Normal 6 3 3 4 6 2" xfId="23171"/>
    <cellStyle name="Normal 6 3 3 4 6 3" xfId="38214"/>
    <cellStyle name="Normal 6 3 3 4 7" xfId="15650"/>
    <cellStyle name="Normal 6 3 3 4 8" xfId="30693"/>
    <cellStyle name="Normal 6 3 3 5" xfId="986"/>
    <cellStyle name="Normal 6 3 3 5 2" xfId="1945"/>
    <cellStyle name="Normal 6 3 3 5 2 2" xfId="3816"/>
    <cellStyle name="Normal 6 3 3 5 2 2 2" xfId="7611"/>
    <cellStyle name="Normal 6 3 3 5 2 2 2 2" xfId="15134"/>
    <cellStyle name="Normal 6 3 3 5 2 2 2 2 2" xfId="30178"/>
    <cellStyle name="Normal 6 3 3 5 2 2 2 2 3" xfId="45221"/>
    <cellStyle name="Normal 6 3 3 5 2 2 2 3" xfId="22657"/>
    <cellStyle name="Normal 6 3 3 5 2 2 2 4" xfId="37700"/>
    <cellStyle name="Normal 6 3 3 5 2 2 3" xfId="11385"/>
    <cellStyle name="Normal 6 3 3 5 2 2 3 2" xfId="26429"/>
    <cellStyle name="Normal 6 3 3 5 2 2 3 3" xfId="41472"/>
    <cellStyle name="Normal 6 3 3 5 2 2 4" xfId="18908"/>
    <cellStyle name="Normal 6 3 3 5 2 2 5" xfId="33951"/>
    <cellStyle name="Normal 6 3 3 5 2 3" xfId="5746"/>
    <cellStyle name="Normal 6 3 3 5 2 3 2" xfId="13269"/>
    <cellStyle name="Normal 6 3 3 5 2 3 2 2" xfId="28313"/>
    <cellStyle name="Normal 6 3 3 5 2 3 2 3" xfId="43356"/>
    <cellStyle name="Normal 6 3 3 5 2 3 3" xfId="20792"/>
    <cellStyle name="Normal 6 3 3 5 2 3 4" xfId="35835"/>
    <cellStyle name="Normal 6 3 3 5 2 4" xfId="9520"/>
    <cellStyle name="Normal 6 3 3 5 2 4 2" xfId="24564"/>
    <cellStyle name="Normal 6 3 3 5 2 4 3" xfId="39607"/>
    <cellStyle name="Normal 6 3 3 5 2 5" xfId="17043"/>
    <cellStyle name="Normal 6 3 3 5 2 6" xfId="32086"/>
    <cellStyle name="Normal 6 3 3 5 3" xfId="2884"/>
    <cellStyle name="Normal 6 3 3 5 3 2" xfId="6679"/>
    <cellStyle name="Normal 6 3 3 5 3 2 2" xfId="14202"/>
    <cellStyle name="Normal 6 3 3 5 3 2 2 2" xfId="29246"/>
    <cellStyle name="Normal 6 3 3 5 3 2 2 3" xfId="44289"/>
    <cellStyle name="Normal 6 3 3 5 3 2 3" xfId="21725"/>
    <cellStyle name="Normal 6 3 3 5 3 2 4" xfId="36768"/>
    <cellStyle name="Normal 6 3 3 5 3 3" xfId="10453"/>
    <cellStyle name="Normal 6 3 3 5 3 3 2" xfId="25497"/>
    <cellStyle name="Normal 6 3 3 5 3 3 3" xfId="40540"/>
    <cellStyle name="Normal 6 3 3 5 3 4" xfId="17976"/>
    <cellStyle name="Normal 6 3 3 5 3 5" xfId="33019"/>
    <cellStyle name="Normal 6 3 3 5 4" xfId="4814"/>
    <cellStyle name="Normal 6 3 3 5 4 2" xfId="12337"/>
    <cellStyle name="Normal 6 3 3 5 4 2 2" xfId="27381"/>
    <cellStyle name="Normal 6 3 3 5 4 2 3" xfId="42424"/>
    <cellStyle name="Normal 6 3 3 5 4 3" xfId="19860"/>
    <cellStyle name="Normal 6 3 3 5 4 4" xfId="34903"/>
    <cellStyle name="Normal 6 3 3 5 5" xfId="8588"/>
    <cellStyle name="Normal 6 3 3 5 5 2" xfId="23632"/>
    <cellStyle name="Normal 6 3 3 5 5 3" xfId="38675"/>
    <cellStyle name="Normal 6 3 3 5 6" xfId="16111"/>
    <cellStyle name="Normal 6 3 3 5 7" xfId="31154"/>
    <cellStyle name="Normal 6 3 3 6" xfId="1493"/>
    <cellStyle name="Normal 6 3 3 6 2" xfId="3364"/>
    <cellStyle name="Normal 6 3 3 6 2 2" xfId="7159"/>
    <cellStyle name="Normal 6 3 3 6 2 2 2" xfId="14682"/>
    <cellStyle name="Normal 6 3 3 6 2 2 2 2" xfId="29726"/>
    <cellStyle name="Normal 6 3 3 6 2 2 2 3" xfId="44769"/>
    <cellStyle name="Normal 6 3 3 6 2 2 3" xfId="22205"/>
    <cellStyle name="Normal 6 3 3 6 2 2 4" xfId="37248"/>
    <cellStyle name="Normal 6 3 3 6 2 3" xfId="10933"/>
    <cellStyle name="Normal 6 3 3 6 2 3 2" xfId="25977"/>
    <cellStyle name="Normal 6 3 3 6 2 3 3" xfId="41020"/>
    <cellStyle name="Normal 6 3 3 6 2 4" xfId="18456"/>
    <cellStyle name="Normal 6 3 3 6 2 5" xfId="33499"/>
    <cellStyle name="Normal 6 3 3 6 3" xfId="5294"/>
    <cellStyle name="Normal 6 3 3 6 3 2" xfId="12817"/>
    <cellStyle name="Normal 6 3 3 6 3 2 2" xfId="27861"/>
    <cellStyle name="Normal 6 3 3 6 3 2 3" xfId="42904"/>
    <cellStyle name="Normal 6 3 3 6 3 3" xfId="20340"/>
    <cellStyle name="Normal 6 3 3 6 3 4" xfId="35383"/>
    <cellStyle name="Normal 6 3 3 6 4" xfId="9068"/>
    <cellStyle name="Normal 6 3 3 6 4 2" xfId="24112"/>
    <cellStyle name="Normal 6 3 3 6 4 3" xfId="39155"/>
    <cellStyle name="Normal 6 3 3 6 5" xfId="16591"/>
    <cellStyle name="Normal 6 3 3 6 6" xfId="31634"/>
    <cellStyle name="Normal 6 3 3 7" xfId="2431"/>
    <cellStyle name="Normal 6 3 3 7 2" xfId="6227"/>
    <cellStyle name="Normal 6 3 3 7 2 2" xfId="13750"/>
    <cellStyle name="Normal 6 3 3 7 2 2 2" xfId="28794"/>
    <cellStyle name="Normal 6 3 3 7 2 2 3" xfId="43837"/>
    <cellStyle name="Normal 6 3 3 7 2 3" xfId="21273"/>
    <cellStyle name="Normal 6 3 3 7 2 4" xfId="36316"/>
    <cellStyle name="Normal 6 3 3 7 3" xfId="10001"/>
    <cellStyle name="Normal 6 3 3 7 3 2" xfId="25045"/>
    <cellStyle name="Normal 6 3 3 7 3 3" xfId="40088"/>
    <cellStyle name="Normal 6 3 3 7 4" xfId="17524"/>
    <cellStyle name="Normal 6 3 3 7 5" xfId="32567"/>
    <cellStyle name="Normal 6 3 3 8" xfId="4359"/>
    <cellStyle name="Normal 6 3 3 8 2" xfId="11883"/>
    <cellStyle name="Normal 6 3 3 8 2 2" xfId="26927"/>
    <cellStyle name="Normal 6 3 3 8 2 3" xfId="41970"/>
    <cellStyle name="Normal 6 3 3 8 3" xfId="19406"/>
    <cellStyle name="Normal 6 3 3 8 4" xfId="34449"/>
    <cellStyle name="Normal 6 3 3 9" xfId="8122"/>
    <cellStyle name="Normal 6 3 3 9 2" xfId="23166"/>
    <cellStyle name="Normal 6 3 3 9 3" xfId="38209"/>
    <cellStyle name="Normal 6 3 4" xfId="473"/>
    <cellStyle name="Normal 6 3 4 2" xfId="474"/>
    <cellStyle name="Normal 6 3 4 2 2" xfId="993"/>
    <cellStyle name="Normal 6 3 4 2 2 2" xfId="1952"/>
    <cellStyle name="Normal 6 3 4 2 2 2 2" xfId="3823"/>
    <cellStyle name="Normal 6 3 4 2 2 2 2 2" xfId="7618"/>
    <cellStyle name="Normal 6 3 4 2 2 2 2 2 2" xfId="15141"/>
    <cellStyle name="Normal 6 3 4 2 2 2 2 2 2 2" xfId="30185"/>
    <cellStyle name="Normal 6 3 4 2 2 2 2 2 2 3" xfId="45228"/>
    <cellStyle name="Normal 6 3 4 2 2 2 2 2 3" xfId="22664"/>
    <cellStyle name="Normal 6 3 4 2 2 2 2 2 4" xfId="37707"/>
    <cellStyle name="Normal 6 3 4 2 2 2 2 3" xfId="11392"/>
    <cellStyle name="Normal 6 3 4 2 2 2 2 3 2" xfId="26436"/>
    <cellStyle name="Normal 6 3 4 2 2 2 2 3 3" xfId="41479"/>
    <cellStyle name="Normal 6 3 4 2 2 2 2 4" xfId="18915"/>
    <cellStyle name="Normal 6 3 4 2 2 2 2 5" xfId="33958"/>
    <cellStyle name="Normal 6 3 4 2 2 2 3" xfId="5753"/>
    <cellStyle name="Normal 6 3 4 2 2 2 3 2" xfId="13276"/>
    <cellStyle name="Normal 6 3 4 2 2 2 3 2 2" xfId="28320"/>
    <cellStyle name="Normal 6 3 4 2 2 2 3 2 3" xfId="43363"/>
    <cellStyle name="Normal 6 3 4 2 2 2 3 3" xfId="20799"/>
    <cellStyle name="Normal 6 3 4 2 2 2 3 4" xfId="35842"/>
    <cellStyle name="Normal 6 3 4 2 2 2 4" xfId="9527"/>
    <cellStyle name="Normal 6 3 4 2 2 2 4 2" xfId="24571"/>
    <cellStyle name="Normal 6 3 4 2 2 2 4 3" xfId="39614"/>
    <cellStyle name="Normal 6 3 4 2 2 2 5" xfId="17050"/>
    <cellStyle name="Normal 6 3 4 2 2 2 6" xfId="32093"/>
    <cellStyle name="Normal 6 3 4 2 2 3" xfId="2891"/>
    <cellStyle name="Normal 6 3 4 2 2 3 2" xfId="6686"/>
    <cellStyle name="Normal 6 3 4 2 2 3 2 2" xfId="14209"/>
    <cellStyle name="Normal 6 3 4 2 2 3 2 2 2" xfId="29253"/>
    <cellStyle name="Normal 6 3 4 2 2 3 2 2 3" xfId="44296"/>
    <cellStyle name="Normal 6 3 4 2 2 3 2 3" xfId="21732"/>
    <cellStyle name="Normal 6 3 4 2 2 3 2 4" xfId="36775"/>
    <cellStyle name="Normal 6 3 4 2 2 3 3" xfId="10460"/>
    <cellStyle name="Normal 6 3 4 2 2 3 3 2" xfId="25504"/>
    <cellStyle name="Normal 6 3 4 2 2 3 3 3" xfId="40547"/>
    <cellStyle name="Normal 6 3 4 2 2 3 4" xfId="17983"/>
    <cellStyle name="Normal 6 3 4 2 2 3 5" xfId="33026"/>
    <cellStyle name="Normal 6 3 4 2 2 4" xfId="4821"/>
    <cellStyle name="Normal 6 3 4 2 2 4 2" xfId="12344"/>
    <cellStyle name="Normal 6 3 4 2 2 4 2 2" xfId="27388"/>
    <cellStyle name="Normal 6 3 4 2 2 4 2 3" xfId="42431"/>
    <cellStyle name="Normal 6 3 4 2 2 4 3" xfId="19867"/>
    <cellStyle name="Normal 6 3 4 2 2 4 4" xfId="34910"/>
    <cellStyle name="Normal 6 3 4 2 2 5" xfId="8595"/>
    <cellStyle name="Normal 6 3 4 2 2 5 2" xfId="23639"/>
    <cellStyle name="Normal 6 3 4 2 2 5 3" xfId="38682"/>
    <cellStyle name="Normal 6 3 4 2 2 6" xfId="16118"/>
    <cellStyle name="Normal 6 3 4 2 2 7" xfId="31161"/>
    <cellStyle name="Normal 6 3 4 2 3" xfId="1500"/>
    <cellStyle name="Normal 6 3 4 2 3 2" xfId="3371"/>
    <cellStyle name="Normal 6 3 4 2 3 2 2" xfId="7166"/>
    <cellStyle name="Normal 6 3 4 2 3 2 2 2" xfId="14689"/>
    <cellStyle name="Normal 6 3 4 2 3 2 2 2 2" xfId="29733"/>
    <cellStyle name="Normal 6 3 4 2 3 2 2 2 3" xfId="44776"/>
    <cellStyle name="Normal 6 3 4 2 3 2 2 3" xfId="22212"/>
    <cellStyle name="Normal 6 3 4 2 3 2 2 4" xfId="37255"/>
    <cellStyle name="Normal 6 3 4 2 3 2 3" xfId="10940"/>
    <cellStyle name="Normal 6 3 4 2 3 2 3 2" xfId="25984"/>
    <cellStyle name="Normal 6 3 4 2 3 2 3 3" xfId="41027"/>
    <cellStyle name="Normal 6 3 4 2 3 2 4" xfId="18463"/>
    <cellStyle name="Normal 6 3 4 2 3 2 5" xfId="33506"/>
    <cellStyle name="Normal 6 3 4 2 3 3" xfId="5301"/>
    <cellStyle name="Normal 6 3 4 2 3 3 2" xfId="12824"/>
    <cellStyle name="Normal 6 3 4 2 3 3 2 2" xfId="27868"/>
    <cellStyle name="Normal 6 3 4 2 3 3 2 3" xfId="42911"/>
    <cellStyle name="Normal 6 3 4 2 3 3 3" xfId="20347"/>
    <cellStyle name="Normal 6 3 4 2 3 3 4" xfId="35390"/>
    <cellStyle name="Normal 6 3 4 2 3 4" xfId="9075"/>
    <cellStyle name="Normal 6 3 4 2 3 4 2" xfId="24119"/>
    <cellStyle name="Normal 6 3 4 2 3 4 3" xfId="39162"/>
    <cellStyle name="Normal 6 3 4 2 3 5" xfId="16598"/>
    <cellStyle name="Normal 6 3 4 2 3 6" xfId="31641"/>
    <cellStyle name="Normal 6 3 4 2 4" xfId="2438"/>
    <cellStyle name="Normal 6 3 4 2 4 2" xfId="6234"/>
    <cellStyle name="Normal 6 3 4 2 4 2 2" xfId="13757"/>
    <cellStyle name="Normal 6 3 4 2 4 2 2 2" xfId="28801"/>
    <cellStyle name="Normal 6 3 4 2 4 2 2 3" xfId="43844"/>
    <cellStyle name="Normal 6 3 4 2 4 2 3" xfId="21280"/>
    <cellStyle name="Normal 6 3 4 2 4 2 4" xfId="36323"/>
    <cellStyle name="Normal 6 3 4 2 4 3" xfId="10008"/>
    <cellStyle name="Normal 6 3 4 2 4 3 2" xfId="25052"/>
    <cellStyle name="Normal 6 3 4 2 4 3 3" xfId="40095"/>
    <cellStyle name="Normal 6 3 4 2 4 4" xfId="17531"/>
    <cellStyle name="Normal 6 3 4 2 4 5" xfId="32574"/>
    <cellStyle name="Normal 6 3 4 2 5" xfId="4366"/>
    <cellStyle name="Normal 6 3 4 2 5 2" xfId="11890"/>
    <cellStyle name="Normal 6 3 4 2 5 2 2" xfId="26934"/>
    <cellStyle name="Normal 6 3 4 2 5 2 3" xfId="41977"/>
    <cellStyle name="Normal 6 3 4 2 5 3" xfId="19413"/>
    <cellStyle name="Normal 6 3 4 2 5 4" xfId="34456"/>
    <cellStyle name="Normal 6 3 4 2 6" xfId="8129"/>
    <cellStyle name="Normal 6 3 4 2 6 2" xfId="23173"/>
    <cellStyle name="Normal 6 3 4 2 6 3" xfId="38216"/>
    <cellStyle name="Normal 6 3 4 2 7" xfId="15652"/>
    <cellStyle name="Normal 6 3 4 2 8" xfId="30695"/>
    <cellStyle name="Normal 6 3 4 3" xfId="992"/>
    <cellStyle name="Normal 6 3 4 3 2" xfId="1951"/>
    <cellStyle name="Normal 6 3 4 3 2 2" xfId="3822"/>
    <cellStyle name="Normal 6 3 4 3 2 2 2" xfId="7617"/>
    <cellStyle name="Normal 6 3 4 3 2 2 2 2" xfId="15140"/>
    <cellStyle name="Normal 6 3 4 3 2 2 2 2 2" xfId="30184"/>
    <cellStyle name="Normal 6 3 4 3 2 2 2 2 3" xfId="45227"/>
    <cellStyle name="Normal 6 3 4 3 2 2 2 3" xfId="22663"/>
    <cellStyle name="Normal 6 3 4 3 2 2 2 4" xfId="37706"/>
    <cellStyle name="Normal 6 3 4 3 2 2 3" xfId="11391"/>
    <cellStyle name="Normal 6 3 4 3 2 2 3 2" xfId="26435"/>
    <cellStyle name="Normal 6 3 4 3 2 2 3 3" xfId="41478"/>
    <cellStyle name="Normal 6 3 4 3 2 2 4" xfId="18914"/>
    <cellStyle name="Normal 6 3 4 3 2 2 5" xfId="33957"/>
    <cellStyle name="Normal 6 3 4 3 2 3" xfId="5752"/>
    <cellStyle name="Normal 6 3 4 3 2 3 2" xfId="13275"/>
    <cellStyle name="Normal 6 3 4 3 2 3 2 2" xfId="28319"/>
    <cellStyle name="Normal 6 3 4 3 2 3 2 3" xfId="43362"/>
    <cellStyle name="Normal 6 3 4 3 2 3 3" xfId="20798"/>
    <cellStyle name="Normal 6 3 4 3 2 3 4" xfId="35841"/>
    <cellStyle name="Normal 6 3 4 3 2 4" xfId="9526"/>
    <cellStyle name="Normal 6 3 4 3 2 4 2" xfId="24570"/>
    <cellStyle name="Normal 6 3 4 3 2 4 3" xfId="39613"/>
    <cellStyle name="Normal 6 3 4 3 2 5" xfId="17049"/>
    <cellStyle name="Normal 6 3 4 3 2 6" xfId="32092"/>
    <cellStyle name="Normal 6 3 4 3 3" xfId="2890"/>
    <cellStyle name="Normal 6 3 4 3 3 2" xfId="6685"/>
    <cellStyle name="Normal 6 3 4 3 3 2 2" xfId="14208"/>
    <cellStyle name="Normal 6 3 4 3 3 2 2 2" xfId="29252"/>
    <cellStyle name="Normal 6 3 4 3 3 2 2 3" xfId="44295"/>
    <cellStyle name="Normal 6 3 4 3 3 2 3" xfId="21731"/>
    <cellStyle name="Normal 6 3 4 3 3 2 4" xfId="36774"/>
    <cellStyle name="Normal 6 3 4 3 3 3" xfId="10459"/>
    <cellStyle name="Normal 6 3 4 3 3 3 2" xfId="25503"/>
    <cellStyle name="Normal 6 3 4 3 3 3 3" xfId="40546"/>
    <cellStyle name="Normal 6 3 4 3 3 4" xfId="17982"/>
    <cellStyle name="Normal 6 3 4 3 3 5" xfId="33025"/>
    <cellStyle name="Normal 6 3 4 3 4" xfId="4820"/>
    <cellStyle name="Normal 6 3 4 3 4 2" xfId="12343"/>
    <cellStyle name="Normal 6 3 4 3 4 2 2" xfId="27387"/>
    <cellStyle name="Normal 6 3 4 3 4 2 3" xfId="42430"/>
    <cellStyle name="Normal 6 3 4 3 4 3" xfId="19866"/>
    <cellStyle name="Normal 6 3 4 3 4 4" xfId="34909"/>
    <cellStyle name="Normal 6 3 4 3 5" xfId="8594"/>
    <cellStyle name="Normal 6 3 4 3 5 2" xfId="23638"/>
    <cellStyle name="Normal 6 3 4 3 5 3" xfId="38681"/>
    <cellStyle name="Normal 6 3 4 3 6" xfId="16117"/>
    <cellStyle name="Normal 6 3 4 3 7" xfId="31160"/>
    <cellStyle name="Normal 6 3 4 4" xfId="1499"/>
    <cellStyle name="Normal 6 3 4 4 2" xfId="3370"/>
    <cellStyle name="Normal 6 3 4 4 2 2" xfId="7165"/>
    <cellStyle name="Normal 6 3 4 4 2 2 2" xfId="14688"/>
    <cellStyle name="Normal 6 3 4 4 2 2 2 2" xfId="29732"/>
    <cellStyle name="Normal 6 3 4 4 2 2 2 3" xfId="44775"/>
    <cellStyle name="Normal 6 3 4 4 2 2 3" xfId="22211"/>
    <cellStyle name="Normal 6 3 4 4 2 2 4" xfId="37254"/>
    <cellStyle name="Normal 6 3 4 4 2 3" xfId="10939"/>
    <cellStyle name="Normal 6 3 4 4 2 3 2" xfId="25983"/>
    <cellStyle name="Normal 6 3 4 4 2 3 3" xfId="41026"/>
    <cellStyle name="Normal 6 3 4 4 2 4" xfId="18462"/>
    <cellStyle name="Normal 6 3 4 4 2 5" xfId="33505"/>
    <cellStyle name="Normal 6 3 4 4 3" xfId="5300"/>
    <cellStyle name="Normal 6 3 4 4 3 2" xfId="12823"/>
    <cellStyle name="Normal 6 3 4 4 3 2 2" xfId="27867"/>
    <cellStyle name="Normal 6 3 4 4 3 2 3" xfId="42910"/>
    <cellStyle name="Normal 6 3 4 4 3 3" xfId="20346"/>
    <cellStyle name="Normal 6 3 4 4 3 4" xfId="35389"/>
    <cellStyle name="Normal 6 3 4 4 4" xfId="9074"/>
    <cellStyle name="Normal 6 3 4 4 4 2" xfId="24118"/>
    <cellStyle name="Normal 6 3 4 4 4 3" xfId="39161"/>
    <cellStyle name="Normal 6 3 4 4 5" xfId="16597"/>
    <cellStyle name="Normal 6 3 4 4 6" xfId="31640"/>
    <cellStyle name="Normal 6 3 4 5" xfId="2437"/>
    <cellStyle name="Normal 6 3 4 5 2" xfId="6233"/>
    <cellStyle name="Normal 6 3 4 5 2 2" xfId="13756"/>
    <cellStyle name="Normal 6 3 4 5 2 2 2" xfId="28800"/>
    <cellStyle name="Normal 6 3 4 5 2 2 3" xfId="43843"/>
    <cellStyle name="Normal 6 3 4 5 2 3" xfId="21279"/>
    <cellStyle name="Normal 6 3 4 5 2 4" xfId="36322"/>
    <cellStyle name="Normal 6 3 4 5 3" xfId="10007"/>
    <cellStyle name="Normal 6 3 4 5 3 2" xfId="25051"/>
    <cellStyle name="Normal 6 3 4 5 3 3" xfId="40094"/>
    <cellStyle name="Normal 6 3 4 5 4" xfId="17530"/>
    <cellStyle name="Normal 6 3 4 5 5" xfId="32573"/>
    <cellStyle name="Normal 6 3 4 6" xfId="4365"/>
    <cellStyle name="Normal 6 3 4 6 2" xfId="11889"/>
    <cellStyle name="Normal 6 3 4 6 2 2" xfId="26933"/>
    <cellStyle name="Normal 6 3 4 6 2 3" xfId="41976"/>
    <cellStyle name="Normal 6 3 4 6 3" xfId="19412"/>
    <cellStyle name="Normal 6 3 4 6 4" xfId="34455"/>
    <cellStyle name="Normal 6 3 4 7" xfId="8128"/>
    <cellStyle name="Normal 6 3 4 7 2" xfId="23172"/>
    <cellStyle name="Normal 6 3 4 7 3" xfId="38215"/>
    <cellStyle name="Normal 6 3 4 8" xfId="15651"/>
    <cellStyle name="Normal 6 3 4 9" xfId="30694"/>
    <cellStyle name="Normal 6 3 5" xfId="475"/>
    <cellStyle name="Normal 6 3 5 2" xfId="476"/>
    <cellStyle name="Normal 6 3 5 2 2" xfId="995"/>
    <cellStyle name="Normal 6 3 5 2 2 2" xfId="1954"/>
    <cellStyle name="Normal 6 3 5 2 2 2 2" xfId="3825"/>
    <cellStyle name="Normal 6 3 5 2 2 2 2 2" xfId="7620"/>
    <cellStyle name="Normal 6 3 5 2 2 2 2 2 2" xfId="15143"/>
    <cellStyle name="Normal 6 3 5 2 2 2 2 2 2 2" xfId="30187"/>
    <cellStyle name="Normal 6 3 5 2 2 2 2 2 2 3" xfId="45230"/>
    <cellStyle name="Normal 6 3 5 2 2 2 2 2 3" xfId="22666"/>
    <cellStyle name="Normal 6 3 5 2 2 2 2 2 4" xfId="37709"/>
    <cellStyle name="Normal 6 3 5 2 2 2 2 3" xfId="11394"/>
    <cellStyle name="Normal 6 3 5 2 2 2 2 3 2" xfId="26438"/>
    <cellStyle name="Normal 6 3 5 2 2 2 2 3 3" xfId="41481"/>
    <cellStyle name="Normal 6 3 5 2 2 2 2 4" xfId="18917"/>
    <cellStyle name="Normal 6 3 5 2 2 2 2 5" xfId="33960"/>
    <cellStyle name="Normal 6 3 5 2 2 2 3" xfId="5755"/>
    <cellStyle name="Normal 6 3 5 2 2 2 3 2" xfId="13278"/>
    <cellStyle name="Normal 6 3 5 2 2 2 3 2 2" xfId="28322"/>
    <cellStyle name="Normal 6 3 5 2 2 2 3 2 3" xfId="43365"/>
    <cellStyle name="Normal 6 3 5 2 2 2 3 3" xfId="20801"/>
    <cellStyle name="Normal 6 3 5 2 2 2 3 4" xfId="35844"/>
    <cellStyle name="Normal 6 3 5 2 2 2 4" xfId="9529"/>
    <cellStyle name="Normal 6 3 5 2 2 2 4 2" xfId="24573"/>
    <cellStyle name="Normal 6 3 5 2 2 2 4 3" xfId="39616"/>
    <cellStyle name="Normal 6 3 5 2 2 2 5" xfId="17052"/>
    <cellStyle name="Normal 6 3 5 2 2 2 6" xfId="32095"/>
    <cellStyle name="Normal 6 3 5 2 2 3" xfId="2893"/>
    <cellStyle name="Normal 6 3 5 2 2 3 2" xfId="6688"/>
    <cellStyle name="Normal 6 3 5 2 2 3 2 2" xfId="14211"/>
    <cellStyle name="Normal 6 3 5 2 2 3 2 2 2" xfId="29255"/>
    <cellStyle name="Normal 6 3 5 2 2 3 2 2 3" xfId="44298"/>
    <cellStyle name="Normal 6 3 5 2 2 3 2 3" xfId="21734"/>
    <cellStyle name="Normal 6 3 5 2 2 3 2 4" xfId="36777"/>
    <cellStyle name="Normal 6 3 5 2 2 3 3" xfId="10462"/>
    <cellStyle name="Normal 6 3 5 2 2 3 3 2" xfId="25506"/>
    <cellStyle name="Normal 6 3 5 2 2 3 3 3" xfId="40549"/>
    <cellStyle name="Normal 6 3 5 2 2 3 4" xfId="17985"/>
    <cellStyle name="Normal 6 3 5 2 2 3 5" xfId="33028"/>
    <cellStyle name="Normal 6 3 5 2 2 4" xfId="4823"/>
    <cellStyle name="Normal 6 3 5 2 2 4 2" xfId="12346"/>
    <cellStyle name="Normal 6 3 5 2 2 4 2 2" xfId="27390"/>
    <cellStyle name="Normal 6 3 5 2 2 4 2 3" xfId="42433"/>
    <cellStyle name="Normal 6 3 5 2 2 4 3" xfId="19869"/>
    <cellStyle name="Normal 6 3 5 2 2 4 4" xfId="34912"/>
    <cellStyle name="Normal 6 3 5 2 2 5" xfId="8597"/>
    <cellStyle name="Normal 6 3 5 2 2 5 2" xfId="23641"/>
    <cellStyle name="Normal 6 3 5 2 2 5 3" xfId="38684"/>
    <cellStyle name="Normal 6 3 5 2 2 6" xfId="16120"/>
    <cellStyle name="Normal 6 3 5 2 2 7" xfId="31163"/>
    <cellStyle name="Normal 6 3 5 2 3" xfId="1502"/>
    <cellStyle name="Normal 6 3 5 2 3 2" xfId="3373"/>
    <cellStyle name="Normal 6 3 5 2 3 2 2" xfId="7168"/>
    <cellStyle name="Normal 6 3 5 2 3 2 2 2" xfId="14691"/>
    <cellStyle name="Normal 6 3 5 2 3 2 2 2 2" xfId="29735"/>
    <cellStyle name="Normal 6 3 5 2 3 2 2 2 3" xfId="44778"/>
    <cellStyle name="Normal 6 3 5 2 3 2 2 3" xfId="22214"/>
    <cellStyle name="Normal 6 3 5 2 3 2 2 4" xfId="37257"/>
    <cellStyle name="Normal 6 3 5 2 3 2 3" xfId="10942"/>
    <cellStyle name="Normal 6 3 5 2 3 2 3 2" xfId="25986"/>
    <cellStyle name="Normal 6 3 5 2 3 2 3 3" xfId="41029"/>
    <cellStyle name="Normal 6 3 5 2 3 2 4" xfId="18465"/>
    <cellStyle name="Normal 6 3 5 2 3 2 5" xfId="33508"/>
    <cellStyle name="Normal 6 3 5 2 3 3" xfId="5303"/>
    <cellStyle name="Normal 6 3 5 2 3 3 2" xfId="12826"/>
    <cellStyle name="Normal 6 3 5 2 3 3 2 2" xfId="27870"/>
    <cellStyle name="Normal 6 3 5 2 3 3 2 3" xfId="42913"/>
    <cellStyle name="Normal 6 3 5 2 3 3 3" xfId="20349"/>
    <cellStyle name="Normal 6 3 5 2 3 3 4" xfId="35392"/>
    <cellStyle name="Normal 6 3 5 2 3 4" xfId="9077"/>
    <cellStyle name="Normal 6 3 5 2 3 4 2" xfId="24121"/>
    <cellStyle name="Normal 6 3 5 2 3 4 3" xfId="39164"/>
    <cellStyle name="Normal 6 3 5 2 3 5" xfId="16600"/>
    <cellStyle name="Normal 6 3 5 2 3 6" xfId="31643"/>
    <cellStyle name="Normal 6 3 5 2 4" xfId="2440"/>
    <cellStyle name="Normal 6 3 5 2 4 2" xfId="6236"/>
    <cellStyle name="Normal 6 3 5 2 4 2 2" xfId="13759"/>
    <cellStyle name="Normal 6 3 5 2 4 2 2 2" xfId="28803"/>
    <cellStyle name="Normal 6 3 5 2 4 2 2 3" xfId="43846"/>
    <cellStyle name="Normal 6 3 5 2 4 2 3" xfId="21282"/>
    <cellStyle name="Normal 6 3 5 2 4 2 4" xfId="36325"/>
    <cellStyle name="Normal 6 3 5 2 4 3" xfId="10010"/>
    <cellStyle name="Normal 6 3 5 2 4 3 2" xfId="25054"/>
    <cellStyle name="Normal 6 3 5 2 4 3 3" xfId="40097"/>
    <cellStyle name="Normal 6 3 5 2 4 4" xfId="17533"/>
    <cellStyle name="Normal 6 3 5 2 4 5" xfId="32576"/>
    <cellStyle name="Normal 6 3 5 2 5" xfId="4368"/>
    <cellStyle name="Normal 6 3 5 2 5 2" xfId="11892"/>
    <cellStyle name="Normal 6 3 5 2 5 2 2" xfId="26936"/>
    <cellStyle name="Normal 6 3 5 2 5 2 3" xfId="41979"/>
    <cellStyle name="Normal 6 3 5 2 5 3" xfId="19415"/>
    <cellStyle name="Normal 6 3 5 2 5 4" xfId="34458"/>
    <cellStyle name="Normal 6 3 5 2 6" xfId="8131"/>
    <cellStyle name="Normal 6 3 5 2 6 2" xfId="23175"/>
    <cellStyle name="Normal 6 3 5 2 6 3" xfId="38218"/>
    <cellStyle name="Normal 6 3 5 2 7" xfId="15654"/>
    <cellStyle name="Normal 6 3 5 2 8" xfId="30697"/>
    <cellStyle name="Normal 6 3 5 3" xfId="994"/>
    <cellStyle name="Normal 6 3 5 3 2" xfId="1953"/>
    <cellStyle name="Normal 6 3 5 3 2 2" xfId="3824"/>
    <cellStyle name="Normal 6 3 5 3 2 2 2" xfId="7619"/>
    <cellStyle name="Normal 6 3 5 3 2 2 2 2" xfId="15142"/>
    <cellStyle name="Normal 6 3 5 3 2 2 2 2 2" xfId="30186"/>
    <cellStyle name="Normal 6 3 5 3 2 2 2 2 3" xfId="45229"/>
    <cellStyle name="Normal 6 3 5 3 2 2 2 3" xfId="22665"/>
    <cellStyle name="Normal 6 3 5 3 2 2 2 4" xfId="37708"/>
    <cellStyle name="Normal 6 3 5 3 2 2 3" xfId="11393"/>
    <cellStyle name="Normal 6 3 5 3 2 2 3 2" xfId="26437"/>
    <cellStyle name="Normal 6 3 5 3 2 2 3 3" xfId="41480"/>
    <cellStyle name="Normal 6 3 5 3 2 2 4" xfId="18916"/>
    <cellStyle name="Normal 6 3 5 3 2 2 5" xfId="33959"/>
    <cellStyle name="Normal 6 3 5 3 2 3" xfId="5754"/>
    <cellStyle name="Normal 6 3 5 3 2 3 2" xfId="13277"/>
    <cellStyle name="Normal 6 3 5 3 2 3 2 2" xfId="28321"/>
    <cellStyle name="Normal 6 3 5 3 2 3 2 3" xfId="43364"/>
    <cellStyle name="Normal 6 3 5 3 2 3 3" xfId="20800"/>
    <cellStyle name="Normal 6 3 5 3 2 3 4" xfId="35843"/>
    <cellStyle name="Normal 6 3 5 3 2 4" xfId="9528"/>
    <cellStyle name="Normal 6 3 5 3 2 4 2" xfId="24572"/>
    <cellStyle name="Normal 6 3 5 3 2 4 3" xfId="39615"/>
    <cellStyle name="Normal 6 3 5 3 2 5" xfId="17051"/>
    <cellStyle name="Normal 6 3 5 3 2 6" xfId="32094"/>
    <cellStyle name="Normal 6 3 5 3 3" xfId="2892"/>
    <cellStyle name="Normal 6 3 5 3 3 2" xfId="6687"/>
    <cellStyle name="Normal 6 3 5 3 3 2 2" xfId="14210"/>
    <cellStyle name="Normal 6 3 5 3 3 2 2 2" xfId="29254"/>
    <cellStyle name="Normal 6 3 5 3 3 2 2 3" xfId="44297"/>
    <cellStyle name="Normal 6 3 5 3 3 2 3" xfId="21733"/>
    <cellStyle name="Normal 6 3 5 3 3 2 4" xfId="36776"/>
    <cellStyle name="Normal 6 3 5 3 3 3" xfId="10461"/>
    <cellStyle name="Normal 6 3 5 3 3 3 2" xfId="25505"/>
    <cellStyle name="Normal 6 3 5 3 3 3 3" xfId="40548"/>
    <cellStyle name="Normal 6 3 5 3 3 4" xfId="17984"/>
    <cellStyle name="Normal 6 3 5 3 3 5" xfId="33027"/>
    <cellStyle name="Normal 6 3 5 3 4" xfId="4822"/>
    <cellStyle name="Normal 6 3 5 3 4 2" xfId="12345"/>
    <cellStyle name="Normal 6 3 5 3 4 2 2" xfId="27389"/>
    <cellStyle name="Normal 6 3 5 3 4 2 3" xfId="42432"/>
    <cellStyle name="Normal 6 3 5 3 4 3" xfId="19868"/>
    <cellStyle name="Normal 6 3 5 3 4 4" xfId="34911"/>
    <cellStyle name="Normal 6 3 5 3 5" xfId="8596"/>
    <cellStyle name="Normal 6 3 5 3 5 2" xfId="23640"/>
    <cellStyle name="Normal 6 3 5 3 5 3" xfId="38683"/>
    <cellStyle name="Normal 6 3 5 3 6" xfId="16119"/>
    <cellStyle name="Normal 6 3 5 3 7" xfId="31162"/>
    <cellStyle name="Normal 6 3 5 4" xfId="1501"/>
    <cellStyle name="Normal 6 3 5 4 2" xfId="3372"/>
    <cellStyle name="Normal 6 3 5 4 2 2" xfId="7167"/>
    <cellStyle name="Normal 6 3 5 4 2 2 2" xfId="14690"/>
    <cellStyle name="Normal 6 3 5 4 2 2 2 2" xfId="29734"/>
    <cellStyle name="Normal 6 3 5 4 2 2 2 3" xfId="44777"/>
    <cellStyle name="Normal 6 3 5 4 2 2 3" xfId="22213"/>
    <cellStyle name="Normal 6 3 5 4 2 2 4" xfId="37256"/>
    <cellStyle name="Normal 6 3 5 4 2 3" xfId="10941"/>
    <cellStyle name="Normal 6 3 5 4 2 3 2" xfId="25985"/>
    <cellStyle name="Normal 6 3 5 4 2 3 3" xfId="41028"/>
    <cellStyle name="Normal 6 3 5 4 2 4" xfId="18464"/>
    <cellStyle name="Normal 6 3 5 4 2 5" xfId="33507"/>
    <cellStyle name="Normal 6 3 5 4 3" xfId="5302"/>
    <cellStyle name="Normal 6 3 5 4 3 2" xfId="12825"/>
    <cellStyle name="Normal 6 3 5 4 3 2 2" xfId="27869"/>
    <cellStyle name="Normal 6 3 5 4 3 2 3" xfId="42912"/>
    <cellStyle name="Normal 6 3 5 4 3 3" xfId="20348"/>
    <cellStyle name="Normal 6 3 5 4 3 4" xfId="35391"/>
    <cellStyle name="Normal 6 3 5 4 4" xfId="9076"/>
    <cellStyle name="Normal 6 3 5 4 4 2" xfId="24120"/>
    <cellStyle name="Normal 6 3 5 4 4 3" xfId="39163"/>
    <cellStyle name="Normal 6 3 5 4 5" xfId="16599"/>
    <cellStyle name="Normal 6 3 5 4 6" xfId="31642"/>
    <cellStyle name="Normal 6 3 5 5" xfId="2439"/>
    <cellStyle name="Normal 6 3 5 5 2" xfId="6235"/>
    <cellStyle name="Normal 6 3 5 5 2 2" xfId="13758"/>
    <cellStyle name="Normal 6 3 5 5 2 2 2" xfId="28802"/>
    <cellStyle name="Normal 6 3 5 5 2 2 3" xfId="43845"/>
    <cellStyle name="Normal 6 3 5 5 2 3" xfId="21281"/>
    <cellStyle name="Normal 6 3 5 5 2 4" xfId="36324"/>
    <cellStyle name="Normal 6 3 5 5 3" xfId="10009"/>
    <cellStyle name="Normal 6 3 5 5 3 2" xfId="25053"/>
    <cellStyle name="Normal 6 3 5 5 3 3" xfId="40096"/>
    <cellStyle name="Normal 6 3 5 5 4" xfId="17532"/>
    <cellStyle name="Normal 6 3 5 5 5" xfId="32575"/>
    <cellStyle name="Normal 6 3 5 6" xfId="4367"/>
    <cellStyle name="Normal 6 3 5 6 2" xfId="11891"/>
    <cellStyle name="Normal 6 3 5 6 2 2" xfId="26935"/>
    <cellStyle name="Normal 6 3 5 6 2 3" xfId="41978"/>
    <cellStyle name="Normal 6 3 5 6 3" xfId="19414"/>
    <cellStyle name="Normal 6 3 5 6 4" xfId="34457"/>
    <cellStyle name="Normal 6 3 5 7" xfId="8130"/>
    <cellStyle name="Normal 6 3 5 7 2" xfId="23174"/>
    <cellStyle name="Normal 6 3 5 7 3" xfId="38217"/>
    <cellStyle name="Normal 6 3 5 8" xfId="15653"/>
    <cellStyle name="Normal 6 3 5 9" xfId="30696"/>
    <cellStyle name="Normal 6 3 6" xfId="477"/>
    <cellStyle name="Normal 6 3 6 2" xfId="996"/>
    <cellStyle name="Normal 6 3 6 2 2" xfId="1955"/>
    <cellStyle name="Normal 6 3 6 2 2 2" xfId="3826"/>
    <cellStyle name="Normal 6 3 6 2 2 2 2" xfId="7621"/>
    <cellStyle name="Normal 6 3 6 2 2 2 2 2" xfId="15144"/>
    <cellStyle name="Normal 6 3 6 2 2 2 2 2 2" xfId="30188"/>
    <cellStyle name="Normal 6 3 6 2 2 2 2 2 3" xfId="45231"/>
    <cellStyle name="Normal 6 3 6 2 2 2 2 3" xfId="22667"/>
    <cellStyle name="Normal 6 3 6 2 2 2 2 4" xfId="37710"/>
    <cellStyle name="Normal 6 3 6 2 2 2 3" xfId="11395"/>
    <cellStyle name="Normal 6 3 6 2 2 2 3 2" xfId="26439"/>
    <cellStyle name="Normal 6 3 6 2 2 2 3 3" xfId="41482"/>
    <cellStyle name="Normal 6 3 6 2 2 2 4" xfId="18918"/>
    <cellStyle name="Normal 6 3 6 2 2 2 5" xfId="33961"/>
    <cellStyle name="Normal 6 3 6 2 2 3" xfId="5756"/>
    <cellStyle name="Normal 6 3 6 2 2 3 2" xfId="13279"/>
    <cellStyle name="Normal 6 3 6 2 2 3 2 2" xfId="28323"/>
    <cellStyle name="Normal 6 3 6 2 2 3 2 3" xfId="43366"/>
    <cellStyle name="Normal 6 3 6 2 2 3 3" xfId="20802"/>
    <cellStyle name="Normal 6 3 6 2 2 3 4" xfId="35845"/>
    <cellStyle name="Normal 6 3 6 2 2 4" xfId="9530"/>
    <cellStyle name="Normal 6 3 6 2 2 4 2" xfId="24574"/>
    <cellStyle name="Normal 6 3 6 2 2 4 3" xfId="39617"/>
    <cellStyle name="Normal 6 3 6 2 2 5" xfId="17053"/>
    <cellStyle name="Normal 6 3 6 2 2 6" xfId="32096"/>
    <cellStyle name="Normal 6 3 6 2 3" xfId="2894"/>
    <cellStyle name="Normal 6 3 6 2 3 2" xfId="6689"/>
    <cellStyle name="Normal 6 3 6 2 3 2 2" xfId="14212"/>
    <cellStyle name="Normal 6 3 6 2 3 2 2 2" xfId="29256"/>
    <cellStyle name="Normal 6 3 6 2 3 2 2 3" xfId="44299"/>
    <cellStyle name="Normal 6 3 6 2 3 2 3" xfId="21735"/>
    <cellStyle name="Normal 6 3 6 2 3 2 4" xfId="36778"/>
    <cellStyle name="Normal 6 3 6 2 3 3" xfId="10463"/>
    <cellStyle name="Normal 6 3 6 2 3 3 2" xfId="25507"/>
    <cellStyle name="Normal 6 3 6 2 3 3 3" xfId="40550"/>
    <cellStyle name="Normal 6 3 6 2 3 4" xfId="17986"/>
    <cellStyle name="Normal 6 3 6 2 3 5" xfId="33029"/>
    <cellStyle name="Normal 6 3 6 2 4" xfId="4824"/>
    <cellStyle name="Normal 6 3 6 2 4 2" xfId="12347"/>
    <cellStyle name="Normal 6 3 6 2 4 2 2" xfId="27391"/>
    <cellStyle name="Normal 6 3 6 2 4 2 3" xfId="42434"/>
    <cellStyle name="Normal 6 3 6 2 4 3" xfId="19870"/>
    <cellStyle name="Normal 6 3 6 2 4 4" xfId="34913"/>
    <cellStyle name="Normal 6 3 6 2 5" xfId="8598"/>
    <cellStyle name="Normal 6 3 6 2 5 2" xfId="23642"/>
    <cellStyle name="Normal 6 3 6 2 5 3" xfId="38685"/>
    <cellStyle name="Normal 6 3 6 2 6" xfId="16121"/>
    <cellStyle name="Normal 6 3 6 2 7" xfId="31164"/>
    <cellStyle name="Normal 6 3 6 3" xfId="1503"/>
    <cellStyle name="Normal 6 3 6 3 2" xfId="3374"/>
    <cellStyle name="Normal 6 3 6 3 2 2" xfId="7169"/>
    <cellStyle name="Normal 6 3 6 3 2 2 2" xfId="14692"/>
    <cellStyle name="Normal 6 3 6 3 2 2 2 2" xfId="29736"/>
    <cellStyle name="Normal 6 3 6 3 2 2 2 3" xfId="44779"/>
    <cellStyle name="Normal 6 3 6 3 2 2 3" xfId="22215"/>
    <cellStyle name="Normal 6 3 6 3 2 2 4" xfId="37258"/>
    <cellStyle name="Normal 6 3 6 3 2 3" xfId="10943"/>
    <cellStyle name="Normal 6 3 6 3 2 3 2" xfId="25987"/>
    <cellStyle name="Normal 6 3 6 3 2 3 3" xfId="41030"/>
    <cellStyle name="Normal 6 3 6 3 2 4" xfId="18466"/>
    <cellStyle name="Normal 6 3 6 3 2 5" xfId="33509"/>
    <cellStyle name="Normal 6 3 6 3 3" xfId="5304"/>
    <cellStyle name="Normal 6 3 6 3 3 2" xfId="12827"/>
    <cellStyle name="Normal 6 3 6 3 3 2 2" xfId="27871"/>
    <cellStyle name="Normal 6 3 6 3 3 2 3" xfId="42914"/>
    <cellStyle name="Normal 6 3 6 3 3 3" xfId="20350"/>
    <cellStyle name="Normal 6 3 6 3 3 4" xfId="35393"/>
    <cellStyle name="Normal 6 3 6 3 4" xfId="9078"/>
    <cellStyle name="Normal 6 3 6 3 4 2" xfId="24122"/>
    <cellStyle name="Normal 6 3 6 3 4 3" xfId="39165"/>
    <cellStyle name="Normal 6 3 6 3 5" xfId="16601"/>
    <cellStyle name="Normal 6 3 6 3 6" xfId="31644"/>
    <cellStyle name="Normal 6 3 6 4" xfId="2441"/>
    <cellStyle name="Normal 6 3 6 4 2" xfId="6237"/>
    <cellStyle name="Normal 6 3 6 4 2 2" xfId="13760"/>
    <cellStyle name="Normal 6 3 6 4 2 2 2" xfId="28804"/>
    <cellStyle name="Normal 6 3 6 4 2 2 3" xfId="43847"/>
    <cellStyle name="Normal 6 3 6 4 2 3" xfId="21283"/>
    <cellStyle name="Normal 6 3 6 4 2 4" xfId="36326"/>
    <cellStyle name="Normal 6 3 6 4 3" xfId="10011"/>
    <cellStyle name="Normal 6 3 6 4 3 2" xfId="25055"/>
    <cellStyle name="Normal 6 3 6 4 3 3" xfId="40098"/>
    <cellStyle name="Normal 6 3 6 4 4" xfId="17534"/>
    <cellStyle name="Normal 6 3 6 4 5" xfId="32577"/>
    <cellStyle name="Normal 6 3 6 5" xfId="4369"/>
    <cellStyle name="Normal 6 3 6 5 2" xfId="11893"/>
    <cellStyle name="Normal 6 3 6 5 2 2" xfId="26937"/>
    <cellStyle name="Normal 6 3 6 5 2 3" xfId="41980"/>
    <cellStyle name="Normal 6 3 6 5 3" xfId="19416"/>
    <cellStyle name="Normal 6 3 6 5 4" xfId="34459"/>
    <cellStyle name="Normal 6 3 6 6" xfId="8132"/>
    <cellStyle name="Normal 6 3 6 6 2" xfId="23176"/>
    <cellStyle name="Normal 6 3 6 6 3" xfId="38219"/>
    <cellStyle name="Normal 6 3 6 7" xfId="15655"/>
    <cellStyle name="Normal 6 3 6 8" xfId="30698"/>
    <cellStyle name="Normal 6 3 7" xfId="975"/>
    <cellStyle name="Normal 6 3 7 2" xfId="1934"/>
    <cellStyle name="Normal 6 3 7 2 2" xfId="3805"/>
    <cellStyle name="Normal 6 3 7 2 2 2" xfId="7600"/>
    <cellStyle name="Normal 6 3 7 2 2 2 2" xfId="15123"/>
    <cellStyle name="Normal 6 3 7 2 2 2 2 2" xfId="30167"/>
    <cellStyle name="Normal 6 3 7 2 2 2 2 3" xfId="45210"/>
    <cellStyle name="Normal 6 3 7 2 2 2 3" xfId="22646"/>
    <cellStyle name="Normal 6 3 7 2 2 2 4" xfId="37689"/>
    <cellStyle name="Normal 6 3 7 2 2 3" xfId="11374"/>
    <cellStyle name="Normal 6 3 7 2 2 3 2" xfId="26418"/>
    <cellStyle name="Normal 6 3 7 2 2 3 3" xfId="41461"/>
    <cellStyle name="Normal 6 3 7 2 2 4" xfId="18897"/>
    <cellStyle name="Normal 6 3 7 2 2 5" xfId="33940"/>
    <cellStyle name="Normal 6 3 7 2 3" xfId="5735"/>
    <cellStyle name="Normal 6 3 7 2 3 2" xfId="13258"/>
    <cellStyle name="Normal 6 3 7 2 3 2 2" xfId="28302"/>
    <cellStyle name="Normal 6 3 7 2 3 2 3" xfId="43345"/>
    <cellStyle name="Normal 6 3 7 2 3 3" xfId="20781"/>
    <cellStyle name="Normal 6 3 7 2 3 4" xfId="35824"/>
    <cellStyle name="Normal 6 3 7 2 4" xfId="9509"/>
    <cellStyle name="Normal 6 3 7 2 4 2" xfId="24553"/>
    <cellStyle name="Normal 6 3 7 2 4 3" xfId="39596"/>
    <cellStyle name="Normal 6 3 7 2 5" xfId="17032"/>
    <cellStyle name="Normal 6 3 7 2 6" xfId="32075"/>
    <cellStyle name="Normal 6 3 7 3" xfId="2873"/>
    <cellStyle name="Normal 6 3 7 3 2" xfId="6668"/>
    <cellStyle name="Normal 6 3 7 3 2 2" xfId="14191"/>
    <cellStyle name="Normal 6 3 7 3 2 2 2" xfId="29235"/>
    <cellStyle name="Normal 6 3 7 3 2 2 3" xfId="44278"/>
    <cellStyle name="Normal 6 3 7 3 2 3" xfId="21714"/>
    <cellStyle name="Normal 6 3 7 3 2 4" xfId="36757"/>
    <cellStyle name="Normal 6 3 7 3 3" xfId="10442"/>
    <cellStyle name="Normal 6 3 7 3 3 2" xfId="25486"/>
    <cellStyle name="Normal 6 3 7 3 3 3" xfId="40529"/>
    <cellStyle name="Normal 6 3 7 3 4" xfId="17965"/>
    <cellStyle name="Normal 6 3 7 3 5" xfId="33008"/>
    <cellStyle name="Normal 6 3 7 4" xfId="4803"/>
    <cellStyle name="Normal 6 3 7 4 2" xfId="12326"/>
    <cellStyle name="Normal 6 3 7 4 2 2" xfId="27370"/>
    <cellStyle name="Normal 6 3 7 4 2 3" xfId="42413"/>
    <cellStyle name="Normal 6 3 7 4 3" xfId="19849"/>
    <cellStyle name="Normal 6 3 7 4 4" xfId="34892"/>
    <cellStyle name="Normal 6 3 7 5" xfId="8577"/>
    <cellStyle name="Normal 6 3 7 5 2" xfId="23621"/>
    <cellStyle name="Normal 6 3 7 5 3" xfId="38664"/>
    <cellStyle name="Normal 6 3 7 6" xfId="16100"/>
    <cellStyle name="Normal 6 3 7 7" xfId="31143"/>
    <cellStyle name="Normal 6 3 8" xfId="1482"/>
    <cellStyle name="Normal 6 3 8 2" xfId="3353"/>
    <cellStyle name="Normal 6 3 8 2 2" xfId="7148"/>
    <cellStyle name="Normal 6 3 8 2 2 2" xfId="14671"/>
    <cellStyle name="Normal 6 3 8 2 2 2 2" xfId="29715"/>
    <cellStyle name="Normal 6 3 8 2 2 2 3" xfId="44758"/>
    <cellStyle name="Normal 6 3 8 2 2 3" xfId="22194"/>
    <cellStyle name="Normal 6 3 8 2 2 4" xfId="37237"/>
    <cellStyle name="Normal 6 3 8 2 3" xfId="10922"/>
    <cellStyle name="Normal 6 3 8 2 3 2" xfId="25966"/>
    <cellStyle name="Normal 6 3 8 2 3 3" xfId="41009"/>
    <cellStyle name="Normal 6 3 8 2 4" xfId="18445"/>
    <cellStyle name="Normal 6 3 8 2 5" xfId="33488"/>
    <cellStyle name="Normal 6 3 8 3" xfId="5283"/>
    <cellStyle name="Normal 6 3 8 3 2" xfId="12806"/>
    <cellStyle name="Normal 6 3 8 3 2 2" xfId="27850"/>
    <cellStyle name="Normal 6 3 8 3 2 3" xfId="42893"/>
    <cellStyle name="Normal 6 3 8 3 3" xfId="20329"/>
    <cellStyle name="Normal 6 3 8 3 4" xfId="35372"/>
    <cellStyle name="Normal 6 3 8 4" xfId="9057"/>
    <cellStyle name="Normal 6 3 8 4 2" xfId="24101"/>
    <cellStyle name="Normal 6 3 8 4 3" xfId="39144"/>
    <cellStyle name="Normal 6 3 8 5" xfId="16580"/>
    <cellStyle name="Normal 6 3 8 6" xfId="31623"/>
    <cellStyle name="Normal 6 3 9" xfId="2420"/>
    <cellStyle name="Normal 6 3 9 2" xfId="6216"/>
    <cellStyle name="Normal 6 3 9 2 2" xfId="13739"/>
    <cellStyle name="Normal 6 3 9 2 2 2" xfId="28783"/>
    <cellStyle name="Normal 6 3 9 2 2 3" xfId="43826"/>
    <cellStyle name="Normal 6 3 9 2 3" xfId="21262"/>
    <cellStyle name="Normal 6 3 9 2 4" xfId="36305"/>
    <cellStyle name="Normal 6 3 9 3" xfId="9990"/>
    <cellStyle name="Normal 6 3 9 3 2" xfId="25034"/>
    <cellStyle name="Normal 6 3 9 3 3" xfId="40077"/>
    <cellStyle name="Normal 6 3 9 4" xfId="17513"/>
    <cellStyle name="Normal 6 3 9 5" xfId="32556"/>
    <cellStyle name="Normal 6 4" xfId="478"/>
    <cellStyle name="Normal 6 4 10" xfId="8133"/>
    <cellStyle name="Normal 6 4 10 2" xfId="23177"/>
    <cellStyle name="Normal 6 4 10 3" xfId="38220"/>
    <cellStyle name="Normal 6 4 11" xfId="15656"/>
    <cellStyle name="Normal 6 4 12" xfId="30699"/>
    <cellStyle name="Normal 6 4 2" xfId="479"/>
    <cellStyle name="Normal 6 4 2 10" xfId="15657"/>
    <cellStyle name="Normal 6 4 2 11" xfId="30700"/>
    <cellStyle name="Normal 6 4 2 2" xfId="480"/>
    <cellStyle name="Normal 6 4 2 2 2" xfId="481"/>
    <cellStyle name="Normal 6 4 2 2 2 2" xfId="1000"/>
    <cellStyle name="Normal 6 4 2 2 2 2 2" xfId="1959"/>
    <cellStyle name="Normal 6 4 2 2 2 2 2 2" xfId="3830"/>
    <cellStyle name="Normal 6 4 2 2 2 2 2 2 2" xfId="7625"/>
    <cellStyle name="Normal 6 4 2 2 2 2 2 2 2 2" xfId="15148"/>
    <cellStyle name="Normal 6 4 2 2 2 2 2 2 2 2 2" xfId="30192"/>
    <cellStyle name="Normal 6 4 2 2 2 2 2 2 2 2 3" xfId="45235"/>
    <cellStyle name="Normal 6 4 2 2 2 2 2 2 2 3" xfId="22671"/>
    <cellStyle name="Normal 6 4 2 2 2 2 2 2 2 4" xfId="37714"/>
    <cellStyle name="Normal 6 4 2 2 2 2 2 2 3" xfId="11399"/>
    <cellStyle name="Normal 6 4 2 2 2 2 2 2 3 2" xfId="26443"/>
    <cellStyle name="Normal 6 4 2 2 2 2 2 2 3 3" xfId="41486"/>
    <cellStyle name="Normal 6 4 2 2 2 2 2 2 4" xfId="18922"/>
    <cellStyle name="Normal 6 4 2 2 2 2 2 2 5" xfId="33965"/>
    <cellStyle name="Normal 6 4 2 2 2 2 2 3" xfId="5760"/>
    <cellStyle name="Normal 6 4 2 2 2 2 2 3 2" xfId="13283"/>
    <cellStyle name="Normal 6 4 2 2 2 2 2 3 2 2" xfId="28327"/>
    <cellStyle name="Normal 6 4 2 2 2 2 2 3 2 3" xfId="43370"/>
    <cellStyle name="Normal 6 4 2 2 2 2 2 3 3" xfId="20806"/>
    <cellStyle name="Normal 6 4 2 2 2 2 2 3 4" xfId="35849"/>
    <cellStyle name="Normal 6 4 2 2 2 2 2 4" xfId="9534"/>
    <cellStyle name="Normal 6 4 2 2 2 2 2 4 2" xfId="24578"/>
    <cellStyle name="Normal 6 4 2 2 2 2 2 4 3" xfId="39621"/>
    <cellStyle name="Normal 6 4 2 2 2 2 2 5" xfId="17057"/>
    <cellStyle name="Normal 6 4 2 2 2 2 2 6" xfId="32100"/>
    <cellStyle name="Normal 6 4 2 2 2 2 3" xfId="2898"/>
    <cellStyle name="Normal 6 4 2 2 2 2 3 2" xfId="6693"/>
    <cellStyle name="Normal 6 4 2 2 2 2 3 2 2" xfId="14216"/>
    <cellStyle name="Normal 6 4 2 2 2 2 3 2 2 2" xfId="29260"/>
    <cellStyle name="Normal 6 4 2 2 2 2 3 2 2 3" xfId="44303"/>
    <cellStyle name="Normal 6 4 2 2 2 2 3 2 3" xfId="21739"/>
    <cellStyle name="Normal 6 4 2 2 2 2 3 2 4" xfId="36782"/>
    <cellStyle name="Normal 6 4 2 2 2 2 3 3" xfId="10467"/>
    <cellStyle name="Normal 6 4 2 2 2 2 3 3 2" xfId="25511"/>
    <cellStyle name="Normal 6 4 2 2 2 2 3 3 3" xfId="40554"/>
    <cellStyle name="Normal 6 4 2 2 2 2 3 4" xfId="17990"/>
    <cellStyle name="Normal 6 4 2 2 2 2 3 5" xfId="33033"/>
    <cellStyle name="Normal 6 4 2 2 2 2 4" xfId="4828"/>
    <cellStyle name="Normal 6 4 2 2 2 2 4 2" xfId="12351"/>
    <cellStyle name="Normal 6 4 2 2 2 2 4 2 2" xfId="27395"/>
    <cellStyle name="Normal 6 4 2 2 2 2 4 2 3" xfId="42438"/>
    <cellStyle name="Normal 6 4 2 2 2 2 4 3" xfId="19874"/>
    <cellStyle name="Normal 6 4 2 2 2 2 4 4" xfId="34917"/>
    <cellStyle name="Normal 6 4 2 2 2 2 5" xfId="8602"/>
    <cellStyle name="Normal 6 4 2 2 2 2 5 2" xfId="23646"/>
    <cellStyle name="Normal 6 4 2 2 2 2 5 3" xfId="38689"/>
    <cellStyle name="Normal 6 4 2 2 2 2 6" xfId="16125"/>
    <cellStyle name="Normal 6 4 2 2 2 2 7" xfId="31168"/>
    <cellStyle name="Normal 6 4 2 2 2 3" xfId="1507"/>
    <cellStyle name="Normal 6 4 2 2 2 3 2" xfId="3378"/>
    <cellStyle name="Normal 6 4 2 2 2 3 2 2" xfId="7173"/>
    <cellStyle name="Normal 6 4 2 2 2 3 2 2 2" xfId="14696"/>
    <cellStyle name="Normal 6 4 2 2 2 3 2 2 2 2" xfId="29740"/>
    <cellStyle name="Normal 6 4 2 2 2 3 2 2 2 3" xfId="44783"/>
    <cellStyle name="Normal 6 4 2 2 2 3 2 2 3" xfId="22219"/>
    <cellStyle name="Normal 6 4 2 2 2 3 2 2 4" xfId="37262"/>
    <cellStyle name="Normal 6 4 2 2 2 3 2 3" xfId="10947"/>
    <cellStyle name="Normal 6 4 2 2 2 3 2 3 2" xfId="25991"/>
    <cellStyle name="Normal 6 4 2 2 2 3 2 3 3" xfId="41034"/>
    <cellStyle name="Normal 6 4 2 2 2 3 2 4" xfId="18470"/>
    <cellStyle name="Normal 6 4 2 2 2 3 2 5" xfId="33513"/>
    <cellStyle name="Normal 6 4 2 2 2 3 3" xfId="5308"/>
    <cellStyle name="Normal 6 4 2 2 2 3 3 2" xfId="12831"/>
    <cellStyle name="Normal 6 4 2 2 2 3 3 2 2" xfId="27875"/>
    <cellStyle name="Normal 6 4 2 2 2 3 3 2 3" xfId="42918"/>
    <cellStyle name="Normal 6 4 2 2 2 3 3 3" xfId="20354"/>
    <cellStyle name="Normal 6 4 2 2 2 3 3 4" xfId="35397"/>
    <cellStyle name="Normal 6 4 2 2 2 3 4" xfId="9082"/>
    <cellStyle name="Normal 6 4 2 2 2 3 4 2" xfId="24126"/>
    <cellStyle name="Normal 6 4 2 2 2 3 4 3" xfId="39169"/>
    <cellStyle name="Normal 6 4 2 2 2 3 5" xfId="16605"/>
    <cellStyle name="Normal 6 4 2 2 2 3 6" xfId="31648"/>
    <cellStyle name="Normal 6 4 2 2 2 4" xfId="2445"/>
    <cellStyle name="Normal 6 4 2 2 2 4 2" xfId="6241"/>
    <cellStyle name="Normal 6 4 2 2 2 4 2 2" xfId="13764"/>
    <cellStyle name="Normal 6 4 2 2 2 4 2 2 2" xfId="28808"/>
    <cellStyle name="Normal 6 4 2 2 2 4 2 2 3" xfId="43851"/>
    <cellStyle name="Normal 6 4 2 2 2 4 2 3" xfId="21287"/>
    <cellStyle name="Normal 6 4 2 2 2 4 2 4" xfId="36330"/>
    <cellStyle name="Normal 6 4 2 2 2 4 3" xfId="10015"/>
    <cellStyle name="Normal 6 4 2 2 2 4 3 2" xfId="25059"/>
    <cellStyle name="Normal 6 4 2 2 2 4 3 3" xfId="40102"/>
    <cellStyle name="Normal 6 4 2 2 2 4 4" xfId="17538"/>
    <cellStyle name="Normal 6 4 2 2 2 4 5" xfId="32581"/>
    <cellStyle name="Normal 6 4 2 2 2 5" xfId="4373"/>
    <cellStyle name="Normal 6 4 2 2 2 5 2" xfId="11897"/>
    <cellStyle name="Normal 6 4 2 2 2 5 2 2" xfId="26941"/>
    <cellStyle name="Normal 6 4 2 2 2 5 2 3" xfId="41984"/>
    <cellStyle name="Normal 6 4 2 2 2 5 3" xfId="19420"/>
    <cellStyle name="Normal 6 4 2 2 2 5 4" xfId="34463"/>
    <cellStyle name="Normal 6 4 2 2 2 6" xfId="8136"/>
    <cellStyle name="Normal 6 4 2 2 2 6 2" xfId="23180"/>
    <cellStyle name="Normal 6 4 2 2 2 6 3" xfId="38223"/>
    <cellStyle name="Normal 6 4 2 2 2 7" xfId="15659"/>
    <cellStyle name="Normal 6 4 2 2 2 8" xfId="30702"/>
    <cellStyle name="Normal 6 4 2 2 3" xfId="999"/>
    <cellStyle name="Normal 6 4 2 2 3 2" xfId="1958"/>
    <cellStyle name="Normal 6 4 2 2 3 2 2" xfId="3829"/>
    <cellStyle name="Normal 6 4 2 2 3 2 2 2" xfId="7624"/>
    <cellStyle name="Normal 6 4 2 2 3 2 2 2 2" xfId="15147"/>
    <cellStyle name="Normal 6 4 2 2 3 2 2 2 2 2" xfId="30191"/>
    <cellStyle name="Normal 6 4 2 2 3 2 2 2 2 3" xfId="45234"/>
    <cellStyle name="Normal 6 4 2 2 3 2 2 2 3" xfId="22670"/>
    <cellStyle name="Normal 6 4 2 2 3 2 2 2 4" xfId="37713"/>
    <cellStyle name="Normal 6 4 2 2 3 2 2 3" xfId="11398"/>
    <cellStyle name="Normal 6 4 2 2 3 2 2 3 2" xfId="26442"/>
    <cellStyle name="Normal 6 4 2 2 3 2 2 3 3" xfId="41485"/>
    <cellStyle name="Normal 6 4 2 2 3 2 2 4" xfId="18921"/>
    <cellStyle name="Normal 6 4 2 2 3 2 2 5" xfId="33964"/>
    <cellStyle name="Normal 6 4 2 2 3 2 3" xfId="5759"/>
    <cellStyle name="Normal 6 4 2 2 3 2 3 2" xfId="13282"/>
    <cellStyle name="Normal 6 4 2 2 3 2 3 2 2" xfId="28326"/>
    <cellStyle name="Normal 6 4 2 2 3 2 3 2 3" xfId="43369"/>
    <cellStyle name="Normal 6 4 2 2 3 2 3 3" xfId="20805"/>
    <cellStyle name="Normal 6 4 2 2 3 2 3 4" xfId="35848"/>
    <cellStyle name="Normal 6 4 2 2 3 2 4" xfId="9533"/>
    <cellStyle name="Normal 6 4 2 2 3 2 4 2" xfId="24577"/>
    <cellStyle name="Normal 6 4 2 2 3 2 4 3" xfId="39620"/>
    <cellStyle name="Normal 6 4 2 2 3 2 5" xfId="17056"/>
    <cellStyle name="Normal 6 4 2 2 3 2 6" xfId="32099"/>
    <cellStyle name="Normal 6 4 2 2 3 3" xfId="2897"/>
    <cellStyle name="Normal 6 4 2 2 3 3 2" xfId="6692"/>
    <cellStyle name="Normal 6 4 2 2 3 3 2 2" xfId="14215"/>
    <cellStyle name="Normal 6 4 2 2 3 3 2 2 2" xfId="29259"/>
    <cellStyle name="Normal 6 4 2 2 3 3 2 2 3" xfId="44302"/>
    <cellStyle name="Normal 6 4 2 2 3 3 2 3" xfId="21738"/>
    <cellStyle name="Normal 6 4 2 2 3 3 2 4" xfId="36781"/>
    <cellStyle name="Normal 6 4 2 2 3 3 3" xfId="10466"/>
    <cellStyle name="Normal 6 4 2 2 3 3 3 2" xfId="25510"/>
    <cellStyle name="Normal 6 4 2 2 3 3 3 3" xfId="40553"/>
    <cellStyle name="Normal 6 4 2 2 3 3 4" xfId="17989"/>
    <cellStyle name="Normal 6 4 2 2 3 3 5" xfId="33032"/>
    <cellStyle name="Normal 6 4 2 2 3 4" xfId="4827"/>
    <cellStyle name="Normal 6 4 2 2 3 4 2" xfId="12350"/>
    <cellStyle name="Normal 6 4 2 2 3 4 2 2" xfId="27394"/>
    <cellStyle name="Normal 6 4 2 2 3 4 2 3" xfId="42437"/>
    <cellStyle name="Normal 6 4 2 2 3 4 3" xfId="19873"/>
    <cellStyle name="Normal 6 4 2 2 3 4 4" xfId="34916"/>
    <cellStyle name="Normal 6 4 2 2 3 5" xfId="8601"/>
    <cellStyle name="Normal 6 4 2 2 3 5 2" xfId="23645"/>
    <cellStyle name="Normal 6 4 2 2 3 5 3" xfId="38688"/>
    <cellStyle name="Normal 6 4 2 2 3 6" xfId="16124"/>
    <cellStyle name="Normal 6 4 2 2 3 7" xfId="31167"/>
    <cellStyle name="Normal 6 4 2 2 4" xfId="1506"/>
    <cellStyle name="Normal 6 4 2 2 4 2" xfId="3377"/>
    <cellStyle name="Normal 6 4 2 2 4 2 2" xfId="7172"/>
    <cellStyle name="Normal 6 4 2 2 4 2 2 2" xfId="14695"/>
    <cellStyle name="Normal 6 4 2 2 4 2 2 2 2" xfId="29739"/>
    <cellStyle name="Normal 6 4 2 2 4 2 2 2 3" xfId="44782"/>
    <cellStyle name="Normal 6 4 2 2 4 2 2 3" xfId="22218"/>
    <cellStyle name="Normal 6 4 2 2 4 2 2 4" xfId="37261"/>
    <cellStyle name="Normal 6 4 2 2 4 2 3" xfId="10946"/>
    <cellStyle name="Normal 6 4 2 2 4 2 3 2" xfId="25990"/>
    <cellStyle name="Normal 6 4 2 2 4 2 3 3" xfId="41033"/>
    <cellStyle name="Normal 6 4 2 2 4 2 4" xfId="18469"/>
    <cellStyle name="Normal 6 4 2 2 4 2 5" xfId="33512"/>
    <cellStyle name="Normal 6 4 2 2 4 3" xfId="5307"/>
    <cellStyle name="Normal 6 4 2 2 4 3 2" xfId="12830"/>
    <cellStyle name="Normal 6 4 2 2 4 3 2 2" xfId="27874"/>
    <cellStyle name="Normal 6 4 2 2 4 3 2 3" xfId="42917"/>
    <cellStyle name="Normal 6 4 2 2 4 3 3" xfId="20353"/>
    <cellStyle name="Normal 6 4 2 2 4 3 4" xfId="35396"/>
    <cellStyle name="Normal 6 4 2 2 4 4" xfId="9081"/>
    <cellStyle name="Normal 6 4 2 2 4 4 2" xfId="24125"/>
    <cellStyle name="Normal 6 4 2 2 4 4 3" xfId="39168"/>
    <cellStyle name="Normal 6 4 2 2 4 5" xfId="16604"/>
    <cellStyle name="Normal 6 4 2 2 4 6" xfId="31647"/>
    <cellStyle name="Normal 6 4 2 2 5" xfId="2444"/>
    <cellStyle name="Normal 6 4 2 2 5 2" xfId="6240"/>
    <cellStyle name="Normal 6 4 2 2 5 2 2" xfId="13763"/>
    <cellStyle name="Normal 6 4 2 2 5 2 2 2" xfId="28807"/>
    <cellStyle name="Normal 6 4 2 2 5 2 2 3" xfId="43850"/>
    <cellStyle name="Normal 6 4 2 2 5 2 3" xfId="21286"/>
    <cellStyle name="Normal 6 4 2 2 5 2 4" xfId="36329"/>
    <cellStyle name="Normal 6 4 2 2 5 3" xfId="10014"/>
    <cellStyle name="Normal 6 4 2 2 5 3 2" xfId="25058"/>
    <cellStyle name="Normal 6 4 2 2 5 3 3" xfId="40101"/>
    <cellStyle name="Normal 6 4 2 2 5 4" xfId="17537"/>
    <cellStyle name="Normal 6 4 2 2 5 5" xfId="32580"/>
    <cellStyle name="Normal 6 4 2 2 6" xfId="4372"/>
    <cellStyle name="Normal 6 4 2 2 6 2" xfId="11896"/>
    <cellStyle name="Normal 6 4 2 2 6 2 2" xfId="26940"/>
    <cellStyle name="Normal 6 4 2 2 6 2 3" xfId="41983"/>
    <cellStyle name="Normal 6 4 2 2 6 3" xfId="19419"/>
    <cellStyle name="Normal 6 4 2 2 6 4" xfId="34462"/>
    <cellStyle name="Normal 6 4 2 2 7" xfId="8135"/>
    <cellStyle name="Normal 6 4 2 2 7 2" xfId="23179"/>
    <cellStyle name="Normal 6 4 2 2 7 3" xfId="38222"/>
    <cellStyle name="Normal 6 4 2 2 8" xfId="15658"/>
    <cellStyle name="Normal 6 4 2 2 9" xfId="30701"/>
    <cellStyle name="Normal 6 4 2 3" xfId="482"/>
    <cellStyle name="Normal 6 4 2 3 2" xfId="483"/>
    <cellStyle name="Normal 6 4 2 3 2 2" xfId="1002"/>
    <cellStyle name="Normal 6 4 2 3 2 2 2" xfId="1961"/>
    <cellStyle name="Normal 6 4 2 3 2 2 2 2" xfId="3832"/>
    <cellStyle name="Normal 6 4 2 3 2 2 2 2 2" xfId="7627"/>
    <cellStyle name="Normal 6 4 2 3 2 2 2 2 2 2" xfId="15150"/>
    <cellStyle name="Normal 6 4 2 3 2 2 2 2 2 2 2" xfId="30194"/>
    <cellStyle name="Normal 6 4 2 3 2 2 2 2 2 2 3" xfId="45237"/>
    <cellStyle name="Normal 6 4 2 3 2 2 2 2 2 3" xfId="22673"/>
    <cellStyle name="Normal 6 4 2 3 2 2 2 2 2 4" xfId="37716"/>
    <cellStyle name="Normal 6 4 2 3 2 2 2 2 3" xfId="11401"/>
    <cellStyle name="Normal 6 4 2 3 2 2 2 2 3 2" xfId="26445"/>
    <cellStyle name="Normal 6 4 2 3 2 2 2 2 3 3" xfId="41488"/>
    <cellStyle name="Normal 6 4 2 3 2 2 2 2 4" xfId="18924"/>
    <cellStyle name="Normal 6 4 2 3 2 2 2 2 5" xfId="33967"/>
    <cellStyle name="Normal 6 4 2 3 2 2 2 3" xfId="5762"/>
    <cellStyle name="Normal 6 4 2 3 2 2 2 3 2" xfId="13285"/>
    <cellStyle name="Normal 6 4 2 3 2 2 2 3 2 2" xfId="28329"/>
    <cellStyle name="Normal 6 4 2 3 2 2 2 3 2 3" xfId="43372"/>
    <cellStyle name="Normal 6 4 2 3 2 2 2 3 3" xfId="20808"/>
    <cellStyle name="Normal 6 4 2 3 2 2 2 3 4" xfId="35851"/>
    <cellStyle name="Normal 6 4 2 3 2 2 2 4" xfId="9536"/>
    <cellStyle name="Normal 6 4 2 3 2 2 2 4 2" xfId="24580"/>
    <cellStyle name="Normal 6 4 2 3 2 2 2 4 3" xfId="39623"/>
    <cellStyle name="Normal 6 4 2 3 2 2 2 5" xfId="17059"/>
    <cellStyle name="Normal 6 4 2 3 2 2 2 6" xfId="32102"/>
    <cellStyle name="Normal 6 4 2 3 2 2 3" xfId="2900"/>
    <cellStyle name="Normal 6 4 2 3 2 2 3 2" xfId="6695"/>
    <cellStyle name="Normal 6 4 2 3 2 2 3 2 2" xfId="14218"/>
    <cellStyle name="Normal 6 4 2 3 2 2 3 2 2 2" xfId="29262"/>
    <cellStyle name="Normal 6 4 2 3 2 2 3 2 2 3" xfId="44305"/>
    <cellStyle name="Normal 6 4 2 3 2 2 3 2 3" xfId="21741"/>
    <cellStyle name="Normal 6 4 2 3 2 2 3 2 4" xfId="36784"/>
    <cellStyle name="Normal 6 4 2 3 2 2 3 3" xfId="10469"/>
    <cellStyle name="Normal 6 4 2 3 2 2 3 3 2" xfId="25513"/>
    <cellStyle name="Normal 6 4 2 3 2 2 3 3 3" xfId="40556"/>
    <cellStyle name="Normal 6 4 2 3 2 2 3 4" xfId="17992"/>
    <cellStyle name="Normal 6 4 2 3 2 2 3 5" xfId="33035"/>
    <cellStyle name="Normal 6 4 2 3 2 2 4" xfId="4830"/>
    <cellStyle name="Normal 6 4 2 3 2 2 4 2" xfId="12353"/>
    <cellStyle name="Normal 6 4 2 3 2 2 4 2 2" xfId="27397"/>
    <cellStyle name="Normal 6 4 2 3 2 2 4 2 3" xfId="42440"/>
    <cellStyle name="Normal 6 4 2 3 2 2 4 3" xfId="19876"/>
    <cellStyle name="Normal 6 4 2 3 2 2 4 4" xfId="34919"/>
    <cellStyle name="Normal 6 4 2 3 2 2 5" xfId="8604"/>
    <cellStyle name="Normal 6 4 2 3 2 2 5 2" xfId="23648"/>
    <cellStyle name="Normal 6 4 2 3 2 2 5 3" xfId="38691"/>
    <cellStyle name="Normal 6 4 2 3 2 2 6" xfId="16127"/>
    <cellStyle name="Normal 6 4 2 3 2 2 7" xfId="31170"/>
    <cellStyle name="Normal 6 4 2 3 2 3" xfId="1509"/>
    <cellStyle name="Normal 6 4 2 3 2 3 2" xfId="3380"/>
    <cellStyle name="Normal 6 4 2 3 2 3 2 2" xfId="7175"/>
    <cellStyle name="Normal 6 4 2 3 2 3 2 2 2" xfId="14698"/>
    <cellStyle name="Normal 6 4 2 3 2 3 2 2 2 2" xfId="29742"/>
    <cellStyle name="Normal 6 4 2 3 2 3 2 2 2 3" xfId="44785"/>
    <cellStyle name="Normal 6 4 2 3 2 3 2 2 3" xfId="22221"/>
    <cellStyle name="Normal 6 4 2 3 2 3 2 2 4" xfId="37264"/>
    <cellStyle name="Normal 6 4 2 3 2 3 2 3" xfId="10949"/>
    <cellStyle name="Normal 6 4 2 3 2 3 2 3 2" xfId="25993"/>
    <cellStyle name="Normal 6 4 2 3 2 3 2 3 3" xfId="41036"/>
    <cellStyle name="Normal 6 4 2 3 2 3 2 4" xfId="18472"/>
    <cellStyle name="Normal 6 4 2 3 2 3 2 5" xfId="33515"/>
    <cellStyle name="Normal 6 4 2 3 2 3 3" xfId="5310"/>
    <cellStyle name="Normal 6 4 2 3 2 3 3 2" xfId="12833"/>
    <cellStyle name="Normal 6 4 2 3 2 3 3 2 2" xfId="27877"/>
    <cellStyle name="Normal 6 4 2 3 2 3 3 2 3" xfId="42920"/>
    <cellStyle name="Normal 6 4 2 3 2 3 3 3" xfId="20356"/>
    <cellStyle name="Normal 6 4 2 3 2 3 3 4" xfId="35399"/>
    <cellStyle name="Normal 6 4 2 3 2 3 4" xfId="9084"/>
    <cellStyle name="Normal 6 4 2 3 2 3 4 2" xfId="24128"/>
    <cellStyle name="Normal 6 4 2 3 2 3 4 3" xfId="39171"/>
    <cellStyle name="Normal 6 4 2 3 2 3 5" xfId="16607"/>
    <cellStyle name="Normal 6 4 2 3 2 3 6" xfId="31650"/>
    <cellStyle name="Normal 6 4 2 3 2 4" xfId="2447"/>
    <cellStyle name="Normal 6 4 2 3 2 4 2" xfId="6243"/>
    <cellStyle name="Normal 6 4 2 3 2 4 2 2" xfId="13766"/>
    <cellStyle name="Normal 6 4 2 3 2 4 2 2 2" xfId="28810"/>
    <cellStyle name="Normal 6 4 2 3 2 4 2 2 3" xfId="43853"/>
    <cellStyle name="Normal 6 4 2 3 2 4 2 3" xfId="21289"/>
    <cellStyle name="Normal 6 4 2 3 2 4 2 4" xfId="36332"/>
    <cellStyle name="Normal 6 4 2 3 2 4 3" xfId="10017"/>
    <cellStyle name="Normal 6 4 2 3 2 4 3 2" xfId="25061"/>
    <cellStyle name="Normal 6 4 2 3 2 4 3 3" xfId="40104"/>
    <cellStyle name="Normal 6 4 2 3 2 4 4" xfId="17540"/>
    <cellStyle name="Normal 6 4 2 3 2 4 5" xfId="32583"/>
    <cellStyle name="Normal 6 4 2 3 2 5" xfId="4375"/>
    <cellStyle name="Normal 6 4 2 3 2 5 2" xfId="11899"/>
    <cellStyle name="Normal 6 4 2 3 2 5 2 2" xfId="26943"/>
    <cellStyle name="Normal 6 4 2 3 2 5 2 3" xfId="41986"/>
    <cellStyle name="Normal 6 4 2 3 2 5 3" xfId="19422"/>
    <cellStyle name="Normal 6 4 2 3 2 5 4" xfId="34465"/>
    <cellStyle name="Normal 6 4 2 3 2 6" xfId="8138"/>
    <cellStyle name="Normal 6 4 2 3 2 6 2" xfId="23182"/>
    <cellStyle name="Normal 6 4 2 3 2 6 3" xfId="38225"/>
    <cellStyle name="Normal 6 4 2 3 2 7" xfId="15661"/>
    <cellStyle name="Normal 6 4 2 3 2 8" xfId="30704"/>
    <cellStyle name="Normal 6 4 2 3 3" xfId="1001"/>
    <cellStyle name="Normal 6 4 2 3 3 2" xfId="1960"/>
    <cellStyle name="Normal 6 4 2 3 3 2 2" xfId="3831"/>
    <cellStyle name="Normal 6 4 2 3 3 2 2 2" xfId="7626"/>
    <cellStyle name="Normal 6 4 2 3 3 2 2 2 2" xfId="15149"/>
    <cellStyle name="Normal 6 4 2 3 3 2 2 2 2 2" xfId="30193"/>
    <cellStyle name="Normal 6 4 2 3 3 2 2 2 2 3" xfId="45236"/>
    <cellStyle name="Normal 6 4 2 3 3 2 2 2 3" xfId="22672"/>
    <cellStyle name="Normal 6 4 2 3 3 2 2 2 4" xfId="37715"/>
    <cellStyle name="Normal 6 4 2 3 3 2 2 3" xfId="11400"/>
    <cellStyle name="Normal 6 4 2 3 3 2 2 3 2" xfId="26444"/>
    <cellStyle name="Normal 6 4 2 3 3 2 2 3 3" xfId="41487"/>
    <cellStyle name="Normal 6 4 2 3 3 2 2 4" xfId="18923"/>
    <cellStyle name="Normal 6 4 2 3 3 2 2 5" xfId="33966"/>
    <cellStyle name="Normal 6 4 2 3 3 2 3" xfId="5761"/>
    <cellStyle name="Normal 6 4 2 3 3 2 3 2" xfId="13284"/>
    <cellStyle name="Normal 6 4 2 3 3 2 3 2 2" xfId="28328"/>
    <cellStyle name="Normal 6 4 2 3 3 2 3 2 3" xfId="43371"/>
    <cellStyle name="Normal 6 4 2 3 3 2 3 3" xfId="20807"/>
    <cellStyle name="Normal 6 4 2 3 3 2 3 4" xfId="35850"/>
    <cellStyle name="Normal 6 4 2 3 3 2 4" xfId="9535"/>
    <cellStyle name="Normal 6 4 2 3 3 2 4 2" xfId="24579"/>
    <cellStyle name="Normal 6 4 2 3 3 2 4 3" xfId="39622"/>
    <cellStyle name="Normal 6 4 2 3 3 2 5" xfId="17058"/>
    <cellStyle name="Normal 6 4 2 3 3 2 6" xfId="32101"/>
    <cellStyle name="Normal 6 4 2 3 3 3" xfId="2899"/>
    <cellStyle name="Normal 6 4 2 3 3 3 2" xfId="6694"/>
    <cellStyle name="Normal 6 4 2 3 3 3 2 2" xfId="14217"/>
    <cellStyle name="Normal 6 4 2 3 3 3 2 2 2" xfId="29261"/>
    <cellStyle name="Normal 6 4 2 3 3 3 2 2 3" xfId="44304"/>
    <cellStyle name="Normal 6 4 2 3 3 3 2 3" xfId="21740"/>
    <cellStyle name="Normal 6 4 2 3 3 3 2 4" xfId="36783"/>
    <cellStyle name="Normal 6 4 2 3 3 3 3" xfId="10468"/>
    <cellStyle name="Normal 6 4 2 3 3 3 3 2" xfId="25512"/>
    <cellStyle name="Normal 6 4 2 3 3 3 3 3" xfId="40555"/>
    <cellStyle name="Normal 6 4 2 3 3 3 4" xfId="17991"/>
    <cellStyle name="Normal 6 4 2 3 3 3 5" xfId="33034"/>
    <cellStyle name="Normal 6 4 2 3 3 4" xfId="4829"/>
    <cellStyle name="Normal 6 4 2 3 3 4 2" xfId="12352"/>
    <cellStyle name="Normal 6 4 2 3 3 4 2 2" xfId="27396"/>
    <cellStyle name="Normal 6 4 2 3 3 4 2 3" xfId="42439"/>
    <cellStyle name="Normal 6 4 2 3 3 4 3" xfId="19875"/>
    <cellStyle name="Normal 6 4 2 3 3 4 4" xfId="34918"/>
    <cellStyle name="Normal 6 4 2 3 3 5" xfId="8603"/>
    <cellStyle name="Normal 6 4 2 3 3 5 2" xfId="23647"/>
    <cellStyle name="Normal 6 4 2 3 3 5 3" xfId="38690"/>
    <cellStyle name="Normal 6 4 2 3 3 6" xfId="16126"/>
    <cellStyle name="Normal 6 4 2 3 3 7" xfId="31169"/>
    <cellStyle name="Normal 6 4 2 3 4" xfId="1508"/>
    <cellStyle name="Normal 6 4 2 3 4 2" xfId="3379"/>
    <cellStyle name="Normal 6 4 2 3 4 2 2" xfId="7174"/>
    <cellStyle name="Normal 6 4 2 3 4 2 2 2" xfId="14697"/>
    <cellStyle name="Normal 6 4 2 3 4 2 2 2 2" xfId="29741"/>
    <cellStyle name="Normal 6 4 2 3 4 2 2 2 3" xfId="44784"/>
    <cellStyle name="Normal 6 4 2 3 4 2 2 3" xfId="22220"/>
    <cellStyle name="Normal 6 4 2 3 4 2 2 4" xfId="37263"/>
    <cellStyle name="Normal 6 4 2 3 4 2 3" xfId="10948"/>
    <cellStyle name="Normal 6 4 2 3 4 2 3 2" xfId="25992"/>
    <cellStyle name="Normal 6 4 2 3 4 2 3 3" xfId="41035"/>
    <cellStyle name="Normal 6 4 2 3 4 2 4" xfId="18471"/>
    <cellStyle name="Normal 6 4 2 3 4 2 5" xfId="33514"/>
    <cellStyle name="Normal 6 4 2 3 4 3" xfId="5309"/>
    <cellStyle name="Normal 6 4 2 3 4 3 2" xfId="12832"/>
    <cellStyle name="Normal 6 4 2 3 4 3 2 2" xfId="27876"/>
    <cellStyle name="Normal 6 4 2 3 4 3 2 3" xfId="42919"/>
    <cellStyle name="Normal 6 4 2 3 4 3 3" xfId="20355"/>
    <cellStyle name="Normal 6 4 2 3 4 3 4" xfId="35398"/>
    <cellStyle name="Normal 6 4 2 3 4 4" xfId="9083"/>
    <cellStyle name="Normal 6 4 2 3 4 4 2" xfId="24127"/>
    <cellStyle name="Normal 6 4 2 3 4 4 3" xfId="39170"/>
    <cellStyle name="Normal 6 4 2 3 4 5" xfId="16606"/>
    <cellStyle name="Normal 6 4 2 3 4 6" xfId="31649"/>
    <cellStyle name="Normal 6 4 2 3 5" xfId="2446"/>
    <cellStyle name="Normal 6 4 2 3 5 2" xfId="6242"/>
    <cellStyle name="Normal 6 4 2 3 5 2 2" xfId="13765"/>
    <cellStyle name="Normal 6 4 2 3 5 2 2 2" xfId="28809"/>
    <cellStyle name="Normal 6 4 2 3 5 2 2 3" xfId="43852"/>
    <cellStyle name="Normal 6 4 2 3 5 2 3" xfId="21288"/>
    <cellStyle name="Normal 6 4 2 3 5 2 4" xfId="36331"/>
    <cellStyle name="Normal 6 4 2 3 5 3" xfId="10016"/>
    <cellStyle name="Normal 6 4 2 3 5 3 2" xfId="25060"/>
    <cellStyle name="Normal 6 4 2 3 5 3 3" xfId="40103"/>
    <cellStyle name="Normal 6 4 2 3 5 4" xfId="17539"/>
    <cellStyle name="Normal 6 4 2 3 5 5" xfId="32582"/>
    <cellStyle name="Normal 6 4 2 3 6" xfId="4374"/>
    <cellStyle name="Normal 6 4 2 3 6 2" xfId="11898"/>
    <cellStyle name="Normal 6 4 2 3 6 2 2" xfId="26942"/>
    <cellStyle name="Normal 6 4 2 3 6 2 3" xfId="41985"/>
    <cellStyle name="Normal 6 4 2 3 6 3" xfId="19421"/>
    <cellStyle name="Normal 6 4 2 3 6 4" xfId="34464"/>
    <cellStyle name="Normal 6 4 2 3 7" xfId="8137"/>
    <cellStyle name="Normal 6 4 2 3 7 2" xfId="23181"/>
    <cellStyle name="Normal 6 4 2 3 7 3" xfId="38224"/>
    <cellStyle name="Normal 6 4 2 3 8" xfId="15660"/>
    <cellStyle name="Normal 6 4 2 3 9" xfId="30703"/>
    <cellStyle name="Normal 6 4 2 4" xfId="484"/>
    <cellStyle name="Normal 6 4 2 4 2" xfId="1003"/>
    <cellStyle name="Normal 6 4 2 4 2 2" xfId="1962"/>
    <cellStyle name="Normal 6 4 2 4 2 2 2" xfId="3833"/>
    <cellStyle name="Normal 6 4 2 4 2 2 2 2" xfId="7628"/>
    <cellStyle name="Normal 6 4 2 4 2 2 2 2 2" xfId="15151"/>
    <cellStyle name="Normal 6 4 2 4 2 2 2 2 2 2" xfId="30195"/>
    <cellStyle name="Normal 6 4 2 4 2 2 2 2 2 3" xfId="45238"/>
    <cellStyle name="Normal 6 4 2 4 2 2 2 2 3" xfId="22674"/>
    <cellStyle name="Normal 6 4 2 4 2 2 2 2 4" xfId="37717"/>
    <cellStyle name="Normal 6 4 2 4 2 2 2 3" xfId="11402"/>
    <cellStyle name="Normal 6 4 2 4 2 2 2 3 2" xfId="26446"/>
    <cellStyle name="Normal 6 4 2 4 2 2 2 3 3" xfId="41489"/>
    <cellStyle name="Normal 6 4 2 4 2 2 2 4" xfId="18925"/>
    <cellStyle name="Normal 6 4 2 4 2 2 2 5" xfId="33968"/>
    <cellStyle name="Normal 6 4 2 4 2 2 3" xfId="5763"/>
    <cellStyle name="Normal 6 4 2 4 2 2 3 2" xfId="13286"/>
    <cellStyle name="Normal 6 4 2 4 2 2 3 2 2" xfId="28330"/>
    <cellStyle name="Normal 6 4 2 4 2 2 3 2 3" xfId="43373"/>
    <cellStyle name="Normal 6 4 2 4 2 2 3 3" xfId="20809"/>
    <cellStyle name="Normal 6 4 2 4 2 2 3 4" xfId="35852"/>
    <cellStyle name="Normal 6 4 2 4 2 2 4" xfId="9537"/>
    <cellStyle name="Normal 6 4 2 4 2 2 4 2" xfId="24581"/>
    <cellStyle name="Normal 6 4 2 4 2 2 4 3" xfId="39624"/>
    <cellStyle name="Normal 6 4 2 4 2 2 5" xfId="17060"/>
    <cellStyle name="Normal 6 4 2 4 2 2 6" xfId="32103"/>
    <cellStyle name="Normal 6 4 2 4 2 3" xfId="2901"/>
    <cellStyle name="Normal 6 4 2 4 2 3 2" xfId="6696"/>
    <cellStyle name="Normal 6 4 2 4 2 3 2 2" xfId="14219"/>
    <cellStyle name="Normal 6 4 2 4 2 3 2 2 2" xfId="29263"/>
    <cellStyle name="Normal 6 4 2 4 2 3 2 2 3" xfId="44306"/>
    <cellStyle name="Normal 6 4 2 4 2 3 2 3" xfId="21742"/>
    <cellStyle name="Normal 6 4 2 4 2 3 2 4" xfId="36785"/>
    <cellStyle name="Normal 6 4 2 4 2 3 3" xfId="10470"/>
    <cellStyle name="Normal 6 4 2 4 2 3 3 2" xfId="25514"/>
    <cellStyle name="Normal 6 4 2 4 2 3 3 3" xfId="40557"/>
    <cellStyle name="Normal 6 4 2 4 2 3 4" xfId="17993"/>
    <cellStyle name="Normal 6 4 2 4 2 3 5" xfId="33036"/>
    <cellStyle name="Normal 6 4 2 4 2 4" xfId="4831"/>
    <cellStyle name="Normal 6 4 2 4 2 4 2" xfId="12354"/>
    <cellStyle name="Normal 6 4 2 4 2 4 2 2" xfId="27398"/>
    <cellStyle name="Normal 6 4 2 4 2 4 2 3" xfId="42441"/>
    <cellStyle name="Normal 6 4 2 4 2 4 3" xfId="19877"/>
    <cellStyle name="Normal 6 4 2 4 2 4 4" xfId="34920"/>
    <cellStyle name="Normal 6 4 2 4 2 5" xfId="8605"/>
    <cellStyle name="Normal 6 4 2 4 2 5 2" xfId="23649"/>
    <cellStyle name="Normal 6 4 2 4 2 5 3" xfId="38692"/>
    <cellStyle name="Normal 6 4 2 4 2 6" xfId="16128"/>
    <cellStyle name="Normal 6 4 2 4 2 7" xfId="31171"/>
    <cellStyle name="Normal 6 4 2 4 3" xfId="1510"/>
    <cellStyle name="Normal 6 4 2 4 3 2" xfId="3381"/>
    <cellStyle name="Normal 6 4 2 4 3 2 2" xfId="7176"/>
    <cellStyle name="Normal 6 4 2 4 3 2 2 2" xfId="14699"/>
    <cellStyle name="Normal 6 4 2 4 3 2 2 2 2" xfId="29743"/>
    <cellStyle name="Normal 6 4 2 4 3 2 2 2 3" xfId="44786"/>
    <cellStyle name="Normal 6 4 2 4 3 2 2 3" xfId="22222"/>
    <cellStyle name="Normal 6 4 2 4 3 2 2 4" xfId="37265"/>
    <cellStyle name="Normal 6 4 2 4 3 2 3" xfId="10950"/>
    <cellStyle name="Normal 6 4 2 4 3 2 3 2" xfId="25994"/>
    <cellStyle name="Normal 6 4 2 4 3 2 3 3" xfId="41037"/>
    <cellStyle name="Normal 6 4 2 4 3 2 4" xfId="18473"/>
    <cellStyle name="Normal 6 4 2 4 3 2 5" xfId="33516"/>
    <cellStyle name="Normal 6 4 2 4 3 3" xfId="5311"/>
    <cellStyle name="Normal 6 4 2 4 3 3 2" xfId="12834"/>
    <cellStyle name="Normal 6 4 2 4 3 3 2 2" xfId="27878"/>
    <cellStyle name="Normal 6 4 2 4 3 3 2 3" xfId="42921"/>
    <cellStyle name="Normal 6 4 2 4 3 3 3" xfId="20357"/>
    <cellStyle name="Normal 6 4 2 4 3 3 4" xfId="35400"/>
    <cellStyle name="Normal 6 4 2 4 3 4" xfId="9085"/>
    <cellStyle name="Normal 6 4 2 4 3 4 2" xfId="24129"/>
    <cellStyle name="Normal 6 4 2 4 3 4 3" xfId="39172"/>
    <cellStyle name="Normal 6 4 2 4 3 5" xfId="16608"/>
    <cellStyle name="Normal 6 4 2 4 3 6" xfId="31651"/>
    <cellStyle name="Normal 6 4 2 4 4" xfId="2448"/>
    <cellStyle name="Normal 6 4 2 4 4 2" xfId="6244"/>
    <cellStyle name="Normal 6 4 2 4 4 2 2" xfId="13767"/>
    <cellStyle name="Normal 6 4 2 4 4 2 2 2" xfId="28811"/>
    <cellStyle name="Normal 6 4 2 4 4 2 2 3" xfId="43854"/>
    <cellStyle name="Normal 6 4 2 4 4 2 3" xfId="21290"/>
    <cellStyle name="Normal 6 4 2 4 4 2 4" xfId="36333"/>
    <cellStyle name="Normal 6 4 2 4 4 3" xfId="10018"/>
    <cellStyle name="Normal 6 4 2 4 4 3 2" xfId="25062"/>
    <cellStyle name="Normal 6 4 2 4 4 3 3" xfId="40105"/>
    <cellStyle name="Normal 6 4 2 4 4 4" xfId="17541"/>
    <cellStyle name="Normal 6 4 2 4 4 5" xfId="32584"/>
    <cellStyle name="Normal 6 4 2 4 5" xfId="4376"/>
    <cellStyle name="Normal 6 4 2 4 5 2" xfId="11900"/>
    <cellStyle name="Normal 6 4 2 4 5 2 2" xfId="26944"/>
    <cellStyle name="Normal 6 4 2 4 5 2 3" xfId="41987"/>
    <cellStyle name="Normal 6 4 2 4 5 3" xfId="19423"/>
    <cellStyle name="Normal 6 4 2 4 5 4" xfId="34466"/>
    <cellStyle name="Normal 6 4 2 4 6" xfId="8139"/>
    <cellStyle name="Normal 6 4 2 4 6 2" xfId="23183"/>
    <cellStyle name="Normal 6 4 2 4 6 3" xfId="38226"/>
    <cellStyle name="Normal 6 4 2 4 7" xfId="15662"/>
    <cellStyle name="Normal 6 4 2 4 8" xfId="30705"/>
    <cellStyle name="Normal 6 4 2 5" xfId="998"/>
    <cellStyle name="Normal 6 4 2 5 2" xfId="1957"/>
    <cellStyle name="Normal 6 4 2 5 2 2" xfId="3828"/>
    <cellStyle name="Normal 6 4 2 5 2 2 2" xfId="7623"/>
    <cellStyle name="Normal 6 4 2 5 2 2 2 2" xfId="15146"/>
    <cellStyle name="Normal 6 4 2 5 2 2 2 2 2" xfId="30190"/>
    <cellStyle name="Normal 6 4 2 5 2 2 2 2 3" xfId="45233"/>
    <cellStyle name="Normal 6 4 2 5 2 2 2 3" xfId="22669"/>
    <cellStyle name="Normal 6 4 2 5 2 2 2 4" xfId="37712"/>
    <cellStyle name="Normal 6 4 2 5 2 2 3" xfId="11397"/>
    <cellStyle name="Normal 6 4 2 5 2 2 3 2" xfId="26441"/>
    <cellStyle name="Normal 6 4 2 5 2 2 3 3" xfId="41484"/>
    <cellStyle name="Normal 6 4 2 5 2 2 4" xfId="18920"/>
    <cellStyle name="Normal 6 4 2 5 2 2 5" xfId="33963"/>
    <cellStyle name="Normal 6 4 2 5 2 3" xfId="5758"/>
    <cellStyle name="Normal 6 4 2 5 2 3 2" xfId="13281"/>
    <cellStyle name="Normal 6 4 2 5 2 3 2 2" xfId="28325"/>
    <cellStyle name="Normal 6 4 2 5 2 3 2 3" xfId="43368"/>
    <cellStyle name="Normal 6 4 2 5 2 3 3" xfId="20804"/>
    <cellStyle name="Normal 6 4 2 5 2 3 4" xfId="35847"/>
    <cellStyle name="Normal 6 4 2 5 2 4" xfId="9532"/>
    <cellStyle name="Normal 6 4 2 5 2 4 2" xfId="24576"/>
    <cellStyle name="Normal 6 4 2 5 2 4 3" xfId="39619"/>
    <cellStyle name="Normal 6 4 2 5 2 5" xfId="17055"/>
    <cellStyle name="Normal 6 4 2 5 2 6" xfId="32098"/>
    <cellStyle name="Normal 6 4 2 5 3" xfId="2896"/>
    <cellStyle name="Normal 6 4 2 5 3 2" xfId="6691"/>
    <cellStyle name="Normal 6 4 2 5 3 2 2" xfId="14214"/>
    <cellStyle name="Normal 6 4 2 5 3 2 2 2" xfId="29258"/>
    <cellStyle name="Normal 6 4 2 5 3 2 2 3" xfId="44301"/>
    <cellStyle name="Normal 6 4 2 5 3 2 3" xfId="21737"/>
    <cellStyle name="Normal 6 4 2 5 3 2 4" xfId="36780"/>
    <cellStyle name="Normal 6 4 2 5 3 3" xfId="10465"/>
    <cellStyle name="Normal 6 4 2 5 3 3 2" xfId="25509"/>
    <cellStyle name="Normal 6 4 2 5 3 3 3" xfId="40552"/>
    <cellStyle name="Normal 6 4 2 5 3 4" xfId="17988"/>
    <cellStyle name="Normal 6 4 2 5 3 5" xfId="33031"/>
    <cellStyle name="Normal 6 4 2 5 4" xfId="4826"/>
    <cellStyle name="Normal 6 4 2 5 4 2" xfId="12349"/>
    <cellStyle name="Normal 6 4 2 5 4 2 2" xfId="27393"/>
    <cellStyle name="Normal 6 4 2 5 4 2 3" xfId="42436"/>
    <cellStyle name="Normal 6 4 2 5 4 3" xfId="19872"/>
    <cellStyle name="Normal 6 4 2 5 4 4" xfId="34915"/>
    <cellStyle name="Normal 6 4 2 5 5" xfId="8600"/>
    <cellStyle name="Normal 6 4 2 5 5 2" xfId="23644"/>
    <cellStyle name="Normal 6 4 2 5 5 3" xfId="38687"/>
    <cellStyle name="Normal 6 4 2 5 6" xfId="16123"/>
    <cellStyle name="Normal 6 4 2 5 7" xfId="31166"/>
    <cellStyle name="Normal 6 4 2 6" xfId="1505"/>
    <cellStyle name="Normal 6 4 2 6 2" xfId="3376"/>
    <cellStyle name="Normal 6 4 2 6 2 2" xfId="7171"/>
    <cellStyle name="Normal 6 4 2 6 2 2 2" xfId="14694"/>
    <cellStyle name="Normal 6 4 2 6 2 2 2 2" xfId="29738"/>
    <cellStyle name="Normal 6 4 2 6 2 2 2 3" xfId="44781"/>
    <cellStyle name="Normal 6 4 2 6 2 2 3" xfId="22217"/>
    <cellStyle name="Normal 6 4 2 6 2 2 4" xfId="37260"/>
    <cellStyle name="Normal 6 4 2 6 2 3" xfId="10945"/>
    <cellStyle name="Normal 6 4 2 6 2 3 2" xfId="25989"/>
    <cellStyle name="Normal 6 4 2 6 2 3 3" xfId="41032"/>
    <cellStyle name="Normal 6 4 2 6 2 4" xfId="18468"/>
    <cellStyle name="Normal 6 4 2 6 2 5" xfId="33511"/>
    <cellStyle name="Normal 6 4 2 6 3" xfId="5306"/>
    <cellStyle name="Normal 6 4 2 6 3 2" xfId="12829"/>
    <cellStyle name="Normal 6 4 2 6 3 2 2" xfId="27873"/>
    <cellStyle name="Normal 6 4 2 6 3 2 3" xfId="42916"/>
    <cellStyle name="Normal 6 4 2 6 3 3" xfId="20352"/>
    <cellStyle name="Normal 6 4 2 6 3 4" xfId="35395"/>
    <cellStyle name="Normal 6 4 2 6 4" xfId="9080"/>
    <cellStyle name="Normal 6 4 2 6 4 2" xfId="24124"/>
    <cellStyle name="Normal 6 4 2 6 4 3" xfId="39167"/>
    <cellStyle name="Normal 6 4 2 6 5" xfId="16603"/>
    <cellStyle name="Normal 6 4 2 6 6" xfId="31646"/>
    <cellStyle name="Normal 6 4 2 7" xfId="2443"/>
    <cellStyle name="Normal 6 4 2 7 2" xfId="6239"/>
    <cellStyle name="Normal 6 4 2 7 2 2" xfId="13762"/>
    <cellStyle name="Normal 6 4 2 7 2 2 2" xfId="28806"/>
    <cellStyle name="Normal 6 4 2 7 2 2 3" xfId="43849"/>
    <cellStyle name="Normal 6 4 2 7 2 3" xfId="21285"/>
    <cellStyle name="Normal 6 4 2 7 2 4" xfId="36328"/>
    <cellStyle name="Normal 6 4 2 7 3" xfId="10013"/>
    <cellStyle name="Normal 6 4 2 7 3 2" xfId="25057"/>
    <cellStyle name="Normal 6 4 2 7 3 3" xfId="40100"/>
    <cellStyle name="Normal 6 4 2 7 4" xfId="17536"/>
    <cellStyle name="Normal 6 4 2 7 5" xfId="32579"/>
    <cellStyle name="Normal 6 4 2 8" xfId="4371"/>
    <cellStyle name="Normal 6 4 2 8 2" xfId="11895"/>
    <cellStyle name="Normal 6 4 2 8 2 2" xfId="26939"/>
    <cellStyle name="Normal 6 4 2 8 2 3" xfId="41982"/>
    <cellStyle name="Normal 6 4 2 8 3" xfId="19418"/>
    <cellStyle name="Normal 6 4 2 8 4" xfId="34461"/>
    <cellStyle name="Normal 6 4 2 9" xfId="8134"/>
    <cellStyle name="Normal 6 4 2 9 2" xfId="23178"/>
    <cellStyle name="Normal 6 4 2 9 3" xfId="38221"/>
    <cellStyle name="Normal 6 4 3" xfId="485"/>
    <cellStyle name="Normal 6 4 3 2" xfId="486"/>
    <cellStyle name="Normal 6 4 3 2 2" xfId="1005"/>
    <cellStyle name="Normal 6 4 3 2 2 2" xfId="1964"/>
    <cellStyle name="Normal 6 4 3 2 2 2 2" xfId="3835"/>
    <cellStyle name="Normal 6 4 3 2 2 2 2 2" xfId="7630"/>
    <cellStyle name="Normal 6 4 3 2 2 2 2 2 2" xfId="15153"/>
    <cellStyle name="Normal 6 4 3 2 2 2 2 2 2 2" xfId="30197"/>
    <cellStyle name="Normal 6 4 3 2 2 2 2 2 2 3" xfId="45240"/>
    <cellStyle name="Normal 6 4 3 2 2 2 2 2 3" xfId="22676"/>
    <cellStyle name="Normal 6 4 3 2 2 2 2 2 4" xfId="37719"/>
    <cellStyle name="Normal 6 4 3 2 2 2 2 3" xfId="11404"/>
    <cellStyle name="Normal 6 4 3 2 2 2 2 3 2" xfId="26448"/>
    <cellStyle name="Normal 6 4 3 2 2 2 2 3 3" xfId="41491"/>
    <cellStyle name="Normal 6 4 3 2 2 2 2 4" xfId="18927"/>
    <cellStyle name="Normal 6 4 3 2 2 2 2 5" xfId="33970"/>
    <cellStyle name="Normal 6 4 3 2 2 2 3" xfId="5765"/>
    <cellStyle name="Normal 6 4 3 2 2 2 3 2" xfId="13288"/>
    <cellStyle name="Normal 6 4 3 2 2 2 3 2 2" xfId="28332"/>
    <cellStyle name="Normal 6 4 3 2 2 2 3 2 3" xfId="43375"/>
    <cellStyle name="Normal 6 4 3 2 2 2 3 3" xfId="20811"/>
    <cellStyle name="Normal 6 4 3 2 2 2 3 4" xfId="35854"/>
    <cellStyle name="Normal 6 4 3 2 2 2 4" xfId="9539"/>
    <cellStyle name="Normal 6 4 3 2 2 2 4 2" xfId="24583"/>
    <cellStyle name="Normal 6 4 3 2 2 2 4 3" xfId="39626"/>
    <cellStyle name="Normal 6 4 3 2 2 2 5" xfId="17062"/>
    <cellStyle name="Normal 6 4 3 2 2 2 6" xfId="32105"/>
    <cellStyle name="Normal 6 4 3 2 2 3" xfId="2903"/>
    <cellStyle name="Normal 6 4 3 2 2 3 2" xfId="6698"/>
    <cellStyle name="Normal 6 4 3 2 2 3 2 2" xfId="14221"/>
    <cellStyle name="Normal 6 4 3 2 2 3 2 2 2" xfId="29265"/>
    <cellStyle name="Normal 6 4 3 2 2 3 2 2 3" xfId="44308"/>
    <cellStyle name="Normal 6 4 3 2 2 3 2 3" xfId="21744"/>
    <cellStyle name="Normal 6 4 3 2 2 3 2 4" xfId="36787"/>
    <cellStyle name="Normal 6 4 3 2 2 3 3" xfId="10472"/>
    <cellStyle name="Normal 6 4 3 2 2 3 3 2" xfId="25516"/>
    <cellStyle name="Normal 6 4 3 2 2 3 3 3" xfId="40559"/>
    <cellStyle name="Normal 6 4 3 2 2 3 4" xfId="17995"/>
    <cellStyle name="Normal 6 4 3 2 2 3 5" xfId="33038"/>
    <cellStyle name="Normal 6 4 3 2 2 4" xfId="4833"/>
    <cellStyle name="Normal 6 4 3 2 2 4 2" xfId="12356"/>
    <cellStyle name="Normal 6 4 3 2 2 4 2 2" xfId="27400"/>
    <cellStyle name="Normal 6 4 3 2 2 4 2 3" xfId="42443"/>
    <cellStyle name="Normal 6 4 3 2 2 4 3" xfId="19879"/>
    <cellStyle name="Normal 6 4 3 2 2 4 4" xfId="34922"/>
    <cellStyle name="Normal 6 4 3 2 2 5" xfId="8607"/>
    <cellStyle name="Normal 6 4 3 2 2 5 2" xfId="23651"/>
    <cellStyle name="Normal 6 4 3 2 2 5 3" xfId="38694"/>
    <cellStyle name="Normal 6 4 3 2 2 6" xfId="16130"/>
    <cellStyle name="Normal 6 4 3 2 2 7" xfId="31173"/>
    <cellStyle name="Normal 6 4 3 2 3" xfId="1512"/>
    <cellStyle name="Normal 6 4 3 2 3 2" xfId="3383"/>
    <cellStyle name="Normal 6 4 3 2 3 2 2" xfId="7178"/>
    <cellStyle name="Normal 6 4 3 2 3 2 2 2" xfId="14701"/>
    <cellStyle name="Normal 6 4 3 2 3 2 2 2 2" xfId="29745"/>
    <cellStyle name="Normal 6 4 3 2 3 2 2 2 3" xfId="44788"/>
    <cellStyle name="Normal 6 4 3 2 3 2 2 3" xfId="22224"/>
    <cellStyle name="Normal 6 4 3 2 3 2 2 4" xfId="37267"/>
    <cellStyle name="Normal 6 4 3 2 3 2 3" xfId="10952"/>
    <cellStyle name="Normal 6 4 3 2 3 2 3 2" xfId="25996"/>
    <cellStyle name="Normal 6 4 3 2 3 2 3 3" xfId="41039"/>
    <cellStyle name="Normal 6 4 3 2 3 2 4" xfId="18475"/>
    <cellStyle name="Normal 6 4 3 2 3 2 5" xfId="33518"/>
    <cellStyle name="Normal 6 4 3 2 3 3" xfId="5313"/>
    <cellStyle name="Normal 6 4 3 2 3 3 2" xfId="12836"/>
    <cellStyle name="Normal 6 4 3 2 3 3 2 2" xfId="27880"/>
    <cellStyle name="Normal 6 4 3 2 3 3 2 3" xfId="42923"/>
    <cellStyle name="Normal 6 4 3 2 3 3 3" xfId="20359"/>
    <cellStyle name="Normal 6 4 3 2 3 3 4" xfId="35402"/>
    <cellStyle name="Normal 6 4 3 2 3 4" xfId="9087"/>
    <cellStyle name="Normal 6 4 3 2 3 4 2" xfId="24131"/>
    <cellStyle name="Normal 6 4 3 2 3 4 3" xfId="39174"/>
    <cellStyle name="Normal 6 4 3 2 3 5" xfId="16610"/>
    <cellStyle name="Normal 6 4 3 2 3 6" xfId="31653"/>
    <cellStyle name="Normal 6 4 3 2 4" xfId="2450"/>
    <cellStyle name="Normal 6 4 3 2 4 2" xfId="6246"/>
    <cellStyle name="Normal 6 4 3 2 4 2 2" xfId="13769"/>
    <cellStyle name="Normal 6 4 3 2 4 2 2 2" xfId="28813"/>
    <cellStyle name="Normal 6 4 3 2 4 2 2 3" xfId="43856"/>
    <cellStyle name="Normal 6 4 3 2 4 2 3" xfId="21292"/>
    <cellStyle name="Normal 6 4 3 2 4 2 4" xfId="36335"/>
    <cellStyle name="Normal 6 4 3 2 4 3" xfId="10020"/>
    <cellStyle name="Normal 6 4 3 2 4 3 2" xfId="25064"/>
    <cellStyle name="Normal 6 4 3 2 4 3 3" xfId="40107"/>
    <cellStyle name="Normal 6 4 3 2 4 4" xfId="17543"/>
    <cellStyle name="Normal 6 4 3 2 4 5" xfId="32586"/>
    <cellStyle name="Normal 6 4 3 2 5" xfId="4378"/>
    <cellStyle name="Normal 6 4 3 2 5 2" xfId="11902"/>
    <cellStyle name="Normal 6 4 3 2 5 2 2" xfId="26946"/>
    <cellStyle name="Normal 6 4 3 2 5 2 3" xfId="41989"/>
    <cellStyle name="Normal 6 4 3 2 5 3" xfId="19425"/>
    <cellStyle name="Normal 6 4 3 2 5 4" xfId="34468"/>
    <cellStyle name="Normal 6 4 3 2 6" xfId="8141"/>
    <cellStyle name="Normal 6 4 3 2 6 2" xfId="23185"/>
    <cellStyle name="Normal 6 4 3 2 6 3" xfId="38228"/>
    <cellStyle name="Normal 6 4 3 2 7" xfId="15664"/>
    <cellStyle name="Normal 6 4 3 2 8" xfId="30707"/>
    <cellStyle name="Normal 6 4 3 3" xfId="1004"/>
    <cellStyle name="Normal 6 4 3 3 2" xfId="1963"/>
    <cellStyle name="Normal 6 4 3 3 2 2" xfId="3834"/>
    <cellStyle name="Normal 6 4 3 3 2 2 2" xfId="7629"/>
    <cellStyle name="Normal 6 4 3 3 2 2 2 2" xfId="15152"/>
    <cellStyle name="Normal 6 4 3 3 2 2 2 2 2" xfId="30196"/>
    <cellStyle name="Normal 6 4 3 3 2 2 2 2 3" xfId="45239"/>
    <cellStyle name="Normal 6 4 3 3 2 2 2 3" xfId="22675"/>
    <cellStyle name="Normal 6 4 3 3 2 2 2 4" xfId="37718"/>
    <cellStyle name="Normal 6 4 3 3 2 2 3" xfId="11403"/>
    <cellStyle name="Normal 6 4 3 3 2 2 3 2" xfId="26447"/>
    <cellStyle name="Normal 6 4 3 3 2 2 3 3" xfId="41490"/>
    <cellStyle name="Normal 6 4 3 3 2 2 4" xfId="18926"/>
    <cellStyle name="Normal 6 4 3 3 2 2 5" xfId="33969"/>
    <cellStyle name="Normal 6 4 3 3 2 3" xfId="5764"/>
    <cellStyle name="Normal 6 4 3 3 2 3 2" xfId="13287"/>
    <cellStyle name="Normal 6 4 3 3 2 3 2 2" xfId="28331"/>
    <cellStyle name="Normal 6 4 3 3 2 3 2 3" xfId="43374"/>
    <cellStyle name="Normal 6 4 3 3 2 3 3" xfId="20810"/>
    <cellStyle name="Normal 6 4 3 3 2 3 4" xfId="35853"/>
    <cellStyle name="Normal 6 4 3 3 2 4" xfId="9538"/>
    <cellStyle name="Normal 6 4 3 3 2 4 2" xfId="24582"/>
    <cellStyle name="Normal 6 4 3 3 2 4 3" xfId="39625"/>
    <cellStyle name="Normal 6 4 3 3 2 5" xfId="17061"/>
    <cellStyle name="Normal 6 4 3 3 2 6" xfId="32104"/>
    <cellStyle name="Normal 6 4 3 3 3" xfId="2902"/>
    <cellStyle name="Normal 6 4 3 3 3 2" xfId="6697"/>
    <cellStyle name="Normal 6 4 3 3 3 2 2" xfId="14220"/>
    <cellStyle name="Normal 6 4 3 3 3 2 2 2" xfId="29264"/>
    <cellStyle name="Normal 6 4 3 3 3 2 2 3" xfId="44307"/>
    <cellStyle name="Normal 6 4 3 3 3 2 3" xfId="21743"/>
    <cellStyle name="Normal 6 4 3 3 3 2 4" xfId="36786"/>
    <cellStyle name="Normal 6 4 3 3 3 3" xfId="10471"/>
    <cellStyle name="Normal 6 4 3 3 3 3 2" xfId="25515"/>
    <cellStyle name="Normal 6 4 3 3 3 3 3" xfId="40558"/>
    <cellStyle name="Normal 6 4 3 3 3 4" xfId="17994"/>
    <cellStyle name="Normal 6 4 3 3 3 5" xfId="33037"/>
    <cellStyle name="Normal 6 4 3 3 4" xfId="4832"/>
    <cellStyle name="Normal 6 4 3 3 4 2" xfId="12355"/>
    <cellStyle name="Normal 6 4 3 3 4 2 2" xfId="27399"/>
    <cellStyle name="Normal 6 4 3 3 4 2 3" xfId="42442"/>
    <cellStyle name="Normal 6 4 3 3 4 3" xfId="19878"/>
    <cellStyle name="Normal 6 4 3 3 4 4" xfId="34921"/>
    <cellStyle name="Normal 6 4 3 3 5" xfId="8606"/>
    <cellStyle name="Normal 6 4 3 3 5 2" xfId="23650"/>
    <cellStyle name="Normal 6 4 3 3 5 3" xfId="38693"/>
    <cellStyle name="Normal 6 4 3 3 6" xfId="16129"/>
    <cellStyle name="Normal 6 4 3 3 7" xfId="31172"/>
    <cellStyle name="Normal 6 4 3 4" xfId="1511"/>
    <cellStyle name="Normal 6 4 3 4 2" xfId="3382"/>
    <cellStyle name="Normal 6 4 3 4 2 2" xfId="7177"/>
    <cellStyle name="Normal 6 4 3 4 2 2 2" xfId="14700"/>
    <cellStyle name="Normal 6 4 3 4 2 2 2 2" xfId="29744"/>
    <cellStyle name="Normal 6 4 3 4 2 2 2 3" xfId="44787"/>
    <cellStyle name="Normal 6 4 3 4 2 2 3" xfId="22223"/>
    <cellStyle name="Normal 6 4 3 4 2 2 4" xfId="37266"/>
    <cellStyle name="Normal 6 4 3 4 2 3" xfId="10951"/>
    <cellStyle name="Normal 6 4 3 4 2 3 2" xfId="25995"/>
    <cellStyle name="Normal 6 4 3 4 2 3 3" xfId="41038"/>
    <cellStyle name="Normal 6 4 3 4 2 4" xfId="18474"/>
    <cellStyle name="Normal 6 4 3 4 2 5" xfId="33517"/>
    <cellStyle name="Normal 6 4 3 4 3" xfId="5312"/>
    <cellStyle name="Normal 6 4 3 4 3 2" xfId="12835"/>
    <cellStyle name="Normal 6 4 3 4 3 2 2" xfId="27879"/>
    <cellStyle name="Normal 6 4 3 4 3 2 3" xfId="42922"/>
    <cellStyle name="Normal 6 4 3 4 3 3" xfId="20358"/>
    <cellStyle name="Normal 6 4 3 4 3 4" xfId="35401"/>
    <cellStyle name="Normal 6 4 3 4 4" xfId="9086"/>
    <cellStyle name="Normal 6 4 3 4 4 2" xfId="24130"/>
    <cellStyle name="Normal 6 4 3 4 4 3" xfId="39173"/>
    <cellStyle name="Normal 6 4 3 4 5" xfId="16609"/>
    <cellStyle name="Normal 6 4 3 4 6" xfId="31652"/>
    <cellStyle name="Normal 6 4 3 5" xfId="2449"/>
    <cellStyle name="Normal 6 4 3 5 2" xfId="6245"/>
    <cellStyle name="Normal 6 4 3 5 2 2" xfId="13768"/>
    <cellStyle name="Normal 6 4 3 5 2 2 2" xfId="28812"/>
    <cellStyle name="Normal 6 4 3 5 2 2 3" xfId="43855"/>
    <cellStyle name="Normal 6 4 3 5 2 3" xfId="21291"/>
    <cellStyle name="Normal 6 4 3 5 2 4" xfId="36334"/>
    <cellStyle name="Normal 6 4 3 5 3" xfId="10019"/>
    <cellStyle name="Normal 6 4 3 5 3 2" xfId="25063"/>
    <cellStyle name="Normal 6 4 3 5 3 3" xfId="40106"/>
    <cellStyle name="Normal 6 4 3 5 4" xfId="17542"/>
    <cellStyle name="Normal 6 4 3 5 5" xfId="32585"/>
    <cellStyle name="Normal 6 4 3 6" xfId="4377"/>
    <cellStyle name="Normal 6 4 3 6 2" xfId="11901"/>
    <cellStyle name="Normal 6 4 3 6 2 2" xfId="26945"/>
    <cellStyle name="Normal 6 4 3 6 2 3" xfId="41988"/>
    <cellStyle name="Normal 6 4 3 6 3" xfId="19424"/>
    <cellStyle name="Normal 6 4 3 6 4" xfId="34467"/>
    <cellStyle name="Normal 6 4 3 7" xfId="8140"/>
    <cellStyle name="Normal 6 4 3 7 2" xfId="23184"/>
    <cellStyle name="Normal 6 4 3 7 3" xfId="38227"/>
    <cellStyle name="Normal 6 4 3 8" xfId="15663"/>
    <cellStyle name="Normal 6 4 3 9" xfId="30706"/>
    <cellStyle name="Normal 6 4 4" xfId="487"/>
    <cellStyle name="Normal 6 4 4 2" xfId="488"/>
    <cellStyle name="Normal 6 4 4 2 2" xfId="1007"/>
    <cellStyle name="Normal 6 4 4 2 2 2" xfId="1966"/>
    <cellStyle name="Normal 6 4 4 2 2 2 2" xfId="3837"/>
    <cellStyle name="Normal 6 4 4 2 2 2 2 2" xfId="7632"/>
    <cellStyle name="Normal 6 4 4 2 2 2 2 2 2" xfId="15155"/>
    <cellStyle name="Normal 6 4 4 2 2 2 2 2 2 2" xfId="30199"/>
    <cellStyle name="Normal 6 4 4 2 2 2 2 2 2 3" xfId="45242"/>
    <cellStyle name="Normal 6 4 4 2 2 2 2 2 3" xfId="22678"/>
    <cellStyle name="Normal 6 4 4 2 2 2 2 2 4" xfId="37721"/>
    <cellStyle name="Normal 6 4 4 2 2 2 2 3" xfId="11406"/>
    <cellStyle name="Normal 6 4 4 2 2 2 2 3 2" xfId="26450"/>
    <cellStyle name="Normal 6 4 4 2 2 2 2 3 3" xfId="41493"/>
    <cellStyle name="Normal 6 4 4 2 2 2 2 4" xfId="18929"/>
    <cellStyle name="Normal 6 4 4 2 2 2 2 5" xfId="33972"/>
    <cellStyle name="Normal 6 4 4 2 2 2 3" xfId="5767"/>
    <cellStyle name="Normal 6 4 4 2 2 2 3 2" xfId="13290"/>
    <cellStyle name="Normal 6 4 4 2 2 2 3 2 2" xfId="28334"/>
    <cellStyle name="Normal 6 4 4 2 2 2 3 2 3" xfId="43377"/>
    <cellStyle name="Normal 6 4 4 2 2 2 3 3" xfId="20813"/>
    <cellStyle name="Normal 6 4 4 2 2 2 3 4" xfId="35856"/>
    <cellStyle name="Normal 6 4 4 2 2 2 4" xfId="9541"/>
    <cellStyle name="Normal 6 4 4 2 2 2 4 2" xfId="24585"/>
    <cellStyle name="Normal 6 4 4 2 2 2 4 3" xfId="39628"/>
    <cellStyle name="Normal 6 4 4 2 2 2 5" xfId="17064"/>
    <cellStyle name="Normal 6 4 4 2 2 2 6" xfId="32107"/>
    <cellStyle name="Normal 6 4 4 2 2 3" xfId="2905"/>
    <cellStyle name="Normal 6 4 4 2 2 3 2" xfId="6700"/>
    <cellStyle name="Normal 6 4 4 2 2 3 2 2" xfId="14223"/>
    <cellStyle name="Normal 6 4 4 2 2 3 2 2 2" xfId="29267"/>
    <cellStyle name="Normal 6 4 4 2 2 3 2 2 3" xfId="44310"/>
    <cellStyle name="Normal 6 4 4 2 2 3 2 3" xfId="21746"/>
    <cellStyle name="Normal 6 4 4 2 2 3 2 4" xfId="36789"/>
    <cellStyle name="Normal 6 4 4 2 2 3 3" xfId="10474"/>
    <cellStyle name="Normal 6 4 4 2 2 3 3 2" xfId="25518"/>
    <cellStyle name="Normal 6 4 4 2 2 3 3 3" xfId="40561"/>
    <cellStyle name="Normal 6 4 4 2 2 3 4" xfId="17997"/>
    <cellStyle name="Normal 6 4 4 2 2 3 5" xfId="33040"/>
    <cellStyle name="Normal 6 4 4 2 2 4" xfId="4835"/>
    <cellStyle name="Normal 6 4 4 2 2 4 2" xfId="12358"/>
    <cellStyle name="Normal 6 4 4 2 2 4 2 2" xfId="27402"/>
    <cellStyle name="Normal 6 4 4 2 2 4 2 3" xfId="42445"/>
    <cellStyle name="Normal 6 4 4 2 2 4 3" xfId="19881"/>
    <cellStyle name="Normal 6 4 4 2 2 4 4" xfId="34924"/>
    <cellStyle name="Normal 6 4 4 2 2 5" xfId="8609"/>
    <cellStyle name="Normal 6 4 4 2 2 5 2" xfId="23653"/>
    <cellStyle name="Normal 6 4 4 2 2 5 3" xfId="38696"/>
    <cellStyle name="Normal 6 4 4 2 2 6" xfId="16132"/>
    <cellStyle name="Normal 6 4 4 2 2 7" xfId="31175"/>
    <cellStyle name="Normal 6 4 4 2 3" xfId="1514"/>
    <cellStyle name="Normal 6 4 4 2 3 2" xfId="3385"/>
    <cellStyle name="Normal 6 4 4 2 3 2 2" xfId="7180"/>
    <cellStyle name="Normal 6 4 4 2 3 2 2 2" xfId="14703"/>
    <cellStyle name="Normal 6 4 4 2 3 2 2 2 2" xfId="29747"/>
    <cellStyle name="Normal 6 4 4 2 3 2 2 2 3" xfId="44790"/>
    <cellStyle name="Normal 6 4 4 2 3 2 2 3" xfId="22226"/>
    <cellStyle name="Normal 6 4 4 2 3 2 2 4" xfId="37269"/>
    <cellStyle name="Normal 6 4 4 2 3 2 3" xfId="10954"/>
    <cellStyle name="Normal 6 4 4 2 3 2 3 2" xfId="25998"/>
    <cellStyle name="Normal 6 4 4 2 3 2 3 3" xfId="41041"/>
    <cellStyle name="Normal 6 4 4 2 3 2 4" xfId="18477"/>
    <cellStyle name="Normal 6 4 4 2 3 2 5" xfId="33520"/>
    <cellStyle name="Normal 6 4 4 2 3 3" xfId="5315"/>
    <cellStyle name="Normal 6 4 4 2 3 3 2" xfId="12838"/>
    <cellStyle name="Normal 6 4 4 2 3 3 2 2" xfId="27882"/>
    <cellStyle name="Normal 6 4 4 2 3 3 2 3" xfId="42925"/>
    <cellStyle name="Normal 6 4 4 2 3 3 3" xfId="20361"/>
    <cellStyle name="Normal 6 4 4 2 3 3 4" xfId="35404"/>
    <cellStyle name="Normal 6 4 4 2 3 4" xfId="9089"/>
    <cellStyle name="Normal 6 4 4 2 3 4 2" xfId="24133"/>
    <cellStyle name="Normal 6 4 4 2 3 4 3" xfId="39176"/>
    <cellStyle name="Normal 6 4 4 2 3 5" xfId="16612"/>
    <cellStyle name="Normal 6 4 4 2 3 6" xfId="31655"/>
    <cellStyle name="Normal 6 4 4 2 4" xfId="2452"/>
    <cellStyle name="Normal 6 4 4 2 4 2" xfId="6248"/>
    <cellStyle name="Normal 6 4 4 2 4 2 2" xfId="13771"/>
    <cellStyle name="Normal 6 4 4 2 4 2 2 2" xfId="28815"/>
    <cellStyle name="Normal 6 4 4 2 4 2 2 3" xfId="43858"/>
    <cellStyle name="Normal 6 4 4 2 4 2 3" xfId="21294"/>
    <cellStyle name="Normal 6 4 4 2 4 2 4" xfId="36337"/>
    <cellStyle name="Normal 6 4 4 2 4 3" xfId="10022"/>
    <cellStyle name="Normal 6 4 4 2 4 3 2" xfId="25066"/>
    <cellStyle name="Normal 6 4 4 2 4 3 3" xfId="40109"/>
    <cellStyle name="Normal 6 4 4 2 4 4" xfId="17545"/>
    <cellStyle name="Normal 6 4 4 2 4 5" xfId="32588"/>
    <cellStyle name="Normal 6 4 4 2 5" xfId="4380"/>
    <cellStyle name="Normal 6 4 4 2 5 2" xfId="11904"/>
    <cellStyle name="Normal 6 4 4 2 5 2 2" xfId="26948"/>
    <cellStyle name="Normal 6 4 4 2 5 2 3" xfId="41991"/>
    <cellStyle name="Normal 6 4 4 2 5 3" xfId="19427"/>
    <cellStyle name="Normal 6 4 4 2 5 4" xfId="34470"/>
    <cellStyle name="Normal 6 4 4 2 6" xfId="8143"/>
    <cellStyle name="Normal 6 4 4 2 6 2" xfId="23187"/>
    <cellStyle name="Normal 6 4 4 2 6 3" xfId="38230"/>
    <cellStyle name="Normal 6 4 4 2 7" xfId="15666"/>
    <cellStyle name="Normal 6 4 4 2 8" xfId="30709"/>
    <cellStyle name="Normal 6 4 4 3" xfId="1006"/>
    <cellStyle name="Normal 6 4 4 3 2" xfId="1965"/>
    <cellStyle name="Normal 6 4 4 3 2 2" xfId="3836"/>
    <cellStyle name="Normal 6 4 4 3 2 2 2" xfId="7631"/>
    <cellStyle name="Normal 6 4 4 3 2 2 2 2" xfId="15154"/>
    <cellStyle name="Normal 6 4 4 3 2 2 2 2 2" xfId="30198"/>
    <cellStyle name="Normal 6 4 4 3 2 2 2 2 3" xfId="45241"/>
    <cellStyle name="Normal 6 4 4 3 2 2 2 3" xfId="22677"/>
    <cellStyle name="Normal 6 4 4 3 2 2 2 4" xfId="37720"/>
    <cellStyle name="Normal 6 4 4 3 2 2 3" xfId="11405"/>
    <cellStyle name="Normal 6 4 4 3 2 2 3 2" xfId="26449"/>
    <cellStyle name="Normal 6 4 4 3 2 2 3 3" xfId="41492"/>
    <cellStyle name="Normal 6 4 4 3 2 2 4" xfId="18928"/>
    <cellStyle name="Normal 6 4 4 3 2 2 5" xfId="33971"/>
    <cellStyle name="Normal 6 4 4 3 2 3" xfId="5766"/>
    <cellStyle name="Normal 6 4 4 3 2 3 2" xfId="13289"/>
    <cellStyle name="Normal 6 4 4 3 2 3 2 2" xfId="28333"/>
    <cellStyle name="Normal 6 4 4 3 2 3 2 3" xfId="43376"/>
    <cellStyle name="Normal 6 4 4 3 2 3 3" xfId="20812"/>
    <cellStyle name="Normal 6 4 4 3 2 3 4" xfId="35855"/>
    <cellStyle name="Normal 6 4 4 3 2 4" xfId="9540"/>
    <cellStyle name="Normal 6 4 4 3 2 4 2" xfId="24584"/>
    <cellStyle name="Normal 6 4 4 3 2 4 3" xfId="39627"/>
    <cellStyle name="Normal 6 4 4 3 2 5" xfId="17063"/>
    <cellStyle name="Normal 6 4 4 3 2 6" xfId="32106"/>
    <cellStyle name="Normal 6 4 4 3 3" xfId="2904"/>
    <cellStyle name="Normal 6 4 4 3 3 2" xfId="6699"/>
    <cellStyle name="Normal 6 4 4 3 3 2 2" xfId="14222"/>
    <cellStyle name="Normal 6 4 4 3 3 2 2 2" xfId="29266"/>
    <cellStyle name="Normal 6 4 4 3 3 2 2 3" xfId="44309"/>
    <cellStyle name="Normal 6 4 4 3 3 2 3" xfId="21745"/>
    <cellStyle name="Normal 6 4 4 3 3 2 4" xfId="36788"/>
    <cellStyle name="Normal 6 4 4 3 3 3" xfId="10473"/>
    <cellStyle name="Normal 6 4 4 3 3 3 2" xfId="25517"/>
    <cellStyle name="Normal 6 4 4 3 3 3 3" xfId="40560"/>
    <cellStyle name="Normal 6 4 4 3 3 4" xfId="17996"/>
    <cellStyle name="Normal 6 4 4 3 3 5" xfId="33039"/>
    <cellStyle name="Normal 6 4 4 3 4" xfId="4834"/>
    <cellStyle name="Normal 6 4 4 3 4 2" xfId="12357"/>
    <cellStyle name="Normal 6 4 4 3 4 2 2" xfId="27401"/>
    <cellStyle name="Normal 6 4 4 3 4 2 3" xfId="42444"/>
    <cellStyle name="Normal 6 4 4 3 4 3" xfId="19880"/>
    <cellStyle name="Normal 6 4 4 3 4 4" xfId="34923"/>
    <cellStyle name="Normal 6 4 4 3 5" xfId="8608"/>
    <cellStyle name="Normal 6 4 4 3 5 2" xfId="23652"/>
    <cellStyle name="Normal 6 4 4 3 5 3" xfId="38695"/>
    <cellStyle name="Normal 6 4 4 3 6" xfId="16131"/>
    <cellStyle name="Normal 6 4 4 3 7" xfId="31174"/>
    <cellStyle name="Normal 6 4 4 4" xfId="1513"/>
    <cellStyle name="Normal 6 4 4 4 2" xfId="3384"/>
    <cellStyle name="Normal 6 4 4 4 2 2" xfId="7179"/>
    <cellStyle name="Normal 6 4 4 4 2 2 2" xfId="14702"/>
    <cellStyle name="Normal 6 4 4 4 2 2 2 2" xfId="29746"/>
    <cellStyle name="Normal 6 4 4 4 2 2 2 3" xfId="44789"/>
    <cellStyle name="Normal 6 4 4 4 2 2 3" xfId="22225"/>
    <cellStyle name="Normal 6 4 4 4 2 2 4" xfId="37268"/>
    <cellStyle name="Normal 6 4 4 4 2 3" xfId="10953"/>
    <cellStyle name="Normal 6 4 4 4 2 3 2" xfId="25997"/>
    <cellStyle name="Normal 6 4 4 4 2 3 3" xfId="41040"/>
    <cellStyle name="Normal 6 4 4 4 2 4" xfId="18476"/>
    <cellStyle name="Normal 6 4 4 4 2 5" xfId="33519"/>
    <cellStyle name="Normal 6 4 4 4 3" xfId="5314"/>
    <cellStyle name="Normal 6 4 4 4 3 2" xfId="12837"/>
    <cellStyle name="Normal 6 4 4 4 3 2 2" xfId="27881"/>
    <cellStyle name="Normal 6 4 4 4 3 2 3" xfId="42924"/>
    <cellStyle name="Normal 6 4 4 4 3 3" xfId="20360"/>
    <cellStyle name="Normal 6 4 4 4 3 4" xfId="35403"/>
    <cellStyle name="Normal 6 4 4 4 4" xfId="9088"/>
    <cellStyle name="Normal 6 4 4 4 4 2" xfId="24132"/>
    <cellStyle name="Normal 6 4 4 4 4 3" xfId="39175"/>
    <cellStyle name="Normal 6 4 4 4 5" xfId="16611"/>
    <cellStyle name="Normal 6 4 4 4 6" xfId="31654"/>
    <cellStyle name="Normal 6 4 4 5" xfId="2451"/>
    <cellStyle name="Normal 6 4 4 5 2" xfId="6247"/>
    <cellStyle name="Normal 6 4 4 5 2 2" xfId="13770"/>
    <cellStyle name="Normal 6 4 4 5 2 2 2" xfId="28814"/>
    <cellStyle name="Normal 6 4 4 5 2 2 3" xfId="43857"/>
    <cellStyle name="Normal 6 4 4 5 2 3" xfId="21293"/>
    <cellStyle name="Normal 6 4 4 5 2 4" xfId="36336"/>
    <cellStyle name="Normal 6 4 4 5 3" xfId="10021"/>
    <cellStyle name="Normal 6 4 4 5 3 2" xfId="25065"/>
    <cellStyle name="Normal 6 4 4 5 3 3" xfId="40108"/>
    <cellStyle name="Normal 6 4 4 5 4" xfId="17544"/>
    <cellStyle name="Normal 6 4 4 5 5" xfId="32587"/>
    <cellStyle name="Normal 6 4 4 6" xfId="4379"/>
    <cellStyle name="Normal 6 4 4 6 2" xfId="11903"/>
    <cellStyle name="Normal 6 4 4 6 2 2" xfId="26947"/>
    <cellStyle name="Normal 6 4 4 6 2 3" xfId="41990"/>
    <cellStyle name="Normal 6 4 4 6 3" xfId="19426"/>
    <cellStyle name="Normal 6 4 4 6 4" xfId="34469"/>
    <cellStyle name="Normal 6 4 4 7" xfId="8142"/>
    <cellStyle name="Normal 6 4 4 7 2" xfId="23186"/>
    <cellStyle name="Normal 6 4 4 7 3" xfId="38229"/>
    <cellStyle name="Normal 6 4 4 8" xfId="15665"/>
    <cellStyle name="Normal 6 4 4 9" xfId="30708"/>
    <cellStyle name="Normal 6 4 5" xfId="489"/>
    <cellStyle name="Normal 6 4 5 2" xfId="1008"/>
    <cellStyle name="Normal 6 4 5 2 2" xfId="1967"/>
    <cellStyle name="Normal 6 4 5 2 2 2" xfId="3838"/>
    <cellStyle name="Normal 6 4 5 2 2 2 2" xfId="7633"/>
    <cellStyle name="Normal 6 4 5 2 2 2 2 2" xfId="15156"/>
    <cellStyle name="Normal 6 4 5 2 2 2 2 2 2" xfId="30200"/>
    <cellStyle name="Normal 6 4 5 2 2 2 2 2 3" xfId="45243"/>
    <cellStyle name="Normal 6 4 5 2 2 2 2 3" xfId="22679"/>
    <cellStyle name="Normal 6 4 5 2 2 2 2 4" xfId="37722"/>
    <cellStyle name="Normal 6 4 5 2 2 2 3" xfId="11407"/>
    <cellStyle name="Normal 6 4 5 2 2 2 3 2" xfId="26451"/>
    <cellStyle name="Normal 6 4 5 2 2 2 3 3" xfId="41494"/>
    <cellStyle name="Normal 6 4 5 2 2 2 4" xfId="18930"/>
    <cellStyle name="Normal 6 4 5 2 2 2 5" xfId="33973"/>
    <cellStyle name="Normal 6 4 5 2 2 3" xfId="5768"/>
    <cellStyle name="Normal 6 4 5 2 2 3 2" xfId="13291"/>
    <cellStyle name="Normal 6 4 5 2 2 3 2 2" xfId="28335"/>
    <cellStyle name="Normal 6 4 5 2 2 3 2 3" xfId="43378"/>
    <cellStyle name="Normal 6 4 5 2 2 3 3" xfId="20814"/>
    <cellStyle name="Normal 6 4 5 2 2 3 4" xfId="35857"/>
    <cellStyle name="Normal 6 4 5 2 2 4" xfId="9542"/>
    <cellStyle name="Normal 6 4 5 2 2 4 2" xfId="24586"/>
    <cellStyle name="Normal 6 4 5 2 2 4 3" xfId="39629"/>
    <cellStyle name="Normal 6 4 5 2 2 5" xfId="17065"/>
    <cellStyle name="Normal 6 4 5 2 2 6" xfId="32108"/>
    <cellStyle name="Normal 6 4 5 2 3" xfId="2906"/>
    <cellStyle name="Normal 6 4 5 2 3 2" xfId="6701"/>
    <cellStyle name="Normal 6 4 5 2 3 2 2" xfId="14224"/>
    <cellStyle name="Normal 6 4 5 2 3 2 2 2" xfId="29268"/>
    <cellStyle name="Normal 6 4 5 2 3 2 2 3" xfId="44311"/>
    <cellStyle name="Normal 6 4 5 2 3 2 3" xfId="21747"/>
    <cellStyle name="Normal 6 4 5 2 3 2 4" xfId="36790"/>
    <cellStyle name="Normal 6 4 5 2 3 3" xfId="10475"/>
    <cellStyle name="Normal 6 4 5 2 3 3 2" xfId="25519"/>
    <cellStyle name="Normal 6 4 5 2 3 3 3" xfId="40562"/>
    <cellStyle name="Normal 6 4 5 2 3 4" xfId="17998"/>
    <cellStyle name="Normal 6 4 5 2 3 5" xfId="33041"/>
    <cellStyle name="Normal 6 4 5 2 4" xfId="4836"/>
    <cellStyle name="Normal 6 4 5 2 4 2" xfId="12359"/>
    <cellStyle name="Normal 6 4 5 2 4 2 2" xfId="27403"/>
    <cellStyle name="Normal 6 4 5 2 4 2 3" xfId="42446"/>
    <cellStyle name="Normal 6 4 5 2 4 3" xfId="19882"/>
    <cellStyle name="Normal 6 4 5 2 4 4" xfId="34925"/>
    <cellStyle name="Normal 6 4 5 2 5" xfId="8610"/>
    <cellStyle name="Normal 6 4 5 2 5 2" xfId="23654"/>
    <cellStyle name="Normal 6 4 5 2 5 3" xfId="38697"/>
    <cellStyle name="Normal 6 4 5 2 6" xfId="16133"/>
    <cellStyle name="Normal 6 4 5 2 7" xfId="31176"/>
    <cellStyle name="Normal 6 4 5 3" xfId="1515"/>
    <cellStyle name="Normal 6 4 5 3 2" xfId="3386"/>
    <cellStyle name="Normal 6 4 5 3 2 2" xfId="7181"/>
    <cellStyle name="Normal 6 4 5 3 2 2 2" xfId="14704"/>
    <cellStyle name="Normal 6 4 5 3 2 2 2 2" xfId="29748"/>
    <cellStyle name="Normal 6 4 5 3 2 2 2 3" xfId="44791"/>
    <cellStyle name="Normal 6 4 5 3 2 2 3" xfId="22227"/>
    <cellStyle name="Normal 6 4 5 3 2 2 4" xfId="37270"/>
    <cellStyle name="Normal 6 4 5 3 2 3" xfId="10955"/>
    <cellStyle name="Normal 6 4 5 3 2 3 2" xfId="25999"/>
    <cellStyle name="Normal 6 4 5 3 2 3 3" xfId="41042"/>
    <cellStyle name="Normal 6 4 5 3 2 4" xfId="18478"/>
    <cellStyle name="Normal 6 4 5 3 2 5" xfId="33521"/>
    <cellStyle name="Normal 6 4 5 3 3" xfId="5316"/>
    <cellStyle name="Normal 6 4 5 3 3 2" xfId="12839"/>
    <cellStyle name="Normal 6 4 5 3 3 2 2" xfId="27883"/>
    <cellStyle name="Normal 6 4 5 3 3 2 3" xfId="42926"/>
    <cellStyle name="Normal 6 4 5 3 3 3" xfId="20362"/>
    <cellStyle name="Normal 6 4 5 3 3 4" xfId="35405"/>
    <cellStyle name="Normal 6 4 5 3 4" xfId="9090"/>
    <cellStyle name="Normal 6 4 5 3 4 2" xfId="24134"/>
    <cellStyle name="Normal 6 4 5 3 4 3" xfId="39177"/>
    <cellStyle name="Normal 6 4 5 3 5" xfId="16613"/>
    <cellStyle name="Normal 6 4 5 3 6" xfId="31656"/>
    <cellStyle name="Normal 6 4 5 4" xfId="2453"/>
    <cellStyle name="Normal 6 4 5 4 2" xfId="6249"/>
    <cellStyle name="Normal 6 4 5 4 2 2" xfId="13772"/>
    <cellStyle name="Normal 6 4 5 4 2 2 2" xfId="28816"/>
    <cellStyle name="Normal 6 4 5 4 2 2 3" xfId="43859"/>
    <cellStyle name="Normal 6 4 5 4 2 3" xfId="21295"/>
    <cellStyle name="Normal 6 4 5 4 2 4" xfId="36338"/>
    <cellStyle name="Normal 6 4 5 4 3" xfId="10023"/>
    <cellStyle name="Normal 6 4 5 4 3 2" xfId="25067"/>
    <cellStyle name="Normal 6 4 5 4 3 3" xfId="40110"/>
    <cellStyle name="Normal 6 4 5 4 4" xfId="17546"/>
    <cellStyle name="Normal 6 4 5 4 5" xfId="32589"/>
    <cellStyle name="Normal 6 4 5 5" xfId="4381"/>
    <cellStyle name="Normal 6 4 5 5 2" xfId="11905"/>
    <cellStyle name="Normal 6 4 5 5 2 2" xfId="26949"/>
    <cellStyle name="Normal 6 4 5 5 2 3" xfId="41992"/>
    <cellStyle name="Normal 6 4 5 5 3" xfId="19428"/>
    <cellStyle name="Normal 6 4 5 5 4" xfId="34471"/>
    <cellStyle name="Normal 6 4 5 6" xfId="8144"/>
    <cellStyle name="Normal 6 4 5 6 2" xfId="23188"/>
    <cellStyle name="Normal 6 4 5 6 3" xfId="38231"/>
    <cellStyle name="Normal 6 4 5 7" xfId="15667"/>
    <cellStyle name="Normal 6 4 5 8" xfId="30710"/>
    <cellStyle name="Normal 6 4 6" xfId="997"/>
    <cellStyle name="Normal 6 4 6 2" xfId="1956"/>
    <cellStyle name="Normal 6 4 6 2 2" xfId="3827"/>
    <cellStyle name="Normal 6 4 6 2 2 2" xfId="7622"/>
    <cellStyle name="Normal 6 4 6 2 2 2 2" xfId="15145"/>
    <cellStyle name="Normal 6 4 6 2 2 2 2 2" xfId="30189"/>
    <cellStyle name="Normal 6 4 6 2 2 2 2 3" xfId="45232"/>
    <cellStyle name="Normal 6 4 6 2 2 2 3" xfId="22668"/>
    <cellStyle name="Normal 6 4 6 2 2 2 4" xfId="37711"/>
    <cellStyle name="Normal 6 4 6 2 2 3" xfId="11396"/>
    <cellStyle name="Normal 6 4 6 2 2 3 2" xfId="26440"/>
    <cellStyle name="Normal 6 4 6 2 2 3 3" xfId="41483"/>
    <cellStyle name="Normal 6 4 6 2 2 4" xfId="18919"/>
    <cellStyle name="Normal 6 4 6 2 2 5" xfId="33962"/>
    <cellStyle name="Normal 6 4 6 2 3" xfId="5757"/>
    <cellStyle name="Normal 6 4 6 2 3 2" xfId="13280"/>
    <cellStyle name="Normal 6 4 6 2 3 2 2" xfId="28324"/>
    <cellStyle name="Normal 6 4 6 2 3 2 3" xfId="43367"/>
    <cellStyle name="Normal 6 4 6 2 3 3" xfId="20803"/>
    <cellStyle name="Normal 6 4 6 2 3 4" xfId="35846"/>
    <cellStyle name="Normal 6 4 6 2 4" xfId="9531"/>
    <cellStyle name="Normal 6 4 6 2 4 2" xfId="24575"/>
    <cellStyle name="Normal 6 4 6 2 4 3" xfId="39618"/>
    <cellStyle name="Normal 6 4 6 2 5" xfId="17054"/>
    <cellStyle name="Normal 6 4 6 2 6" xfId="32097"/>
    <cellStyle name="Normal 6 4 6 3" xfId="2895"/>
    <cellStyle name="Normal 6 4 6 3 2" xfId="6690"/>
    <cellStyle name="Normal 6 4 6 3 2 2" xfId="14213"/>
    <cellStyle name="Normal 6 4 6 3 2 2 2" xfId="29257"/>
    <cellStyle name="Normal 6 4 6 3 2 2 3" xfId="44300"/>
    <cellStyle name="Normal 6 4 6 3 2 3" xfId="21736"/>
    <cellStyle name="Normal 6 4 6 3 2 4" xfId="36779"/>
    <cellStyle name="Normal 6 4 6 3 3" xfId="10464"/>
    <cellStyle name="Normal 6 4 6 3 3 2" xfId="25508"/>
    <cellStyle name="Normal 6 4 6 3 3 3" xfId="40551"/>
    <cellStyle name="Normal 6 4 6 3 4" xfId="17987"/>
    <cellStyle name="Normal 6 4 6 3 5" xfId="33030"/>
    <cellStyle name="Normal 6 4 6 4" xfId="4825"/>
    <cellStyle name="Normal 6 4 6 4 2" xfId="12348"/>
    <cellStyle name="Normal 6 4 6 4 2 2" xfId="27392"/>
    <cellStyle name="Normal 6 4 6 4 2 3" xfId="42435"/>
    <cellStyle name="Normal 6 4 6 4 3" xfId="19871"/>
    <cellStyle name="Normal 6 4 6 4 4" xfId="34914"/>
    <cellStyle name="Normal 6 4 6 5" xfId="8599"/>
    <cellStyle name="Normal 6 4 6 5 2" xfId="23643"/>
    <cellStyle name="Normal 6 4 6 5 3" xfId="38686"/>
    <cellStyle name="Normal 6 4 6 6" xfId="16122"/>
    <cellStyle name="Normal 6 4 6 7" xfId="31165"/>
    <cellStyle name="Normal 6 4 7" xfId="1504"/>
    <cellStyle name="Normal 6 4 7 2" xfId="3375"/>
    <cellStyle name="Normal 6 4 7 2 2" xfId="7170"/>
    <cellStyle name="Normal 6 4 7 2 2 2" xfId="14693"/>
    <cellStyle name="Normal 6 4 7 2 2 2 2" xfId="29737"/>
    <cellStyle name="Normal 6 4 7 2 2 2 3" xfId="44780"/>
    <cellStyle name="Normal 6 4 7 2 2 3" xfId="22216"/>
    <cellStyle name="Normal 6 4 7 2 2 4" xfId="37259"/>
    <cellStyle name="Normal 6 4 7 2 3" xfId="10944"/>
    <cellStyle name="Normal 6 4 7 2 3 2" xfId="25988"/>
    <cellStyle name="Normal 6 4 7 2 3 3" xfId="41031"/>
    <cellStyle name="Normal 6 4 7 2 4" xfId="18467"/>
    <cellStyle name="Normal 6 4 7 2 5" xfId="33510"/>
    <cellStyle name="Normal 6 4 7 3" xfId="5305"/>
    <cellStyle name="Normal 6 4 7 3 2" xfId="12828"/>
    <cellStyle name="Normal 6 4 7 3 2 2" xfId="27872"/>
    <cellStyle name="Normal 6 4 7 3 2 3" xfId="42915"/>
    <cellStyle name="Normal 6 4 7 3 3" xfId="20351"/>
    <cellStyle name="Normal 6 4 7 3 4" xfId="35394"/>
    <cellStyle name="Normal 6 4 7 4" xfId="9079"/>
    <cellStyle name="Normal 6 4 7 4 2" xfId="24123"/>
    <cellStyle name="Normal 6 4 7 4 3" xfId="39166"/>
    <cellStyle name="Normal 6 4 7 5" xfId="16602"/>
    <cellStyle name="Normal 6 4 7 6" xfId="31645"/>
    <cellStyle name="Normal 6 4 8" xfId="2442"/>
    <cellStyle name="Normal 6 4 8 2" xfId="6238"/>
    <cellStyle name="Normal 6 4 8 2 2" xfId="13761"/>
    <cellStyle name="Normal 6 4 8 2 2 2" xfId="28805"/>
    <cellStyle name="Normal 6 4 8 2 2 3" xfId="43848"/>
    <cellStyle name="Normal 6 4 8 2 3" xfId="21284"/>
    <cellStyle name="Normal 6 4 8 2 4" xfId="36327"/>
    <cellStyle name="Normal 6 4 8 3" xfId="10012"/>
    <cellStyle name="Normal 6 4 8 3 2" xfId="25056"/>
    <cellStyle name="Normal 6 4 8 3 3" xfId="40099"/>
    <cellStyle name="Normal 6 4 8 4" xfId="17535"/>
    <cellStyle name="Normal 6 4 8 5" xfId="32578"/>
    <cellStyle name="Normal 6 4 9" xfId="4370"/>
    <cellStyle name="Normal 6 4 9 2" xfId="11894"/>
    <cellStyle name="Normal 6 4 9 2 2" xfId="26938"/>
    <cellStyle name="Normal 6 4 9 2 3" xfId="41981"/>
    <cellStyle name="Normal 6 4 9 3" xfId="19417"/>
    <cellStyle name="Normal 6 4 9 4" xfId="34460"/>
    <cellStyle name="Normal 6 5" xfId="490"/>
    <cellStyle name="Normal 6 5 10" xfId="15668"/>
    <cellStyle name="Normal 6 5 11" xfId="30711"/>
    <cellStyle name="Normal 6 5 2" xfId="491"/>
    <cellStyle name="Normal 6 5 2 2" xfId="492"/>
    <cellStyle name="Normal 6 5 2 2 2" xfId="1011"/>
    <cellStyle name="Normal 6 5 2 2 2 2" xfId="1970"/>
    <cellStyle name="Normal 6 5 2 2 2 2 2" xfId="3841"/>
    <cellStyle name="Normal 6 5 2 2 2 2 2 2" xfId="7636"/>
    <cellStyle name="Normal 6 5 2 2 2 2 2 2 2" xfId="15159"/>
    <cellStyle name="Normal 6 5 2 2 2 2 2 2 2 2" xfId="30203"/>
    <cellStyle name="Normal 6 5 2 2 2 2 2 2 2 3" xfId="45246"/>
    <cellStyle name="Normal 6 5 2 2 2 2 2 2 3" xfId="22682"/>
    <cellStyle name="Normal 6 5 2 2 2 2 2 2 4" xfId="37725"/>
    <cellStyle name="Normal 6 5 2 2 2 2 2 3" xfId="11410"/>
    <cellStyle name="Normal 6 5 2 2 2 2 2 3 2" xfId="26454"/>
    <cellStyle name="Normal 6 5 2 2 2 2 2 3 3" xfId="41497"/>
    <cellStyle name="Normal 6 5 2 2 2 2 2 4" xfId="18933"/>
    <cellStyle name="Normal 6 5 2 2 2 2 2 5" xfId="33976"/>
    <cellStyle name="Normal 6 5 2 2 2 2 3" xfId="5771"/>
    <cellStyle name="Normal 6 5 2 2 2 2 3 2" xfId="13294"/>
    <cellStyle name="Normal 6 5 2 2 2 2 3 2 2" xfId="28338"/>
    <cellStyle name="Normal 6 5 2 2 2 2 3 2 3" xfId="43381"/>
    <cellStyle name="Normal 6 5 2 2 2 2 3 3" xfId="20817"/>
    <cellStyle name="Normal 6 5 2 2 2 2 3 4" xfId="35860"/>
    <cellStyle name="Normal 6 5 2 2 2 2 4" xfId="9545"/>
    <cellStyle name="Normal 6 5 2 2 2 2 4 2" xfId="24589"/>
    <cellStyle name="Normal 6 5 2 2 2 2 4 3" xfId="39632"/>
    <cellStyle name="Normal 6 5 2 2 2 2 5" xfId="17068"/>
    <cellStyle name="Normal 6 5 2 2 2 2 6" xfId="32111"/>
    <cellStyle name="Normal 6 5 2 2 2 3" xfId="2909"/>
    <cellStyle name="Normal 6 5 2 2 2 3 2" xfId="6704"/>
    <cellStyle name="Normal 6 5 2 2 2 3 2 2" xfId="14227"/>
    <cellStyle name="Normal 6 5 2 2 2 3 2 2 2" xfId="29271"/>
    <cellStyle name="Normal 6 5 2 2 2 3 2 2 3" xfId="44314"/>
    <cellStyle name="Normal 6 5 2 2 2 3 2 3" xfId="21750"/>
    <cellStyle name="Normal 6 5 2 2 2 3 2 4" xfId="36793"/>
    <cellStyle name="Normal 6 5 2 2 2 3 3" xfId="10478"/>
    <cellStyle name="Normal 6 5 2 2 2 3 3 2" xfId="25522"/>
    <cellStyle name="Normal 6 5 2 2 2 3 3 3" xfId="40565"/>
    <cellStyle name="Normal 6 5 2 2 2 3 4" xfId="18001"/>
    <cellStyle name="Normal 6 5 2 2 2 3 5" xfId="33044"/>
    <cellStyle name="Normal 6 5 2 2 2 4" xfId="4839"/>
    <cellStyle name="Normal 6 5 2 2 2 4 2" xfId="12362"/>
    <cellStyle name="Normal 6 5 2 2 2 4 2 2" xfId="27406"/>
    <cellStyle name="Normal 6 5 2 2 2 4 2 3" xfId="42449"/>
    <cellStyle name="Normal 6 5 2 2 2 4 3" xfId="19885"/>
    <cellStyle name="Normal 6 5 2 2 2 4 4" xfId="34928"/>
    <cellStyle name="Normal 6 5 2 2 2 5" xfId="8613"/>
    <cellStyle name="Normal 6 5 2 2 2 5 2" xfId="23657"/>
    <cellStyle name="Normal 6 5 2 2 2 5 3" xfId="38700"/>
    <cellStyle name="Normal 6 5 2 2 2 6" xfId="16136"/>
    <cellStyle name="Normal 6 5 2 2 2 7" xfId="31179"/>
    <cellStyle name="Normal 6 5 2 2 3" xfId="1518"/>
    <cellStyle name="Normal 6 5 2 2 3 2" xfId="3389"/>
    <cellStyle name="Normal 6 5 2 2 3 2 2" xfId="7184"/>
    <cellStyle name="Normal 6 5 2 2 3 2 2 2" xfId="14707"/>
    <cellStyle name="Normal 6 5 2 2 3 2 2 2 2" xfId="29751"/>
    <cellStyle name="Normal 6 5 2 2 3 2 2 2 3" xfId="44794"/>
    <cellStyle name="Normal 6 5 2 2 3 2 2 3" xfId="22230"/>
    <cellStyle name="Normal 6 5 2 2 3 2 2 4" xfId="37273"/>
    <cellStyle name="Normal 6 5 2 2 3 2 3" xfId="10958"/>
    <cellStyle name="Normal 6 5 2 2 3 2 3 2" xfId="26002"/>
    <cellStyle name="Normal 6 5 2 2 3 2 3 3" xfId="41045"/>
    <cellStyle name="Normal 6 5 2 2 3 2 4" xfId="18481"/>
    <cellStyle name="Normal 6 5 2 2 3 2 5" xfId="33524"/>
    <cellStyle name="Normal 6 5 2 2 3 3" xfId="5319"/>
    <cellStyle name="Normal 6 5 2 2 3 3 2" xfId="12842"/>
    <cellStyle name="Normal 6 5 2 2 3 3 2 2" xfId="27886"/>
    <cellStyle name="Normal 6 5 2 2 3 3 2 3" xfId="42929"/>
    <cellStyle name="Normal 6 5 2 2 3 3 3" xfId="20365"/>
    <cellStyle name="Normal 6 5 2 2 3 3 4" xfId="35408"/>
    <cellStyle name="Normal 6 5 2 2 3 4" xfId="9093"/>
    <cellStyle name="Normal 6 5 2 2 3 4 2" xfId="24137"/>
    <cellStyle name="Normal 6 5 2 2 3 4 3" xfId="39180"/>
    <cellStyle name="Normal 6 5 2 2 3 5" xfId="16616"/>
    <cellStyle name="Normal 6 5 2 2 3 6" xfId="31659"/>
    <cellStyle name="Normal 6 5 2 2 4" xfId="2456"/>
    <cellStyle name="Normal 6 5 2 2 4 2" xfId="6252"/>
    <cellStyle name="Normal 6 5 2 2 4 2 2" xfId="13775"/>
    <cellStyle name="Normal 6 5 2 2 4 2 2 2" xfId="28819"/>
    <cellStyle name="Normal 6 5 2 2 4 2 2 3" xfId="43862"/>
    <cellStyle name="Normal 6 5 2 2 4 2 3" xfId="21298"/>
    <cellStyle name="Normal 6 5 2 2 4 2 4" xfId="36341"/>
    <cellStyle name="Normal 6 5 2 2 4 3" xfId="10026"/>
    <cellStyle name="Normal 6 5 2 2 4 3 2" xfId="25070"/>
    <cellStyle name="Normal 6 5 2 2 4 3 3" xfId="40113"/>
    <cellStyle name="Normal 6 5 2 2 4 4" xfId="17549"/>
    <cellStyle name="Normal 6 5 2 2 4 5" xfId="32592"/>
    <cellStyle name="Normal 6 5 2 2 5" xfId="4384"/>
    <cellStyle name="Normal 6 5 2 2 5 2" xfId="11908"/>
    <cellStyle name="Normal 6 5 2 2 5 2 2" xfId="26952"/>
    <cellStyle name="Normal 6 5 2 2 5 2 3" xfId="41995"/>
    <cellStyle name="Normal 6 5 2 2 5 3" xfId="19431"/>
    <cellStyle name="Normal 6 5 2 2 5 4" xfId="34474"/>
    <cellStyle name="Normal 6 5 2 2 6" xfId="8147"/>
    <cellStyle name="Normal 6 5 2 2 6 2" xfId="23191"/>
    <cellStyle name="Normal 6 5 2 2 6 3" xfId="38234"/>
    <cellStyle name="Normal 6 5 2 2 7" xfId="15670"/>
    <cellStyle name="Normal 6 5 2 2 8" xfId="30713"/>
    <cellStyle name="Normal 6 5 2 3" xfId="1010"/>
    <cellStyle name="Normal 6 5 2 3 2" xfId="1969"/>
    <cellStyle name="Normal 6 5 2 3 2 2" xfId="3840"/>
    <cellStyle name="Normal 6 5 2 3 2 2 2" xfId="7635"/>
    <cellStyle name="Normal 6 5 2 3 2 2 2 2" xfId="15158"/>
    <cellStyle name="Normal 6 5 2 3 2 2 2 2 2" xfId="30202"/>
    <cellStyle name="Normal 6 5 2 3 2 2 2 2 3" xfId="45245"/>
    <cellStyle name="Normal 6 5 2 3 2 2 2 3" xfId="22681"/>
    <cellStyle name="Normal 6 5 2 3 2 2 2 4" xfId="37724"/>
    <cellStyle name="Normal 6 5 2 3 2 2 3" xfId="11409"/>
    <cellStyle name="Normal 6 5 2 3 2 2 3 2" xfId="26453"/>
    <cellStyle name="Normal 6 5 2 3 2 2 3 3" xfId="41496"/>
    <cellStyle name="Normal 6 5 2 3 2 2 4" xfId="18932"/>
    <cellStyle name="Normal 6 5 2 3 2 2 5" xfId="33975"/>
    <cellStyle name="Normal 6 5 2 3 2 3" xfId="5770"/>
    <cellStyle name="Normal 6 5 2 3 2 3 2" xfId="13293"/>
    <cellStyle name="Normal 6 5 2 3 2 3 2 2" xfId="28337"/>
    <cellStyle name="Normal 6 5 2 3 2 3 2 3" xfId="43380"/>
    <cellStyle name="Normal 6 5 2 3 2 3 3" xfId="20816"/>
    <cellStyle name="Normal 6 5 2 3 2 3 4" xfId="35859"/>
    <cellStyle name="Normal 6 5 2 3 2 4" xfId="9544"/>
    <cellStyle name="Normal 6 5 2 3 2 4 2" xfId="24588"/>
    <cellStyle name="Normal 6 5 2 3 2 4 3" xfId="39631"/>
    <cellStyle name="Normal 6 5 2 3 2 5" xfId="17067"/>
    <cellStyle name="Normal 6 5 2 3 2 6" xfId="32110"/>
    <cellStyle name="Normal 6 5 2 3 3" xfId="2908"/>
    <cellStyle name="Normal 6 5 2 3 3 2" xfId="6703"/>
    <cellStyle name="Normal 6 5 2 3 3 2 2" xfId="14226"/>
    <cellStyle name="Normal 6 5 2 3 3 2 2 2" xfId="29270"/>
    <cellStyle name="Normal 6 5 2 3 3 2 2 3" xfId="44313"/>
    <cellStyle name="Normal 6 5 2 3 3 2 3" xfId="21749"/>
    <cellStyle name="Normal 6 5 2 3 3 2 4" xfId="36792"/>
    <cellStyle name="Normal 6 5 2 3 3 3" xfId="10477"/>
    <cellStyle name="Normal 6 5 2 3 3 3 2" xfId="25521"/>
    <cellStyle name="Normal 6 5 2 3 3 3 3" xfId="40564"/>
    <cellStyle name="Normal 6 5 2 3 3 4" xfId="18000"/>
    <cellStyle name="Normal 6 5 2 3 3 5" xfId="33043"/>
    <cellStyle name="Normal 6 5 2 3 4" xfId="4838"/>
    <cellStyle name="Normal 6 5 2 3 4 2" xfId="12361"/>
    <cellStyle name="Normal 6 5 2 3 4 2 2" xfId="27405"/>
    <cellStyle name="Normal 6 5 2 3 4 2 3" xfId="42448"/>
    <cellStyle name="Normal 6 5 2 3 4 3" xfId="19884"/>
    <cellStyle name="Normal 6 5 2 3 4 4" xfId="34927"/>
    <cellStyle name="Normal 6 5 2 3 5" xfId="8612"/>
    <cellStyle name="Normal 6 5 2 3 5 2" xfId="23656"/>
    <cellStyle name="Normal 6 5 2 3 5 3" xfId="38699"/>
    <cellStyle name="Normal 6 5 2 3 6" xfId="16135"/>
    <cellStyle name="Normal 6 5 2 3 7" xfId="31178"/>
    <cellStyle name="Normal 6 5 2 4" xfId="1517"/>
    <cellStyle name="Normal 6 5 2 4 2" xfId="3388"/>
    <cellStyle name="Normal 6 5 2 4 2 2" xfId="7183"/>
    <cellStyle name="Normal 6 5 2 4 2 2 2" xfId="14706"/>
    <cellStyle name="Normal 6 5 2 4 2 2 2 2" xfId="29750"/>
    <cellStyle name="Normal 6 5 2 4 2 2 2 3" xfId="44793"/>
    <cellStyle name="Normal 6 5 2 4 2 2 3" xfId="22229"/>
    <cellStyle name="Normal 6 5 2 4 2 2 4" xfId="37272"/>
    <cellStyle name="Normal 6 5 2 4 2 3" xfId="10957"/>
    <cellStyle name="Normal 6 5 2 4 2 3 2" xfId="26001"/>
    <cellStyle name="Normal 6 5 2 4 2 3 3" xfId="41044"/>
    <cellStyle name="Normal 6 5 2 4 2 4" xfId="18480"/>
    <cellStyle name="Normal 6 5 2 4 2 5" xfId="33523"/>
    <cellStyle name="Normal 6 5 2 4 3" xfId="5318"/>
    <cellStyle name="Normal 6 5 2 4 3 2" xfId="12841"/>
    <cellStyle name="Normal 6 5 2 4 3 2 2" xfId="27885"/>
    <cellStyle name="Normal 6 5 2 4 3 2 3" xfId="42928"/>
    <cellStyle name="Normal 6 5 2 4 3 3" xfId="20364"/>
    <cellStyle name="Normal 6 5 2 4 3 4" xfId="35407"/>
    <cellStyle name="Normal 6 5 2 4 4" xfId="9092"/>
    <cellStyle name="Normal 6 5 2 4 4 2" xfId="24136"/>
    <cellStyle name="Normal 6 5 2 4 4 3" xfId="39179"/>
    <cellStyle name="Normal 6 5 2 4 5" xfId="16615"/>
    <cellStyle name="Normal 6 5 2 4 6" xfId="31658"/>
    <cellStyle name="Normal 6 5 2 5" xfId="2455"/>
    <cellStyle name="Normal 6 5 2 5 2" xfId="6251"/>
    <cellStyle name="Normal 6 5 2 5 2 2" xfId="13774"/>
    <cellStyle name="Normal 6 5 2 5 2 2 2" xfId="28818"/>
    <cellStyle name="Normal 6 5 2 5 2 2 3" xfId="43861"/>
    <cellStyle name="Normal 6 5 2 5 2 3" xfId="21297"/>
    <cellStyle name="Normal 6 5 2 5 2 4" xfId="36340"/>
    <cellStyle name="Normal 6 5 2 5 3" xfId="10025"/>
    <cellStyle name="Normal 6 5 2 5 3 2" xfId="25069"/>
    <cellStyle name="Normal 6 5 2 5 3 3" xfId="40112"/>
    <cellStyle name="Normal 6 5 2 5 4" xfId="17548"/>
    <cellStyle name="Normal 6 5 2 5 5" xfId="32591"/>
    <cellStyle name="Normal 6 5 2 6" xfId="4383"/>
    <cellStyle name="Normal 6 5 2 6 2" xfId="11907"/>
    <cellStyle name="Normal 6 5 2 6 2 2" xfId="26951"/>
    <cellStyle name="Normal 6 5 2 6 2 3" xfId="41994"/>
    <cellStyle name="Normal 6 5 2 6 3" xfId="19430"/>
    <cellStyle name="Normal 6 5 2 6 4" xfId="34473"/>
    <cellStyle name="Normal 6 5 2 7" xfId="8146"/>
    <cellStyle name="Normal 6 5 2 7 2" xfId="23190"/>
    <cellStyle name="Normal 6 5 2 7 3" xfId="38233"/>
    <cellStyle name="Normal 6 5 2 8" xfId="15669"/>
    <cellStyle name="Normal 6 5 2 9" xfId="30712"/>
    <cellStyle name="Normal 6 5 3" xfId="493"/>
    <cellStyle name="Normal 6 5 3 2" xfId="494"/>
    <cellStyle name="Normal 6 5 3 2 2" xfId="1013"/>
    <cellStyle name="Normal 6 5 3 2 2 2" xfId="1972"/>
    <cellStyle name="Normal 6 5 3 2 2 2 2" xfId="3843"/>
    <cellStyle name="Normal 6 5 3 2 2 2 2 2" xfId="7638"/>
    <cellStyle name="Normal 6 5 3 2 2 2 2 2 2" xfId="15161"/>
    <cellStyle name="Normal 6 5 3 2 2 2 2 2 2 2" xfId="30205"/>
    <cellStyle name="Normal 6 5 3 2 2 2 2 2 2 3" xfId="45248"/>
    <cellStyle name="Normal 6 5 3 2 2 2 2 2 3" xfId="22684"/>
    <cellStyle name="Normal 6 5 3 2 2 2 2 2 4" xfId="37727"/>
    <cellStyle name="Normal 6 5 3 2 2 2 2 3" xfId="11412"/>
    <cellStyle name="Normal 6 5 3 2 2 2 2 3 2" xfId="26456"/>
    <cellStyle name="Normal 6 5 3 2 2 2 2 3 3" xfId="41499"/>
    <cellStyle name="Normal 6 5 3 2 2 2 2 4" xfId="18935"/>
    <cellStyle name="Normal 6 5 3 2 2 2 2 5" xfId="33978"/>
    <cellStyle name="Normal 6 5 3 2 2 2 3" xfId="5773"/>
    <cellStyle name="Normal 6 5 3 2 2 2 3 2" xfId="13296"/>
    <cellStyle name="Normal 6 5 3 2 2 2 3 2 2" xfId="28340"/>
    <cellStyle name="Normal 6 5 3 2 2 2 3 2 3" xfId="43383"/>
    <cellStyle name="Normal 6 5 3 2 2 2 3 3" xfId="20819"/>
    <cellStyle name="Normal 6 5 3 2 2 2 3 4" xfId="35862"/>
    <cellStyle name="Normal 6 5 3 2 2 2 4" xfId="9547"/>
    <cellStyle name="Normal 6 5 3 2 2 2 4 2" xfId="24591"/>
    <cellStyle name="Normal 6 5 3 2 2 2 4 3" xfId="39634"/>
    <cellStyle name="Normal 6 5 3 2 2 2 5" xfId="17070"/>
    <cellStyle name="Normal 6 5 3 2 2 2 6" xfId="32113"/>
    <cellStyle name="Normal 6 5 3 2 2 3" xfId="2911"/>
    <cellStyle name="Normal 6 5 3 2 2 3 2" xfId="6706"/>
    <cellStyle name="Normal 6 5 3 2 2 3 2 2" xfId="14229"/>
    <cellStyle name="Normal 6 5 3 2 2 3 2 2 2" xfId="29273"/>
    <cellStyle name="Normal 6 5 3 2 2 3 2 2 3" xfId="44316"/>
    <cellStyle name="Normal 6 5 3 2 2 3 2 3" xfId="21752"/>
    <cellStyle name="Normal 6 5 3 2 2 3 2 4" xfId="36795"/>
    <cellStyle name="Normal 6 5 3 2 2 3 3" xfId="10480"/>
    <cellStyle name="Normal 6 5 3 2 2 3 3 2" xfId="25524"/>
    <cellStyle name="Normal 6 5 3 2 2 3 3 3" xfId="40567"/>
    <cellStyle name="Normal 6 5 3 2 2 3 4" xfId="18003"/>
    <cellStyle name="Normal 6 5 3 2 2 3 5" xfId="33046"/>
    <cellStyle name="Normal 6 5 3 2 2 4" xfId="4841"/>
    <cellStyle name="Normal 6 5 3 2 2 4 2" xfId="12364"/>
    <cellStyle name="Normal 6 5 3 2 2 4 2 2" xfId="27408"/>
    <cellStyle name="Normal 6 5 3 2 2 4 2 3" xfId="42451"/>
    <cellStyle name="Normal 6 5 3 2 2 4 3" xfId="19887"/>
    <cellStyle name="Normal 6 5 3 2 2 4 4" xfId="34930"/>
    <cellStyle name="Normal 6 5 3 2 2 5" xfId="8615"/>
    <cellStyle name="Normal 6 5 3 2 2 5 2" xfId="23659"/>
    <cellStyle name="Normal 6 5 3 2 2 5 3" xfId="38702"/>
    <cellStyle name="Normal 6 5 3 2 2 6" xfId="16138"/>
    <cellStyle name="Normal 6 5 3 2 2 7" xfId="31181"/>
    <cellStyle name="Normal 6 5 3 2 3" xfId="1520"/>
    <cellStyle name="Normal 6 5 3 2 3 2" xfId="3391"/>
    <cellStyle name="Normal 6 5 3 2 3 2 2" xfId="7186"/>
    <cellStyle name="Normal 6 5 3 2 3 2 2 2" xfId="14709"/>
    <cellStyle name="Normal 6 5 3 2 3 2 2 2 2" xfId="29753"/>
    <cellStyle name="Normal 6 5 3 2 3 2 2 2 3" xfId="44796"/>
    <cellStyle name="Normal 6 5 3 2 3 2 2 3" xfId="22232"/>
    <cellStyle name="Normal 6 5 3 2 3 2 2 4" xfId="37275"/>
    <cellStyle name="Normal 6 5 3 2 3 2 3" xfId="10960"/>
    <cellStyle name="Normal 6 5 3 2 3 2 3 2" xfId="26004"/>
    <cellStyle name="Normal 6 5 3 2 3 2 3 3" xfId="41047"/>
    <cellStyle name="Normal 6 5 3 2 3 2 4" xfId="18483"/>
    <cellStyle name="Normal 6 5 3 2 3 2 5" xfId="33526"/>
    <cellStyle name="Normal 6 5 3 2 3 3" xfId="5321"/>
    <cellStyle name="Normal 6 5 3 2 3 3 2" xfId="12844"/>
    <cellStyle name="Normal 6 5 3 2 3 3 2 2" xfId="27888"/>
    <cellStyle name="Normal 6 5 3 2 3 3 2 3" xfId="42931"/>
    <cellStyle name="Normal 6 5 3 2 3 3 3" xfId="20367"/>
    <cellStyle name="Normal 6 5 3 2 3 3 4" xfId="35410"/>
    <cellStyle name="Normal 6 5 3 2 3 4" xfId="9095"/>
    <cellStyle name="Normal 6 5 3 2 3 4 2" xfId="24139"/>
    <cellStyle name="Normal 6 5 3 2 3 4 3" xfId="39182"/>
    <cellStyle name="Normal 6 5 3 2 3 5" xfId="16618"/>
    <cellStyle name="Normal 6 5 3 2 3 6" xfId="31661"/>
    <cellStyle name="Normal 6 5 3 2 4" xfId="2458"/>
    <cellStyle name="Normal 6 5 3 2 4 2" xfId="6254"/>
    <cellStyle name="Normal 6 5 3 2 4 2 2" xfId="13777"/>
    <cellStyle name="Normal 6 5 3 2 4 2 2 2" xfId="28821"/>
    <cellStyle name="Normal 6 5 3 2 4 2 2 3" xfId="43864"/>
    <cellStyle name="Normal 6 5 3 2 4 2 3" xfId="21300"/>
    <cellStyle name="Normal 6 5 3 2 4 2 4" xfId="36343"/>
    <cellStyle name="Normal 6 5 3 2 4 3" xfId="10028"/>
    <cellStyle name="Normal 6 5 3 2 4 3 2" xfId="25072"/>
    <cellStyle name="Normal 6 5 3 2 4 3 3" xfId="40115"/>
    <cellStyle name="Normal 6 5 3 2 4 4" xfId="17551"/>
    <cellStyle name="Normal 6 5 3 2 4 5" xfId="32594"/>
    <cellStyle name="Normal 6 5 3 2 5" xfId="4386"/>
    <cellStyle name="Normal 6 5 3 2 5 2" xfId="11910"/>
    <cellStyle name="Normal 6 5 3 2 5 2 2" xfId="26954"/>
    <cellStyle name="Normal 6 5 3 2 5 2 3" xfId="41997"/>
    <cellStyle name="Normal 6 5 3 2 5 3" xfId="19433"/>
    <cellStyle name="Normal 6 5 3 2 5 4" xfId="34476"/>
    <cellStyle name="Normal 6 5 3 2 6" xfId="8149"/>
    <cellStyle name="Normal 6 5 3 2 6 2" xfId="23193"/>
    <cellStyle name="Normal 6 5 3 2 6 3" xfId="38236"/>
    <cellStyle name="Normal 6 5 3 2 7" xfId="15672"/>
    <cellStyle name="Normal 6 5 3 2 8" xfId="30715"/>
    <cellStyle name="Normal 6 5 3 3" xfId="1012"/>
    <cellStyle name="Normal 6 5 3 3 2" xfId="1971"/>
    <cellStyle name="Normal 6 5 3 3 2 2" xfId="3842"/>
    <cellStyle name="Normal 6 5 3 3 2 2 2" xfId="7637"/>
    <cellStyle name="Normal 6 5 3 3 2 2 2 2" xfId="15160"/>
    <cellStyle name="Normal 6 5 3 3 2 2 2 2 2" xfId="30204"/>
    <cellStyle name="Normal 6 5 3 3 2 2 2 2 3" xfId="45247"/>
    <cellStyle name="Normal 6 5 3 3 2 2 2 3" xfId="22683"/>
    <cellStyle name="Normal 6 5 3 3 2 2 2 4" xfId="37726"/>
    <cellStyle name="Normal 6 5 3 3 2 2 3" xfId="11411"/>
    <cellStyle name="Normal 6 5 3 3 2 2 3 2" xfId="26455"/>
    <cellStyle name="Normal 6 5 3 3 2 2 3 3" xfId="41498"/>
    <cellStyle name="Normal 6 5 3 3 2 2 4" xfId="18934"/>
    <cellStyle name="Normal 6 5 3 3 2 2 5" xfId="33977"/>
    <cellStyle name="Normal 6 5 3 3 2 3" xfId="5772"/>
    <cellStyle name="Normal 6 5 3 3 2 3 2" xfId="13295"/>
    <cellStyle name="Normal 6 5 3 3 2 3 2 2" xfId="28339"/>
    <cellStyle name="Normal 6 5 3 3 2 3 2 3" xfId="43382"/>
    <cellStyle name="Normal 6 5 3 3 2 3 3" xfId="20818"/>
    <cellStyle name="Normal 6 5 3 3 2 3 4" xfId="35861"/>
    <cellStyle name="Normal 6 5 3 3 2 4" xfId="9546"/>
    <cellStyle name="Normal 6 5 3 3 2 4 2" xfId="24590"/>
    <cellStyle name="Normal 6 5 3 3 2 4 3" xfId="39633"/>
    <cellStyle name="Normal 6 5 3 3 2 5" xfId="17069"/>
    <cellStyle name="Normal 6 5 3 3 2 6" xfId="32112"/>
    <cellStyle name="Normal 6 5 3 3 3" xfId="2910"/>
    <cellStyle name="Normal 6 5 3 3 3 2" xfId="6705"/>
    <cellStyle name="Normal 6 5 3 3 3 2 2" xfId="14228"/>
    <cellStyle name="Normal 6 5 3 3 3 2 2 2" xfId="29272"/>
    <cellStyle name="Normal 6 5 3 3 3 2 2 3" xfId="44315"/>
    <cellStyle name="Normal 6 5 3 3 3 2 3" xfId="21751"/>
    <cellStyle name="Normal 6 5 3 3 3 2 4" xfId="36794"/>
    <cellStyle name="Normal 6 5 3 3 3 3" xfId="10479"/>
    <cellStyle name="Normal 6 5 3 3 3 3 2" xfId="25523"/>
    <cellStyle name="Normal 6 5 3 3 3 3 3" xfId="40566"/>
    <cellStyle name="Normal 6 5 3 3 3 4" xfId="18002"/>
    <cellStyle name="Normal 6 5 3 3 3 5" xfId="33045"/>
    <cellStyle name="Normal 6 5 3 3 4" xfId="4840"/>
    <cellStyle name="Normal 6 5 3 3 4 2" xfId="12363"/>
    <cellStyle name="Normal 6 5 3 3 4 2 2" xfId="27407"/>
    <cellStyle name="Normal 6 5 3 3 4 2 3" xfId="42450"/>
    <cellStyle name="Normal 6 5 3 3 4 3" xfId="19886"/>
    <cellStyle name="Normal 6 5 3 3 4 4" xfId="34929"/>
    <cellStyle name="Normal 6 5 3 3 5" xfId="8614"/>
    <cellStyle name="Normal 6 5 3 3 5 2" xfId="23658"/>
    <cellStyle name="Normal 6 5 3 3 5 3" xfId="38701"/>
    <cellStyle name="Normal 6 5 3 3 6" xfId="16137"/>
    <cellStyle name="Normal 6 5 3 3 7" xfId="31180"/>
    <cellStyle name="Normal 6 5 3 4" xfId="1519"/>
    <cellStyle name="Normal 6 5 3 4 2" xfId="3390"/>
    <cellStyle name="Normal 6 5 3 4 2 2" xfId="7185"/>
    <cellStyle name="Normal 6 5 3 4 2 2 2" xfId="14708"/>
    <cellStyle name="Normal 6 5 3 4 2 2 2 2" xfId="29752"/>
    <cellStyle name="Normal 6 5 3 4 2 2 2 3" xfId="44795"/>
    <cellStyle name="Normal 6 5 3 4 2 2 3" xfId="22231"/>
    <cellStyle name="Normal 6 5 3 4 2 2 4" xfId="37274"/>
    <cellStyle name="Normal 6 5 3 4 2 3" xfId="10959"/>
    <cellStyle name="Normal 6 5 3 4 2 3 2" xfId="26003"/>
    <cellStyle name="Normal 6 5 3 4 2 3 3" xfId="41046"/>
    <cellStyle name="Normal 6 5 3 4 2 4" xfId="18482"/>
    <cellStyle name="Normal 6 5 3 4 2 5" xfId="33525"/>
    <cellStyle name="Normal 6 5 3 4 3" xfId="5320"/>
    <cellStyle name="Normal 6 5 3 4 3 2" xfId="12843"/>
    <cellStyle name="Normal 6 5 3 4 3 2 2" xfId="27887"/>
    <cellStyle name="Normal 6 5 3 4 3 2 3" xfId="42930"/>
    <cellStyle name="Normal 6 5 3 4 3 3" xfId="20366"/>
    <cellStyle name="Normal 6 5 3 4 3 4" xfId="35409"/>
    <cellStyle name="Normal 6 5 3 4 4" xfId="9094"/>
    <cellStyle name="Normal 6 5 3 4 4 2" xfId="24138"/>
    <cellStyle name="Normal 6 5 3 4 4 3" xfId="39181"/>
    <cellStyle name="Normal 6 5 3 4 5" xfId="16617"/>
    <cellStyle name="Normal 6 5 3 4 6" xfId="31660"/>
    <cellStyle name="Normal 6 5 3 5" xfId="2457"/>
    <cellStyle name="Normal 6 5 3 5 2" xfId="6253"/>
    <cellStyle name="Normal 6 5 3 5 2 2" xfId="13776"/>
    <cellStyle name="Normal 6 5 3 5 2 2 2" xfId="28820"/>
    <cellStyle name="Normal 6 5 3 5 2 2 3" xfId="43863"/>
    <cellStyle name="Normal 6 5 3 5 2 3" xfId="21299"/>
    <cellStyle name="Normal 6 5 3 5 2 4" xfId="36342"/>
    <cellStyle name="Normal 6 5 3 5 3" xfId="10027"/>
    <cellStyle name="Normal 6 5 3 5 3 2" xfId="25071"/>
    <cellStyle name="Normal 6 5 3 5 3 3" xfId="40114"/>
    <cellStyle name="Normal 6 5 3 5 4" xfId="17550"/>
    <cellStyle name="Normal 6 5 3 5 5" xfId="32593"/>
    <cellStyle name="Normal 6 5 3 6" xfId="4385"/>
    <cellStyle name="Normal 6 5 3 6 2" xfId="11909"/>
    <cellStyle name="Normal 6 5 3 6 2 2" xfId="26953"/>
    <cellStyle name="Normal 6 5 3 6 2 3" xfId="41996"/>
    <cellStyle name="Normal 6 5 3 6 3" xfId="19432"/>
    <cellStyle name="Normal 6 5 3 6 4" xfId="34475"/>
    <cellStyle name="Normal 6 5 3 7" xfId="8148"/>
    <cellStyle name="Normal 6 5 3 7 2" xfId="23192"/>
    <cellStyle name="Normal 6 5 3 7 3" xfId="38235"/>
    <cellStyle name="Normal 6 5 3 8" xfId="15671"/>
    <cellStyle name="Normal 6 5 3 9" xfId="30714"/>
    <cellStyle name="Normal 6 5 4" xfId="495"/>
    <cellStyle name="Normal 6 5 4 2" xfId="1014"/>
    <cellStyle name="Normal 6 5 4 2 2" xfId="1973"/>
    <cellStyle name="Normal 6 5 4 2 2 2" xfId="3844"/>
    <cellStyle name="Normal 6 5 4 2 2 2 2" xfId="7639"/>
    <cellStyle name="Normal 6 5 4 2 2 2 2 2" xfId="15162"/>
    <cellStyle name="Normal 6 5 4 2 2 2 2 2 2" xfId="30206"/>
    <cellStyle name="Normal 6 5 4 2 2 2 2 2 3" xfId="45249"/>
    <cellStyle name="Normal 6 5 4 2 2 2 2 3" xfId="22685"/>
    <cellStyle name="Normal 6 5 4 2 2 2 2 4" xfId="37728"/>
    <cellStyle name="Normal 6 5 4 2 2 2 3" xfId="11413"/>
    <cellStyle name="Normal 6 5 4 2 2 2 3 2" xfId="26457"/>
    <cellStyle name="Normal 6 5 4 2 2 2 3 3" xfId="41500"/>
    <cellStyle name="Normal 6 5 4 2 2 2 4" xfId="18936"/>
    <cellStyle name="Normal 6 5 4 2 2 2 5" xfId="33979"/>
    <cellStyle name="Normal 6 5 4 2 2 3" xfId="5774"/>
    <cellStyle name="Normal 6 5 4 2 2 3 2" xfId="13297"/>
    <cellStyle name="Normal 6 5 4 2 2 3 2 2" xfId="28341"/>
    <cellStyle name="Normal 6 5 4 2 2 3 2 3" xfId="43384"/>
    <cellStyle name="Normal 6 5 4 2 2 3 3" xfId="20820"/>
    <cellStyle name="Normal 6 5 4 2 2 3 4" xfId="35863"/>
    <cellStyle name="Normal 6 5 4 2 2 4" xfId="9548"/>
    <cellStyle name="Normal 6 5 4 2 2 4 2" xfId="24592"/>
    <cellStyle name="Normal 6 5 4 2 2 4 3" xfId="39635"/>
    <cellStyle name="Normal 6 5 4 2 2 5" xfId="17071"/>
    <cellStyle name="Normal 6 5 4 2 2 6" xfId="32114"/>
    <cellStyle name="Normal 6 5 4 2 3" xfId="2912"/>
    <cellStyle name="Normal 6 5 4 2 3 2" xfId="6707"/>
    <cellStyle name="Normal 6 5 4 2 3 2 2" xfId="14230"/>
    <cellStyle name="Normal 6 5 4 2 3 2 2 2" xfId="29274"/>
    <cellStyle name="Normal 6 5 4 2 3 2 2 3" xfId="44317"/>
    <cellStyle name="Normal 6 5 4 2 3 2 3" xfId="21753"/>
    <cellStyle name="Normal 6 5 4 2 3 2 4" xfId="36796"/>
    <cellStyle name="Normal 6 5 4 2 3 3" xfId="10481"/>
    <cellStyle name="Normal 6 5 4 2 3 3 2" xfId="25525"/>
    <cellStyle name="Normal 6 5 4 2 3 3 3" xfId="40568"/>
    <cellStyle name="Normal 6 5 4 2 3 4" xfId="18004"/>
    <cellStyle name="Normal 6 5 4 2 3 5" xfId="33047"/>
    <cellStyle name="Normal 6 5 4 2 4" xfId="4842"/>
    <cellStyle name="Normal 6 5 4 2 4 2" xfId="12365"/>
    <cellStyle name="Normal 6 5 4 2 4 2 2" xfId="27409"/>
    <cellStyle name="Normal 6 5 4 2 4 2 3" xfId="42452"/>
    <cellStyle name="Normal 6 5 4 2 4 3" xfId="19888"/>
    <cellStyle name="Normal 6 5 4 2 4 4" xfId="34931"/>
    <cellStyle name="Normal 6 5 4 2 5" xfId="8616"/>
    <cellStyle name="Normal 6 5 4 2 5 2" xfId="23660"/>
    <cellStyle name="Normal 6 5 4 2 5 3" xfId="38703"/>
    <cellStyle name="Normal 6 5 4 2 6" xfId="16139"/>
    <cellStyle name="Normal 6 5 4 2 7" xfId="31182"/>
    <cellStyle name="Normal 6 5 4 3" xfId="1521"/>
    <cellStyle name="Normal 6 5 4 3 2" xfId="3392"/>
    <cellStyle name="Normal 6 5 4 3 2 2" xfId="7187"/>
    <cellStyle name="Normal 6 5 4 3 2 2 2" xfId="14710"/>
    <cellStyle name="Normal 6 5 4 3 2 2 2 2" xfId="29754"/>
    <cellStyle name="Normal 6 5 4 3 2 2 2 3" xfId="44797"/>
    <cellStyle name="Normal 6 5 4 3 2 2 3" xfId="22233"/>
    <cellStyle name="Normal 6 5 4 3 2 2 4" xfId="37276"/>
    <cellStyle name="Normal 6 5 4 3 2 3" xfId="10961"/>
    <cellStyle name="Normal 6 5 4 3 2 3 2" xfId="26005"/>
    <cellStyle name="Normal 6 5 4 3 2 3 3" xfId="41048"/>
    <cellStyle name="Normal 6 5 4 3 2 4" xfId="18484"/>
    <cellStyle name="Normal 6 5 4 3 2 5" xfId="33527"/>
    <cellStyle name="Normal 6 5 4 3 3" xfId="5322"/>
    <cellStyle name="Normal 6 5 4 3 3 2" xfId="12845"/>
    <cellStyle name="Normal 6 5 4 3 3 2 2" xfId="27889"/>
    <cellStyle name="Normal 6 5 4 3 3 2 3" xfId="42932"/>
    <cellStyle name="Normal 6 5 4 3 3 3" xfId="20368"/>
    <cellStyle name="Normal 6 5 4 3 3 4" xfId="35411"/>
    <cellStyle name="Normal 6 5 4 3 4" xfId="9096"/>
    <cellStyle name="Normal 6 5 4 3 4 2" xfId="24140"/>
    <cellStyle name="Normal 6 5 4 3 4 3" xfId="39183"/>
    <cellStyle name="Normal 6 5 4 3 5" xfId="16619"/>
    <cellStyle name="Normal 6 5 4 3 6" xfId="31662"/>
    <cellStyle name="Normal 6 5 4 4" xfId="2459"/>
    <cellStyle name="Normal 6 5 4 4 2" xfId="6255"/>
    <cellStyle name="Normal 6 5 4 4 2 2" xfId="13778"/>
    <cellStyle name="Normal 6 5 4 4 2 2 2" xfId="28822"/>
    <cellStyle name="Normal 6 5 4 4 2 2 3" xfId="43865"/>
    <cellStyle name="Normal 6 5 4 4 2 3" xfId="21301"/>
    <cellStyle name="Normal 6 5 4 4 2 4" xfId="36344"/>
    <cellStyle name="Normal 6 5 4 4 3" xfId="10029"/>
    <cellStyle name="Normal 6 5 4 4 3 2" xfId="25073"/>
    <cellStyle name="Normal 6 5 4 4 3 3" xfId="40116"/>
    <cellStyle name="Normal 6 5 4 4 4" xfId="17552"/>
    <cellStyle name="Normal 6 5 4 4 5" xfId="32595"/>
    <cellStyle name="Normal 6 5 4 5" xfId="4387"/>
    <cellStyle name="Normal 6 5 4 5 2" xfId="11911"/>
    <cellStyle name="Normal 6 5 4 5 2 2" xfId="26955"/>
    <cellStyle name="Normal 6 5 4 5 2 3" xfId="41998"/>
    <cellStyle name="Normal 6 5 4 5 3" xfId="19434"/>
    <cellStyle name="Normal 6 5 4 5 4" xfId="34477"/>
    <cellStyle name="Normal 6 5 4 6" xfId="8150"/>
    <cellStyle name="Normal 6 5 4 6 2" xfId="23194"/>
    <cellStyle name="Normal 6 5 4 6 3" xfId="38237"/>
    <cellStyle name="Normal 6 5 4 7" xfId="15673"/>
    <cellStyle name="Normal 6 5 4 8" xfId="30716"/>
    <cellStyle name="Normal 6 5 5" xfId="1009"/>
    <cellStyle name="Normal 6 5 5 2" xfId="1968"/>
    <cellStyle name="Normal 6 5 5 2 2" xfId="3839"/>
    <cellStyle name="Normal 6 5 5 2 2 2" xfId="7634"/>
    <cellStyle name="Normal 6 5 5 2 2 2 2" xfId="15157"/>
    <cellStyle name="Normal 6 5 5 2 2 2 2 2" xfId="30201"/>
    <cellStyle name="Normal 6 5 5 2 2 2 2 3" xfId="45244"/>
    <cellStyle name="Normal 6 5 5 2 2 2 3" xfId="22680"/>
    <cellStyle name="Normal 6 5 5 2 2 2 4" xfId="37723"/>
    <cellStyle name="Normal 6 5 5 2 2 3" xfId="11408"/>
    <cellStyle name="Normal 6 5 5 2 2 3 2" xfId="26452"/>
    <cellStyle name="Normal 6 5 5 2 2 3 3" xfId="41495"/>
    <cellStyle name="Normal 6 5 5 2 2 4" xfId="18931"/>
    <cellStyle name="Normal 6 5 5 2 2 5" xfId="33974"/>
    <cellStyle name="Normal 6 5 5 2 3" xfId="5769"/>
    <cellStyle name="Normal 6 5 5 2 3 2" xfId="13292"/>
    <cellStyle name="Normal 6 5 5 2 3 2 2" xfId="28336"/>
    <cellStyle name="Normal 6 5 5 2 3 2 3" xfId="43379"/>
    <cellStyle name="Normal 6 5 5 2 3 3" xfId="20815"/>
    <cellStyle name="Normal 6 5 5 2 3 4" xfId="35858"/>
    <cellStyle name="Normal 6 5 5 2 4" xfId="9543"/>
    <cellStyle name="Normal 6 5 5 2 4 2" xfId="24587"/>
    <cellStyle name="Normal 6 5 5 2 4 3" xfId="39630"/>
    <cellStyle name="Normal 6 5 5 2 5" xfId="17066"/>
    <cellStyle name="Normal 6 5 5 2 6" xfId="32109"/>
    <cellStyle name="Normal 6 5 5 3" xfId="2907"/>
    <cellStyle name="Normal 6 5 5 3 2" xfId="6702"/>
    <cellStyle name="Normal 6 5 5 3 2 2" xfId="14225"/>
    <cellStyle name="Normal 6 5 5 3 2 2 2" xfId="29269"/>
    <cellStyle name="Normal 6 5 5 3 2 2 3" xfId="44312"/>
    <cellStyle name="Normal 6 5 5 3 2 3" xfId="21748"/>
    <cellStyle name="Normal 6 5 5 3 2 4" xfId="36791"/>
    <cellStyle name="Normal 6 5 5 3 3" xfId="10476"/>
    <cellStyle name="Normal 6 5 5 3 3 2" xfId="25520"/>
    <cellStyle name="Normal 6 5 5 3 3 3" xfId="40563"/>
    <cellStyle name="Normal 6 5 5 3 4" xfId="17999"/>
    <cellStyle name="Normal 6 5 5 3 5" xfId="33042"/>
    <cellStyle name="Normal 6 5 5 4" xfId="4837"/>
    <cellStyle name="Normal 6 5 5 4 2" xfId="12360"/>
    <cellStyle name="Normal 6 5 5 4 2 2" xfId="27404"/>
    <cellStyle name="Normal 6 5 5 4 2 3" xfId="42447"/>
    <cellStyle name="Normal 6 5 5 4 3" xfId="19883"/>
    <cellStyle name="Normal 6 5 5 4 4" xfId="34926"/>
    <cellStyle name="Normal 6 5 5 5" xfId="8611"/>
    <cellStyle name="Normal 6 5 5 5 2" xfId="23655"/>
    <cellStyle name="Normal 6 5 5 5 3" xfId="38698"/>
    <cellStyle name="Normal 6 5 5 6" xfId="16134"/>
    <cellStyle name="Normal 6 5 5 7" xfId="31177"/>
    <cellStyle name="Normal 6 5 6" xfId="1516"/>
    <cellStyle name="Normal 6 5 6 2" xfId="3387"/>
    <cellStyle name="Normal 6 5 6 2 2" xfId="7182"/>
    <cellStyle name="Normal 6 5 6 2 2 2" xfId="14705"/>
    <cellStyle name="Normal 6 5 6 2 2 2 2" xfId="29749"/>
    <cellStyle name="Normal 6 5 6 2 2 2 3" xfId="44792"/>
    <cellStyle name="Normal 6 5 6 2 2 3" xfId="22228"/>
    <cellStyle name="Normal 6 5 6 2 2 4" xfId="37271"/>
    <cellStyle name="Normal 6 5 6 2 3" xfId="10956"/>
    <cellStyle name="Normal 6 5 6 2 3 2" xfId="26000"/>
    <cellStyle name="Normal 6 5 6 2 3 3" xfId="41043"/>
    <cellStyle name="Normal 6 5 6 2 4" xfId="18479"/>
    <cellStyle name="Normal 6 5 6 2 5" xfId="33522"/>
    <cellStyle name="Normal 6 5 6 3" xfId="5317"/>
    <cellStyle name="Normal 6 5 6 3 2" xfId="12840"/>
    <cellStyle name="Normal 6 5 6 3 2 2" xfId="27884"/>
    <cellStyle name="Normal 6 5 6 3 2 3" xfId="42927"/>
    <cellStyle name="Normal 6 5 6 3 3" xfId="20363"/>
    <cellStyle name="Normal 6 5 6 3 4" xfId="35406"/>
    <cellStyle name="Normal 6 5 6 4" xfId="9091"/>
    <cellStyle name="Normal 6 5 6 4 2" xfId="24135"/>
    <cellStyle name="Normal 6 5 6 4 3" xfId="39178"/>
    <cellStyle name="Normal 6 5 6 5" xfId="16614"/>
    <cellStyle name="Normal 6 5 6 6" xfId="31657"/>
    <cellStyle name="Normal 6 5 7" xfId="2454"/>
    <cellStyle name="Normal 6 5 7 2" xfId="6250"/>
    <cellStyle name="Normal 6 5 7 2 2" xfId="13773"/>
    <cellStyle name="Normal 6 5 7 2 2 2" xfId="28817"/>
    <cellStyle name="Normal 6 5 7 2 2 3" xfId="43860"/>
    <cellStyle name="Normal 6 5 7 2 3" xfId="21296"/>
    <cellStyle name="Normal 6 5 7 2 4" xfId="36339"/>
    <cellStyle name="Normal 6 5 7 3" xfId="10024"/>
    <cellStyle name="Normal 6 5 7 3 2" xfId="25068"/>
    <cellStyle name="Normal 6 5 7 3 3" xfId="40111"/>
    <cellStyle name="Normal 6 5 7 4" xfId="17547"/>
    <cellStyle name="Normal 6 5 7 5" xfId="32590"/>
    <cellStyle name="Normal 6 5 8" xfId="4382"/>
    <cellStyle name="Normal 6 5 8 2" xfId="11906"/>
    <cellStyle name="Normal 6 5 8 2 2" xfId="26950"/>
    <cellStyle name="Normal 6 5 8 2 3" xfId="41993"/>
    <cellStyle name="Normal 6 5 8 3" xfId="19429"/>
    <cellStyle name="Normal 6 5 8 4" xfId="34472"/>
    <cellStyle name="Normal 6 5 9" xfId="8145"/>
    <cellStyle name="Normal 6 5 9 2" xfId="23189"/>
    <cellStyle name="Normal 6 5 9 3" xfId="38232"/>
    <cellStyle name="Normal 6 6" xfId="496"/>
    <cellStyle name="Normal 6 6 2" xfId="497"/>
    <cellStyle name="Normal 6 6 2 2" xfId="1016"/>
    <cellStyle name="Normal 6 6 2 2 2" xfId="1975"/>
    <cellStyle name="Normal 6 6 2 2 2 2" xfId="3846"/>
    <cellStyle name="Normal 6 6 2 2 2 2 2" xfId="7641"/>
    <cellStyle name="Normal 6 6 2 2 2 2 2 2" xfId="15164"/>
    <cellStyle name="Normal 6 6 2 2 2 2 2 2 2" xfId="30208"/>
    <cellStyle name="Normal 6 6 2 2 2 2 2 2 3" xfId="45251"/>
    <cellStyle name="Normal 6 6 2 2 2 2 2 3" xfId="22687"/>
    <cellStyle name="Normal 6 6 2 2 2 2 2 4" xfId="37730"/>
    <cellStyle name="Normal 6 6 2 2 2 2 3" xfId="11415"/>
    <cellStyle name="Normal 6 6 2 2 2 2 3 2" xfId="26459"/>
    <cellStyle name="Normal 6 6 2 2 2 2 3 3" xfId="41502"/>
    <cellStyle name="Normal 6 6 2 2 2 2 4" xfId="18938"/>
    <cellStyle name="Normal 6 6 2 2 2 2 5" xfId="33981"/>
    <cellStyle name="Normal 6 6 2 2 2 3" xfId="5776"/>
    <cellStyle name="Normal 6 6 2 2 2 3 2" xfId="13299"/>
    <cellStyle name="Normal 6 6 2 2 2 3 2 2" xfId="28343"/>
    <cellStyle name="Normal 6 6 2 2 2 3 2 3" xfId="43386"/>
    <cellStyle name="Normal 6 6 2 2 2 3 3" xfId="20822"/>
    <cellStyle name="Normal 6 6 2 2 2 3 4" xfId="35865"/>
    <cellStyle name="Normal 6 6 2 2 2 4" xfId="9550"/>
    <cellStyle name="Normal 6 6 2 2 2 4 2" xfId="24594"/>
    <cellStyle name="Normal 6 6 2 2 2 4 3" xfId="39637"/>
    <cellStyle name="Normal 6 6 2 2 2 5" xfId="17073"/>
    <cellStyle name="Normal 6 6 2 2 2 6" xfId="32116"/>
    <cellStyle name="Normal 6 6 2 2 3" xfId="2914"/>
    <cellStyle name="Normal 6 6 2 2 3 2" xfId="6709"/>
    <cellStyle name="Normal 6 6 2 2 3 2 2" xfId="14232"/>
    <cellStyle name="Normal 6 6 2 2 3 2 2 2" xfId="29276"/>
    <cellStyle name="Normal 6 6 2 2 3 2 2 3" xfId="44319"/>
    <cellStyle name="Normal 6 6 2 2 3 2 3" xfId="21755"/>
    <cellStyle name="Normal 6 6 2 2 3 2 4" xfId="36798"/>
    <cellStyle name="Normal 6 6 2 2 3 3" xfId="10483"/>
    <cellStyle name="Normal 6 6 2 2 3 3 2" xfId="25527"/>
    <cellStyle name="Normal 6 6 2 2 3 3 3" xfId="40570"/>
    <cellStyle name="Normal 6 6 2 2 3 4" xfId="18006"/>
    <cellStyle name="Normal 6 6 2 2 3 5" xfId="33049"/>
    <cellStyle name="Normal 6 6 2 2 4" xfId="4844"/>
    <cellStyle name="Normal 6 6 2 2 4 2" xfId="12367"/>
    <cellStyle name="Normal 6 6 2 2 4 2 2" xfId="27411"/>
    <cellStyle name="Normal 6 6 2 2 4 2 3" xfId="42454"/>
    <cellStyle name="Normal 6 6 2 2 4 3" xfId="19890"/>
    <cellStyle name="Normal 6 6 2 2 4 4" xfId="34933"/>
    <cellStyle name="Normal 6 6 2 2 5" xfId="8618"/>
    <cellStyle name="Normal 6 6 2 2 5 2" xfId="23662"/>
    <cellStyle name="Normal 6 6 2 2 5 3" xfId="38705"/>
    <cellStyle name="Normal 6 6 2 2 6" xfId="16141"/>
    <cellStyle name="Normal 6 6 2 2 7" xfId="31184"/>
    <cellStyle name="Normal 6 6 2 3" xfId="1523"/>
    <cellStyle name="Normal 6 6 2 3 2" xfId="3394"/>
    <cellStyle name="Normal 6 6 2 3 2 2" xfId="7189"/>
    <cellStyle name="Normal 6 6 2 3 2 2 2" xfId="14712"/>
    <cellStyle name="Normal 6 6 2 3 2 2 2 2" xfId="29756"/>
    <cellStyle name="Normal 6 6 2 3 2 2 2 3" xfId="44799"/>
    <cellStyle name="Normal 6 6 2 3 2 2 3" xfId="22235"/>
    <cellStyle name="Normal 6 6 2 3 2 2 4" xfId="37278"/>
    <cellStyle name="Normal 6 6 2 3 2 3" xfId="10963"/>
    <cellStyle name="Normal 6 6 2 3 2 3 2" xfId="26007"/>
    <cellStyle name="Normal 6 6 2 3 2 3 3" xfId="41050"/>
    <cellStyle name="Normal 6 6 2 3 2 4" xfId="18486"/>
    <cellStyle name="Normal 6 6 2 3 2 5" xfId="33529"/>
    <cellStyle name="Normal 6 6 2 3 3" xfId="5324"/>
    <cellStyle name="Normal 6 6 2 3 3 2" xfId="12847"/>
    <cellStyle name="Normal 6 6 2 3 3 2 2" xfId="27891"/>
    <cellStyle name="Normal 6 6 2 3 3 2 3" xfId="42934"/>
    <cellStyle name="Normal 6 6 2 3 3 3" xfId="20370"/>
    <cellStyle name="Normal 6 6 2 3 3 4" xfId="35413"/>
    <cellStyle name="Normal 6 6 2 3 4" xfId="9098"/>
    <cellStyle name="Normal 6 6 2 3 4 2" xfId="24142"/>
    <cellStyle name="Normal 6 6 2 3 4 3" xfId="39185"/>
    <cellStyle name="Normal 6 6 2 3 5" xfId="16621"/>
    <cellStyle name="Normal 6 6 2 3 6" xfId="31664"/>
    <cellStyle name="Normal 6 6 2 4" xfId="2461"/>
    <cellStyle name="Normal 6 6 2 4 2" xfId="6257"/>
    <cellStyle name="Normal 6 6 2 4 2 2" xfId="13780"/>
    <cellStyle name="Normal 6 6 2 4 2 2 2" xfId="28824"/>
    <cellStyle name="Normal 6 6 2 4 2 2 3" xfId="43867"/>
    <cellStyle name="Normal 6 6 2 4 2 3" xfId="21303"/>
    <cellStyle name="Normal 6 6 2 4 2 4" xfId="36346"/>
    <cellStyle name="Normal 6 6 2 4 3" xfId="10031"/>
    <cellStyle name="Normal 6 6 2 4 3 2" xfId="25075"/>
    <cellStyle name="Normal 6 6 2 4 3 3" xfId="40118"/>
    <cellStyle name="Normal 6 6 2 4 4" xfId="17554"/>
    <cellStyle name="Normal 6 6 2 4 5" xfId="32597"/>
    <cellStyle name="Normal 6 6 2 5" xfId="4389"/>
    <cellStyle name="Normal 6 6 2 5 2" xfId="11913"/>
    <cellStyle name="Normal 6 6 2 5 2 2" xfId="26957"/>
    <cellStyle name="Normal 6 6 2 5 2 3" xfId="42000"/>
    <cellStyle name="Normal 6 6 2 5 3" xfId="19436"/>
    <cellStyle name="Normal 6 6 2 5 4" xfId="34479"/>
    <cellStyle name="Normal 6 6 2 6" xfId="8152"/>
    <cellStyle name="Normal 6 6 2 6 2" xfId="23196"/>
    <cellStyle name="Normal 6 6 2 6 3" xfId="38239"/>
    <cellStyle name="Normal 6 6 2 7" xfId="15675"/>
    <cellStyle name="Normal 6 6 2 8" xfId="30718"/>
    <cellStyle name="Normal 6 6 3" xfId="1015"/>
    <cellStyle name="Normal 6 6 3 2" xfId="1974"/>
    <cellStyle name="Normal 6 6 3 2 2" xfId="3845"/>
    <cellStyle name="Normal 6 6 3 2 2 2" xfId="7640"/>
    <cellStyle name="Normal 6 6 3 2 2 2 2" xfId="15163"/>
    <cellStyle name="Normal 6 6 3 2 2 2 2 2" xfId="30207"/>
    <cellStyle name="Normal 6 6 3 2 2 2 2 3" xfId="45250"/>
    <cellStyle name="Normal 6 6 3 2 2 2 3" xfId="22686"/>
    <cellStyle name="Normal 6 6 3 2 2 2 4" xfId="37729"/>
    <cellStyle name="Normal 6 6 3 2 2 3" xfId="11414"/>
    <cellStyle name="Normal 6 6 3 2 2 3 2" xfId="26458"/>
    <cellStyle name="Normal 6 6 3 2 2 3 3" xfId="41501"/>
    <cellStyle name="Normal 6 6 3 2 2 4" xfId="18937"/>
    <cellStyle name="Normal 6 6 3 2 2 5" xfId="33980"/>
    <cellStyle name="Normal 6 6 3 2 3" xfId="5775"/>
    <cellStyle name="Normal 6 6 3 2 3 2" xfId="13298"/>
    <cellStyle name="Normal 6 6 3 2 3 2 2" xfId="28342"/>
    <cellStyle name="Normal 6 6 3 2 3 2 3" xfId="43385"/>
    <cellStyle name="Normal 6 6 3 2 3 3" xfId="20821"/>
    <cellStyle name="Normal 6 6 3 2 3 4" xfId="35864"/>
    <cellStyle name="Normal 6 6 3 2 4" xfId="9549"/>
    <cellStyle name="Normal 6 6 3 2 4 2" xfId="24593"/>
    <cellStyle name="Normal 6 6 3 2 4 3" xfId="39636"/>
    <cellStyle name="Normal 6 6 3 2 5" xfId="17072"/>
    <cellStyle name="Normal 6 6 3 2 6" xfId="32115"/>
    <cellStyle name="Normal 6 6 3 3" xfId="2913"/>
    <cellStyle name="Normal 6 6 3 3 2" xfId="6708"/>
    <cellStyle name="Normal 6 6 3 3 2 2" xfId="14231"/>
    <cellStyle name="Normal 6 6 3 3 2 2 2" xfId="29275"/>
    <cellStyle name="Normal 6 6 3 3 2 2 3" xfId="44318"/>
    <cellStyle name="Normal 6 6 3 3 2 3" xfId="21754"/>
    <cellStyle name="Normal 6 6 3 3 2 4" xfId="36797"/>
    <cellStyle name="Normal 6 6 3 3 3" xfId="10482"/>
    <cellStyle name="Normal 6 6 3 3 3 2" xfId="25526"/>
    <cellStyle name="Normal 6 6 3 3 3 3" xfId="40569"/>
    <cellStyle name="Normal 6 6 3 3 4" xfId="18005"/>
    <cellStyle name="Normal 6 6 3 3 5" xfId="33048"/>
    <cellStyle name="Normal 6 6 3 4" xfId="4843"/>
    <cellStyle name="Normal 6 6 3 4 2" xfId="12366"/>
    <cellStyle name="Normal 6 6 3 4 2 2" xfId="27410"/>
    <cellStyle name="Normal 6 6 3 4 2 3" xfId="42453"/>
    <cellStyle name="Normal 6 6 3 4 3" xfId="19889"/>
    <cellStyle name="Normal 6 6 3 4 4" xfId="34932"/>
    <cellStyle name="Normal 6 6 3 5" xfId="8617"/>
    <cellStyle name="Normal 6 6 3 5 2" xfId="23661"/>
    <cellStyle name="Normal 6 6 3 5 3" xfId="38704"/>
    <cellStyle name="Normal 6 6 3 6" xfId="16140"/>
    <cellStyle name="Normal 6 6 3 7" xfId="31183"/>
    <cellStyle name="Normal 6 6 4" xfId="1522"/>
    <cellStyle name="Normal 6 6 4 2" xfId="3393"/>
    <cellStyle name="Normal 6 6 4 2 2" xfId="7188"/>
    <cellStyle name="Normal 6 6 4 2 2 2" xfId="14711"/>
    <cellStyle name="Normal 6 6 4 2 2 2 2" xfId="29755"/>
    <cellStyle name="Normal 6 6 4 2 2 2 3" xfId="44798"/>
    <cellStyle name="Normal 6 6 4 2 2 3" xfId="22234"/>
    <cellStyle name="Normal 6 6 4 2 2 4" xfId="37277"/>
    <cellStyle name="Normal 6 6 4 2 3" xfId="10962"/>
    <cellStyle name="Normal 6 6 4 2 3 2" xfId="26006"/>
    <cellStyle name="Normal 6 6 4 2 3 3" xfId="41049"/>
    <cellStyle name="Normal 6 6 4 2 4" xfId="18485"/>
    <cellStyle name="Normal 6 6 4 2 5" xfId="33528"/>
    <cellStyle name="Normal 6 6 4 3" xfId="5323"/>
    <cellStyle name="Normal 6 6 4 3 2" xfId="12846"/>
    <cellStyle name="Normal 6 6 4 3 2 2" xfId="27890"/>
    <cellStyle name="Normal 6 6 4 3 2 3" xfId="42933"/>
    <cellStyle name="Normal 6 6 4 3 3" xfId="20369"/>
    <cellStyle name="Normal 6 6 4 3 4" xfId="35412"/>
    <cellStyle name="Normal 6 6 4 4" xfId="9097"/>
    <cellStyle name="Normal 6 6 4 4 2" xfId="24141"/>
    <cellStyle name="Normal 6 6 4 4 3" xfId="39184"/>
    <cellStyle name="Normal 6 6 4 5" xfId="16620"/>
    <cellStyle name="Normal 6 6 4 6" xfId="31663"/>
    <cellStyle name="Normal 6 6 5" xfId="2460"/>
    <cellStyle name="Normal 6 6 5 2" xfId="6256"/>
    <cellStyle name="Normal 6 6 5 2 2" xfId="13779"/>
    <cellStyle name="Normal 6 6 5 2 2 2" xfId="28823"/>
    <cellStyle name="Normal 6 6 5 2 2 3" xfId="43866"/>
    <cellStyle name="Normal 6 6 5 2 3" xfId="21302"/>
    <cellStyle name="Normal 6 6 5 2 4" xfId="36345"/>
    <cellStyle name="Normal 6 6 5 3" xfId="10030"/>
    <cellStyle name="Normal 6 6 5 3 2" xfId="25074"/>
    <cellStyle name="Normal 6 6 5 3 3" xfId="40117"/>
    <cellStyle name="Normal 6 6 5 4" xfId="17553"/>
    <cellStyle name="Normal 6 6 5 5" xfId="32596"/>
    <cellStyle name="Normal 6 6 6" xfId="4388"/>
    <cellStyle name="Normal 6 6 6 2" xfId="11912"/>
    <cellStyle name="Normal 6 6 6 2 2" xfId="26956"/>
    <cellStyle name="Normal 6 6 6 2 3" xfId="41999"/>
    <cellStyle name="Normal 6 6 6 3" xfId="19435"/>
    <cellStyle name="Normal 6 6 6 4" xfId="34478"/>
    <cellStyle name="Normal 6 6 7" xfId="8151"/>
    <cellStyle name="Normal 6 6 7 2" xfId="23195"/>
    <cellStyle name="Normal 6 6 7 3" xfId="38238"/>
    <cellStyle name="Normal 6 6 8" xfId="15674"/>
    <cellStyle name="Normal 6 6 9" xfId="30717"/>
    <cellStyle name="Normal 6 7" xfId="498"/>
    <cellStyle name="Normal 6 7 2" xfId="499"/>
    <cellStyle name="Normal 6 7 2 2" xfId="1018"/>
    <cellStyle name="Normal 6 7 2 2 2" xfId="1977"/>
    <cellStyle name="Normal 6 7 2 2 2 2" xfId="3848"/>
    <cellStyle name="Normal 6 7 2 2 2 2 2" xfId="7643"/>
    <cellStyle name="Normal 6 7 2 2 2 2 2 2" xfId="15166"/>
    <cellStyle name="Normal 6 7 2 2 2 2 2 2 2" xfId="30210"/>
    <cellStyle name="Normal 6 7 2 2 2 2 2 2 3" xfId="45253"/>
    <cellStyle name="Normal 6 7 2 2 2 2 2 3" xfId="22689"/>
    <cellStyle name="Normal 6 7 2 2 2 2 2 4" xfId="37732"/>
    <cellStyle name="Normal 6 7 2 2 2 2 3" xfId="11417"/>
    <cellStyle name="Normal 6 7 2 2 2 2 3 2" xfId="26461"/>
    <cellStyle name="Normal 6 7 2 2 2 2 3 3" xfId="41504"/>
    <cellStyle name="Normal 6 7 2 2 2 2 4" xfId="18940"/>
    <cellStyle name="Normal 6 7 2 2 2 2 5" xfId="33983"/>
    <cellStyle name="Normal 6 7 2 2 2 3" xfId="5778"/>
    <cellStyle name="Normal 6 7 2 2 2 3 2" xfId="13301"/>
    <cellStyle name="Normal 6 7 2 2 2 3 2 2" xfId="28345"/>
    <cellStyle name="Normal 6 7 2 2 2 3 2 3" xfId="43388"/>
    <cellStyle name="Normal 6 7 2 2 2 3 3" xfId="20824"/>
    <cellStyle name="Normal 6 7 2 2 2 3 4" xfId="35867"/>
    <cellStyle name="Normal 6 7 2 2 2 4" xfId="9552"/>
    <cellStyle name="Normal 6 7 2 2 2 4 2" xfId="24596"/>
    <cellStyle name="Normal 6 7 2 2 2 4 3" xfId="39639"/>
    <cellStyle name="Normal 6 7 2 2 2 5" xfId="17075"/>
    <cellStyle name="Normal 6 7 2 2 2 6" xfId="32118"/>
    <cellStyle name="Normal 6 7 2 2 3" xfId="2916"/>
    <cellStyle name="Normal 6 7 2 2 3 2" xfId="6711"/>
    <cellStyle name="Normal 6 7 2 2 3 2 2" xfId="14234"/>
    <cellStyle name="Normal 6 7 2 2 3 2 2 2" xfId="29278"/>
    <cellStyle name="Normal 6 7 2 2 3 2 2 3" xfId="44321"/>
    <cellStyle name="Normal 6 7 2 2 3 2 3" xfId="21757"/>
    <cellStyle name="Normal 6 7 2 2 3 2 4" xfId="36800"/>
    <cellStyle name="Normal 6 7 2 2 3 3" xfId="10485"/>
    <cellStyle name="Normal 6 7 2 2 3 3 2" xfId="25529"/>
    <cellStyle name="Normal 6 7 2 2 3 3 3" xfId="40572"/>
    <cellStyle name="Normal 6 7 2 2 3 4" xfId="18008"/>
    <cellStyle name="Normal 6 7 2 2 3 5" xfId="33051"/>
    <cellStyle name="Normal 6 7 2 2 4" xfId="4846"/>
    <cellStyle name="Normal 6 7 2 2 4 2" xfId="12369"/>
    <cellStyle name="Normal 6 7 2 2 4 2 2" xfId="27413"/>
    <cellStyle name="Normal 6 7 2 2 4 2 3" xfId="42456"/>
    <cellStyle name="Normal 6 7 2 2 4 3" xfId="19892"/>
    <cellStyle name="Normal 6 7 2 2 4 4" xfId="34935"/>
    <cellStyle name="Normal 6 7 2 2 5" xfId="8620"/>
    <cellStyle name="Normal 6 7 2 2 5 2" xfId="23664"/>
    <cellStyle name="Normal 6 7 2 2 5 3" xfId="38707"/>
    <cellStyle name="Normal 6 7 2 2 6" xfId="16143"/>
    <cellStyle name="Normal 6 7 2 2 7" xfId="31186"/>
    <cellStyle name="Normal 6 7 2 3" xfId="1525"/>
    <cellStyle name="Normal 6 7 2 3 2" xfId="3396"/>
    <cellStyle name="Normal 6 7 2 3 2 2" xfId="7191"/>
    <cellStyle name="Normal 6 7 2 3 2 2 2" xfId="14714"/>
    <cellStyle name="Normal 6 7 2 3 2 2 2 2" xfId="29758"/>
    <cellStyle name="Normal 6 7 2 3 2 2 2 3" xfId="44801"/>
    <cellStyle name="Normal 6 7 2 3 2 2 3" xfId="22237"/>
    <cellStyle name="Normal 6 7 2 3 2 2 4" xfId="37280"/>
    <cellStyle name="Normal 6 7 2 3 2 3" xfId="10965"/>
    <cellStyle name="Normal 6 7 2 3 2 3 2" xfId="26009"/>
    <cellStyle name="Normal 6 7 2 3 2 3 3" xfId="41052"/>
    <cellStyle name="Normal 6 7 2 3 2 4" xfId="18488"/>
    <cellStyle name="Normal 6 7 2 3 2 5" xfId="33531"/>
    <cellStyle name="Normal 6 7 2 3 3" xfId="5326"/>
    <cellStyle name="Normal 6 7 2 3 3 2" xfId="12849"/>
    <cellStyle name="Normal 6 7 2 3 3 2 2" xfId="27893"/>
    <cellStyle name="Normal 6 7 2 3 3 2 3" xfId="42936"/>
    <cellStyle name="Normal 6 7 2 3 3 3" xfId="20372"/>
    <cellStyle name="Normal 6 7 2 3 3 4" xfId="35415"/>
    <cellStyle name="Normal 6 7 2 3 4" xfId="9100"/>
    <cellStyle name="Normal 6 7 2 3 4 2" xfId="24144"/>
    <cellStyle name="Normal 6 7 2 3 4 3" xfId="39187"/>
    <cellStyle name="Normal 6 7 2 3 5" xfId="16623"/>
    <cellStyle name="Normal 6 7 2 3 6" xfId="31666"/>
    <cellStyle name="Normal 6 7 2 4" xfId="2463"/>
    <cellStyle name="Normal 6 7 2 4 2" xfId="6259"/>
    <cellStyle name="Normal 6 7 2 4 2 2" xfId="13782"/>
    <cellStyle name="Normal 6 7 2 4 2 2 2" xfId="28826"/>
    <cellStyle name="Normal 6 7 2 4 2 2 3" xfId="43869"/>
    <cellStyle name="Normal 6 7 2 4 2 3" xfId="21305"/>
    <cellStyle name="Normal 6 7 2 4 2 4" xfId="36348"/>
    <cellStyle name="Normal 6 7 2 4 3" xfId="10033"/>
    <cellStyle name="Normal 6 7 2 4 3 2" xfId="25077"/>
    <cellStyle name="Normal 6 7 2 4 3 3" xfId="40120"/>
    <cellStyle name="Normal 6 7 2 4 4" xfId="17556"/>
    <cellStyle name="Normal 6 7 2 4 5" xfId="32599"/>
    <cellStyle name="Normal 6 7 2 5" xfId="4391"/>
    <cellStyle name="Normal 6 7 2 5 2" xfId="11915"/>
    <cellStyle name="Normal 6 7 2 5 2 2" xfId="26959"/>
    <cellStyle name="Normal 6 7 2 5 2 3" xfId="42002"/>
    <cellStyle name="Normal 6 7 2 5 3" xfId="19438"/>
    <cellStyle name="Normal 6 7 2 5 4" xfId="34481"/>
    <cellStyle name="Normal 6 7 2 6" xfId="8154"/>
    <cellStyle name="Normal 6 7 2 6 2" xfId="23198"/>
    <cellStyle name="Normal 6 7 2 6 3" xfId="38241"/>
    <cellStyle name="Normal 6 7 2 7" xfId="15677"/>
    <cellStyle name="Normal 6 7 2 8" xfId="30720"/>
    <cellStyle name="Normal 6 7 3" xfId="1017"/>
    <cellStyle name="Normal 6 7 3 2" xfId="1976"/>
    <cellStyle name="Normal 6 7 3 2 2" xfId="3847"/>
    <cellStyle name="Normal 6 7 3 2 2 2" xfId="7642"/>
    <cellStyle name="Normal 6 7 3 2 2 2 2" xfId="15165"/>
    <cellStyle name="Normal 6 7 3 2 2 2 2 2" xfId="30209"/>
    <cellStyle name="Normal 6 7 3 2 2 2 2 3" xfId="45252"/>
    <cellStyle name="Normal 6 7 3 2 2 2 3" xfId="22688"/>
    <cellStyle name="Normal 6 7 3 2 2 2 4" xfId="37731"/>
    <cellStyle name="Normal 6 7 3 2 2 3" xfId="11416"/>
    <cellStyle name="Normal 6 7 3 2 2 3 2" xfId="26460"/>
    <cellStyle name="Normal 6 7 3 2 2 3 3" xfId="41503"/>
    <cellStyle name="Normal 6 7 3 2 2 4" xfId="18939"/>
    <cellStyle name="Normal 6 7 3 2 2 5" xfId="33982"/>
    <cellStyle name="Normal 6 7 3 2 3" xfId="5777"/>
    <cellStyle name="Normal 6 7 3 2 3 2" xfId="13300"/>
    <cellStyle name="Normal 6 7 3 2 3 2 2" xfId="28344"/>
    <cellStyle name="Normal 6 7 3 2 3 2 3" xfId="43387"/>
    <cellStyle name="Normal 6 7 3 2 3 3" xfId="20823"/>
    <cellStyle name="Normal 6 7 3 2 3 4" xfId="35866"/>
    <cellStyle name="Normal 6 7 3 2 4" xfId="9551"/>
    <cellStyle name="Normal 6 7 3 2 4 2" xfId="24595"/>
    <cellStyle name="Normal 6 7 3 2 4 3" xfId="39638"/>
    <cellStyle name="Normal 6 7 3 2 5" xfId="17074"/>
    <cellStyle name="Normal 6 7 3 2 6" xfId="32117"/>
    <cellStyle name="Normal 6 7 3 3" xfId="2915"/>
    <cellStyle name="Normal 6 7 3 3 2" xfId="6710"/>
    <cellStyle name="Normal 6 7 3 3 2 2" xfId="14233"/>
    <cellStyle name="Normal 6 7 3 3 2 2 2" xfId="29277"/>
    <cellStyle name="Normal 6 7 3 3 2 2 3" xfId="44320"/>
    <cellStyle name="Normal 6 7 3 3 2 3" xfId="21756"/>
    <cellStyle name="Normal 6 7 3 3 2 4" xfId="36799"/>
    <cellStyle name="Normal 6 7 3 3 3" xfId="10484"/>
    <cellStyle name="Normal 6 7 3 3 3 2" xfId="25528"/>
    <cellStyle name="Normal 6 7 3 3 3 3" xfId="40571"/>
    <cellStyle name="Normal 6 7 3 3 4" xfId="18007"/>
    <cellStyle name="Normal 6 7 3 3 5" xfId="33050"/>
    <cellStyle name="Normal 6 7 3 4" xfId="4845"/>
    <cellStyle name="Normal 6 7 3 4 2" xfId="12368"/>
    <cellStyle name="Normal 6 7 3 4 2 2" xfId="27412"/>
    <cellStyle name="Normal 6 7 3 4 2 3" xfId="42455"/>
    <cellStyle name="Normal 6 7 3 4 3" xfId="19891"/>
    <cellStyle name="Normal 6 7 3 4 4" xfId="34934"/>
    <cellStyle name="Normal 6 7 3 5" xfId="8619"/>
    <cellStyle name="Normal 6 7 3 5 2" xfId="23663"/>
    <cellStyle name="Normal 6 7 3 5 3" xfId="38706"/>
    <cellStyle name="Normal 6 7 3 6" xfId="16142"/>
    <cellStyle name="Normal 6 7 3 7" xfId="31185"/>
    <cellStyle name="Normal 6 7 4" xfId="1524"/>
    <cellStyle name="Normal 6 7 4 2" xfId="3395"/>
    <cellStyle name="Normal 6 7 4 2 2" xfId="7190"/>
    <cellStyle name="Normal 6 7 4 2 2 2" xfId="14713"/>
    <cellStyle name="Normal 6 7 4 2 2 2 2" xfId="29757"/>
    <cellStyle name="Normal 6 7 4 2 2 2 3" xfId="44800"/>
    <cellStyle name="Normal 6 7 4 2 2 3" xfId="22236"/>
    <cellStyle name="Normal 6 7 4 2 2 4" xfId="37279"/>
    <cellStyle name="Normal 6 7 4 2 3" xfId="10964"/>
    <cellStyle name="Normal 6 7 4 2 3 2" xfId="26008"/>
    <cellStyle name="Normal 6 7 4 2 3 3" xfId="41051"/>
    <cellStyle name="Normal 6 7 4 2 4" xfId="18487"/>
    <cellStyle name="Normal 6 7 4 2 5" xfId="33530"/>
    <cellStyle name="Normal 6 7 4 3" xfId="5325"/>
    <cellStyle name="Normal 6 7 4 3 2" xfId="12848"/>
    <cellStyle name="Normal 6 7 4 3 2 2" xfId="27892"/>
    <cellStyle name="Normal 6 7 4 3 2 3" xfId="42935"/>
    <cellStyle name="Normal 6 7 4 3 3" xfId="20371"/>
    <cellStyle name="Normal 6 7 4 3 4" xfId="35414"/>
    <cellStyle name="Normal 6 7 4 4" xfId="9099"/>
    <cellStyle name="Normal 6 7 4 4 2" xfId="24143"/>
    <cellStyle name="Normal 6 7 4 4 3" xfId="39186"/>
    <cellStyle name="Normal 6 7 4 5" xfId="16622"/>
    <cellStyle name="Normal 6 7 4 6" xfId="31665"/>
    <cellStyle name="Normal 6 7 5" xfId="2462"/>
    <cellStyle name="Normal 6 7 5 2" xfId="6258"/>
    <cellStyle name="Normal 6 7 5 2 2" xfId="13781"/>
    <cellStyle name="Normal 6 7 5 2 2 2" xfId="28825"/>
    <cellStyle name="Normal 6 7 5 2 2 3" xfId="43868"/>
    <cellStyle name="Normal 6 7 5 2 3" xfId="21304"/>
    <cellStyle name="Normal 6 7 5 2 4" xfId="36347"/>
    <cellStyle name="Normal 6 7 5 3" xfId="10032"/>
    <cellStyle name="Normal 6 7 5 3 2" xfId="25076"/>
    <cellStyle name="Normal 6 7 5 3 3" xfId="40119"/>
    <cellStyle name="Normal 6 7 5 4" xfId="17555"/>
    <cellStyle name="Normal 6 7 5 5" xfId="32598"/>
    <cellStyle name="Normal 6 7 6" xfId="4390"/>
    <cellStyle name="Normal 6 7 6 2" xfId="11914"/>
    <cellStyle name="Normal 6 7 6 2 2" xfId="26958"/>
    <cellStyle name="Normal 6 7 6 2 3" xfId="42001"/>
    <cellStyle name="Normal 6 7 6 3" xfId="19437"/>
    <cellStyle name="Normal 6 7 6 4" xfId="34480"/>
    <cellStyle name="Normal 6 7 7" xfId="8153"/>
    <cellStyle name="Normal 6 7 7 2" xfId="23197"/>
    <cellStyle name="Normal 6 7 7 3" xfId="38240"/>
    <cellStyle name="Normal 6 7 8" xfId="15676"/>
    <cellStyle name="Normal 6 7 9" xfId="30719"/>
    <cellStyle name="Normal 6 8" xfId="500"/>
    <cellStyle name="Normal 6 9" xfId="501"/>
    <cellStyle name="Normal 6 9 2" xfId="1019"/>
    <cellStyle name="Normal 6 9 2 2" xfId="1978"/>
    <cellStyle name="Normal 6 9 2 2 2" xfId="3849"/>
    <cellStyle name="Normal 6 9 2 2 2 2" xfId="7644"/>
    <cellStyle name="Normal 6 9 2 2 2 2 2" xfId="15167"/>
    <cellStyle name="Normal 6 9 2 2 2 2 2 2" xfId="30211"/>
    <cellStyle name="Normal 6 9 2 2 2 2 2 3" xfId="45254"/>
    <cellStyle name="Normal 6 9 2 2 2 2 3" xfId="22690"/>
    <cellStyle name="Normal 6 9 2 2 2 2 4" xfId="37733"/>
    <cellStyle name="Normal 6 9 2 2 2 3" xfId="11418"/>
    <cellStyle name="Normal 6 9 2 2 2 3 2" xfId="26462"/>
    <cellStyle name="Normal 6 9 2 2 2 3 3" xfId="41505"/>
    <cellStyle name="Normal 6 9 2 2 2 4" xfId="18941"/>
    <cellStyle name="Normal 6 9 2 2 2 5" xfId="33984"/>
    <cellStyle name="Normal 6 9 2 2 3" xfId="5779"/>
    <cellStyle name="Normal 6 9 2 2 3 2" xfId="13302"/>
    <cellStyle name="Normal 6 9 2 2 3 2 2" xfId="28346"/>
    <cellStyle name="Normal 6 9 2 2 3 2 3" xfId="43389"/>
    <cellStyle name="Normal 6 9 2 2 3 3" xfId="20825"/>
    <cellStyle name="Normal 6 9 2 2 3 4" xfId="35868"/>
    <cellStyle name="Normal 6 9 2 2 4" xfId="9553"/>
    <cellStyle name="Normal 6 9 2 2 4 2" xfId="24597"/>
    <cellStyle name="Normal 6 9 2 2 4 3" xfId="39640"/>
    <cellStyle name="Normal 6 9 2 2 5" xfId="17076"/>
    <cellStyle name="Normal 6 9 2 2 6" xfId="32119"/>
    <cellStyle name="Normal 6 9 2 3" xfId="2917"/>
    <cellStyle name="Normal 6 9 2 3 2" xfId="6712"/>
    <cellStyle name="Normal 6 9 2 3 2 2" xfId="14235"/>
    <cellStyle name="Normal 6 9 2 3 2 2 2" xfId="29279"/>
    <cellStyle name="Normal 6 9 2 3 2 2 3" xfId="44322"/>
    <cellStyle name="Normal 6 9 2 3 2 3" xfId="21758"/>
    <cellStyle name="Normal 6 9 2 3 2 4" xfId="36801"/>
    <cellStyle name="Normal 6 9 2 3 3" xfId="10486"/>
    <cellStyle name="Normal 6 9 2 3 3 2" xfId="25530"/>
    <cellStyle name="Normal 6 9 2 3 3 3" xfId="40573"/>
    <cellStyle name="Normal 6 9 2 3 4" xfId="18009"/>
    <cellStyle name="Normal 6 9 2 3 5" xfId="33052"/>
    <cellStyle name="Normal 6 9 2 4" xfId="4847"/>
    <cellStyle name="Normal 6 9 2 4 2" xfId="12370"/>
    <cellStyle name="Normal 6 9 2 4 2 2" xfId="27414"/>
    <cellStyle name="Normal 6 9 2 4 2 3" xfId="42457"/>
    <cellStyle name="Normal 6 9 2 4 3" xfId="19893"/>
    <cellStyle name="Normal 6 9 2 4 4" xfId="34936"/>
    <cellStyle name="Normal 6 9 2 5" xfId="8621"/>
    <cellStyle name="Normal 6 9 2 5 2" xfId="23665"/>
    <cellStyle name="Normal 6 9 2 5 3" xfId="38708"/>
    <cellStyle name="Normal 6 9 2 6" xfId="16144"/>
    <cellStyle name="Normal 6 9 2 7" xfId="31187"/>
    <cellStyle name="Normal 6 9 3" xfId="1526"/>
    <cellStyle name="Normal 6 9 3 2" xfId="3397"/>
    <cellStyle name="Normal 6 9 3 2 2" xfId="7192"/>
    <cellStyle name="Normal 6 9 3 2 2 2" xfId="14715"/>
    <cellStyle name="Normal 6 9 3 2 2 2 2" xfId="29759"/>
    <cellStyle name="Normal 6 9 3 2 2 2 3" xfId="44802"/>
    <cellStyle name="Normal 6 9 3 2 2 3" xfId="22238"/>
    <cellStyle name="Normal 6 9 3 2 2 4" xfId="37281"/>
    <cellStyle name="Normal 6 9 3 2 3" xfId="10966"/>
    <cellStyle name="Normal 6 9 3 2 3 2" xfId="26010"/>
    <cellStyle name="Normal 6 9 3 2 3 3" xfId="41053"/>
    <cellStyle name="Normal 6 9 3 2 4" xfId="18489"/>
    <cellStyle name="Normal 6 9 3 2 5" xfId="33532"/>
    <cellStyle name="Normal 6 9 3 3" xfId="5327"/>
    <cellStyle name="Normal 6 9 3 3 2" xfId="12850"/>
    <cellStyle name="Normal 6 9 3 3 2 2" xfId="27894"/>
    <cellStyle name="Normal 6 9 3 3 2 3" xfId="42937"/>
    <cellStyle name="Normal 6 9 3 3 3" xfId="20373"/>
    <cellStyle name="Normal 6 9 3 3 4" xfId="35416"/>
    <cellStyle name="Normal 6 9 3 4" xfId="9101"/>
    <cellStyle name="Normal 6 9 3 4 2" xfId="24145"/>
    <cellStyle name="Normal 6 9 3 4 3" xfId="39188"/>
    <cellStyle name="Normal 6 9 3 5" xfId="16624"/>
    <cellStyle name="Normal 6 9 3 6" xfId="31667"/>
    <cellStyle name="Normal 6 9 4" xfId="2464"/>
    <cellStyle name="Normal 6 9 4 2" xfId="6260"/>
    <cellStyle name="Normal 6 9 4 2 2" xfId="13783"/>
    <cellStyle name="Normal 6 9 4 2 2 2" xfId="28827"/>
    <cellStyle name="Normal 6 9 4 2 2 3" xfId="43870"/>
    <cellStyle name="Normal 6 9 4 2 3" xfId="21306"/>
    <cellStyle name="Normal 6 9 4 2 4" xfId="36349"/>
    <cellStyle name="Normal 6 9 4 3" xfId="10034"/>
    <cellStyle name="Normal 6 9 4 3 2" xfId="25078"/>
    <cellStyle name="Normal 6 9 4 3 3" xfId="40121"/>
    <cellStyle name="Normal 6 9 4 4" xfId="17557"/>
    <cellStyle name="Normal 6 9 4 5" xfId="32600"/>
    <cellStyle name="Normal 6 9 5" xfId="4392"/>
    <cellStyle name="Normal 6 9 5 2" xfId="11916"/>
    <cellStyle name="Normal 6 9 5 2 2" xfId="26960"/>
    <cellStyle name="Normal 6 9 5 2 3" xfId="42003"/>
    <cellStyle name="Normal 6 9 5 3" xfId="19439"/>
    <cellStyle name="Normal 6 9 5 4" xfId="34482"/>
    <cellStyle name="Normal 6 9 6" xfId="8155"/>
    <cellStyle name="Normal 6 9 6 2" xfId="23199"/>
    <cellStyle name="Normal 6 9 6 3" xfId="38242"/>
    <cellStyle name="Normal 6 9 7" xfId="15678"/>
    <cellStyle name="Normal 6 9 8" xfId="30721"/>
    <cellStyle name="Normal 60" xfId="45401"/>
    <cellStyle name="Normal 60 2" xfId="45412"/>
    <cellStyle name="Normal 60 3" xfId="45423"/>
    <cellStyle name="Normal 60 4" xfId="45433"/>
    <cellStyle name="Normal 60 5" xfId="45443"/>
    <cellStyle name="Normal 60 6" xfId="45453"/>
    <cellStyle name="Normal 60 7" xfId="45465"/>
    <cellStyle name="Normal 60 8" xfId="45479"/>
    <cellStyle name="Normal 61" xfId="15304"/>
    <cellStyle name="Normal 62" xfId="45395"/>
    <cellStyle name="Normal 62 2" xfId="45408"/>
    <cellStyle name="Normal 62 3" xfId="45419"/>
    <cellStyle name="Normal 62 4" xfId="45429"/>
    <cellStyle name="Normal 62 5" xfId="45439"/>
    <cellStyle name="Normal 62 6" xfId="45449"/>
    <cellStyle name="Normal 62 7" xfId="45461"/>
    <cellStyle name="Normal 62 8" xfId="45475"/>
    <cellStyle name="Normal 63" xfId="45459"/>
    <cellStyle name="Normal 64" xfId="45472"/>
    <cellStyle name="Normal 64 2" xfId="45487"/>
    <cellStyle name="Normal 65" xfId="45473"/>
    <cellStyle name="Normal 66" xfId="45488"/>
    <cellStyle name="Normal 67" xfId="45489"/>
    <cellStyle name="Normal 68" xfId="45490"/>
    <cellStyle name="Normal 69" xfId="45491"/>
    <cellStyle name="Normal 7" xfId="27"/>
    <cellStyle name="Normal 7 2" xfId="502"/>
    <cellStyle name="Normal 7 2 10" xfId="4393"/>
    <cellStyle name="Normal 7 2 10 2" xfId="11917"/>
    <cellStyle name="Normal 7 2 10 2 2" xfId="26961"/>
    <cellStyle name="Normal 7 2 10 2 3" xfId="42004"/>
    <cellStyle name="Normal 7 2 10 3" xfId="19440"/>
    <cellStyle name="Normal 7 2 10 4" xfId="34483"/>
    <cellStyle name="Normal 7 2 11" xfId="8156"/>
    <cellStyle name="Normal 7 2 11 2" xfId="23200"/>
    <cellStyle name="Normal 7 2 11 3" xfId="38243"/>
    <cellStyle name="Normal 7 2 12" xfId="15679"/>
    <cellStyle name="Normal 7 2 13" xfId="30722"/>
    <cellStyle name="Normal 7 2 2" xfId="503"/>
    <cellStyle name="Normal 7 2 2 10" xfId="8157"/>
    <cellStyle name="Normal 7 2 2 10 2" xfId="23201"/>
    <cellStyle name="Normal 7 2 2 10 3" xfId="38244"/>
    <cellStyle name="Normal 7 2 2 11" xfId="15680"/>
    <cellStyle name="Normal 7 2 2 12" xfId="30723"/>
    <cellStyle name="Normal 7 2 2 2" xfId="504"/>
    <cellStyle name="Normal 7 2 2 2 10" xfId="30724"/>
    <cellStyle name="Normal 7 2 2 2 2" xfId="505"/>
    <cellStyle name="Normal 7 2 2 2 2 2" xfId="506"/>
    <cellStyle name="Normal 7 2 2 2 2 2 2" xfId="1024"/>
    <cellStyle name="Normal 7 2 2 2 2 2 2 2" xfId="1983"/>
    <cellStyle name="Normal 7 2 2 2 2 2 2 2 2" xfId="3854"/>
    <cellStyle name="Normal 7 2 2 2 2 2 2 2 2 2" xfId="7649"/>
    <cellStyle name="Normal 7 2 2 2 2 2 2 2 2 2 2" xfId="15172"/>
    <cellStyle name="Normal 7 2 2 2 2 2 2 2 2 2 2 2" xfId="30216"/>
    <cellStyle name="Normal 7 2 2 2 2 2 2 2 2 2 2 3" xfId="45259"/>
    <cellStyle name="Normal 7 2 2 2 2 2 2 2 2 2 3" xfId="22695"/>
    <cellStyle name="Normal 7 2 2 2 2 2 2 2 2 2 4" xfId="37738"/>
    <cellStyle name="Normal 7 2 2 2 2 2 2 2 2 3" xfId="11423"/>
    <cellStyle name="Normal 7 2 2 2 2 2 2 2 2 3 2" xfId="26467"/>
    <cellStyle name="Normal 7 2 2 2 2 2 2 2 2 3 3" xfId="41510"/>
    <cellStyle name="Normal 7 2 2 2 2 2 2 2 2 4" xfId="18946"/>
    <cellStyle name="Normal 7 2 2 2 2 2 2 2 2 5" xfId="33989"/>
    <cellStyle name="Normal 7 2 2 2 2 2 2 2 3" xfId="5784"/>
    <cellStyle name="Normal 7 2 2 2 2 2 2 2 3 2" xfId="13307"/>
    <cellStyle name="Normal 7 2 2 2 2 2 2 2 3 2 2" xfId="28351"/>
    <cellStyle name="Normal 7 2 2 2 2 2 2 2 3 2 3" xfId="43394"/>
    <cellStyle name="Normal 7 2 2 2 2 2 2 2 3 3" xfId="20830"/>
    <cellStyle name="Normal 7 2 2 2 2 2 2 2 3 4" xfId="35873"/>
    <cellStyle name="Normal 7 2 2 2 2 2 2 2 4" xfId="9558"/>
    <cellStyle name="Normal 7 2 2 2 2 2 2 2 4 2" xfId="24602"/>
    <cellStyle name="Normal 7 2 2 2 2 2 2 2 4 3" xfId="39645"/>
    <cellStyle name="Normal 7 2 2 2 2 2 2 2 5" xfId="17081"/>
    <cellStyle name="Normal 7 2 2 2 2 2 2 2 6" xfId="32124"/>
    <cellStyle name="Normal 7 2 2 2 2 2 2 3" xfId="2922"/>
    <cellStyle name="Normal 7 2 2 2 2 2 2 3 2" xfId="6717"/>
    <cellStyle name="Normal 7 2 2 2 2 2 2 3 2 2" xfId="14240"/>
    <cellStyle name="Normal 7 2 2 2 2 2 2 3 2 2 2" xfId="29284"/>
    <cellStyle name="Normal 7 2 2 2 2 2 2 3 2 2 3" xfId="44327"/>
    <cellStyle name="Normal 7 2 2 2 2 2 2 3 2 3" xfId="21763"/>
    <cellStyle name="Normal 7 2 2 2 2 2 2 3 2 4" xfId="36806"/>
    <cellStyle name="Normal 7 2 2 2 2 2 2 3 3" xfId="10491"/>
    <cellStyle name="Normal 7 2 2 2 2 2 2 3 3 2" xfId="25535"/>
    <cellStyle name="Normal 7 2 2 2 2 2 2 3 3 3" xfId="40578"/>
    <cellStyle name="Normal 7 2 2 2 2 2 2 3 4" xfId="18014"/>
    <cellStyle name="Normal 7 2 2 2 2 2 2 3 5" xfId="33057"/>
    <cellStyle name="Normal 7 2 2 2 2 2 2 4" xfId="4852"/>
    <cellStyle name="Normal 7 2 2 2 2 2 2 4 2" xfId="12375"/>
    <cellStyle name="Normal 7 2 2 2 2 2 2 4 2 2" xfId="27419"/>
    <cellStyle name="Normal 7 2 2 2 2 2 2 4 2 3" xfId="42462"/>
    <cellStyle name="Normal 7 2 2 2 2 2 2 4 3" xfId="19898"/>
    <cellStyle name="Normal 7 2 2 2 2 2 2 4 4" xfId="34941"/>
    <cellStyle name="Normal 7 2 2 2 2 2 2 5" xfId="8626"/>
    <cellStyle name="Normal 7 2 2 2 2 2 2 5 2" xfId="23670"/>
    <cellStyle name="Normal 7 2 2 2 2 2 2 5 3" xfId="38713"/>
    <cellStyle name="Normal 7 2 2 2 2 2 2 6" xfId="16149"/>
    <cellStyle name="Normal 7 2 2 2 2 2 2 7" xfId="31192"/>
    <cellStyle name="Normal 7 2 2 2 2 2 3" xfId="1531"/>
    <cellStyle name="Normal 7 2 2 2 2 2 3 2" xfId="3402"/>
    <cellStyle name="Normal 7 2 2 2 2 2 3 2 2" xfId="7197"/>
    <cellStyle name="Normal 7 2 2 2 2 2 3 2 2 2" xfId="14720"/>
    <cellStyle name="Normal 7 2 2 2 2 2 3 2 2 2 2" xfId="29764"/>
    <cellStyle name="Normal 7 2 2 2 2 2 3 2 2 2 3" xfId="44807"/>
    <cellStyle name="Normal 7 2 2 2 2 2 3 2 2 3" xfId="22243"/>
    <cellStyle name="Normal 7 2 2 2 2 2 3 2 2 4" xfId="37286"/>
    <cellStyle name="Normal 7 2 2 2 2 2 3 2 3" xfId="10971"/>
    <cellStyle name="Normal 7 2 2 2 2 2 3 2 3 2" xfId="26015"/>
    <cellStyle name="Normal 7 2 2 2 2 2 3 2 3 3" xfId="41058"/>
    <cellStyle name="Normal 7 2 2 2 2 2 3 2 4" xfId="18494"/>
    <cellStyle name="Normal 7 2 2 2 2 2 3 2 5" xfId="33537"/>
    <cellStyle name="Normal 7 2 2 2 2 2 3 3" xfId="5332"/>
    <cellStyle name="Normal 7 2 2 2 2 2 3 3 2" xfId="12855"/>
    <cellStyle name="Normal 7 2 2 2 2 2 3 3 2 2" xfId="27899"/>
    <cellStyle name="Normal 7 2 2 2 2 2 3 3 2 3" xfId="42942"/>
    <cellStyle name="Normal 7 2 2 2 2 2 3 3 3" xfId="20378"/>
    <cellStyle name="Normal 7 2 2 2 2 2 3 3 4" xfId="35421"/>
    <cellStyle name="Normal 7 2 2 2 2 2 3 4" xfId="9106"/>
    <cellStyle name="Normal 7 2 2 2 2 2 3 4 2" xfId="24150"/>
    <cellStyle name="Normal 7 2 2 2 2 2 3 4 3" xfId="39193"/>
    <cellStyle name="Normal 7 2 2 2 2 2 3 5" xfId="16629"/>
    <cellStyle name="Normal 7 2 2 2 2 2 3 6" xfId="31672"/>
    <cellStyle name="Normal 7 2 2 2 2 2 4" xfId="2469"/>
    <cellStyle name="Normal 7 2 2 2 2 2 4 2" xfId="6265"/>
    <cellStyle name="Normal 7 2 2 2 2 2 4 2 2" xfId="13788"/>
    <cellStyle name="Normal 7 2 2 2 2 2 4 2 2 2" xfId="28832"/>
    <cellStyle name="Normal 7 2 2 2 2 2 4 2 2 3" xfId="43875"/>
    <cellStyle name="Normal 7 2 2 2 2 2 4 2 3" xfId="21311"/>
    <cellStyle name="Normal 7 2 2 2 2 2 4 2 4" xfId="36354"/>
    <cellStyle name="Normal 7 2 2 2 2 2 4 3" xfId="10039"/>
    <cellStyle name="Normal 7 2 2 2 2 2 4 3 2" xfId="25083"/>
    <cellStyle name="Normal 7 2 2 2 2 2 4 3 3" xfId="40126"/>
    <cellStyle name="Normal 7 2 2 2 2 2 4 4" xfId="17562"/>
    <cellStyle name="Normal 7 2 2 2 2 2 4 5" xfId="32605"/>
    <cellStyle name="Normal 7 2 2 2 2 2 5" xfId="4397"/>
    <cellStyle name="Normal 7 2 2 2 2 2 5 2" xfId="11921"/>
    <cellStyle name="Normal 7 2 2 2 2 2 5 2 2" xfId="26965"/>
    <cellStyle name="Normal 7 2 2 2 2 2 5 2 3" xfId="42008"/>
    <cellStyle name="Normal 7 2 2 2 2 2 5 3" xfId="19444"/>
    <cellStyle name="Normal 7 2 2 2 2 2 5 4" xfId="34487"/>
    <cellStyle name="Normal 7 2 2 2 2 2 6" xfId="8160"/>
    <cellStyle name="Normal 7 2 2 2 2 2 6 2" xfId="23204"/>
    <cellStyle name="Normal 7 2 2 2 2 2 6 3" xfId="38247"/>
    <cellStyle name="Normal 7 2 2 2 2 2 7" xfId="15683"/>
    <cellStyle name="Normal 7 2 2 2 2 2 8" xfId="30726"/>
    <cellStyle name="Normal 7 2 2 2 2 3" xfId="1023"/>
    <cellStyle name="Normal 7 2 2 2 2 3 2" xfId="1982"/>
    <cellStyle name="Normal 7 2 2 2 2 3 2 2" xfId="3853"/>
    <cellStyle name="Normal 7 2 2 2 2 3 2 2 2" xfId="7648"/>
    <cellStyle name="Normal 7 2 2 2 2 3 2 2 2 2" xfId="15171"/>
    <cellStyle name="Normal 7 2 2 2 2 3 2 2 2 2 2" xfId="30215"/>
    <cellStyle name="Normal 7 2 2 2 2 3 2 2 2 2 3" xfId="45258"/>
    <cellStyle name="Normal 7 2 2 2 2 3 2 2 2 3" xfId="22694"/>
    <cellStyle name="Normal 7 2 2 2 2 3 2 2 2 4" xfId="37737"/>
    <cellStyle name="Normal 7 2 2 2 2 3 2 2 3" xfId="11422"/>
    <cellStyle name="Normal 7 2 2 2 2 3 2 2 3 2" xfId="26466"/>
    <cellStyle name="Normal 7 2 2 2 2 3 2 2 3 3" xfId="41509"/>
    <cellStyle name="Normal 7 2 2 2 2 3 2 2 4" xfId="18945"/>
    <cellStyle name="Normal 7 2 2 2 2 3 2 2 5" xfId="33988"/>
    <cellStyle name="Normal 7 2 2 2 2 3 2 3" xfId="5783"/>
    <cellStyle name="Normal 7 2 2 2 2 3 2 3 2" xfId="13306"/>
    <cellStyle name="Normal 7 2 2 2 2 3 2 3 2 2" xfId="28350"/>
    <cellStyle name="Normal 7 2 2 2 2 3 2 3 2 3" xfId="43393"/>
    <cellStyle name="Normal 7 2 2 2 2 3 2 3 3" xfId="20829"/>
    <cellStyle name="Normal 7 2 2 2 2 3 2 3 4" xfId="35872"/>
    <cellStyle name="Normal 7 2 2 2 2 3 2 4" xfId="9557"/>
    <cellStyle name="Normal 7 2 2 2 2 3 2 4 2" xfId="24601"/>
    <cellStyle name="Normal 7 2 2 2 2 3 2 4 3" xfId="39644"/>
    <cellStyle name="Normal 7 2 2 2 2 3 2 5" xfId="17080"/>
    <cellStyle name="Normal 7 2 2 2 2 3 2 6" xfId="32123"/>
    <cellStyle name="Normal 7 2 2 2 2 3 3" xfId="2921"/>
    <cellStyle name="Normal 7 2 2 2 2 3 3 2" xfId="6716"/>
    <cellStyle name="Normal 7 2 2 2 2 3 3 2 2" xfId="14239"/>
    <cellStyle name="Normal 7 2 2 2 2 3 3 2 2 2" xfId="29283"/>
    <cellStyle name="Normal 7 2 2 2 2 3 3 2 2 3" xfId="44326"/>
    <cellStyle name="Normal 7 2 2 2 2 3 3 2 3" xfId="21762"/>
    <cellStyle name="Normal 7 2 2 2 2 3 3 2 4" xfId="36805"/>
    <cellStyle name="Normal 7 2 2 2 2 3 3 3" xfId="10490"/>
    <cellStyle name="Normal 7 2 2 2 2 3 3 3 2" xfId="25534"/>
    <cellStyle name="Normal 7 2 2 2 2 3 3 3 3" xfId="40577"/>
    <cellStyle name="Normal 7 2 2 2 2 3 3 4" xfId="18013"/>
    <cellStyle name="Normal 7 2 2 2 2 3 3 5" xfId="33056"/>
    <cellStyle name="Normal 7 2 2 2 2 3 4" xfId="4851"/>
    <cellStyle name="Normal 7 2 2 2 2 3 4 2" xfId="12374"/>
    <cellStyle name="Normal 7 2 2 2 2 3 4 2 2" xfId="27418"/>
    <cellStyle name="Normal 7 2 2 2 2 3 4 2 3" xfId="42461"/>
    <cellStyle name="Normal 7 2 2 2 2 3 4 3" xfId="19897"/>
    <cellStyle name="Normal 7 2 2 2 2 3 4 4" xfId="34940"/>
    <cellStyle name="Normal 7 2 2 2 2 3 5" xfId="8625"/>
    <cellStyle name="Normal 7 2 2 2 2 3 5 2" xfId="23669"/>
    <cellStyle name="Normal 7 2 2 2 2 3 5 3" xfId="38712"/>
    <cellStyle name="Normal 7 2 2 2 2 3 6" xfId="16148"/>
    <cellStyle name="Normal 7 2 2 2 2 3 7" xfId="31191"/>
    <cellStyle name="Normal 7 2 2 2 2 4" xfId="1530"/>
    <cellStyle name="Normal 7 2 2 2 2 4 2" xfId="3401"/>
    <cellStyle name="Normal 7 2 2 2 2 4 2 2" xfId="7196"/>
    <cellStyle name="Normal 7 2 2 2 2 4 2 2 2" xfId="14719"/>
    <cellStyle name="Normal 7 2 2 2 2 4 2 2 2 2" xfId="29763"/>
    <cellStyle name="Normal 7 2 2 2 2 4 2 2 2 3" xfId="44806"/>
    <cellStyle name="Normal 7 2 2 2 2 4 2 2 3" xfId="22242"/>
    <cellStyle name="Normal 7 2 2 2 2 4 2 2 4" xfId="37285"/>
    <cellStyle name="Normal 7 2 2 2 2 4 2 3" xfId="10970"/>
    <cellStyle name="Normal 7 2 2 2 2 4 2 3 2" xfId="26014"/>
    <cellStyle name="Normal 7 2 2 2 2 4 2 3 3" xfId="41057"/>
    <cellStyle name="Normal 7 2 2 2 2 4 2 4" xfId="18493"/>
    <cellStyle name="Normal 7 2 2 2 2 4 2 5" xfId="33536"/>
    <cellStyle name="Normal 7 2 2 2 2 4 3" xfId="5331"/>
    <cellStyle name="Normal 7 2 2 2 2 4 3 2" xfId="12854"/>
    <cellStyle name="Normal 7 2 2 2 2 4 3 2 2" xfId="27898"/>
    <cellStyle name="Normal 7 2 2 2 2 4 3 2 3" xfId="42941"/>
    <cellStyle name="Normal 7 2 2 2 2 4 3 3" xfId="20377"/>
    <cellStyle name="Normal 7 2 2 2 2 4 3 4" xfId="35420"/>
    <cellStyle name="Normal 7 2 2 2 2 4 4" xfId="9105"/>
    <cellStyle name="Normal 7 2 2 2 2 4 4 2" xfId="24149"/>
    <cellStyle name="Normal 7 2 2 2 2 4 4 3" xfId="39192"/>
    <cellStyle name="Normal 7 2 2 2 2 4 5" xfId="16628"/>
    <cellStyle name="Normal 7 2 2 2 2 4 6" xfId="31671"/>
    <cellStyle name="Normal 7 2 2 2 2 5" xfId="2468"/>
    <cellStyle name="Normal 7 2 2 2 2 5 2" xfId="6264"/>
    <cellStyle name="Normal 7 2 2 2 2 5 2 2" xfId="13787"/>
    <cellStyle name="Normal 7 2 2 2 2 5 2 2 2" xfId="28831"/>
    <cellStyle name="Normal 7 2 2 2 2 5 2 2 3" xfId="43874"/>
    <cellStyle name="Normal 7 2 2 2 2 5 2 3" xfId="21310"/>
    <cellStyle name="Normal 7 2 2 2 2 5 2 4" xfId="36353"/>
    <cellStyle name="Normal 7 2 2 2 2 5 3" xfId="10038"/>
    <cellStyle name="Normal 7 2 2 2 2 5 3 2" xfId="25082"/>
    <cellStyle name="Normal 7 2 2 2 2 5 3 3" xfId="40125"/>
    <cellStyle name="Normal 7 2 2 2 2 5 4" xfId="17561"/>
    <cellStyle name="Normal 7 2 2 2 2 5 5" xfId="32604"/>
    <cellStyle name="Normal 7 2 2 2 2 6" xfId="4396"/>
    <cellStyle name="Normal 7 2 2 2 2 6 2" xfId="11920"/>
    <cellStyle name="Normal 7 2 2 2 2 6 2 2" xfId="26964"/>
    <cellStyle name="Normal 7 2 2 2 2 6 2 3" xfId="42007"/>
    <cellStyle name="Normal 7 2 2 2 2 6 3" xfId="19443"/>
    <cellStyle name="Normal 7 2 2 2 2 6 4" xfId="34486"/>
    <cellStyle name="Normal 7 2 2 2 2 7" xfId="8159"/>
    <cellStyle name="Normal 7 2 2 2 2 7 2" xfId="23203"/>
    <cellStyle name="Normal 7 2 2 2 2 7 3" xfId="38246"/>
    <cellStyle name="Normal 7 2 2 2 2 8" xfId="15682"/>
    <cellStyle name="Normal 7 2 2 2 2 9" xfId="30725"/>
    <cellStyle name="Normal 7 2 2 2 3" xfId="507"/>
    <cellStyle name="Normal 7 2 2 2 3 2" xfId="1025"/>
    <cellStyle name="Normal 7 2 2 2 3 2 2" xfId="1984"/>
    <cellStyle name="Normal 7 2 2 2 3 2 2 2" xfId="3855"/>
    <cellStyle name="Normal 7 2 2 2 3 2 2 2 2" xfId="7650"/>
    <cellStyle name="Normal 7 2 2 2 3 2 2 2 2 2" xfId="15173"/>
    <cellStyle name="Normal 7 2 2 2 3 2 2 2 2 2 2" xfId="30217"/>
    <cellStyle name="Normal 7 2 2 2 3 2 2 2 2 2 3" xfId="45260"/>
    <cellStyle name="Normal 7 2 2 2 3 2 2 2 2 3" xfId="22696"/>
    <cellStyle name="Normal 7 2 2 2 3 2 2 2 2 4" xfId="37739"/>
    <cellStyle name="Normal 7 2 2 2 3 2 2 2 3" xfId="11424"/>
    <cellStyle name="Normal 7 2 2 2 3 2 2 2 3 2" xfId="26468"/>
    <cellStyle name="Normal 7 2 2 2 3 2 2 2 3 3" xfId="41511"/>
    <cellStyle name="Normal 7 2 2 2 3 2 2 2 4" xfId="18947"/>
    <cellStyle name="Normal 7 2 2 2 3 2 2 2 5" xfId="33990"/>
    <cellStyle name="Normal 7 2 2 2 3 2 2 3" xfId="5785"/>
    <cellStyle name="Normal 7 2 2 2 3 2 2 3 2" xfId="13308"/>
    <cellStyle name="Normal 7 2 2 2 3 2 2 3 2 2" xfId="28352"/>
    <cellStyle name="Normal 7 2 2 2 3 2 2 3 2 3" xfId="43395"/>
    <cellStyle name="Normal 7 2 2 2 3 2 2 3 3" xfId="20831"/>
    <cellStyle name="Normal 7 2 2 2 3 2 2 3 4" xfId="35874"/>
    <cellStyle name="Normal 7 2 2 2 3 2 2 4" xfId="9559"/>
    <cellStyle name="Normal 7 2 2 2 3 2 2 4 2" xfId="24603"/>
    <cellStyle name="Normal 7 2 2 2 3 2 2 4 3" xfId="39646"/>
    <cellStyle name="Normal 7 2 2 2 3 2 2 5" xfId="17082"/>
    <cellStyle name="Normal 7 2 2 2 3 2 2 6" xfId="32125"/>
    <cellStyle name="Normal 7 2 2 2 3 2 3" xfId="2923"/>
    <cellStyle name="Normal 7 2 2 2 3 2 3 2" xfId="6718"/>
    <cellStyle name="Normal 7 2 2 2 3 2 3 2 2" xfId="14241"/>
    <cellStyle name="Normal 7 2 2 2 3 2 3 2 2 2" xfId="29285"/>
    <cellStyle name="Normal 7 2 2 2 3 2 3 2 2 3" xfId="44328"/>
    <cellStyle name="Normal 7 2 2 2 3 2 3 2 3" xfId="21764"/>
    <cellStyle name="Normal 7 2 2 2 3 2 3 2 4" xfId="36807"/>
    <cellStyle name="Normal 7 2 2 2 3 2 3 3" xfId="10492"/>
    <cellStyle name="Normal 7 2 2 2 3 2 3 3 2" xfId="25536"/>
    <cellStyle name="Normal 7 2 2 2 3 2 3 3 3" xfId="40579"/>
    <cellStyle name="Normal 7 2 2 2 3 2 3 4" xfId="18015"/>
    <cellStyle name="Normal 7 2 2 2 3 2 3 5" xfId="33058"/>
    <cellStyle name="Normal 7 2 2 2 3 2 4" xfId="4853"/>
    <cellStyle name="Normal 7 2 2 2 3 2 4 2" xfId="12376"/>
    <cellStyle name="Normal 7 2 2 2 3 2 4 2 2" xfId="27420"/>
    <cellStyle name="Normal 7 2 2 2 3 2 4 2 3" xfId="42463"/>
    <cellStyle name="Normal 7 2 2 2 3 2 4 3" xfId="19899"/>
    <cellStyle name="Normal 7 2 2 2 3 2 4 4" xfId="34942"/>
    <cellStyle name="Normal 7 2 2 2 3 2 5" xfId="8627"/>
    <cellStyle name="Normal 7 2 2 2 3 2 5 2" xfId="23671"/>
    <cellStyle name="Normal 7 2 2 2 3 2 5 3" xfId="38714"/>
    <cellStyle name="Normal 7 2 2 2 3 2 6" xfId="16150"/>
    <cellStyle name="Normal 7 2 2 2 3 2 7" xfId="31193"/>
    <cellStyle name="Normal 7 2 2 2 3 3" xfId="1532"/>
    <cellStyle name="Normal 7 2 2 2 3 3 2" xfId="3403"/>
    <cellStyle name="Normal 7 2 2 2 3 3 2 2" xfId="7198"/>
    <cellStyle name="Normal 7 2 2 2 3 3 2 2 2" xfId="14721"/>
    <cellStyle name="Normal 7 2 2 2 3 3 2 2 2 2" xfId="29765"/>
    <cellStyle name="Normal 7 2 2 2 3 3 2 2 2 3" xfId="44808"/>
    <cellStyle name="Normal 7 2 2 2 3 3 2 2 3" xfId="22244"/>
    <cellStyle name="Normal 7 2 2 2 3 3 2 2 4" xfId="37287"/>
    <cellStyle name="Normal 7 2 2 2 3 3 2 3" xfId="10972"/>
    <cellStyle name="Normal 7 2 2 2 3 3 2 3 2" xfId="26016"/>
    <cellStyle name="Normal 7 2 2 2 3 3 2 3 3" xfId="41059"/>
    <cellStyle name="Normal 7 2 2 2 3 3 2 4" xfId="18495"/>
    <cellStyle name="Normal 7 2 2 2 3 3 2 5" xfId="33538"/>
    <cellStyle name="Normal 7 2 2 2 3 3 3" xfId="5333"/>
    <cellStyle name="Normal 7 2 2 2 3 3 3 2" xfId="12856"/>
    <cellStyle name="Normal 7 2 2 2 3 3 3 2 2" xfId="27900"/>
    <cellStyle name="Normal 7 2 2 2 3 3 3 2 3" xfId="42943"/>
    <cellStyle name="Normal 7 2 2 2 3 3 3 3" xfId="20379"/>
    <cellStyle name="Normal 7 2 2 2 3 3 3 4" xfId="35422"/>
    <cellStyle name="Normal 7 2 2 2 3 3 4" xfId="9107"/>
    <cellStyle name="Normal 7 2 2 2 3 3 4 2" xfId="24151"/>
    <cellStyle name="Normal 7 2 2 2 3 3 4 3" xfId="39194"/>
    <cellStyle name="Normal 7 2 2 2 3 3 5" xfId="16630"/>
    <cellStyle name="Normal 7 2 2 2 3 3 6" xfId="31673"/>
    <cellStyle name="Normal 7 2 2 2 3 4" xfId="2470"/>
    <cellStyle name="Normal 7 2 2 2 3 4 2" xfId="6266"/>
    <cellStyle name="Normal 7 2 2 2 3 4 2 2" xfId="13789"/>
    <cellStyle name="Normal 7 2 2 2 3 4 2 2 2" xfId="28833"/>
    <cellStyle name="Normal 7 2 2 2 3 4 2 2 3" xfId="43876"/>
    <cellStyle name="Normal 7 2 2 2 3 4 2 3" xfId="21312"/>
    <cellStyle name="Normal 7 2 2 2 3 4 2 4" xfId="36355"/>
    <cellStyle name="Normal 7 2 2 2 3 4 3" xfId="10040"/>
    <cellStyle name="Normal 7 2 2 2 3 4 3 2" xfId="25084"/>
    <cellStyle name="Normal 7 2 2 2 3 4 3 3" xfId="40127"/>
    <cellStyle name="Normal 7 2 2 2 3 4 4" xfId="17563"/>
    <cellStyle name="Normal 7 2 2 2 3 4 5" xfId="32606"/>
    <cellStyle name="Normal 7 2 2 2 3 5" xfId="4398"/>
    <cellStyle name="Normal 7 2 2 2 3 5 2" xfId="11922"/>
    <cellStyle name="Normal 7 2 2 2 3 5 2 2" xfId="26966"/>
    <cellStyle name="Normal 7 2 2 2 3 5 2 3" xfId="42009"/>
    <cellStyle name="Normal 7 2 2 2 3 5 3" xfId="19445"/>
    <cellStyle name="Normal 7 2 2 2 3 5 4" xfId="34488"/>
    <cellStyle name="Normal 7 2 2 2 3 6" xfId="8161"/>
    <cellStyle name="Normal 7 2 2 2 3 6 2" xfId="23205"/>
    <cellStyle name="Normal 7 2 2 2 3 6 3" xfId="38248"/>
    <cellStyle name="Normal 7 2 2 2 3 7" xfId="15684"/>
    <cellStyle name="Normal 7 2 2 2 3 8" xfId="30727"/>
    <cellStyle name="Normal 7 2 2 2 4" xfId="1022"/>
    <cellStyle name="Normal 7 2 2 2 4 2" xfId="1981"/>
    <cellStyle name="Normal 7 2 2 2 4 2 2" xfId="3852"/>
    <cellStyle name="Normal 7 2 2 2 4 2 2 2" xfId="7647"/>
    <cellStyle name="Normal 7 2 2 2 4 2 2 2 2" xfId="15170"/>
    <cellStyle name="Normal 7 2 2 2 4 2 2 2 2 2" xfId="30214"/>
    <cellStyle name="Normal 7 2 2 2 4 2 2 2 2 3" xfId="45257"/>
    <cellStyle name="Normal 7 2 2 2 4 2 2 2 3" xfId="22693"/>
    <cellStyle name="Normal 7 2 2 2 4 2 2 2 4" xfId="37736"/>
    <cellStyle name="Normal 7 2 2 2 4 2 2 3" xfId="11421"/>
    <cellStyle name="Normal 7 2 2 2 4 2 2 3 2" xfId="26465"/>
    <cellStyle name="Normal 7 2 2 2 4 2 2 3 3" xfId="41508"/>
    <cellStyle name="Normal 7 2 2 2 4 2 2 4" xfId="18944"/>
    <cellStyle name="Normal 7 2 2 2 4 2 2 5" xfId="33987"/>
    <cellStyle name="Normal 7 2 2 2 4 2 3" xfId="5782"/>
    <cellStyle name="Normal 7 2 2 2 4 2 3 2" xfId="13305"/>
    <cellStyle name="Normal 7 2 2 2 4 2 3 2 2" xfId="28349"/>
    <cellStyle name="Normal 7 2 2 2 4 2 3 2 3" xfId="43392"/>
    <cellStyle name="Normal 7 2 2 2 4 2 3 3" xfId="20828"/>
    <cellStyle name="Normal 7 2 2 2 4 2 3 4" xfId="35871"/>
    <cellStyle name="Normal 7 2 2 2 4 2 4" xfId="9556"/>
    <cellStyle name="Normal 7 2 2 2 4 2 4 2" xfId="24600"/>
    <cellStyle name="Normal 7 2 2 2 4 2 4 3" xfId="39643"/>
    <cellStyle name="Normal 7 2 2 2 4 2 5" xfId="17079"/>
    <cellStyle name="Normal 7 2 2 2 4 2 6" xfId="32122"/>
    <cellStyle name="Normal 7 2 2 2 4 3" xfId="2920"/>
    <cellStyle name="Normal 7 2 2 2 4 3 2" xfId="6715"/>
    <cellStyle name="Normal 7 2 2 2 4 3 2 2" xfId="14238"/>
    <cellStyle name="Normal 7 2 2 2 4 3 2 2 2" xfId="29282"/>
    <cellStyle name="Normal 7 2 2 2 4 3 2 2 3" xfId="44325"/>
    <cellStyle name="Normal 7 2 2 2 4 3 2 3" xfId="21761"/>
    <cellStyle name="Normal 7 2 2 2 4 3 2 4" xfId="36804"/>
    <cellStyle name="Normal 7 2 2 2 4 3 3" xfId="10489"/>
    <cellStyle name="Normal 7 2 2 2 4 3 3 2" xfId="25533"/>
    <cellStyle name="Normal 7 2 2 2 4 3 3 3" xfId="40576"/>
    <cellStyle name="Normal 7 2 2 2 4 3 4" xfId="18012"/>
    <cellStyle name="Normal 7 2 2 2 4 3 5" xfId="33055"/>
    <cellStyle name="Normal 7 2 2 2 4 4" xfId="4850"/>
    <cellStyle name="Normal 7 2 2 2 4 4 2" xfId="12373"/>
    <cellStyle name="Normal 7 2 2 2 4 4 2 2" xfId="27417"/>
    <cellStyle name="Normal 7 2 2 2 4 4 2 3" xfId="42460"/>
    <cellStyle name="Normal 7 2 2 2 4 4 3" xfId="19896"/>
    <cellStyle name="Normal 7 2 2 2 4 4 4" xfId="34939"/>
    <cellStyle name="Normal 7 2 2 2 4 5" xfId="8624"/>
    <cellStyle name="Normal 7 2 2 2 4 5 2" xfId="23668"/>
    <cellStyle name="Normal 7 2 2 2 4 5 3" xfId="38711"/>
    <cellStyle name="Normal 7 2 2 2 4 6" xfId="16147"/>
    <cellStyle name="Normal 7 2 2 2 4 7" xfId="31190"/>
    <cellStyle name="Normal 7 2 2 2 5" xfId="1529"/>
    <cellStyle name="Normal 7 2 2 2 5 2" xfId="3400"/>
    <cellStyle name="Normal 7 2 2 2 5 2 2" xfId="7195"/>
    <cellStyle name="Normal 7 2 2 2 5 2 2 2" xfId="14718"/>
    <cellStyle name="Normal 7 2 2 2 5 2 2 2 2" xfId="29762"/>
    <cellStyle name="Normal 7 2 2 2 5 2 2 2 3" xfId="44805"/>
    <cellStyle name="Normal 7 2 2 2 5 2 2 3" xfId="22241"/>
    <cellStyle name="Normal 7 2 2 2 5 2 2 4" xfId="37284"/>
    <cellStyle name="Normal 7 2 2 2 5 2 3" xfId="10969"/>
    <cellStyle name="Normal 7 2 2 2 5 2 3 2" xfId="26013"/>
    <cellStyle name="Normal 7 2 2 2 5 2 3 3" xfId="41056"/>
    <cellStyle name="Normal 7 2 2 2 5 2 4" xfId="18492"/>
    <cellStyle name="Normal 7 2 2 2 5 2 5" xfId="33535"/>
    <cellStyle name="Normal 7 2 2 2 5 3" xfId="5330"/>
    <cellStyle name="Normal 7 2 2 2 5 3 2" xfId="12853"/>
    <cellStyle name="Normal 7 2 2 2 5 3 2 2" xfId="27897"/>
    <cellStyle name="Normal 7 2 2 2 5 3 2 3" xfId="42940"/>
    <cellStyle name="Normal 7 2 2 2 5 3 3" xfId="20376"/>
    <cellStyle name="Normal 7 2 2 2 5 3 4" xfId="35419"/>
    <cellStyle name="Normal 7 2 2 2 5 4" xfId="9104"/>
    <cellStyle name="Normal 7 2 2 2 5 4 2" xfId="24148"/>
    <cellStyle name="Normal 7 2 2 2 5 4 3" xfId="39191"/>
    <cellStyle name="Normal 7 2 2 2 5 5" xfId="16627"/>
    <cellStyle name="Normal 7 2 2 2 5 6" xfId="31670"/>
    <cellStyle name="Normal 7 2 2 2 6" xfId="2467"/>
    <cellStyle name="Normal 7 2 2 2 6 2" xfId="6263"/>
    <cellStyle name="Normal 7 2 2 2 6 2 2" xfId="13786"/>
    <cellStyle name="Normal 7 2 2 2 6 2 2 2" xfId="28830"/>
    <cellStyle name="Normal 7 2 2 2 6 2 2 3" xfId="43873"/>
    <cellStyle name="Normal 7 2 2 2 6 2 3" xfId="21309"/>
    <cellStyle name="Normal 7 2 2 2 6 2 4" xfId="36352"/>
    <cellStyle name="Normal 7 2 2 2 6 3" xfId="10037"/>
    <cellStyle name="Normal 7 2 2 2 6 3 2" xfId="25081"/>
    <cellStyle name="Normal 7 2 2 2 6 3 3" xfId="40124"/>
    <cellStyle name="Normal 7 2 2 2 6 4" xfId="17560"/>
    <cellStyle name="Normal 7 2 2 2 6 5" xfId="32603"/>
    <cellStyle name="Normal 7 2 2 2 7" xfId="4395"/>
    <cellStyle name="Normal 7 2 2 2 7 2" xfId="11919"/>
    <cellStyle name="Normal 7 2 2 2 7 2 2" xfId="26963"/>
    <cellStyle name="Normal 7 2 2 2 7 2 3" xfId="42006"/>
    <cellStyle name="Normal 7 2 2 2 7 3" xfId="19442"/>
    <cellStyle name="Normal 7 2 2 2 7 4" xfId="34485"/>
    <cellStyle name="Normal 7 2 2 2 8" xfId="8158"/>
    <cellStyle name="Normal 7 2 2 2 8 2" xfId="23202"/>
    <cellStyle name="Normal 7 2 2 2 8 3" xfId="38245"/>
    <cellStyle name="Normal 7 2 2 2 9" xfId="15681"/>
    <cellStyle name="Normal 7 2 2 3" xfId="508"/>
    <cellStyle name="Normal 7 2 2 3 2" xfId="509"/>
    <cellStyle name="Normal 7 2 2 3 2 2" xfId="1027"/>
    <cellStyle name="Normal 7 2 2 3 2 2 2" xfId="1986"/>
    <cellStyle name="Normal 7 2 2 3 2 2 2 2" xfId="3857"/>
    <cellStyle name="Normal 7 2 2 3 2 2 2 2 2" xfId="7652"/>
    <cellStyle name="Normal 7 2 2 3 2 2 2 2 2 2" xfId="15175"/>
    <cellStyle name="Normal 7 2 2 3 2 2 2 2 2 2 2" xfId="30219"/>
    <cellStyle name="Normal 7 2 2 3 2 2 2 2 2 2 3" xfId="45262"/>
    <cellStyle name="Normal 7 2 2 3 2 2 2 2 2 3" xfId="22698"/>
    <cellStyle name="Normal 7 2 2 3 2 2 2 2 2 4" xfId="37741"/>
    <cellStyle name="Normal 7 2 2 3 2 2 2 2 3" xfId="11426"/>
    <cellStyle name="Normal 7 2 2 3 2 2 2 2 3 2" xfId="26470"/>
    <cellStyle name="Normal 7 2 2 3 2 2 2 2 3 3" xfId="41513"/>
    <cellStyle name="Normal 7 2 2 3 2 2 2 2 4" xfId="18949"/>
    <cellStyle name="Normal 7 2 2 3 2 2 2 2 5" xfId="33992"/>
    <cellStyle name="Normal 7 2 2 3 2 2 2 3" xfId="5787"/>
    <cellStyle name="Normal 7 2 2 3 2 2 2 3 2" xfId="13310"/>
    <cellStyle name="Normal 7 2 2 3 2 2 2 3 2 2" xfId="28354"/>
    <cellStyle name="Normal 7 2 2 3 2 2 2 3 2 3" xfId="43397"/>
    <cellStyle name="Normal 7 2 2 3 2 2 2 3 3" xfId="20833"/>
    <cellStyle name="Normal 7 2 2 3 2 2 2 3 4" xfId="35876"/>
    <cellStyle name="Normal 7 2 2 3 2 2 2 4" xfId="9561"/>
    <cellStyle name="Normal 7 2 2 3 2 2 2 4 2" xfId="24605"/>
    <cellStyle name="Normal 7 2 2 3 2 2 2 4 3" xfId="39648"/>
    <cellStyle name="Normal 7 2 2 3 2 2 2 5" xfId="17084"/>
    <cellStyle name="Normal 7 2 2 3 2 2 2 6" xfId="32127"/>
    <cellStyle name="Normal 7 2 2 3 2 2 3" xfId="2925"/>
    <cellStyle name="Normal 7 2 2 3 2 2 3 2" xfId="6720"/>
    <cellStyle name="Normal 7 2 2 3 2 2 3 2 2" xfId="14243"/>
    <cellStyle name="Normal 7 2 2 3 2 2 3 2 2 2" xfId="29287"/>
    <cellStyle name="Normal 7 2 2 3 2 2 3 2 2 3" xfId="44330"/>
    <cellStyle name="Normal 7 2 2 3 2 2 3 2 3" xfId="21766"/>
    <cellStyle name="Normal 7 2 2 3 2 2 3 2 4" xfId="36809"/>
    <cellStyle name="Normal 7 2 2 3 2 2 3 3" xfId="10494"/>
    <cellStyle name="Normal 7 2 2 3 2 2 3 3 2" xfId="25538"/>
    <cellStyle name="Normal 7 2 2 3 2 2 3 3 3" xfId="40581"/>
    <cellStyle name="Normal 7 2 2 3 2 2 3 4" xfId="18017"/>
    <cellStyle name="Normal 7 2 2 3 2 2 3 5" xfId="33060"/>
    <cellStyle name="Normal 7 2 2 3 2 2 4" xfId="4855"/>
    <cellStyle name="Normal 7 2 2 3 2 2 4 2" xfId="12378"/>
    <cellStyle name="Normal 7 2 2 3 2 2 4 2 2" xfId="27422"/>
    <cellStyle name="Normal 7 2 2 3 2 2 4 2 3" xfId="42465"/>
    <cellStyle name="Normal 7 2 2 3 2 2 4 3" xfId="19901"/>
    <cellStyle name="Normal 7 2 2 3 2 2 4 4" xfId="34944"/>
    <cellStyle name="Normal 7 2 2 3 2 2 5" xfId="8629"/>
    <cellStyle name="Normal 7 2 2 3 2 2 5 2" xfId="23673"/>
    <cellStyle name="Normal 7 2 2 3 2 2 5 3" xfId="38716"/>
    <cellStyle name="Normal 7 2 2 3 2 2 6" xfId="16152"/>
    <cellStyle name="Normal 7 2 2 3 2 2 7" xfId="31195"/>
    <cellStyle name="Normal 7 2 2 3 2 3" xfId="1534"/>
    <cellStyle name="Normal 7 2 2 3 2 3 2" xfId="3405"/>
    <cellStyle name="Normal 7 2 2 3 2 3 2 2" xfId="7200"/>
    <cellStyle name="Normal 7 2 2 3 2 3 2 2 2" xfId="14723"/>
    <cellStyle name="Normal 7 2 2 3 2 3 2 2 2 2" xfId="29767"/>
    <cellStyle name="Normal 7 2 2 3 2 3 2 2 2 3" xfId="44810"/>
    <cellStyle name="Normal 7 2 2 3 2 3 2 2 3" xfId="22246"/>
    <cellStyle name="Normal 7 2 2 3 2 3 2 2 4" xfId="37289"/>
    <cellStyle name="Normal 7 2 2 3 2 3 2 3" xfId="10974"/>
    <cellStyle name="Normal 7 2 2 3 2 3 2 3 2" xfId="26018"/>
    <cellStyle name="Normal 7 2 2 3 2 3 2 3 3" xfId="41061"/>
    <cellStyle name="Normal 7 2 2 3 2 3 2 4" xfId="18497"/>
    <cellStyle name="Normal 7 2 2 3 2 3 2 5" xfId="33540"/>
    <cellStyle name="Normal 7 2 2 3 2 3 3" xfId="5335"/>
    <cellStyle name="Normal 7 2 2 3 2 3 3 2" xfId="12858"/>
    <cellStyle name="Normal 7 2 2 3 2 3 3 2 2" xfId="27902"/>
    <cellStyle name="Normal 7 2 2 3 2 3 3 2 3" xfId="42945"/>
    <cellStyle name="Normal 7 2 2 3 2 3 3 3" xfId="20381"/>
    <cellStyle name="Normal 7 2 2 3 2 3 3 4" xfId="35424"/>
    <cellStyle name="Normal 7 2 2 3 2 3 4" xfId="9109"/>
    <cellStyle name="Normal 7 2 2 3 2 3 4 2" xfId="24153"/>
    <cellStyle name="Normal 7 2 2 3 2 3 4 3" xfId="39196"/>
    <cellStyle name="Normal 7 2 2 3 2 3 5" xfId="16632"/>
    <cellStyle name="Normal 7 2 2 3 2 3 6" xfId="31675"/>
    <cellStyle name="Normal 7 2 2 3 2 4" xfId="2472"/>
    <cellStyle name="Normal 7 2 2 3 2 4 2" xfId="6268"/>
    <cellStyle name="Normal 7 2 2 3 2 4 2 2" xfId="13791"/>
    <cellStyle name="Normal 7 2 2 3 2 4 2 2 2" xfId="28835"/>
    <cellStyle name="Normal 7 2 2 3 2 4 2 2 3" xfId="43878"/>
    <cellStyle name="Normal 7 2 2 3 2 4 2 3" xfId="21314"/>
    <cellStyle name="Normal 7 2 2 3 2 4 2 4" xfId="36357"/>
    <cellStyle name="Normal 7 2 2 3 2 4 3" xfId="10042"/>
    <cellStyle name="Normal 7 2 2 3 2 4 3 2" xfId="25086"/>
    <cellStyle name="Normal 7 2 2 3 2 4 3 3" xfId="40129"/>
    <cellStyle name="Normal 7 2 2 3 2 4 4" xfId="17565"/>
    <cellStyle name="Normal 7 2 2 3 2 4 5" xfId="32608"/>
    <cellStyle name="Normal 7 2 2 3 2 5" xfId="4400"/>
    <cellStyle name="Normal 7 2 2 3 2 5 2" xfId="11924"/>
    <cellStyle name="Normal 7 2 2 3 2 5 2 2" xfId="26968"/>
    <cellStyle name="Normal 7 2 2 3 2 5 2 3" xfId="42011"/>
    <cellStyle name="Normal 7 2 2 3 2 5 3" xfId="19447"/>
    <cellStyle name="Normal 7 2 2 3 2 5 4" xfId="34490"/>
    <cellStyle name="Normal 7 2 2 3 2 6" xfId="8163"/>
    <cellStyle name="Normal 7 2 2 3 2 6 2" xfId="23207"/>
    <cellStyle name="Normal 7 2 2 3 2 6 3" xfId="38250"/>
    <cellStyle name="Normal 7 2 2 3 2 7" xfId="15686"/>
    <cellStyle name="Normal 7 2 2 3 2 8" xfId="30729"/>
    <cellStyle name="Normal 7 2 2 3 3" xfId="1026"/>
    <cellStyle name="Normal 7 2 2 3 3 2" xfId="1985"/>
    <cellStyle name="Normal 7 2 2 3 3 2 2" xfId="3856"/>
    <cellStyle name="Normal 7 2 2 3 3 2 2 2" xfId="7651"/>
    <cellStyle name="Normal 7 2 2 3 3 2 2 2 2" xfId="15174"/>
    <cellStyle name="Normal 7 2 2 3 3 2 2 2 2 2" xfId="30218"/>
    <cellStyle name="Normal 7 2 2 3 3 2 2 2 2 3" xfId="45261"/>
    <cellStyle name="Normal 7 2 2 3 3 2 2 2 3" xfId="22697"/>
    <cellStyle name="Normal 7 2 2 3 3 2 2 2 4" xfId="37740"/>
    <cellStyle name="Normal 7 2 2 3 3 2 2 3" xfId="11425"/>
    <cellStyle name="Normal 7 2 2 3 3 2 2 3 2" xfId="26469"/>
    <cellStyle name="Normal 7 2 2 3 3 2 2 3 3" xfId="41512"/>
    <cellStyle name="Normal 7 2 2 3 3 2 2 4" xfId="18948"/>
    <cellStyle name="Normal 7 2 2 3 3 2 2 5" xfId="33991"/>
    <cellStyle name="Normal 7 2 2 3 3 2 3" xfId="5786"/>
    <cellStyle name="Normal 7 2 2 3 3 2 3 2" xfId="13309"/>
    <cellStyle name="Normal 7 2 2 3 3 2 3 2 2" xfId="28353"/>
    <cellStyle name="Normal 7 2 2 3 3 2 3 2 3" xfId="43396"/>
    <cellStyle name="Normal 7 2 2 3 3 2 3 3" xfId="20832"/>
    <cellStyle name="Normal 7 2 2 3 3 2 3 4" xfId="35875"/>
    <cellStyle name="Normal 7 2 2 3 3 2 4" xfId="9560"/>
    <cellStyle name="Normal 7 2 2 3 3 2 4 2" xfId="24604"/>
    <cellStyle name="Normal 7 2 2 3 3 2 4 3" xfId="39647"/>
    <cellStyle name="Normal 7 2 2 3 3 2 5" xfId="17083"/>
    <cellStyle name="Normal 7 2 2 3 3 2 6" xfId="32126"/>
    <cellStyle name="Normal 7 2 2 3 3 3" xfId="2924"/>
    <cellStyle name="Normal 7 2 2 3 3 3 2" xfId="6719"/>
    <cellStyle name="Normal 7 2 2 3 3 3 2 2" xfId="14242"/>
    <cellStyle name="Normal 7 2 2 3 3 3 2 2 2" xfId="29286"/>
    <cellStyle name="Normal 7 2 2 3 3 3 2 2 3" xfId="44329"/>
    <cellStyle name="Normal 7 2 2 3 3 3 2 3" xfId="21765"/>
    <cellStyle name="Normal 7 2 2 3 3 3 2 4" xfId="36808"/>
    <cellStyle name="Normal 7 2 2 3 3 3 3" xfId="10493"/>
    <cellStyle name="Normal 7 2 2 3 3 3 3 2" xfId="25537"/>
    <cellStyle name="Normal 7 2 2 3 3 3 3 3" xfId="40580"/>
    <cellStyle name="Normal 7 2 2 3 3 3 4" xfId="18016"/>
    <cellStyle name="Normal 7 2 2 3 3 3 5" xfId="33059"/>
    <cellStyle name="Normal 7 2 2 3 3 4" xfId="4854"/>
    <cellStyle name="Normal 7 2 2 3 3 4 2" xfId="12377"/>
    <cellStyle name="Normal 7 2 2 3 3 4 2 2" xfId="27421"/>
    <cellStyle name="Normal 7 2 2 3 3 4 2 3" xfId="42464"/>
    <cellStyle name="Normal 7 2 2 3 3 4 3" xfId="19900"/>
    <cellStyle name="Normal 7 2 2 3 3 4 4" xfId="34943"/>
    <cellStyle name="Normal 7 2 2 3 3 5" xfId="8628"/>
    <cellStyle name="Normal 7 2 2 3 3 5 2" xfId="23672"/>
    <cellStyle name="Normal 7 2 2 3 3 5 3" xfId="38715"/>
    <cellStyle name="Normal 7 2 2 3 3 6" xfId="16151"/>
    <cellStyle name="Normal 7 2 2 3 3 7" xfId="31194"/>
    <cellStyle name="Normal 7 2 2 3 4" xfId="1533"/>
    <cellStyle name="Normal 7 2 2 3 4 2" xfId="3404"/>
    <cellStyle name="Normal 7 2 2 3 4 2 2" xfId="7199"/>
    <cellStyle name="Normal 7 2 2 3 4 2 2 2" xfId="14722"/>
    <cellStyle name="Normal 7 2 2 3 4 2 2 2 2" xfId="29766"/>
    <cellStyle name="Normal 7 2 2 3 4 2 2 2 3" xfId="44809"/>
    <cellStyle name="Normal 7 2 2 3 4 2 2 3" xfId="22245"/>
    <cellStyle name="Normal 7 2 2 3 4 2 2 4" xfId="37288"/>
    <cellStyle name="Normal 7 2 2 3 4 2 3" xfId="10973"/>
    <cellStyle name="Normal 7 2 2 3 4 2 3 2" xfId="26017"/>
    <cellStyle name="Normal 7 2 2 3 4 2 3 3" xfId="41060"/>
    <cellStyle name="Normal 7 2 2 3 4 2 4" xfId="18496"/>
    <cellStyle name="Normal 7 2 2 3 4 2 5" xfId="33539"/>
    <cellStyle name="Normal 7 2 2 3 4 3" xfId="5334"/>
    <cellStyle name="Normal 7 2 2 3 4 3 2" xfId="12857"/>
    <cellStyle name="Normal 7 2 2 3 4 3 2 2" xfId="27901"/>
    <cellStyle name="Normal 7 2 2 3 4 3 2 3" xfId="42944"/>
    <cellStyle name="Normal 7 2 2 3 4 3 3" xfId="20380"/>
    <cellStyle name="Normal 7 2 2 3 4 3 4" xfId="35423"/>
    <cellStyle name="Normal 7 2 2 3 4 4" xfId="9108"/>
    <cellStyle name="Normal 7 2 2 3 4 4 2" xfId="24152"/>
    <cellStyle name="Normal 7 2 2 3 4 4 3" xfId="39195"/>
    <cellStyle name="Normal 7 2 2 3 4 5" xfId="16631"/>
    <cellStyle name="Normal 7 2 2 3 4 6" xfId="31674"/>
    <cellStyle name="Normal 7 2 2 3 5" xfId="2471"/>
    <cellStyle name="Normal 7 2 2 3 5 2" xfId="6267"/>
    <cellStyle name="Normal 7 2 2 3 5 2 2" xfId="13790"/>
    <cellStyle name="Normal 7 2 2 3 5 2 2 2" xfId="28834"/>
    <cellStyle name="Normal 7 2 2 3 5 2 2 3" xfId="43877"/>
    <cellStyle name="Normal 7 2 2 3 5 2 3" xfId="21313"/>
    <cellStyle name="Normal 7 2 2 3 5 2 4" xfId="36356"/>
    <cellStyle name="Normal 7 2 2 3 5 3" xfId="10041"/>
    <cellStyle name="Normal 7 2 2 3 5 3 2" xfId="25085"/>
    <cellStyle name="Normal 7 2 2 3 5 3 3" xfId="40128"/>
    <cellStyle name="Normal 7 2 2 3 5 4" xfId="17564"/>
    <cellStyle name="Normal 7 2 2 3 5 5" xfId="32607"/>
    <cellStyle name="Normal 7 2 2 3 6" xfId="4399"/>
    <cellStyle name="Normal 7 2 2 3 6 2" xfId="11923"/>
    <cellStyle name="Normal 7 2 2 3 6 2 2" xfId="26967"/>
    <cellStyle name="Normal 7 2 2 3 6 2 3" xfId="42010"/>
    <cellStyle name="Normal 7 2 2 3 6 3" xfId="19446"/>
    <cellStyle name="Normal 7 2 2 3 6 4" xfId="34489"/>
    <cellStyle name="Normal 7 2 2 3 7" xfId="8162"/>
    <cellStyle name="Normal 7 2 2 3 7 2" xfId="23206"/>
    <cellStyle name="Normal 7 2 2 3 7 3" xfId="38249"/>
    <cellStyle name="Normal 7 2 2 3 8" xfId="15685"/>
    <cellStyle name="Normal 7 2 2 3 9" xfId="30728"/>
    <cellStyle name="Normal 7 2 2 4" xfId="510"/>
    <cellStyle name="Normal 7 2 2 4 2" xfId="511"/>
    <cellStyle name="Normal 7 2 2 4 2 2" xfId="1029"/>
    <cellStyle name="Normal 7 2 2 4 2 2 2" xfId="1988"/>
    <cellStyle name="Normal 7 2 2 4 2 2 2 2" xfId="3859"/>
    <cellStyle name="Normal 7 2 2 4 2 2 2 2 2" xfId="7654"/>
    <cellStyle name="Normal 7 2 2 4 2 2 2 2 2 2" xfId="15177"/>
    <cellStyle name="Normal 7 2 2 4 2 2 2 2 2 2 2" xfId="30221"/>
    <cellStyle name="Normal 7 2 2 4 2 2 2 2 2 2 3" xfId="45264"/>
    <cellStyle name="Normal 7 2 2 4 2 2 2 2 2 3" xfId="22700"/>
    <cellStyle name="Normal 7 2 2 4 2 2 2 2 2 4" xfId="37743"/>
    <cellStyle name="Normal 7 2 2 4 2 2 2 2 3" xfId="11428"/>
    <cellStyle name="Normal 7 2 2 4 2 2 2 2 3 2" xfId="26472"/>
    <cellStyle name="Normal 7 2 2 4 2 2 2 2 3 3" xfId="41515"/>
    <cellStyle name="Normal 7 2 2 4 2 2 2 2 4" xfId="18951"/>
    <cellStyle name="Normal 7 2 2 4 2 2 2 2 5" xfId="33994"/>
    <cellStyle name="Normal 7 2 2 4 2 2 2 3" xfId="5789"/>
    <cellStyle name="Normal 7 2 2 4 2 2 2 3 2" xfId="13312"/>
    <cellStyle name="Normal 7 2 2 4 2 2 2 3 2 2" xfId="28356"/>
    <cellStyle name="Normal 7 2 2 4 2 2 2 3 2 3" xfId="43399"/>
    <cellStyle name="Normal 7 2 2 4 2 2 2 3 3" xfId="20835"/>
    <cellStyle name="Normal 7 2 2 4 2 2 2 3 4" xfId="35878"/>
    <cellStyle name="Normal 7 2 2 4 2 2 2 4" xfId="9563"/>
    <cellStyle name="Normal 7 2 2 4 2 2 2 4 2" xfId="24607"/>
    <cellStyle name="Normal 7 2 2 4 2 2 2 4 3" xfId="39650"/>
    <cellStyle name="Normal 7 2 2 4 2 2 2 5" xfId="17086"/>
    <cellStyle name="Normal 7 2 2 4 2 2 2 6" xfId="32129"/>
    <cellStyle name="Normal 7 2 2 4 2 2 3" xfId="2927"/>
    <cellStyle name="Normal 7 2 2 4 2 2 3 2" xfId="6722"/>
    <cellStyle name="Normal 7 2 2 4 2 2 3 2 2" xfId="14245"/>
    <cellStyle name="Normal 7 2 2 4 2 2 3 2 2 2" xfId="29289"/>
    <cellStyle name="Normal 7 2 2 4 2 2 3 2 2 3" xfId="44332"/>
    <cellStyle name="Normal 7 2 2 4 2 2 3 2 3" xfId="21768"/>
    <cellStyle name="Normal 7 2 2 4 2 2 3 2 4" xfId="36811"/>
    <cellStyle name="Normal 7 2 2 4 2 2 3 3" xfId="10496"/>
    <cellStyle name="Normal 7 2 2 4 2 2 3 3 2" xfId="25540"/>
    <cellStyle name="Normal 7 2 2 4 2 2 3 3 3" xfId="40583"/>
    <cellStyle name="Normal 7 2 2 4 2 2 3 4" xfId="18019"/>
    <cellStyle name="Normal 7 2 2 4 2 2 3 5" xfId="33062"/>
    <cellStyle name="Normal 7 2 2 4 2 2 4" xfId="4857"/>
    <cellStyle name="Normal 7 2 2 4 2 2 4 2" xfId="12380"/>
    <cellStyle name="Normal 7 2 2 4 2 2 4 2 2" xfId="27424"/>
    <cellStyle name="Normal 7 2 2 4 2 2 4 2 3" xfId="42467"/>
    <cellStyle name="Normal 7 2 2 4 2 2 4 3" xfId="19903"/>
    <cellStyle name="Normal 7 2 2 4 2 2 4 4" xfId="34946"/>
    <cellStyle name="Normal 7 2 2 4 2 2 5" xfId="8631"/>
    <cellStyle name="Normal 7 2 2 4 2 2 5 2" xfId="23675"/>
    <cellStyle name="Normal 7 2 2 4 2 2 5 3" xfId="38718"/>
    <cellStyle name="Normal 7 2 2 4 2 2 6" xfId="16154"/>
    <cellStyle name="Normal 7 2 2 4 2 2 7" xfId="31197"/>
    <cellStyle name="Normal 7 2 2 4 2 3" xfId="1536"/>
    <cellStyle name="Normal 7 2 2 4 2 3 2" xfId="3407"/>
    <cellStyle name="Normal 7 2 2 4 2 3 2 2" xfId="7202"/>
    <cellStyle name="Normal 7 2 2 4 2 3 2 2 2" xfId="14725"/>
    <cellStyle name="Normal 7 2 2 4 2 3 2 2 2 2" xfId="29769"/>
    <cellStyle name="Normal 7 2 2 4 2 3 2 2 2 3" xfId="44812"/>
    <cellStyle name="Normal 7 2 2 4 2 3 2 2 3" xfId="22248"/>
    <cellStyle name="Normal 7 2 2 4 2 3 2 2 4" xfId="37291"/>
    <cellStyle name="Normal 7 2 2 4 2 3 2 3" xfId="10976"/>
    <cellStyle name="Normal 7 2 2 4 2 3 2 3 2" xfId="26020"/>
    <cellStyle name="Normal 7 2 2 4 2 3 2 3 3" xfId="41063"/>
    <cellStyle name="Normal 7 2 2 4 2 3 2 4" xfId="18499"/>
    <cellStyle name="Normal 7 2 2 4 2 3 2 5" xfId="33542"/>
    <cellStyle name="Normal 7 2 2 4 2 3 3" xfId="5337"/>
    <cellStyle name="Normal 7 2 2 4 2 3 3 2" xfId="12860"/>
    <cellStyle name="Normal 7 2 2 4 2 3 3 2 2" xfId="27904"/>
    <cellStyle name="Normal 7 2 2 4 2 3 3 2 3" xfId="42947"/>
    <cellStyle name="Normal 7 2 2 4 2 3 3 3" xfId="20383"/>
    <cellStyle name="Normal 7 2 2 4 2 3 3 4" xfId="35426"/>
    <cellStyle name="Normal 7 2 2 4 2 3 4" xfId="9111"/>
    <cellStyle name="Normal 7 2 2 4 2 3 4 2" xfId="24155"/>
    <cellStyle name="Normal 7 2 2 4 2 3 4 3" xfId="39198"/>
    <cellStyle name="Normal 7 2 2 4 2 3 5" xfId="16634"/>
    <cellStyle name="Normal 7 2 2 4 2 3 6" xfId="31677"/>
    <cellStyle name="Normal 7 2 2 4 2 4" xfId="2474"/>
    <cellStyle name="Normal 7 2 2 4 2 4 2" xfId="6270"/>
    <cellStyle name="Normal 7 2 2 4 2 4 2 2" xfId="13793"/>
    <cellStyle name="Normal 7 2 2 4 2 4 2 2 2" xfId="28837"/>
    <cellStyle name="Normal 7 2 2 4 2 4 2 2 3" xfId="43880"/>
    <cellStyle name="Normal 7 2 2 4 2 4 2 3" xfId="21316"/>
    <cellStyle name="Normal 7 2 2 4 2 4 2 4" xfId="36359"/>
    <cellStyle name="Normal 7 2 2 4 2 4 3" xfId="10044"/>
    <cellStyle name="Normal 7 2 2 4 2 4 3 2" xfId="25088"/>
    <cellStyle name="Normal 7 2 2 4 2 4 3 3" xfId="40131"/>
    <cellStyle name="Normal 7 2 2 4 2 4 4" xfId="17567"/>
    <cellStyle name="Normal 7 2 2 4 2 4 5" xfId="32610"/>
    <cellStyle name="Normal 7 2 2 4 2 5" xfId="4402"/>
    <cellStyle name="Normal 7 2 2 4 2 5 2" xfId="11926"/>
    <cellStyle name="Normal 7 2 2 4 2 5 2 2" xfId="26970"/>
    <cellStyle name="Normal 7 2 2 4 2 5 2 3" xfId="42013"/>
    <cellStyle name="Normal 7 2 2 4 2 5 3" xfId="19449"/>
    <cellStyle name="Normal 7 2 2 4 2 5 4" xfId="34492"/>
    <cellStyle name="Normal 7 2 2 4 2 6" xfId="8165"/>
    <cellStyle name="Normal 7 2 2 4 2 6 2" xfId="23209"/>
    <cellStyle name="Normal 7 2 2 4 2 6 3" xfId="38252"/>
    <cellStyle name="Normal 7 2 2 4 2 7" xfId="15688"/>
    <cellStyle name="Normal 7 2 2 4 2 8" xfId="30731"/>
    <cellStyle name="Normal 7 2 2 4 3" xfId="1028"/>
    <cellStyle name="Normal 7 2 2 4 3 2" xfId="1987"/>
    <cellStyle name="Normal 7 2 2 4 3 2 2" xfId="3858"/>
    <cellStyle name="Normal 7 2 2 4 3 2 2 2" xfId="7653"/>
    <cellStyle name="Normal 7 2 2 4 3 2 2 2 2" xfId="15176"/>
    <cellStyle name="Normal 7 2 2 4 3 2 2 2 2 2" xfId="30220"/>
    <cellStyle name="Normal 7 2 2 4 3 2 2 2 2 3" xfId="45263"/>
    <cellStyle name="Normal 7 2 2 4 3 2 2 2 3" xfId="22699"/>
    <cellStyle name="Normal 7 2 2 4 3 2 2 2 4" xfId="37742"/>
    <cellStyle name="Normal 7 2 2 4 3 2 2 3" xfId="11427"/>
    <cellStyle name="Normal 7 2 2 4 3 2 2 3 2" xfId="26471"/>
    <cellStyle name="Normal 7 2 2 4 3 2 2 3 3" xfId="41514"/>
    <cellStyle name="Normal 7 2 2 4 3 2 2 4" xfId="18950"/>
    <cellStyle name="Normal 7 2 2 4 3 2 2 5" xfId="33993"/>
    <cellStyle name="Normal 7 2 2 4 3 2 3" xfId="5788"/>
    <cellStyle name="Normal 7 2 2 4 3 2 3 2" xfId="13311"/>
    <cellStyle name="Normal 7 2 2 4 3 2 3 2 2" xfId="28355"/>
    <cellStyle name="Normal 7 2 2 4 3 2 3 2 3" xfId="43398"/>
    <cellStyle name="Normal 7 2 2 4 3 2 3 3" xfId="20834"/>
    <cellStyle name="Normal 7 2 2 4 3 2 3 4" xfId="35877"/>
    <cellStyle name="Normal 7 2 2 4 3 2 4" xfId="9562"/>
    <cellStyle name="Normal 7 2 2 4 3 2 4 2" xfId="24606"/>
    <cellStyle name="Normal 7 2 2 4 3 2 4 3" xfId="39649"/>
    <cellStyle name="Normal 7 2 2 4 3 2 5" xfId="17085"/>
    <cellStyle name="Normal 7 2 2 4 3 2 6" xfId="32128"/>
    <cellStyle name="Normal 7 2 2 4 3 3" xfId="2926"/>
    <cellStyle name="Normal 7 2 2 4 3 3 2" xfId="6721"/>
    <cellStyle name="Normal 7 2 2 4 3 3 2 2" xfId="14244"/>
    <cellStyle name="Normal 7 2 2 4 3 3 2 2 2" xfId="29288"/>
    <cellStyle name="Normal 7 2 2 4 3 3 2 2 3" xfId="44331"/>
    <cellStyle name="Normal 7 2 2 4 3 3 2 3" xfId="21767"/>
    <cellStyle name="Normal 7 2 2 4 3 3 2 4" xfId="36810"/>
    <cellStyle name="Normal 7 2 2 4 3 3 3" xfId="10495"/>
    <cellStyle name="Normal 7 2 2 4 3 3 3 2" xfId="25539"/>
    <cellStyle name="Normal 7 2 2 4 3 3 3 3" xfId="40582"/>
    <cellStyle name="Normal 7 2 2 4 3 3 4" xfId="18018"/>
    <cellStyle name="Normal 7 2 2 4 3 3 5" xfId="33061"/>
    <cellStyle name="Normal 7 2 2 4 3 4" xfId="4856"/>
    <cellStyle name="Normal 7 2 2 4 3 4 2" xfId="12379"/>
    <cellStyle name="Normal 7 2 2 4 3 4 2 2" xfId="27423"/>
    <cellStyle name="Normal 7 2 2 4 3 4 2 3" xfId="42466"/>
    <cellStyle name="Normal 7 2 2 4 3 4 3" xfId="19902"/>
    <cellStyle name="Normal 7 2 2 4 3 4 4" xfId="34945"/>
    <cellStyle name="Normal 7 2 2 4 3 5" xfId="8630"/>
    <cellStyle name="Normal 7 2 2 4 3 5 2" xfId="23674"/>
    <cellStyle name="Normal 7 2 2 4 3 5 3" xfId="38717"/>
    <cellStyle name="Normal 7 2 2 4 3 6" xfId="16153"/>
    <cellStyle name="Normal 7 2 2 4 3 7" xfId="31196"/>
    <cellStyle name="Normal 7 2 2 4 4" xfId="1535"/>
    <cellStyle name="Normal 7 2 2 4 4 2" xfId="3406"/>
    <cellStyle name="Normal 7 2 2 4 4 2 2" xfId="7201"/>
    <cellStyle name="Normal 7 2 2 4 4 2 2 2" xfId="14724"/>
    <cellStyle name="Normal 7 2 2 4 4 2 2 2 2" xfId="29768"/>
    <cellStyle name="Normal 7 2 2 4 4 2 2 2 3" xfId="44811"/>
    <cellStyle name="Normal 7 2 2 4 4 2 2 3" xfId="22247"/>
    <cellStyle name="Normal 7 2 2 4 4 2 2 4" xfId="37290"/>
    <cellStyle name="Normal 7 2 2 4 4 2 3" xfId="10975"/>
    <cellStyle name="Normal 7 2 2 4 4 2 3 2" xfId="26019"/>
    <cellStyle name="Normal 7 2 2 4 4 2 3 3" xfId="41062"/>
    <cellStyle name="Normal 7 2 2 4 4 2 4" xfId="18498"/>
    <cellStyle name="Normal 7 2 2 4 4 2 5" xfId="33541"/>
    <cellStyle name="Normal 7 2 2 4 4 3" xfId="5336"/>
    <cellStyle name="Normal 7 2 2 4 4 3 2" xfId="12859"/>
    <cellStyle name="Normal 7 2 2 4 4 3 2 2" xfId="27903"/>
    <cellStyle name="Normal 7 2 2 4 4 3 2 3" xfId="42946"/>
    <cellStyle name="Normal 7 2 2 4 4 3 3" xfId="20382"/>
    <cellStyle name="Normal 7 2 2 4 4 3 4" xfId="35425"/>
    <cellStyle name="Normal 7 2 2 4 4 4" xfId="9110"/>
    <cellStyle name="Normal 7 2 2 4 4 4 2" xfId="24154"/>
    <cellStyle name="Normal 7 2 2 4 4 4 3" xfId="39197"/>
    <cellStyle name="Normal 7 2 2 4 4 5" xfId="16633"/>
    <cellStyle name="Normal 7 2 2 4 4 6" xfId="31676"/>
    <cellStyle name="Normal 7 2 2 4 5" xfId="2473"/>
    <cellStyle name="Normal 7 2 2 4 5 2" xfId="6269"/>
    <cellStyle name="Normal 7 2 2 4 5 2 2" xfId="13792"/>
    <cellStyle name="Normal 7 2 2 4 5 2 2 2" xfId="28836"/>
    <cellStyle name="Normal 7 2 2 4 5 2 2 3" xfId="43879"/>
    <cellStyle name="Normal 7 2 2 4 5 2 3" xfId="21315"/>
    <cellStyle name="Normal 7 2 2 4 5 2 4" xfId="36358"/>
    <cellStyle name="Normal 7 2 2 4 5 3" xfId="10043"/>
    <cellStyle name="Normal 7 2 2 4 5 3 2" xfId="25087"/>
    <cellStyle name="Normal 7 2 2 4 5 3 3" xfId="40130"/>
    <cellStyle name="Normal 7 2 2 4 5 4" xfId="17566"/>
    <cellStyle name="Normal 7 2 2 4 5 5" xfId="32609"/>
    <cellStyle name="Normal 7 2 2 4 6" xfId="4401"/>
    <cellStyle name="Normal 7 2 2 4 6 2" xfId="11925"/>
    <cellStyle name="Normal 7 2 2 4 6 2 2" xfId="26969"/>
    <cellStyle name="Normal 7 2 2 4 6 2 3" xfId="42012"/>
    <cellStyle name="Normal 7 2 2 4 6 3" xfId="19448"/>
    <cellStyle name="Normal 7 2 2 4 6 4" xfId="34491"/>
    <cellStyle name="Normal 7 2 2 4 7" xfId="8164"/>
    <cellStyle name="Normal 7 2 2 4 7 2" xfId="23208"/>
    <cellStyle name="Normal 7 2 2 4 7 3" xfId="38251"/>
    <cellStyle name="Normal 7 2 2 4 8" xfId="15687"/>
    <cellStyle name="Normal 7 2 2 4 9" xfId="30730"/>
    <cellStyle name="Normal 7 2 2 5" xfId="512"/>
    <cellStyle name="Normal 7 2 2 5 2" xfId="1030"/>
    <cellStyle name="Normal 7 2 2 5 2 2" xfId="1989"/>
    <cellStyle name="Normal 7 2 2 5 2 2 2" xfId="3860"/>
    <cellStyle name="Normal 7 2 2 5 2 2 2 2" xfId="7655"/>
    <cellStyle name="Normal 7 2 2 5 2 2 2 2 2" xfId="15178"/>
    <cellStyle name="Normal 7 2 2 5 2 2 2 2 2 2" xfId="30222"/>
    <cellStyle name="Normal 7 2 2 5 2 2 2 2 2 3" xfId="45265"/>
    <cellStyle name="Normal 7 2 2 5 2 2 2 2 3" xfId="22701"/>
    <cellStyle name="Normal 7 2 2 5 2 2 2 2 4" xfId="37744"/>
    <cellStyle name="Normal 7 2 2 5 2 2 2 3" xfId="11429"/>
    <cellStyle name="Normal 7 2 2 5 2 2 2 3 2" xfId="26473"/>
    <cellStyle name="Normal 7 2 2 5 2 2 2 3 3" xfId="41516"/>
    <cellStyle name="Normal 7 2 2 5 2 2 2 4" xfId="18952"/>
    <cellStyle name="Normal 7 2 2 5 2 2 2 5" xfId="33995"/>
    <cellStyle name="Normal 7 2 2 5 2 2 3" xfId="5790"/>
    <cellStyle name="Normal 7 2 2 5 2 2 3 2" xfId="13313"/>
    <cellStyle name="Normal 7 2 2 5 2 2 3 2 2" xfId="28357"/>
    <cellStyle name="Normal 7 2 2 5 2 2 3 2 3" xfId="43400"/>
    <cellStyle name="Normal 7 2 2 5 2 2 3 3" xfId="20836"/>
    <cellStyle name="Normal 7 2 2 5 2 2 3 4" xfId="35879"/>
    <cellStyle name="Normal 7 2 2 5 2 2 4" xfId="9564"/>
    <cellStyle name="Normal 7 2 2 5 2 2 4 2" xfId="24608"/>
    <cellStyle name="Normal 7 2 2 5 2 2 4 3" xfId="39651"/>
    <cellStyle name="Normal 7 2 2 5 2 2 5" xfId="17087"/>
    <cellStyle name="Normal 7 2 2 5 2 2 6" xfId="32130"/>
    <cellStyle name="Normal 7 2 2 5 2 3" xfId="2928"/>
    <cellStyle name="Normal 7 2 2 5 2 3 2" xfId="6723"/>
    <cellStyle name="Normal 7 2 2 5 2 3 2 2" xfId="14246"/>
    <cellStyle name="Normal 7 2 2 5 2 3 2 2 2" xfId="29290"/>
    <cellStyle name="Normal 7 2 2 5 2 3 2 2 3" xfId="44333"/>
    <cellStyle name="Normal 7 2 2 5 2 3 2 3" xfId="21769"/>
    <cellStyle name="Normal 7 2 2 5 2 3 2 4" xfId="36812"/>
    <cellStyle name="Normal 7 2 2 5 2 3 3" xfId="10497"/>
    <cellStyle name="Normal 7 2 2 5 2 3 3 2" xfId="25541"/>
    <cellStyle name="Normal 7 2 2 5 2 3 3 3" xfId="40584"/>
    <cellStyle name="Normal 7 2 2 5 2 3 4" xfId="18020"/>
    <cellStyle name="Normal 7 2 2 5 2 3 5" xfId="33063"/>
    <cellStyle name="Normal 7 2 2 5 2 4" xfId="4858"/>
    <cellStyle name="Normal 7 2 2 5 2 4 2" xfId="12381"/>
    <cellStyle name="Normal 7 2 2 5 2 4 2 2" xfId="27425"/>
    <cellStyle name="Normal 7 2 2 5 2 4 2 3" xfId="42468"/>
    <cellStyle name="Normal 7 2 2 5 2 4 3" xfId="19904"/>
    <cellStyle name="Normal 7 2 2 5 2 4 4" xfId="34947"/>
    <cellStyle name="Normal 7 2 2 5 2 5" xfId="8632"/>
    <cellStyle name="Normal 7 2 2 5 2 5 2" xfId="23676"/>
    <cellStyle name="Normal 7 2 2 5 2 5 3" xfId="38719"/>
    <cellStyle name="Normal 7 2 2 5 2 6" xfId="16155"/>
    <cellStyle name="Normal 7 2 2 5 2 7" xfId="31198"/>
    <cellStyle name="Normal 7 2 2 5 3" xfId="1537"/>
    <cellStyle name="Normal 7 2 2 5 3 2" xfId="3408"/>
    <cellStyle name="Normal 7 2 2 5 3 2 2" xfId="7203"/>
    <cellStyle name="Normal 7 2 2 5 3 2 2 2" xfId="14726"/>
    <cellStyle name="Normal 7 2 2 5 3 2 2 2 2" xfId="29770"/>
    <cellStyle name="Normal 7 2 2 5 3 2 2 2 3" xfId="44813"/>
    <cellStyle name="Normal 7 2 2 5 3 2 2 3" xfId="22249"/>
    <cellStyle name="Normal 7 2 2 5 3 2 2 4" xfId="37292"/>
    <cellStyle name="Normal 7 2 2 5 3 2 3" xfId="10977"/>
    <cellStyle name="Normal 7 2 2 5 3 2 3 2" xfId="26021"/>
    <cellStyle name="Normal 7 2 2 5 3 2 3 3" xfId="41064"/>
    <cellStyle name="Normal 7 2 2 5 3 2 4" xfId="18500"/>
    <cellStyle name="Normal 7 2 2 5 3 2 5" xfId="33543"/>
    <cellStyle name="Normal 7 2 2 5 3 3" xfId="5338"/>
    <cellStyle name="Normal 7 2 2 5 3 3 2" xfId="12861"/>
    <cellStyle name="Normal 7 2 2 5 3 3 2 2" xfId="27905"/>
    <cellStyle name="Normal 7 2 2 5 3 3 2 3" xfId="42948"/>
    <cellStyle name="Normal 7 2 2 5 3 3 3" xfId="20384"/>
    <cellStyle name="Normal 7 2 2 5 3 3 4" xfId="35427"/>
    <cellStyle name="Normal 7 2 2 5 3 4" xfId="9112"/>
    <cellStyle name="Normal 7 2 2 5 3 4 2" xfId="24156"/>
    <cellStyle name="Normal 7 2 2 5 3 4 3" xfId="39199"/>
    <cellStyle name="Normal 7 2 2 5 3 5" xfId="16635"/>
    <cellStyle name="Normal 7 2 2 5 3 6" xfId="31678"/>
    <cellStyle name="Normal 7 2 2 5 4" xfId="2475"/>
    <cellStyle name="Normal 7 2 2 5 4 2" xfId="6271"/>
    <cellStyle name="Normal 7 2 2 5 4 2 2" xfId="13794"/>
    <cellStyle name="Normal 7 2 2 5 4 2 2 2" xfId="28838"/>
    <cellStyle name="Normal 7 2 2 5 4 2 2 3" xfId="43881"/>
    <cellStyle name="Normal 7 2 2 5 4 2 3" xfId="21317"/>
    <cellStyle name="Normal 7 2 2 5 4 2 4" xfId="36360"/>
    <cellStyle name="Normal 7 2 2 5 4 3" xfId="10045"/>
    <cellStyle name="Normal 7 2 2 5 4 3 2" xfId="25089"/>
    <cellStyle name="Normal 7 2 2 5 4 3 3" xfId="40132"/>
    <cellStyle name="Normal 7 2 2 5 4 4" xfId="17568"/>
    <cellStyle name="Normal 7 2 2 5 4 5" xfId="32611"/>
    <cellStyle name="Normal 7 2 2 5 5" xfId="4403"/>
    <cellStyle name="Normal 7 2 2 5 5 2" xfId="11927"/>
    <cellStyle name="Normal 7 2 2 5 5 2 2" xfId="26971"/>
    <cellStyle name="Normal 7 2 2 5 5 2 3" xfId="42014"/>
    <cellStyle name="Normal 7 2 2 5 5 3" xfId="19450"/>
    <cellStyle name="Normal 7 2 2 5 5 4" xfId="34493"/>
    <cellStyle name="Normal 7 2 2 5 6" xfId="8166"/>
    <cellStyle name="Normal 7 2 2 5 6 2" xfId="23210"/>
    <cellStyle name="Normal 7 2 2 5 6 3" xfId="38253"/>
    <cellStyle name="Normal 7 2 2 5 7" xfId="15689"/>
    <cellStyle name="Normal 7 2 2 5 8" xfId="30732"/>
    <cellStyle name="Normal 7 2 2 6" xfId="1021"/>
    <cellStyle name="Normal 7 2 2 6 2" xfId="1980"/>
    <cellStyle name="Normal 7 2 2 6 2 2" xfId="3851"/>
    <cellStyle name="Normal 7 2 2 6 2 2 2" xfId="7646"/>
    <cellStyle name="Normal 7 2 2 6 2 2 2 2" xfId="15169"/>
    <cellStyle name="Normal 7 2 2 6 2 2 2 2 2" xfId="30213"/>
    <cellStyle name="Normal 7 2 2 6 2 2 2 2 3" xfId="45256"/>
    <cellStyle name="Normal 7 2 2 6 2 2 2 3" xfId="22692"/>
    <cellStyle name="Normal 7 2 2 6 2 2 2 4" xfId="37735"/>
    <cellStyle name="Normal 7 2 2 6 2 2 3" xfId="11420"/>
    <cellStyle name="Normal 7 2 2 6 2 2 3 2" xfId="26464"/>
    <cellStyle name="Normal 7 2 2 6 2 2 3 3" xfId="41507"/>
    <cellStyle name="Normal 7 2 2 6 2 2 4" xfId="18943"/>
    <cellStyle name="Normal 7 2 2 6 2 2 5" xfId="33986"/>
    <cellStyle name="Normal 7 2 2 6 2 3" xfId="5781"/>
    <cellStyle name="Normal 7 2 2 6 2 3 2" xfId="13304"/>
    <cellStyle name="Normal 7 2 2 6 2 3 2 2" xfId="28348"/>
    <cellStyle name="Normal 7 2 2 6 2 3 2 3" xfId="43391"/>
    <cellStyle name="Normal 7 2 2 6 2 3 3" xfId="20827"/>
    <cellStyle name="Normal 7 2 2 6 2 3 4" xfId="35870"/>
    <cellStyle name="Normal 7 2 2 6 2 4" xfId="9555"/>
    <cellStyle name="Normal 7 2 2 6 2 4 2" xfId="24599"/>
    <cellStyle name="Normal 7 2 2 6 2 4 3" xfId="39642"/>
    <cellStyle name="Normal 7 2 2 6 2 5" xfId="17078"/>
    <cellStyle name="Normal 7 2 2 6 2 6" xfId="32121"/>
    <cellStyle name="Normal 7 2 2 6 3" xfId="2919"/>
    <cellStyle name="Normal 7 2 2 6 3 2" xfId="6714"/>
    <cellStyle name="Normal 7 2 2 6 3 2 2" xfId="14237"/>
    <cellStyle name="Normal 7 2 2 6 3 2 2 2" xfId="29281"/>
    <cellStyle name="Normal 7 2 2 6 3 2 2 3" xfId="44324"/>
    <cellStyle name="Normal 7 2 2 6 3 2 3" xfId="21760"/>
    <cellStyle name="Normal 7 2 2 6 3 2 4" xfId="36803"/>
    <cellStyle name="Normal 7 2 2 6 3 3" xfId="10488"/>
    <cellStyle name="Normal 7 2 2 6 3 3 2" xfId="25532"/>
    <cellStyle name="Normal 7 2 2 6 3 3 3" xfId="40575"/>
    <cellStyle name="Normal 7 2 2 6 3 4" xfId="18011"/>
    <cellStyle name="Normal 7 2 2 6 3 5" xfId="33054"/>
    <cellStyle name="Normal 7 2 2 6 4" xfId="4849"/>
    <cellStyle name="Normal 7 2 2 6 4 2" xfId="12372"/>
    <cellStyle name="Normal 7 2 2 6 4 2 2" xfId="27416"/>
    <cellStyle name="Normal 7 2 2 6 4 2 3" xfId="42459"/>
    <cellStyle name="Normal 7 2 2 6 4 3" xfId="19895"/>
    <cellStyle name="Normal 7 2 2 6 4 4" xfId="34938"/>
    <cellStyle name="Normal 7 2 2 6 5" xfId="8623"/>
    <cellStyle name="Normal 7 2 2 6 5 2" xfId="23667"/>
    <cellStyle name="Normal 7 2 2 6 5 3" xfId="38710"/>
    <cellStyle name="Normal 7 2 2 6 6" xfId="16146"/>
    <cellStyle name="Normal 7 2 2 6 7" xfId="31189"/>
    <cellStyle name="Normal 7 2 2 7" xfId="1528"/>
    <cellStyle name="Normal 7 2 2 7 2" xfId="3399"/>
    <cellStyle name="Normal 7 2 2 7 2 2" xfId="7194"/>
    <cellStyle name="Normal 7 2 2 7 2 2 2" xfId="14717"/>
    <cellStyle name="Normal 7 2 2 7 2 2 2 2" xfId="29761"/>
    <cellStyle name="Normal 7 2 2 7 2 2 2 3" xfId="44804"/>
    <cellStyle name="Normal 7 2 2 7 2 2 3" xfId="22240"/>
    <cellStyle name="Normal 7 2 2 7 2 2 4" xfId="37283"/>
    <cellStyle name="Normal 7 2 2 7 2 3" xfId="10968"/>
    <cellStyle name="Normal 7 2 2 7 2 3 2" xfId="26012"/>
    <cellStyle name="Normal 7 2 2 7 2 3 3" xfId="41055"/>
    <cellStyle name="Normal 7 2 2 7 2 4" xfId="18491"/>
    <cellStyle name="Normal 7 2 2 7 2 5" xfId="33534"/>
    <cellStyle name="Normal 7 2 2 7 3" xfId="5329"/>
    <cellStyle name="Normal 7 2 2 7 3 2" xfId="12852"/>
    <cellStyle name="Normal 7 2 2 7 3 2 2" xfId="27896"/>
    <cellStyle name="Normal 7 2 2 7 3 2 3" xfId="42939"/>
    <cellStyle name="Normal 7 2 2 7 3 3" xfId="20375"/>
    <cellStyle name="Normal 7 2 2 7 3 4" xfId="35418"/>
    <cellStyle name="Normal 7 2 2 7 4" xfId="9103"/>
    <cellStyle name="Normal 7 2 2 7 4 2" xfId="24147"/>
    <cellStyle name="Normal 7 2 2 7 4 3" xfId="39190"/>
    <cellStyle name="Normal 7 2 2 7 5" xfId="16626"/>
    <cellStyle name="Normal 7 2 2 7 6" xfId="31669"/>
    <cellStyle name="Normal 7 2 2 8" xfId="2466"/>
    <cellStyle name="Normal 7 2 2 8 2" xfId="6262"/>
    <cellStyle name="Normal 7 2 2 8 2 2" xfId="13785"/>
    <cellStyle name="Normal 7 2 2 8 2 2 2" xfId="28829"/>
    <cellStyle name="Normal 7 2 2 8 2 2 3" xfId="43872"/>
    <cellStyle name="Normal 7 2 2 8 2 3" xfId="21308"/>
    <cellStyle name="Normal 7 2 2 8 2 4" xfId="36351"/>
    <cellStyle name="Normal 7 2 2 8 3" xfId="10036"/>
    <cellStyle name="Normal 7 2 2 8 3 2" xfId="25080"/>
    <cellStyle name="Normal 7 2 2 8 3 3" xfId="40123"/>
    <cellStyle name="Normal 7 2 2 8 4" xfId="17559"/>
    <cellStyle name="Normal 7 2 2 8 5" xfId="32602"/>
    <cellStyle name="Normal 7 2 2 9" xfId="4394"/>
    <cellStyle name="Normal 7 2 2 9 2" xfId="11918"/>
    <cellStyle name="Normal 7 2 2 9 2 2" xfId="26962"/>
    <cellStyle name="Normal 7 2 2 9 2 3" xfId="42005"/>
    <cellStyle name="Normal 7 2 2 9 3" xfId="19441"/>
    <cellStyle name="Normal 7 2 2 9 4" xfId="34484"/>
    <cellStyle name="Normal 7 2 3" xfId="513"/>
    <cellStyle name="Normal 7 2 3 10" xfId="15690"/>
    <cellStyle name="Normal 7 2 3 11" xfId="30733"/>
    <cellStyle name="Normal 7 2 3 2" xfId="514"/>
    <cellStyle name="Normal 7 2 3 2 2" xfId="515"/>
    <cellStyle name="Normal 7 2 3 2 2 2" xfId="1033"/>
    <cellStyle name="Normal 7 2 3 2 2 2 2" xfId="1992"/>
    <cellStyle name="Normal 7 2 3 2 2 2 2 2" xfId="3863"/>
    <cellStyle name="Normal 7 2 3 2 2 2 2 2 2" xfId="7658"/>
    <cellStyle name="Normal 7 2 3 2 2 2 2 2 2 2" xfId="15181"/>
    <cellStyle name="Normal 7 2 3 2 2 2 2 2 2 2 2" xfId="30225"/>
    <cellStyle name="Normal 7 2 3 2 2 2 2 2 2 2 3" xfId="45268"/>
    <cellStyle name="Normal 7 2 3 2 2 2 2 2 2 3" xfId="22704"/>
    <cellStyle name="Normal 7 2 3 2 2 2 2 2 2 4" xfId="37747"/>
    <cellStyle name="Normal 7 2 3 2 2 2 2 2 3" xfId="11432"/>
    <cellStyle name="Normal 7 2 3 2 2 2 2 2 3 2" xfId="26476"/>
    <cellStyle name="Normal 7 2 3 2 2 2 2 2 3 3" xfId="41519"/>
    <cellStyle name="Normal 7 2 3 2 2 2 2 2 4" xfId="18955"/>
    <cellStyle name="Normal 7 2 3 2 2 2 2 2 5" xfId="33998"/>
    <cellStyle name="Normal 7 2 3 2 2 2 2 3" xfId="5793"/>
    <cellStyle name="Normal 7 2 3 2 2 2 2 3 2" xfId="13316"/>
    <cellStyle name="Normal 7 2 3 2 2 2 2 3 2 2" xfId="28360"/>
    <cellStyle name="Normal 7 2 3 2 2 2 2 3 2 3" xfId="43403"/>
    <cellStyle name="Normal 7 2 3 2 2 2 2 3 3" xfId="20839"/>
    <cellStyle name="Normal 7 2 3 2 2 2 2 3 4" xfId="35882"/>
    <cellStyle name="Normal 7 2 3 2 2 2 2 4" xfId="9567"/>
    <cellStyle name="Normal 7 2 3 2 2 2 2 4 2" xfId="24611"/>
    <cellStyle name="Normal 7 2 3 2 2 2 2 4 3" xfId="39654"/>
    <cellStyle name="Normal 7 2 3 2 2 2 2 5" xfId="17090"/>
    <cellStyle name="Normal 7 2 3 2 2 2 2 6" xfId="32133"/>
    <cellStyle name="Normal 7 2 3 2 2 2 3" xfId="2931"/>
    <cellStyle name="Normal 7 2 3 2 2 2 3 2" xfId="6726"/>
    <cellStyle name="Normal 7 2 3 2 2 2 3 2 2" xfId="14249"/>
    <cellStyle name="Normal 7 2 3 2 2 2 3 2 2 2" xfId="29293"/>
    <cellStyle name="Normal 7 2 3 2 2 2 3 2 2 3" xfId="44336"/>
    <cellStyle name="Normal 7 2 3 2 2 2 3 2 3" xfId="21772"/>
    <cellStyle name="Normal 7 2 3 2 2 2 3 2 4" xfId="36815"/>
    <cellStyle name="Normal 7 2 3 2 2 2 3 3" xfId="10500"/>
    <cellStyle name="Normal 7 2 3 2 2 2 3 3 2" xfId="25544"/>
    <cellStyle name="Normal 7 2 3 2 2 2 3 3 3" xfId="40587"/>
    <cellStyle name="Normal 7 2 3 2 2 2 3 4" xfId="18023"/>
    <cellStyle name="Normal 7 2 3 2 2 2 3 5" xfId="33066"/>
    <cellStyle name="Normal 7 2 3 2 2 2 4" xfId="4861"/>
    <cellStyle name="Normal 7 2 3 2 2 2 4 2" xfId="12384"/>
    <cellStyle name="Normal 7 2 3 2 2 2 4 2 2" xfId="27428"/>
    <cellStyle name="Normal 7 2 3 2 2 2 4 2 3" xfId="42471"/>
    <cellStyle name="Normal 7 2 3 2 2 2 4 3" xfId="19907"/>
    <cellStyle name="Normal 7 2 3 2 2 2 4 4" xfId="34950"/>
    <cellStyle name="Normal 7 2 3 2 2 2 5" xfId="8635"/>
    <cellStyle name="Normal 7 2 3 2 2 2 5 2" xfId="23679"/>
    <cellStyle name="Normal 7 2 3 2 2 2 5 3" xfId="38722"/>
    <cellStyle name="Normal 7 2 3 2 2 2 6" xfId="16158"/>
    <cellStyle name="Normal 7 2 3 2 2 2 7" xfId="31201"/>
    <cellStyle name="Normal 7 2 3 2 2 3" xfId="1540"/>
    <cellStyle name="Normal 7 2 3 2 2 3 2" xfId="3411"/>
    <cellStyle name="Normal 7 2 3 2 2 3 2 2" xfId="7206"/>
    <cellStyle name="Normal 7 2 3 2 2 3 2 2 2" xfId="14729"/>
    <cellStyle name="Normal 7 2 3 2 2 3 2 2 2 2" xfId="29773"/>
    <cellStyle name="Normal 7 2 3 2 2 3 2 2 2 3" xfId="44816"/>
    <cellStyle name="Normal 7 2 3 2 2 3 2 2 3" xfId="22252"/>
    <cellStyle name="Normal 7 2 3 2 2 3 2 2 4" xfId="37295"/>
    <cellStyle name="Normal 7 2 3 2 2 3 2 3" xfId="10980"/>
    <cellStyle name="Normal 7 2 3 2 2 3 2 3 2" xfId="26024"/>
    <cellStyle name="Normal 7 2 3 2 2 3 2 3 3" xfId="41067"/>
    <cellStyle name="Normal 7 2 3 2 2 3 2 4" xfId="18503"/>
    <cellStyle name="Normal 7 2 3 2 2 3 2 5" xfId="33546"/>
    <cellStyle name="Normal 7 2 3 2 2 3 3" xfId="5341"/>
    <cellStyle name="Normal 7 2 3 2 2 3 3 2" xfId="12864"/>
    <cellStyle name="Normal 7 2 3 2 2 3 3 2 2" xfId="27908"/>
    <cellStyle name="Normal 7 2 3 2 2 3 3 2 3" xfId="42951"/>
    <cellStyle name="Normal 7 2 3 2 2 3 3 3" xfId="20387"/>
    <cellStyle name="Normal 7 2 3 2 2 3 3 4" xfId="35430"/>
    <cellStyle name="Normal 7 2 3 2 2 3 4" xfId="9115"/>
    <cellStyle name="Normal 7 2 3 2 2 3 4 2" xfId="24159"/>
    <cellStyle name="Normal 7 2 3 2 2 3 4 3" xfId="39202"/>
    <cellStyle name="Normal 7 2 3 2 2 3 5" xfId="16638"/>
    <cellStyle name="Normal 7 2 3 2 2 3 6" xfId="31681"/>
    <cellStyle name="Normal 7 2 3 2 2 4" xfId="2478"/>
    <cellStyle name="Normal 7 2 3 2 2 4 2" xfId="6274"/>
    <cellStyle name="Normal 7 2 3 2 2 4 2 2" xfId="13797"/>
    <cellStyle name="Normal 7 2 3 2 2 4 2 2 2" xfId="28841"/>
    <cellStyle name="Normal 7 2 3 2 2 4 2 2 3" xfId="43884"/>
    <cellStyle name="Normal 7 2 3 2 2 4 2 3" xfId="21320"/>
    <cellStyle name="Normal 7 2 3 2 2 4 2 4" xfId="36363"/>
    <cellStyle name="Normal 7 2 3 2 2 4 3" xfId="10048"/>
    <cellStyle name="Normal 7 2 3 2 2 4 3 2" xfId="25092"/>
    <cellStyle name="Normal 7 2 3 2 2 4 3 3" xfId="40135"/>
    <cellStyle name="Normal 7 2 3 2 2 4 4" xfId="17571"/>
    <cellStyle name="Normal 7 2 3 2 2 4 5" xfId="32614"/>
    <cellStyle name="Normal 7 2 3 2 2 5" xfId="4406"/>
    <cellStyle name="Normal 7 2 3 2 2 5 2" xfId="11930"/>
    <cellStyle name="Normal 7 2 3 2 2 5 2 2" xfId="26974"/>
    <cellStyle name="Normal 7 2 3 2 2 5 2 3" xfId="42017"/>
    <cellStyle name="Normal 7 2 3 2 2 5 3" xfId="19453"/>
    <cellStyle name="Normal 7 2 3 2 2 5 4" xfId="34496"/>
    <cellStyle name="Normal 7 2 3 2 2 6" xfId="8169"/>
    <cellStyle name="Normal 7 2 3 2 2 6 2" xfId="23213"/>
    <cellStyle name="Normal 7 2 3 2 2 6 3" xfId="38256"/>
    <cellStyle name="Normal 7 2 3 2 2 7" xfId="15692"/>
    <cellStyle name="Normal 7 2 3 2 2 8" xfId="30735"/>
    <cellStyle name="Normal 7 2 3 2 3" xfId="1032"/>
    <cellStyle name="Normal 7 2 3 2 3 2" xfId="1991"/>
    <cellStyle name="Normal 7 2 3 2 3 2 2" xfId="3862"/>
    <cellStyle name="Normal 7 2 3 2 3 2 2 2" xfId="7657"/>
    <cellStyle name="Normal 7 2 3 2 3 2 2 2 2" xfId="15180"/>
    <cellStyle name="Normal 7 2 3 2 3 2 2 2 2 2" xfId="30224"/>
    <cellStyle name="Normal 7 2 3 2 3 2 2 2 2 3" xfId="45267"/>
    <cellStyle name="Normal 7 2 3 2 3 2 2 2 3" xfId="22703"/>
    <cellStyle name="Normal 7 2 3 2 3 2 2 2 4" xfId="37746"/>
    <cellStyle name="Normal 7 2 3 2 3 2 2 3" xfId="11431"/>
    <cellStyle name="Normal 7 2 3 2 3 2 2 3 2" xfId="26475"/>
    <cellStyle name="Normal 7 2 3 2 3 2 2 3 3" xfId="41518"/>
    <cellStyle name="Normal 7 2 3 2 3 2 2 4" xfId="18954"/>
    <cellStyle name="Normal 7 2 3 2 3 2 2 5" xfId="33997"/>
    <cellStyle name="Normal 7 2 3 2 3 2 3" xfId="5792"/>
    <cellStyle name="Normal 7 2 3 2 3 2 3 2" xfId="13315"/>
    <cellStyle name="Normal 7 2 3 2 3 2 3 2 2" xfId="28359"/>
    <cellStyle name="Normal 7 2 3 2 3 2 3 2 3" xfId="43402"/>
    <cellStyle name="Normal 7 2 3 2 3 2 3 3" xfId="20838"/>
    <cellStyle name="Normal 7 2 3 2 3 2 3 4" xfId="35881"/>
    <cellStyle name="Normal 7 2 3 2 3 2 4" xfId="9566"/>
    <cellStyle name="Normal 7 2 3 2 3 2 4 2" xfId="24610"/>
    <cellStyle name="Normal 7 2 3 2 3 2 4 3" xfId="39653"/>
    <cellStyle name="Normal 7 2 3 2 3 2 5" xfId="17089"/>
    <cellStyle name="Normal 7 2 3 2 3 2 6" xfId="32132"/>
    <cellStyle name="Normal 7 2 3 2 3 3" xfId="2930"/>
    <cellStyle name="Normal 7 2 3 2 3 3 2" xfId="6725"/>
    <cellStyle name="Normal 7 2 3 2 3 3 2 2" xfId="14248"/>
    <cellStyle name="Normal 7 2 3 2 3 3 2 2 2" xfId="29292"/>
    <cellStyle name="Normal 7 2 3 2 3 3 2 2 3" xfId="44335"/>
    <cellStyle name="Normal 7 2 3 2 3 3 2 3" xfId="21771"/>
    <cellStyle name="Normal 7 2 3 2 3 3 2 4" xfId="36814"/>
    <cellStyle name="Normal 7 2 3 2 3 3 3" xfId="10499"/>
    <cellStyle name="Normal 7 2 3 2 3 3 3 2" xfId="25543"/>
    <cellStyle name="Normal 7 2 3 2 3 3 3 3" xfId="40586"/>
    <cellStyle name="Normal 7 2 3 2 3 3 4" xfId="18022"/>
    <cellStyle name="Normal 7 2 3 2 3 3 5" xfId="33065"/>
    <cellStyle name="Normal 7 2 3 2 3 4" xfId="4860"/>
    <cellStyle name="Normal 7 2 3 2 3 4 2" xfId="12383"/>
    <cellStyle name="Normal 7 2 3 2 3 4 2 2" xfId="27427"/>
    <cellStyle name="Normal 7 2 3 2 3 4 2 3" xfId="42470"/>
    <cellStyle name="Normal 7 2 3 2 3 4 3" xfId="19906"/>
    <cellStyle name="Normal 7 2 3 2 3 4 4" xfId="34949"/>
    <cellStyle name="Normal 7 2 3 2 3 5" xfId="8634"/>
    <cellStyle name="Normal 7 2 3 2 3 5 2" xfId="23678"/>
    <cellStyle name="Normal 7 2 3 2 3 5 3" xfId="38721"/>
    <cellStyle name="Normal 7 2 3 2 3 6" xfId="16157"/>
    <cellStyle name="Normal 7 2 3 2 3 7" xfId="31200"/>
    <cellStyle name="Normal 7 2 3 2 4" xfId="1539"/>
    <cellStyle name="Normal 7 2 3 2 4 2" xfId="3410"/>
    <cellStyle name="Normal 7 2 3 2 4 2 2" xfId="7205"/>
    <cellStyle name="Normal 7 2 3 2 4 2 2 2" xfId="14728"/>
    <cellStyle name="Normal 7 2 3 2 4 2 2 2 2" xfId="29772"/>
    <cellStyle name="Normal 7 2 3 2 4 2 2 2 3" xfId="44815"/>
    <cellStyle name="Normal 7 2 3 2 4 2 2 3" xfId="22251"/>
    <cellStyle name="Normal 7 2 3 2 4 2 2 4" xfId="37294"/>
    <cellStyle name="Normal 7 2 3 2 4 2 3" xfId="10979"/>
    <cellStyle name="Normal 7 2 3 2 4 2 3 2" xfId="26023"/>
    <cellStyle name="Normal 7 2 3 2 4 2 3 3" xfId="41066"/>
    <cellStyle name="Normal 7 2 3 2 4 2 4" xfId="18502"/>
    <cellStyle name="Normal 7 2 3 2 4 2 5" xfId="33545"/>
    <cellStyle name="Normal 7 2 3 2 4 3" xfId="5340"/>
    <cellStyle name="Normal 7 2 3 2 4 3 2" xfId="12863"/>
    <cellStyle name="Normal 7 2 3 2 4 3 2 2" xfId="27907"/>
    <cellStyle name="Normal 7 2 3 2 4 3 2 3" xfId="42950"/>
    <cellStyle name="Normal 7 2 3 2 4 3 3" xfId="20386"/>
    <cellStyle name="Normal 7 2 3 2 4 3 4" xfId="35429"/>
    <cellStyle name="Normal 7 2 3 2 4 4" xfId="9114"/>
    <cellStyle name="Normal 7 2 3 2 4 4 2" xfId="24158"/>
    <cellStyle name="Normal 7 2 3 2 4 4 3" xfId="39201"/>
    <cellStyle name="Normal 7 2 3 2 4 5" xfId="16637"/>
    <cellStyle name="Normal 7 2 3 2 4 6" xfId="31680"/>
    <cellStyle name="Normal 7 2 3 2 5" xfId="2477"/>
    <cellStyle name="Normal 7 2 3 2 5 2" xfId="6273"/>
    <cellStyle name="Normal 7 2 3 2 5 2 2" xfId="13796"/>
    <cellStyle name="Normal 7 2 3 2 5 2 2 2" xfId="28840"/>
    <cellStyle name="Normal 7 2 3 2 5 2 2 3" xfId="43883"/>
    <cellStyle name="Normal 7 2 3 2 5 2 3" xfId="21319"/>
    <cellStyle name="Normal 7 2 3 2 5 2 4" xfId="36362"/>
    <cellStyle name="Normal 7 2 3 2 5 3" xfId="10047"/>
    <cellStyle name="Normal 7 2 3 2 5 3 2" xfId="25091"/>
    <cellStyle name="Normal 7 2 3 2 5 3 3" xfId="40134"/>
    <cellStyle name="Normal 7 2 3 2 5 4" xfId="17570"/>
    <cellStyle name="Normal 7 2 3 2 5 5" xfId="32613"/>
    <cellStyle name="Normal 7 2 3 2 6" xfId="4405"/>
    <cellStyle name="Normal 7 2 3 2 6 2" xfId="11929"/>
    <cellStyle name="Normal 7 2 3 2 6 2 2" xfId="26973"/>
    <cellStyle name="Normal 7 2 3 2 6 2 3" xfId="42016"/>
    <cellStyle name="Normal 7 2 3 2 6 3" xfId="19452"/>
    <cellStyle name="Normal 7 2 3 2 6 4" xfId="34495"/>
    <cellStyle name="Normal 7 2 3 2 7" xfId="8168"/>
    <cellStyle name="Normal 7 2 3 2 7 2" xfId="23212"/>
    <cellStyle name="Normal 7 2 3 2 7 3" xfId="38255"/>
    <cellStyle name="Normal 7 2 3 2 8" xfId="15691"/>
    <cellStyle name="Normal 7 2 3 2 9" xfId="30734"/>
    <cellStyle name="Normal 7 2 3 3" xfId="516"/>
    <cellStyle name="Normal 7 2 3 3 2" xfId="517"/>
    <cellStyle name="Normal 7 2 3 3 2 2" xfId="1035"/>
    <cellStyle name="Normal 7 2 3 3 2 2 2" xfId="1994"/>
    <cellStyle name="Normal 7 2 3 3 2 2 2 2" xfId="3865"/>
    <cellStyle name="Normal 7 2 3 3 2 2 2 2 2" xfId="7660"/>
    <cellStyle name="Normal 7 2 3 3 2 2 2 2 2 2" xfId="15183"/>
    <cellStyle name="Normal 7 2 3 3 2 2 2 2 2 2 2" xfId="30227"/>
    <cellStyle name="Normal 7 2 3 3 2 2 2 2 2 2 3" xfId="45270"/>
    <cellStyle name="Normal 7 2 3 3 2 2 2 2 2 3" xfId="22706"/>
    <cellStyle name="Normal 7 2 3 3 2 2 2 2 2 4" xfId="37749"/>
    <cellStyle name="Normal 7 2 3 3 2 2 2 2 3" xfId="11434"/>
    <cellStyle name="Normal 7 2 3 3 2 2 2 2 3 2" xfId="26478"/>
    <cellStyle name="Normal 7 2 3 3 2 2 2 2 3 3" xfId="41521"/>
    <cellStyle name="Normal 7 2 3 3 2 2 2 2 4" xfId="18957"/>
    <cellStyle name="Normal 7 2 3 3 2 2 2 2 5" xfId="34000"/>
    <cellStyle name="Normal 7 2 3 3 2 2 2 3" xfId="5795"/>
    <cellStyle name="Normal 7 2 3 3 2 2 2 3 2" xfId="13318"/>
    <cellStyle name="Normal 7 2 3 3 2 2 2 3 2 2" xfId="28362"/>
    <cellStyle name="Normal 7 2 3 3 2 2 2 3 2 3" xfId="43405"/>
    <cellStyle name="Normal 7 2 3 3 2 2 2 3 3" xfId="20841"/>
    <cellStyle name="Normal 7 2 3 3 2 2 2 3 4" xfId="35884"/>
    <cellStyle name="Normal 7 2 3 3 2 2 2 4" xfId="9569"/>
    <cellStyle name="Normal 7 2 3 3 2 2 2 4 2" xfId="24613"/>
    <cellStyle name="Normal 7 2 3 3 2 2 2 4 3" xfId="39656"/>
    <cellStyle name="Normal 7 2 3 3 2 2 2 5" xfId="17092"/>
    <cellStyle name="Normal 7 2 3 3 2 2 2 6" xfId="32135"/>
    <cellStyle name="Normal 7 2 3 3 2 2 3" xfId="2933"/>
    <cellStyle name="Normal 7 2 3 3 2 2 3 2" xfId="6728"/>
    <cellStyle name="Normal 7 2 3 3 2 2 3 2 2" xfId="14251"/>
    <cellStyle name="Normal 7 2 3 3 2 2 3 2 2 2" xfId="29295"/>
    <cellStyle name="Normal 7 2 3 3 2 2 3 2 2 3" xfId="44338"/>
    <cellStyle name="Normal 7 2 3 3 2 2 3 2 3" xfId="21774"/>
    <cellStyle name="Normal 7 2 3 3 2 2 3 2 4" xfId="36817"/>
    <cellStyle name="Normal 7 2 3 3 2 2 3 3" xfId="10502"/>
    <cellStyle name="Normal 7 2 3 3 2 2 3 3 2" xfId="25546"/>
    <cellStyle name="Normal 7 2 3 3 2 2 3 3 3" xfId="40589"/>
    <cellStyle name="Normal 7 2 3 3 2 2 3 4" xfId="18025"/>
    <cellStyle name="Normal 7 2 3 3 2 2 3 5" xfId="33068"/>
    <cellStyle name="Normal 7 2 3 3 2 2 4" xfId="4863"/>
    <cellStyle name="Normal 7 2 3 3 2 2 4 2" xfId="12386"/>
    <cellStyle name="Normal 7 2 3 3 2 2 4 2 2" xfId="27430"/>
    <cellStyle name="Normal 7 2 3 3 2 2 4 2 3" xfId="42473"/>
    <cellStyle name="Normal 7 2 3 3 2 2 4 3" xfId="19909"/>
    <cellStyle name="Normal 7 2 3 3 2 2 4 4" xfId="34952"/>
    <cellStyle name="Normal 7 2 3 3 2 2 5" xfId="8637"/>
    <cellStyle name="Normal 7 2 3 3 2 2 5 2" xfId="23681"/>
    <cellStyle name="Normal 7 2 3 3 2 2 5 3" xfId="38724"/>
    <cellStyle name="Normal 7 2 3 3 2 2 6" xfId="16160"/>
    <cellStyle name="Normal 7 2 3 3 2 2 7" xfId="31203"/>
    <cellStyle name="Normal 7 2 3 3 2 3" xfId="1542"/>
    <cellStyle name="Normal 7 2 3 3 2 3 2" xfId="3413"/>
    <cellStyle name="Normal 7 2 3 3 2 3 2 2" xfId="7208"/>
    <cellStyle name="Normal 7 2 3 3 2 3 2 2 2" xfId="14731"/>
    <cellStyle name="Normal 7 2 3 3 2 3 2 2 2 2" xfId="29775"/>
    <cellStyle name="Normal 7 2 3 3 2 3 2 2 2 3" xfId="44818"/>
    <cellStyle name="Normal 7 2 3 3 2 3 2 2 3" xfId="22254"/>
    <cellStyle name="Normal 7 2 3 3 2 3 2 2 4" xfId="37297"/>
    <cellStyle name="Normal 7 2 3 3 2 3 2 3" xfId="10982"/>
    <cellStyle name="Normal 7 2 3 3 2 3 2 3 2" xfId="26026"/>
    <cellStyle name="Normal 7 2 3 3 2 3 2 3 3" xfId="41069"/>
    <cellStyle name="Normal 7 2 3 3 2 3 2 4" xfId="18505"/>
    <cellStyle name="Normal 7 2 3 3 2 3 2 5" xfId="33548"/>
    <cellStyle name="Normal 7 2 3 3 2 3 3" xfId="5343"/>
    <cellStyle name="Normal 7 2 3 3 2 3 3 2" xfId="12866"/>
    <cellStyle name="Normal 7 2 3 3 2 3 3 2 2" xfId="27910"/>
    <cellStyle name="Normal 7 2 3 3 2 3 3 2 3" xfId="42953"/>
    <cellStyle name="Normal 7 2 3 3 2 3 3 3" xfId="20389"/>
    <cellStyle name="Normal 7 2 3 3 2 3 3 4" xfId="35432"/>
    <cellStyle name="Normal 7 2 3 3 2 3 4" xfId="9117"/>
    <cellStyle name="Normal 7 2 3 3 2 3 4 2" xfId="24161"/>
    <cellStyle name="Normal 7 2 3 3 2 3 4 3" xfId="39204"/>
    <cellStyle name="Normal 7 2 3 3 2 3 5" xfId="16640"/>
    <cellStyle name="Normal 7 2 3 3 2 3 6" xfId="31683"/>
    <cellStyle name="Normal 7 2 3 3 2 4" xfId="2480"/>
    <cellStyle name="Normal 7 2 3 3 2 4 2" xfId="6276"/>
    <cellStyle name="Normal 7 2 3 3 2 4 2 2" xfId="13799"/>
    <cellStyle name="Normal 7 2 3 3 2 4 2 2 2" xfId="28843"/>
    <cellStyle name="Normal 7 2 3 3 2 4 2 2 3" xfId="43886"/>
    <cellStyle name="Normal 7 2 3 3 2 4 2 3" xfId="21322"/>
    <cellStyle name="Normal 7 2 3 3 2 4 2 4" xfId="36365"/>
    <cellStyle name="Normal 7 2 3 3 2 4 3" xfId="10050"/>
    <cellStyle name="Normal 7 2 3 3 2 4 3 2" xfId="25094"/>
    <cellStyle name="Normal 7 2 3 3 2 4 3 3" xfId="40137"/>
    <cellStyle name="Normal 7 2 3 3 2 4 4" xfId="17573"/>
    <cellStyle name="Normal 7 2 3 3 2 4 5" xfId="32616"/>
    <cellStyle name="Normal 7 2 3 3 2 5" xfId="4408"/>
    <cellStyle name="Normal 7 2 3 3 2 5 2" xfId="11932"/>
    <cellStyle name="Normal 7 2 3 3 2 5 2 2" xfId="26976"/>
    <cellStyle name="Normal 7 2 3 3 2 5 2 3" xfId="42019"/>
    <cellStyle name="Normal 7 2 3 3 2 5 3" xfId="19455"/>
    <cellStyle name="Normal 7 2 3 3 2 5 4" xfId="34498"/>
    <cellStyle name="Normal 7 2 3 3 2 6" xfId="8171"/>
    <cellStyle name="Normal 7 2 3 3 2 6 2" xfId="23215"/>
    <cellStyle name="Normal 7 2 3 3 2 6 3" xfId="38258"/>
    <cellStyle name="Normal 7 2 3 3 2 7" xfId="15694"/>
    <cellStyle name="Normal 7 2 3 3 2 8" xfId="30737"/>
    <cellStyle name="Normal 7 2 3 3 3" xfId="1034"/>
    <cellStyle name="Normal 7 2 3 3 3 2" xfId="1993"/>
    <cellStyle name="Normal 7 2 3 3 3 2 2" xfId="3864"/>
    <cellStyle name="Normal 7 2 3 3 3 2 2 2" xfId="7659"/>
    <cellStyle name="Normal 7 2 3 3 3 2 2 2 2" xfId="15182"/>
    <cellStyle name="Normal 7 2 3 3 3 2 2 2 2 2" xfId="30226"/>
    <cellStyle name="Normal 7 2 3 3 3 2 2 2 2 3" xfId="45269"/>
    <cellStyle name="Normal 7 2 3 3 3 2 2 2 3" xfId="22705"/>
    <cellStyle name="Normal 7 2 3 3 3 2 2 2 4" xfId="37748"/>
    <cellStyle name="Normal 7 2 3 3 3 2 2 3" xfId="11433"/>
    <cellStyle name="Normal 7 2 3 3 3 2 2 3 2" xfId="26477"/>
    <cellStyle name="Normal 7 2 3 3 3 2 2 3 3" xfId="41520"/>
    <cellStyle name="Normal 7 2 3 3 3 2 2 4" xfId="18956"/>
    <cellStyle name="Normal 7 2 3 3 3 2 2 5" xfId="33999"/>
    <cellStyle name="Normal 7 2 3 3 3 2 3" xfId="5794"/>
    <cellStyle name="Normal 7 2 3 3 3 2 3 2" xfId="13317"/>
    <cellStyle name="Normal 7 2 3 3 3 2 3 2 2" xfId="28361"/>
    <cellStyle name="Normal 7 2 3 3 3 2 3 2 3" xfId="43404"/>
    <cellStyle name="Normal 7 2 3 3 3 2 3 3" xfId="20840"/>
    <cellStyle name="Normal 7 2 3 3 3 2 3 4" xfId="35883"/>
    <cellStyle name="Normal 7 2 3 3 3 2 4" xfId="9568"/>
    <cellStyle name="Normal 7 2 3 3 3 2 4 2" xfId="24612"/>
    <cellStyle name="Normal 7 2 3 3 3 2 4 3" xfId="39655"/>
    <cellStyle name="Normal 7 2 3 3 3 2 5" xfId="17091"/>
    <cellStyle name="Normal 7 2 3 3 3 2 6" xfId="32134"/>
    <cellStyle name="Normal 7 2 3 3 3 3" xfId="2932"/>
    <cellStyle name="Normal 7 2 3 3 3 3 2" xfId="6727"/>
    <cellStyle name="Normal 7 2 3 3 3 3 2 2" xfId="14250"/>
    <cellStyle name="Normal 7 2 3 3 3 3 2 2 2" xfId="29294"/>
    <cellStyle name="Normal 7 2 3 3 3 3 2 2 3" xfId="44337"/>
    <cellStyle name="Normal 7 2 3 3 3 3 2 3" xfId="21773"/>
    <cellStyle name="Normal 7 2 3 3 3 3 2 4" xfId="36816"/>
    <cellStyle name="Normal 7 2 3 3 3 3 3" xfId="10501"/>
    <cellStyle name="Normal 7 2 3 3 3 3 3 2" xfId="25545"/>
    <cellStyle name="Normal 7 2 3 3 3 3 3 3" xfId="40588"/>
    <cellStyle name="Normal 7 2 3 3 3 3 4" xfId="18024"/>
    <cellStyle name="Normal 7 2 3 3 3 3 5" xfId="33067"/>
    <cellStyle name="Normal 7 2 3 3 3 4" xfId="4862"/>
    <cellStyle name="Normal 7 2 3 3 3 4 2" xfId="12385"/>
    <cellStyle name="Normal 7 2 3 3 3 4 2 2" xfId="27429"/>
    <cellStyle name="Normal 7 2 3 3 3 4 2 3" xfId="42472"/>
    <cellStyle name="Normal 7 2 3 3 3 4 3" xfId="19908"/>
    <cellStyle name="Normal 7 2 3 3 3 4 4" xfId="34951"/>
    <cellStyle name="Normal 7 2 3 3 3 5" xfId="8636"/>
    <cellStyle name="Normal 7 2 3 3 3 5 2" xfId="23680"/>
    <cellStyle name="Normal 7 2 3 3 3 5 3" xfId="38723"/>
    <cellStyle name="Normal 7 2 3 3 3 6" xfId="16159"/>
    <cellStyle name="Normal 7 2 3 3 3 7" xfId="31202"/>
    <cellStyle name="Normal 7 2 3 3 4" xfId="1541"/>
    <cellStyle name="Normal 7 2 3 3 4 2" xfId="3412"/>
    <cellStyle name="Normal 7 2 3 3 4 2 2" xfId="7207"/>
    <cellStyle name="Normal 7 2 3 3 4 2 2 2" xfId="14730"/>
    <cellStyle name="Normal 7 2 3 3 4 2 2 2 2" xfId="29774"/>
    <cellStyle name="Normal 7 2 3 3 4 2 2 2 3" xfId="44817"/>
    <cellStyle name="Normal 7 2 3 3 4 2 2 3" xfId="22253"/>
    <cellStyle name="Normal 7 2 3 3 4 2 2 4" xfId="37296"/>
    <cellStyle name="Normal 7 2 3 3 4 2 3" xfId="10981"/>
    <cellStyle name="Normal 7 2 3 3 4 2 3 2" xfId="26025"/>
    <cellStyle name="Normal 7 2 3 3 4 2 3 3" xfId="41068"/>
    <cellStyle name="Normal 7 2 3 3 4 2 4" xfId="18504"/>
    <cellStyle name="Normal 7 2 3 3 4 2 5" xfId="33547"/>
    <cellStyle name="Normal 7 2 3 3 4 3" xfId="5342"/>
    <cellStyle name="Normal 7 2 3 3 4 3 2" xfId="12865"/>
    <cellStyle name="Normal 7 2 3 3 4 3 2 2" xfId="27909"/>
    <cellStyle name="Normal 7 2 3 3 4 3 2 3" xfId="42952"/>
    <cellStyle name="Normal 7 2 3 3 4 3 3" xfId="20388"/>
    <cellStyle name="Normal 7 2 3 3 4 3 4" xfId="35431"/>
    <cellStyle name="Normal 7 2 3 3 4 4" xfId="9116"/>
    <cellStyle name="Normal 7 2 3 3 4 4 2" xfId="24160"/>
    <cellStyle name="Normal 7 2 3 3 4 4 3" xfId="39203"/>
    <cellStyle name="Normal 7 2 3 3 4 5" xfId="16639"/>
    <cellStyle name="Normal 7 2 3 3 4 6" xfId="31682"/>
    <cellStyle name="Normal 7 2 3 3 5" xfId="2479"/>
    <cellStyle name="Normal 7 2 3 3 5 2" xfId="6275"/>
    <cellStyle name="Normal 7 2 3 3 5 2 2" xfId="13798"/>
    <cellStyle name="Normal 7 2 3 3 5 2 2 2" xfId="28842"/>
    <cellStyle name="Normal 7 2 3 3 5 2 2 3" xfId="43885"/>
    <cellStyle name="Normal 7 2 3 3 5 2 3" xfId="21321"/>
    <cellStyle name="Normal 7 2 3 3 5 2 4" xfId="36364"/>
    <cellStyle name="Normal 7 2 3 3 5 3" xfId="10049"/>
    <cellStyle name="Normal 7 2 3 3 5 3 2" xfId="25093"/>
    <cellStyle name="Normal 7 2 3 3 5 3 3" xfId="40136"/>
    <cellStyle name="Normal 7 2 3 3 5 4" xfId="17572"/>
    <cellStyle name="Normal 7 2 3 3 5 5" xfId="32615"/>
    <cellStyle name="Normal 7 2 3 3 6" xfId="4407"/>
    <cellStyle name="Normal 7 2 3 3 6 2" xfId="11931"/>
    <cellStyle name="Normal 7 2 3 3 6 2 2" xfId="26975"/>
    <cellStyle name="Normal 7 2 3 3 6 2 3" xfId="42018"/>
    <cellStyle name="Normal 7 2 3 3 6 3" xfId="19454"/>
    <cellStyle name="Normal 7 2 3 3 6 4" xfId="34497"/>
    <cellStyle name="Normal 7 2 3 3 7" xfId="8170"/>
    <cellStyle name="Normal 7 2 3 3 7 2" xfId="23214"/>
    <cellStyle name="Normal 7 2 3 3 7 3" xfId="38257"/>
    <cellStyle name="Normal 7 2 3 3 8" xfId="15693"/>
    <cellStyle name="Normal 7 2 3 3 9" xfId="30736"/>
    <cellStyle name="Normal 7 2 3 4" xfId="518"/>
    <cellStyle name="Normal 7 2 3 4 2" xfId="1036"/>
    <cellStyle name="Normal 7 2 3 4 2 2" xfId="1995"/>
    <cellStyle name="Normal 7 2 3 4 2 2 2" xfId="3866"/>
    <cellStyle name="Normal 7 2 3 4 2 2 2 2" xfId="7661"/>
    <cellStyle name="Normal 7 2 3 4 2 2 2 2 2" xfId="15184"/>
    <cellStyle name="Normal 7 2 3 4 2 2 2 2 2 2" xfId="30228"/>
    <cellStyle name="Normal 7 2 3 4 2 2 2 2 2 3" xfId="45271"/>
    <cellStyle name="Normal 7 2 3 4 2 2 2 2 3" xfId="22707"/>
    <cellStyle name="Normal 7 2 3 4 2 2 2 2 4" xfId="37750"/>
    <cellStyle name="Normal 7 2 3 4 2 2 2 3" xfId="11435"/>
    <cellStyle name="Normal 7 2 3 4 2 2 2 3 2" xfId="26479"/>
    <cellStyle name="Normal 7 2 3 4 2 2 2 3 3" xfId="41522"/>
    <cellStyle name="Normal 7 2 3 4 2 2 2 4" xfId="18958"/>
    <cellStyle name="Normal 7 2 3 4 2 2 2 5" xfId="34001"/>
    <cellStyle name="Normal 7 2 3 4 2 2 3" xfId="5796"/>
    <cellStyle name="Normal 7 2 3 4 2 2 3 2" xfId="13319"/>
    <cellStyle name="Normal 7 2 3 4 2 2 3 2 2" xfId="28363"/>
    <cellStyle name="Normal 7 2 3 4 2 2 3 2 3" xfId="43406"/>
    <cellStyle name="Normal 7 2 3 4 2 2 3 3" xfId="20842"/>
    <cellStyle name="Normal 7 2 3 4 2 2 3 4" xfId="35885"/>
    <cellStyle name="Normal 7 2 3 4 2 2 4" xfId="9570"/>
    <cellStyle name="Normal 7 2 3 4 2 2 4 2" xfId="24614"/>
    <cellStyle name="Normal 7 2 3 4 2 2 4 3" xfId="39657"/>
    <cellStyle name="Normal 7 2 3 4 2 2 5" xfId="17093"/>
    <cellStyle name="Normal 7 2 3 4 2 2 6" xfId="32136"/>
    <cellStyle name="Normal 7 2 3 4 2 3" xfId="2934"/>
    <cellStyle name="Normal 7 2 3 4 2 3 2" xfId="6729"/>
    <cellStyle name="Normal 7 2 3 4 2 3 2 2" xfId="14252"/>
    <cellStyle name="Normal 7 2 3 4 2 3 2 2 2" xfId="29296"/>
    <cellStyle name="Normal 7 2 3 4 2 3 2 2 3" xfId="44339"/>
    <cellStyle name="Normal 7 2 3 4 2 3 2 3" xfId="21775"/>
    <cellStyle name="Normal 7 2 3 4 2 3 2 4" xfId="36818"/>
    <cellStyle name="Normal 7 2 3 4 2 3 3" xfId="10503"/>
    <cellStyle name="Normal 7 2 3 4 2 3 3 2" xfId="25547"/>
    <cellStyle name="Normal 7 2 3 4 2 3 3 3" xfId="40590"/>
    <cellStyle name="Normal 7 2 3 4 2 3 4" xfId="18026"/>
    <cellStyle name="Normal 7 2 3 4 2 3 5" xfId="33069"/>
    <cellStyle name="Normal 7 2 3 4 2 4" xfId="4864"/>
    <cellStyle name="Normal 7 2 3 4 2 4 2" xfId="12387"/>
    <cellStyle name="Normal 7 2 3 4 2 4 2 2" xfId="27431"/>
    <cellStyle name="Normal 7 2 3 4 2 4 2 3" xfId="42474"/>
    <cellStyle name="Normal 7 2 3 4 2 4 3" xfId="19910"/>
    <cellStyle name="Normal 7 2 3 4 2 4 4" xfId="34953"/>
    <cellStyle name="Normal 7 2 3 4 2 5" xfId="8638"/>
    <cellStyle name="Normal 7 2 3 4 2 5 2" xfId="23682"/>
    <cellStyle name="Normal 7 2 3 4 2 5 3" xfId="38725"/>
    <cellStyle name="Normal 7 2 3 4 2 6" xfId="16161"/>
    <cellStyle name="Normal 7 2 3 4 2 7" xfId="31204"/>
    <cellStyle name="Normal 7 2 3 4 3" xfId="1543"/>
    <cellStyle name="Normal 7 2 3 4 3 2" xfId="3414"/>
    <cellStyle name="Normal 7 2 3 4 3 2 2" xfId="7209"/>
    <cellStyle name="Normal 7 2 3 4 3 2 2 2" xfId="14732"/>
    <cellStyle name="Normal 7 2 3 4 3 2 2 2 2" xfId="29776"/>
    <cellStyle name="Normal 7 2 3 4 3 2 2 2 3" xfId="44819"/>
    <cellStyle name="Normal 7 2 3 4 3 2 2 3" xfId="22255"/>
    <cellStyle name="Normal 7 2 3 4 3 2 2 4" xfId="37298"/>
    <cellStyle name="Normal 7 2 3 4 3 2 3" xfId="10983"/>
    <cellStyle name="Normal 7 2 3 4 3 2 3 2" xfId="26027"/>
    <cellStyle name="Normal 7 2 3 4 3 2 3 3" xfId="41070"/>
    <cellStyle name="Normal 7 2 3 4 3 2 4" xfId="18506"/>
    <cellStyle name="Normal 7 2 3 4 3 2 5" xfId="33549"/>
    <cellStyle name="Normal 7 2 3 4 3 3" xfId="5344"/>
    <cellStyle name="Normal 7 2 3 4 3 3 2" xfId="12867"/>
    <cellStyle name="Normal 7 2 3 4 3 3 2 2" xfId="27911"/>
    <cellStyle name="Normal 7 2 3 4 3 3 2 3" xfId="42954"/>
    <cellStyle name="Normal 7 2 3 4 3 3 3" xfId="20390"/>
    <cellStyle name="Normal 7 2 3 4 3 3 4" xfId="35433"/>
    <cellStyle name="Normal 7 2 3 4 3 4" xfId="9118"/>
    <cellStyle name="Normal 7 2 3 4 3 4 2" xfId="24162"/>
    <cellStyle name="Normal 7 2 3 4 3 4 3" xfId="39205"/>
    <cellStyle name="Normal 7 2 3 4 3 5" xfId="16641"/>
    <cellStyle name="Normal 7 2 3 4 3 6" xfId="31684"/>
    <cellStyle name="Normal 7 2 3 4 4" xfId="2481"/>
    <cellStyle name="Normal 7 2 3 4 4 2" xfId="6277"/>
    <cellStyle name="Normal 7 2 3 4 4 2 2" xfId="13800"/>
    <cellStyle name="Normal 7 2 3 4 4 2 2 2" xfId="28844"/>
    <cellStyle name="Normal 7 2 3 4 4 2 2 3" xfId="43887"/>
    <cellStyle name="Normal 7 2 3 4 4 2 3" xfId="21323"/>
    <cellStyle name="Normal 7 2 3 4 4 2 4" xfId="36366"/>
    <cellStyle name="Normal 7 2 3 4 4 3" xfId="10051"/>
    <cellStyle name="Normal 7 2 3 4 4 3 2" xfId="25095"/>
    <cellStyle name="Normal 7 2 3 4 4 3 3" xfId="40138"/>
    <cellStyle name="Normal 7 2 3 4 4 4" xfId="17574"/>
    <cellStyle name="Normal 7 2 3 4 4 5" xfId="32617"/>
    <cellStyle name="Normal 7 2 3 4 5" xfId="4409"/>
    <cellStyle name="Normal 7 2 3 4 5 2" xfId="11933"/>
    <cellStyle name="Normal 7 2 3 4 5 2 2" xfId="26977"/>
    <cellStyle name="Normal 7 2 3 4 5 2 3" xfId="42020"/>
    <cellStyle name="Normal 7 2 3 4 5 3" xfId="19456"/>
    <cellStyle name="Normal 7 2 3 4 5 4" xfId="34499"/>
    <cellStyle name="Normal 7 2 3 4 6" xfId="8172"/>
    <cellStyle name="Normal 7 2 3 4 6 2" xfId="23216"/>
    <cellStyle name="Normal 7 2 3 4 6 3" xfId="38259"/>
    <cellStyle name="Normal 7 2 3 4 7" xfId="15695"/>
    <cellStyle name="Normal 7 2 3 4 8" xfId="30738"/>
    <cellStyle name="Normal 7 2 3 5" xfId="1031"/>
    <cellStyle name="Normal 7 2 3 5 2" xfId="1990"/>
    <cellStyle name="Normal 7 2 3 5 2 2" xfId="3861"/>
    <cellStyle name="Normal 7 2 3 5 2 2 2" xfId="7656"/>
    <cellStyle name="Normal 7 2 3 5 2 2 2 2" xfId="15179"/>
    <cellStyle name="Normal 7 2 3 5 2 2 2 2 2" xfId="30223"/>
    <cellStyle name="Normal 7 2 3 5 2 2 2 2 3" xfId="45266"/>
    <cellStyle name="Normal 7 2 3 5 2 2 2 3" xfId="22702"/>
    <cellStyle name="Normal 7 2 3 5 2 2 2 4" xfId="37745"/>
    <cellStyle name="Normal 7 2 3 5 2 2 3" xfId="11430"/>
    <cellStyle name="Normal 7 2 3 5 2 2 3 2" xfId="26474"/>
    <cellStyle name="Normal 7 2 3 5 2 2 3 3" xfId="41517"/>
    <cellStyle name="Normal 7 2 3 5 2 2 4" xfId="18953"/>
    <cellStyle name="Normal 7 2 3 5 2 2 5" xfId="33996"/>
    <cellStyle name="Normal 7 2 3 5 2 3" xfId="5791"/>
    <cellStyle name="Normal 7 2 3 5 2 3 2" xfId="13314"/>
    <cellStyle name="Normal 7 2 3 5 2 3 2 2" xfId="28358"/>
    <cellStyle name="Normal 7 2 3 5 2 3 2 3" xfId="43401"/>
    <cellStyle name="Normal 7 2 3 5 2 3 3" xfId="20837"/>
    <cellStyle name="Normal 7 2 3 5 2 3 4" xfId="35880"/>
    <cellStyle name="Normal 7 2 3 5 2 4" xfId="9565"/>
    <cellStyle name="Normal 7 2 3 5 2 4 2" xfId="24609"/>
    <cellStyle name="Normal 7 2 3 5 2 4 3" xfId="39652"/>
    <cellStyle name="Normal 7 2 3 5 2 5" xfId="17088"/>
    <cellStyle name="Normal 7 2 3 5 2 6" xfId="32131"/>
    <cellStyle name="Normal 7 2 3 5 3" xfId="2929"/>
    <cellStyle name="Normal 7 2 3 5 3 2" xfId="6724"/>
    <cellStyle name="Normal 7 2 3 5 3 2 2" xfId="14247"/>
    <cellStyle name="Normal 7 2 3 5 3 2 2 2" xfId="29291"/>
    <cellStyle name="Normal 7 2 3 5 3 2 2 3" xfId="44334"/>
    <cellStyle name="Normal 7 2 3 5 3 2 3" xfId="21770"/>
    <cellStyle name="Normal 7 2 3 5 3 2 4" xfId="36813"/>
    <cellStyle name="Normal 7 2 3 5 3 3" xfId="10498"/>
    <cellStyle name="Normal 7 2 3 5 3 3 2" xfId="25542"/>
    <cellStyle name="Normal 7 2 3 5 3 3 3" xfId="40585"/>
    <cellStyle name="Normal 7 2 3 5 3 4" xfId="18021"/>
    <cellStyle name="Normal 7 2 3 5 3 5" xfId="33064"/>
    <cellStyle name="Normal 7 2 3 5 4" xfId="4859"/>
    <cellStyle name="Normal 7 2 3 5 4 2" xfId="12382"/>
    <cellStyle name="Normal 7 2 3 5 4 2 2" xfId="27426"/>
    <cellStyle name="Normal 7 2 3 5 4 2 3" xfId="42469"/>
    <cellStyle name="Normal 7 2 3 5 4 3" xfId="19905"/>
    <cellStyle name="Normal 7 2 3 5 4 4" xfId="34948"/>
    <cellStyle name="Normal 7 2 3 5 5" xfId="8633"/>
    <cellStyle name="Normal 7 2 3 5 5 2" xfId="23677"/>
    <cellStyle name="Normal 7 2 3 5 5 3" xfId="38720"/>
    <cellStyle name="Normal 7 2 3 5 6" xfId="16156"/>
    <cellStyle name="Normal 7 2 3 5 7" xfId="31199"/>
    <cellStyle name="Normal 7 2 3 6" xfId="1538"/>
    <cellStyle name="Normal 7 2 3 6 2" xfId="3409"/>
    <cellStyle name="Normal 7 2 3 6 2 2" xfId="7204"/>
    <cellStyle name="Normal 7 2 3 6 2 2 2" xfId="14727"/>
    <cellStyle name="Normal 7 2 3 6 2 2 2 2" xfId="29771"/>
    <cellStyle name="Normal 7 2 3 6 2 2 2 3" xfId="44814"/>
    <cellStyle name="Normal 7 2 3 6 2 2 3" xfId="22250"/>
    <cellStyle name="Normal 7 2 3 6 2 2 4" xfId="37293"/>
    <cellStyle name="Normal 7 2 3 6 2 3" xfId="10978"/>
    <cellStyle name="Normal 7 2 3 6 2 3 2" xfId="26022"/>
    <cellStyle name="Normal 7 2 3 6 2 3 3" xfId="41065"/>
    <cellStyle name="Normal 7 2 3 6 2 4" xfId="18501"/>
    <cellStyle name="Normal 7 2 3 6 2 5" xfId="33544"/>
    <cellStyle name="Normal 7 2 3 6 3" xfId="5339"/>
    <cellStyle name="Normal 7 2 3 6 3 2" xfId="12862"/>
    <cellStyle name="Normal 7 2 3 6 3 2 2" xfId="27906"/>
    <cellStyle name="Normal 7 2 3 6 3 2 3" xfId="42949"/>
    <cellStyle name="Normal 7 2 3 6 3 3" xfId="20385"/>
    <cellStyle name="Normal 7 2 3 6 3 4" xfId="35428"/>
    <cellStyle name="Normal 7 2 3 6 4" xfId="9113"/>
    <cellStyle name="Normal 7 2 3 6 4 2" xfId="24157"/>
    <cellStyle name="Normal 7 2 3 6 4 3" xfId="39200"/>
    <cellStyle name="Normal 7 2 3 6 5" xfId="16636"/>
    <cellStyle name="Normal 7 2 3 6 6" xfId="31679"/>
    <cellStyle name="Normal 7 2 3 7" xfId="2476"/>
    <cellStyle name="Normal 7 2 3 7 2" xfId="6272"/>
    <cellStyle name="Normal 7 2 3 7 2 2" xfId="13795"/>
    <cellStyle name="Normal 7 2 3 7 2 2 2" xfId="28839"/>
    <cellStyle name="Normal 7 2 3 7 2 2 3" xfId="43882"/>
    <cellStyle name="Normal 7 2 3 7 2 3" xfId="21318"/>
    <cellStyle name="Normal 7 2 3 7 2 4" xfId="36361"/>
    <cellStyle name="Normal 7 2 3 7 3" xfId="10046"/>
    <cellStyle name="Normal 7 2 3 7 3 2" xfId="25090"/>
    <cellStyle name="Normal 7 2 3 7 3 3" xfId="40133"/>
    <cellStyle name="Normal 7 2 3 7 4" xfId="17569"/>
    <cellStyle name="Normal 7 2 3 7 5" xfId="32612"/>
    <cellStyle name="Normal 7 2 3 8" xfId="4404"/>
    <cellStyle name="Normal 7 2 3 8 2" xfId="11928"/>
    <cellStyle name="Normal 7 2 3 8 2 2" xfId="26972"/>
    <cellStyle name="Normal 7 2 3 8 2 3" xfId="42015"/>
    <cellStyle name="Normal 7 2 3 8 3" xfId="19451"/>
    <cellStyle name="Normal 7 2 3 8 4" xfId="34494"/>
    <cellStyle name="Normal 7 2 3 9" xfId="8167"/>
    <cellStyle name="Normal 7 2 3 9 2" xfId="23211"/>
    <cellStyle name="Normal 7 2 3 9 3" xfId="38254"/>
    <cellStyle name="Normal 7 2 4" xfId="519"/>
    <cellStyle name="Normal 7 2 4 2" xfId="520"/>
    <cellStyle name="Normal 7 2 4 2 2" xfId="1038"/>
    <cellStyle name="Normal 7 2 4 2 2 2" xfId="1997"/>
    <cellStyle name="Normal 7 2 4 2 2 2 2" xfId="3868"/>
    <cellStyle name="Normal 7 2 4 2 2 2 2 2" xfId="7663"/>
    <cellStyle name="Normal 7 2 4 2 2 2 2 2 2" xfId="15186"/>
    <cellStyle name="Normal 7 2 4 2 2 2 2 2 2 2" xfId="30230"/>
    <cellStyle name="Normal 7 2 4 2 2 2 2 2 2 3" xfId="45273"/>
    <cellStyle name="Normal 7 2 4 2 2 2 2 2 3" xfId="22709"/>
    <cellStyle name="Normal 7 2 4 2 2 2 2 2 4" xfId="37752"/>
    <cellStyle name="Normal 7 2 4 2 2 2 2 3" xfId="11437"/>
    <cellStyle name="Normal 7 2 4 2 2 2 2 3 2" xfId="26481"/>
    <cellStyle name="Normal 7 2 4 2 2 2 2 3 3" xfId="41524"/>
    <cellStyle name="Normal 7 2 4 2 2 2 2 4" xfId="18960"/>
    <cellStyle name="Normal 7 2 4 2 2 2 2 5" xfId="34003"/>
    <cellStyle name="Normal 7 2 4 2 2 2 3" xfId="5798"/>
    <cellStyle name="Normal 7 2 4 2 2 2 3 2" xfId="13321"/>
    <cellStyle name="Normal 7 2 4 2 2 2 3 2 2" xfId="28365"/>
    <cellStyle name="Normal 7 2 4 2 2 2 3 2 3" xfId="43408"/>
    <cellStyle name="Normal 7 2 4 2 2 2 3 3" xfId="20844"/>
    <cellStyle name="Normal 7 2 4 2 2 2 3 4" xfId="35887"/>
    <cellStyle name="Normal 7 2 4 2 2 2 4" xfId="9572"/>
    <cellStyle name="Normal 7 2 4 2 2 2 4 2" xfId="24616"/>
    <cellStyle name="Normal 7 2 4 2 2 2 4 3" xfId="39659"/>
    <cellStyle name="Normal 7 2 4 2 2 2 5" xfId="17095"/>
    <cellStyle name="Normal 7 2 4 2 2 2 6" xfId="32138"/>
    <cellStyle name="Normal 7 2 4 2 2 3" xfId="2936"/>
    <cellStyle name="Normal 7 2 4 2 2 3 2" xfId="6731"/>
    <cellStyle name="Normal 7 2 4 2 2 3 2 2" xfId="14254"/>
    <cellStyle name="Normal 7 2 4 2 2 3 2 2 2" xfId="29298"/>
    <cellStyle name="Normal 7 2 4 2 2 3 2 2 3" xfId="44341"/>
    <cellStyle name="Normal 7 2 4 2 2 3 2 3" xfId="21777"/>
    <cellStyle name="Normal 7 2 4 2 2 3 2 4" xfId="36820"/>
    <cellStyle name="Normal 7 2 4 2 2 3 3" xfId="10505"/>
    <cellStyle name="Normal 7 2 4 2 2 3 3 2" xfId="25549"/>
    <cellStyle name="Normal 7 2 4 2 2 3 3 3" xfId="40592"/>
    <cellStyle name="Normal 7 2 4 2 2 3 4" xfId="18028"/>
    <cellStyle name="Normal 7 2 4 2 2 3 5" xfId="33071"/>
    <cellStyle name="Normal 7 2 4 2 2 4" xfId="4866"/>
    <cellStyle name="Normal 7 2 4 2 2 4 2" xfId="12389"/>
    <cellStyle name="Normal 7 2 4 2 2 4 2 2" xfId="27433"/>
    <cellStyle name="Normal 7 2 4 2 2 4 2 3" xfId="42476"/>
    <cellStyle name="Normal 7 2 4 2 2 4 3" xfId="19912"/>
    <cellStyle name="Normal 7 2 4 2 2 4 4" xfId="34955"/>
    <cellStyle name="Normal 7 2 4 2 2 5" xfId="8640"/>
    <cellStyle name="Normal 7 2 4 2 2 5 2" xfId="23684"/>
    <cellStyle name="Normal 7 2 4 2 2 5 3" xfId="38727"/>
    <cellStyle name="Normal 7 2 4 2 2 6" xfId="16163"/>
    <cellStyle name="Normal 7 2 4 2 2 7" xfId="31206"/>
    <cellStyle name="Normal 7 2 4 2 3" xfId="1545"/>
    <cellStyle name="Normal 7 2 4 2 3 2" xfId="3416"/>
    <cellStyle name="Normal 7 2 4 2 3 2 2" xfId="7211"/>
    <cellStyle name="Normal 7 2 4 2 3 2 2 2" xfId="14734"/>
    <cellStyle name="Normal 7 2 4 2 3 2 2 2 2" xfId="29778"/>
    <cellStyle name="Normal 7 2 4 2 3 2 2 2 3" xfId="44821"/>
    <cellStyle name="Normal 7 2 4 2 3 2 2 3" xfId="22257"/>
    <cellStyle name="Normal 7 2 4 2 3 2 2 4" xfId="37300"/>
    <cellStyle name="Normal 7 2 4 2 3 2 3" xfId="10985"/>
    <cellStyle name="Normal 7 2 4 2 3 2 3 2" xfId="26029"/>
    <cellStyle name="Normal 7 2 4 2 3 2 3 3" xfId="41072"/>
    <cellStyle name="Normal 7 2 4 2 3 2 4" xfId="18508"/>
    <cellStyle name="Normal 7 2 4 2 3 2 5" xfId="33551"/>
    <cellStyle name="Normal 7 2 4 2 3 3" xfId="5346"/>
    <cellStyle name="Normal 7 2 4 2 3 3 2" xfId="12869"/>
    <cellStyle name="Normal 7 2 4 2 3 3 2 2" xfId="27913"/>
    <cellStyle name="Normal 7 2 4 2 3 3 2 3" xfId="42956"/>
    <cellStyle name="Normal 7 2 4 2 3 3 3" xfId="20392"/>
    <cellStyle name="Normal 7 2 4 2 3 3 4" xfId="35435"/>
    <cellStyle name="Normal 7 2 4 2 3 4" xfId="9120"/>
    <cellStyle name="Normal 7 2 4 2 3 4 2" xfId="24164"/>
    <cellStyle name="Normal 7 2 4 2 3 4 3" xfId="39207"/>
    <cellStyle name="Normal 7 2 4 2 3 5" xfId="16643"/>
    <cellStyle name="Normal 7 2 4 2 3 6" xfId="31686"/>
    <cellStyle name="Normal 7 2 4 2 4" xfId="2483"/>
    <cellStyle name="Normal 7 2 4 2 4 2" xfId="6279"/>
    <cellStyle name="Normal 7 2 4 2 4 2 2" xfId="13802"/>
    <cellStyle name="Normal 7 2 4 2 4 2 2 2" xfId="28846"/>
    <cellStyle name="Normal 7 2 4 2 4 2 2 3" xfId="43889"/>
    <cellStyle name="Normal 7 2 4 2 4 2 3" xfId="21325"/>
    <cellStyle name="Normal 7 2 4 2 4 2 4" xfId="36368"/>
    <cellStyle name="Normal 7 2 4 2 4 3" xfId="10053"/>
    <cellStyle name="Normal 7 2 4 2 4 3 2" xfId="25097"/>
    <cellStyle name="Normal 7 2 4 2 4 3 3" xfId="40140"/>
    <cellStyle name="Normal 7 2 4 2 4 4" xfId="17576"/>
    <cellStyle name="Normal 7 2 4 2 4 5" xfId="32619"/>
    <cellStyle name="Normal 7 2 4 2 5" xfId="4411"/>
    <cellStyle name="Normal 7 2 4 2 5 2" xfId="11935"/>
    <cellStyle name="Normal 7 2 4 2 5 2 2" xfId="26979"/>
    <cellStyle name="Normal 7 2 4 2 5 2 3" xfId="42022"/>
    <cellStyle name="Normal 7 2 4 2 5 3" xfId="19458"/>
    <cellStyle name="Normal 7 2 4 2 5 4" xfId="34501"/>
    <cellStyle name="Normal 7 2 4 2 6" xfId="8174"/>
    <cellStyle name="Normal 7 2 4 2 6 2" xfId="23218"/>
    <cellStyle name="Normal 7 2 4 2 6 3" xfId="38261"/>
    <cellStyle name="Normal 7 2 4 2 7" xfId="15697"/>
    <cellStyle name="Normal 7 2 4 2 8" xfId="30740"/>
    <cellStyle name="Normal 7 2 4 3" xfId="1037"/>
    <cellStyle name="Normal 7 2 4 3 2" xfId="1996"/>
    <cellStyle name="Normal 7 2 4 3 2 2" xfId="3867"/>
    <cellStyle name="Normal 7 2 4 3 2 2 2" xfId="7662"/>
    <cellStyle name="Normal 7 2 4 3 2 2 2 2" xfId="15185"/>
    <cellStyle name="Normal 7 2 4 3 2 2 2 2 2" xfId="30229"/>
    <cellStyle name="Normal 7 2 4 3 2 2 2 2 3" xfId="45272"/>
    <cellStyle name="Normal 7 2 4 3 2 2 2 3" xfId="22708"/>
    <cellStyle name="Normal 7 2 4 3 2 2 2 4" xfId="37751"/>
    <cellStyle name="Normal 7 2 4 3 2 2 3" xfId="11436"/>
    <cellStyle name="Normal 7 2 4 3 2 2 3 2" xfId="26480"/>
    <cellStyle name="Normal 7 2 4 3 2 2 3 3" xfId="41523"/>
    <cellStyle name="Normal 7 2 4 3 2 2 4" xfId="18959"/>
    <cellStyle name="Normal 7 2 4 3 2 2 5" xfId="34002"/>
    <cellStyle name="Normal 7 2 4 3 2 3" xfId="5797"/>
    <cellStyle name="Normal 7 2 4 3 2 3 2" xfId="13320"/>
    <cellStyle name="Normal 7 2 4 3 2 3 2 2" xfId="28364"/>
    <cellStyle name="Normal 7 2 4 3 2 3 2 3" xfId="43407"/>
    <cellStyle name="Normal 7 2 4 3 2 3 3" xfId="20843"/>
    <cellStyle name="Normal 7 2 4 3 2 3 4" xfId="35886"/>
    <cellStyle name="Normal 7 2 4 3 2 4" xfId="9571"/>
    <cellStyle name="Normal 7 2 4 3 2 4 2" xfId="24615"/>
    <cellStyle name="Normal 7 2 4 3 2 4 3" xfId="39658"/>
    <cellStyle name="Normal 7 2 4 3 2 5" xfId="17094"/>
    <cellStyle name="Normal 7 2 4 3 2 6" xfId="32137"/>
    <cellStyle name="Normal 7 2 4 3 3" xfId="2935"/>
    <cellStyle name="Normal 7 2 4 3 3 2" xfId="6730"/>
    <cellStyle name="Normal 7 2 4 3 3 2 2" xfId="14253"/>
    <cellStyle name="Normal 7 2 4 3 3 2 2 2" xfId="29297"/>
    <cellStyle name="Normal 7 2 4 3 3 2 2 3" xfId="44340"/>
    <cellStyle name="Normal 7 2 4 3 3 2 3" xfId="21776"/>
    <cellStyle name="Normal 7 2 4 3 3 2 4" xfId="36819"/>
    <cellStyle name="Normal 7 2 4 3 3 3" xfId="10504"/>
    <cellStyle name="Normal 7 2 4 3 3 3 2" xfId="25548"/>
    <cellStyle name="Normal 7 2 4 3 3 3 3" xfId="40591"/>
    <cellStyle name="Normal 7 2 4 3 3 4" xfId="18027"/>
    <cellStyle name="Normal 7 2 4 3 3 5" xfId="33070"/>
    <cellStyle name="Normal 7 2 4 3 4" xfId="4865"/>
    <cellStyle name="Normal 7 2 4 3 4 2" xfId="12388"/>
    <cellStyle name="Normal 7 2 4 3 4 2 2" xfId="27432"/>
    <cellStyle name="Normal 7 2 4 3 4 2 3" xfId="42475"/>
    <cellStyle name="Normal 7 2 4 3 4 3" xfId="19911"/>
    <cellStyle name="Normal 7 2 4 3 4 4" xfId="34954"/>
    <cellStyle name="Normal 7 2 4 3 5" xfId="8639"/>
    <cellStyle name="Normal 7 2 4 3 5 2" xfId="23683"/>
    <cellStyle name="Normal 7 2 4 3 5 3" xfId="38726"/>
    <cellStyle name="Normal 7 2 4 3 6" xfId="16162"/>
    <cellStyle name="Normal 7 2 4 3 7" xfId="31205"/>
    <cellStyle name="Normal 7 2 4 4" xfId="1544"/>
    <cellStyle name="Normal 7 2 4 4 2" xfId="3415"/>
    <cellStyle name="Normal 7 2 4 4 2 2" xfId="7210"/>
    <cellStyle name="Normal 7 2 4 4 2 2 2" xfId="14733"/>
    <cellStyle name="Normal 7 2 4 4 2 2 2 2" xfId="29777"/>
    <cellStyle name="Normal 7 2 4 4 2 2 2 3" xfId="44820"/>
    <cellStyle name="Normal 7 2 4 4 2 2 3" xfId="22256"/>
    <cellStyle name="Normal 7 2 4 4 2 2 4" xfId="37299"/>
    <cellStyle name="Normal 7 2 4 4 2 3" xfId="10984"/>
    <cellStyle name="Normal 7 2 4 4 2 3 2" xfId="26028"/>
    <cellStyle name="Normal 7 2 4 4 2 3 3" xfId="41071"/>
    <cellStyle name="Normal 7 2 4 4 2 4" xfId="18507"/>
    <cellStyle name="Normal 7 2 4 4 2 5" xfId="33550"/>
    <cellStyle name="Normal 7 2 4 4 3" xfId="5345"/>
    <cellStyle name="Normal 7 2 4 4 3 2" xfId="12868"/>
    <cellStyle name="Normal 7 2 4 4 3 2 2" xfId="27912"/>
    <cellStyle name="Normal 7 2 4 4 3 2 3" xfId="42955"/>
    <cellStyle name="Normal 7 2 4 4 3 3" xfId="20391"/>
    <cellStyle name="Normal 7 2 4 4 3 4" xfId="35434"/>
    <cellStyle name="Normal 7 2 4 4 4" xfId="9119"/>
    <cellStyle name="Normal 7 2 4 4 4 2" xfId="24163"/>
    <cellStyle name="Normal 7 2 4 4 4 3" xfId="39206"/>
    <cellStyle name="Normal 7 2 4 4 5" xfId="16642"/>
    <cellStyle name="Normal 7 2 4 4 6" xfId="31685"/>
    <cellStyle name="Normal 7 2 4 5" xfId="2482"/>
    <cellStyle name="Normal 7 2 4 5 2" xfId="6278"/>
    <cellStyle name="Normal 7 2 4 5 2 2" xfId="13801"/>
    <cellStyle name="Normal 7 2 4 5 2 2 2" xfId="28845"/>
    <cellStyle name="Normal 7 2 4 5 2 2 3" xfId="43888"/>
    <cellStyle name="Normal 7 2 4 5 2 3" xfId="21324"/>
    <cellStyle name="Normal 7 2 4 5 2 4" xfId="36367"/>
    <cellStyle name="Normal 7 2 4 5 3" xfId="10052"/>
    <cellStyle name="Normal 7 2 4 5 3 2" xfId="25096"/>
    <cellStyle name="Normal 7 2 4 5 3 3" xfId="40139"/>
    <cellStyle name="Normal 7 2 4 5 4" xfId="17575"/>
    <cellStyle name="Normal 7 2 4 5 5" xfId="32618"/>
    <cellStyle name="Normal 7 2 4 6" xfId="4410"/>
    <cellStyle name="Normal 7 2 4 6 2" xfId="11934"/>
    <cellStyle name="Normal 7 2 4 6 2 2" xfId="26978"/>
    <cellStyle name="Normal 7 2 4 6 2 3" xfId="42021"/>
    <cellStyle name="Normal 7 2 4 6 3" xfId="19457"/>
    <cellStyle name="Normal 7 2 4 6 4" xfId="34500"/>
    <cellStyle name="Normal 7 2 4 7" xfId="8173"/>
    <cellStyle name="Normal 7 2 4 7 2" xfId="23217"/>
    <cellStyle name="Normal 7 2 4 7 3" xfId="38260"/>
    <cellStyle name="Normal 7 2 4 8" xfId="15696"/>
    <cellStyle name="Normal 7 2 4 9" xfId="30739"/>
    <cellStyle name="Normal 7 2 5" xfId="521"/>
    <cellStyle name="Normal 7 2 5 2" xfId="522"/>
    <cellStyle name="Normal 7 2 5 2 2" xfId="1040"/>
    <cellStyle name="Normal 7 2 5 2 2 2" xfId="1999"/>
    <cellStyle name="Normal 7 2 5 2 2 2 2" xfId="3870"/>
    <cellStyle name="Normal 7 2 5 2 2 2 2 2" xfId="7665"/>
    <cellStyle name="Normal 7 2 5 2 2 2 2 2 2" xfId="15188"/>
    <cellStyle name="Normal 7 2 5 2 2 2 2 2 2 2" xfId="30232"/>
    <cellStyle name="Normal 7 2 5 2 2 2 2 2 2 3" xfId="45275"/>
    <cellStyle name="Normal 7 2 5 2 2 2 2 2 3" xfId="22711"/>
    <cellStyle name="Normal 7 2 5 2 2 2 2 2 4" xfId="37754"/>
    <cellStyle name="Normal 7 2 5 2 2 2 2 3" xfId="11439"/>
    <cellStyle name="Normal 7 2 5 2 2 2 2 3 2" xfId="26483"/>
    <cellStyle name="Normal 7 2 5 2 2 2 2 3 3" xfId="41526"/>
    <cellStyle name="Normal 7 2 5 2 2 2 2 4" xfId="18962"/>
    <cellStyle name="Normal 7 2 5 2 2 2 2 5" xfId="34005"/>
    <cellStyle name="Normal 7 2 5 2 2 2 3" xfId="5800"/>
    <cellStyle name="Normal 7 2 5 2 2 2 3 2" xfId="13323"/>
    <cellStyle name="Normal 7 2 5 2 2 2 3 2 2" xfId="28367"/>
    <cellStyle name="Normal 7 2 5 2 2 2 3 2 3" xfId="43410"/>
    <cellStyle name="Normal 7 2 5 2 2 2 3 3" xfId="20846"/>
    <cellStyle name="Normal 7 2 5 2 2 2 3 4" xfId="35889"/>
    <cellStyle name="Normal 7 2 5 2 2 2 4" xfId="9574"/>
    <cellStyle name="Normal 7 2 5 2 2 2 4 2" xfId="24618"/>
    <cellStyle name="Normal 7 2 5 2 2 2 4 3" xfId="39661"/>
    <cellStyle name="Normal 7 2 5 2 2 2 5" xfId="17097"/>
    <cellStyle name="Normal 7 2 5 2 2 2 6" xfId="32140"/>
    <cellStyle name="Normal 7 2 5 2 2 3" xfId="2938"/>
    <cellStyle name="Normal 7 2 5 2 2 3 2" xfId="6733"/>
    <cellStyle name="Normal 7 2 5 2 2 3 2 2" xfId="14256"/>
    <cellStyle name="Normal 7 2 5 2 2 3 2 2 2" xfId="29300"/>
    <cellStyle name="Normal 7 2 5 2 2 3 2 2 3" xfId="44343"/>
    <cellStyle name="Normal 7 2 5 2 2 3 2 3" xfId="21779"/>
    <cellStyle name="Normal 7 2 5 2 2 3 2 4" xfId="36822"/>
    <cellStyle name="Normal 7 2 5 2 2 3 3" xfId="10507"/>
    <cellStyle name="Normal 7 2 5 2 2 3 3 2" xfId="25551"/>
    <cellStyle name="Normal 7 2 5 2 2 3 3 3" xfId="40594"/>
    <cellStyle name="Normal 7 2 5 2 2 3 4" xfId="18030"/>
    <cellStyle name="Normal 7 2 5 2 2 3 5" xfId="33073"/>
    <cellStyle name="Normal 7 2 5 2 2 4" xfId="4868"/>
    <cellStyle name="Normal 7 2 5 2 2 4 2" xfId="12391"/>
    <cellStyle name="Normal 7 2 5 2 2 4 2 2" xfId="27435"/>
    <cellStyle name="Normal 7 2 5 2 2 4 2 3" xfId="42478"/>
    <cellStyle name="Normal 7 2 5 2 2 4 3" xfId="19914"/>
    <cellStyle name="Normal 7 2 5 2 2 4 4" xfId="34957"/>
    <cellStyle name="Normal 7 2 5 2 2 5" xfId="8642"/>
    <cellStyle name="Normal 7 2 5 2 2 5 2" xfId="23686"/>
    <cellStyle name="Normal 7 2 5 2 2 5 3" xfId="38729"/>
    <cellStyle name="Normal 7 2 5 2 2 6" xfId="16165"/>
    <cellStyle name="Normal 7 2 5 2 2 7" xfId="31208"/>
    <cellStyle name="Normal 7 2 5 2 3" xfId="1547"/>
    <cellStyle name="Normal 7 2 5 2 3 2" xfId="3418"/>
    <cellStyle name="Normal 7 2 5 2 3 2 2" xfId="7213"/>
    <cellStyle name="Normal 7 2 5 2 3 2 2 2" xfId="14736"/>
    <cellStyle name="Normal 7 2 5 2 3 2 2 2 2" xfId="29780"/>
    <cellStyle name="Normal 7 2 5 2 3 2 2 2 3" xfId="44823"/>
    <cellStyle name="Normal 7 2 5 2 3 2 2 3" xfId="22259"/>
    <cellStyle name="Normal 7 2 5 2 3 2 2 4" xfId="37302"/>
    <cellStyle name="Normal 7 2 5 2 3 2 3" xfId="10987"/>
    <cellStyle name="Normal 7 2 5 2 3 2 3 2" xfId="26031"/>
    <cellStyle name="Normal 7 2 5 2 3 2 3 3" xfId="41074"/>
    <cellStyle name="Normal 7 2 5 2 3 2 4" xfId="18510"/>
    <cellStyle name="Normal 7 2 5 2 3 2 5" xfId="33553"/>
    <cellStyle name="Normal 7 2 5 2 3 3" xfId="5348"/>
    <cellStyle name="Normal 7 2 5 2 3 3 2" xfId="12871"/>
    <cellStyle name="Normal 7 2 5 2 3 3 2 2" xfId="27915"/>
    <cellStyle name="Normal 7 2 5 2 3 3 2 3" xfId="42958"/>
    <cellStyle name="Normal 7 2 5 2 3 3 3" xfId="20394"/>
    <cellStyle name="Normal 7 2 5 2 3 3 4" xfId="35437"/>
    <cellStyle name="Normal 7 2 5 2 3 4" xfId="9122"/>
    <cellStyle name="Normal 7 2 5 2 3 4 2" xfId="24166"/>
    <cellStyle name="Normal 7 2 5 2 3 4 3" xfId="39209"/>
    <cellStyle name="Normal 7 2 5 2 3 5" xfId="16645"/>
    <cellStyle name="Normal 7 2 5 2 3 6" xfId="31688"/>
    <cellStyle name="Normal 7 2 5 2 4" xfId="2485"/>
    <cellStyle name="Normal 7 2 5 2 4 2" xfId="6281"/>
    <cellStyle name="Normal 7 2 5 2 4 2 2" xfId="13804"/>
    <cellStyle name="Normal 7 2 5 2 4 2 2 2" xfId="28848"/>
    <cellStyle name="Normal 7 2 5 2 4 2 2 3" xfId="43891"/>
    <cellStyle name="Normal 7 2 5 2 4 2 3" xfId="21327"/>
    <cellStyle name="Normal 7 2 5 2 4 2 4" xfId="36370"/>
    <cellStyle name="Normal 7 2 5 2 4 3" xfId="10055"/>
    <cellStyle name="Normal 7 2 5 2 4 3 2" xfId="25099"/>
    <cellStyle name="Normal 7 2 5 2 4 3 3" xfId="40142"/>
    <cellStyle name="Normal 7 2 5 2 4 4" xfId="17578"/>
    <cellStyle name="Normal 7 2 5 2 4 5" xfId="32621"/>
    <cellStyle name="Normal 7 2 5 2 5" xfId="4413"/>
    <cellStyle name="Normal 7 2 5 2 5 2" xfId="11937"/>
    <cellStyle name="Normal 7 2 5 2 5 2 2" xfId="26981"/>
    <cellStyle name="Normal 7 2 5 2 5 2 3" xfId="42024"/>
    <cellStyle name="Normal 7 2 5 2 5 3" xfId="19460"/>
    <cellStyle name="Normal 7 2 5 2 5 4" xfId="34503"/>
    <cellStyle name="Normal 7 2 5 2 6" xfId="8176"/>
    <cellStyle name="Normal 7 2 5 2 6 2" xfId="23220"/>
    <cellStyle name="Normal 7 2 5 2 6 3" xfId="38263"/>
    <cellStyle name="Normal 7 2 5 2 7" xfId="15699"/>
    <cellStyle name="Normal 7 2 5 2 8" xfId="30742"/>
    <cellStyle name="Normal 7 2 5 3" xfId="1039"/>
    <cellStyle name="Normal 7 2 5 3 2" xfId="1998"/>
    <cellStyle name="Normal 7 2 5 3 2 2" xfId="3869"/>
    <cellStyle name="Normal 7 2 5 3 2 2 2" xfId="7664"/>
    <cellStyle name="Normal 7 2 5 3 2 2 2 2" xfId="15187"/>
    <cellStyle name="Normal 7 2 5 3 2 2 2 2 2" xfId="30231"/>
    <cellStyle name="Normal 7 2 5 3 2 2 2 2 3" xfId="45274"/>
    <cellStyle name="Normal 7 2 5 3 2 2 2 3" xfId="22710"/>
    <cellStyle name="Normal 7 2 5 3 2 2 2 4" xfId="37753"/>
    <cellStyle name="Normal 7 2 5 3 2 2 3" xfId="11438"/>
    <cellStyle name="Normal 7 2 5 3 2 2 3 2" xfId="26482"/>
    <cellStyle name="Normal 7 2 5 3 2 2 3 3" xfId="41525"/>
    <cellStyle name="Normal 7 2 5 3 2 2 4" xfId="18961"/>
    <cellStyle name="Normal 7 2 5 3 2 2 5" xfId="34004"/>
    <cellStyle name="Normal 7 2 5 3 2 3" xfId="5799"/>
    <cellStyle name="Normal 7 2 5 3 2 3 2" xfId="13322"/>
    <cellStyle name="Normal 7 2 5 3 2 3 2 2" xfId="28366"/>
    <cellStyle name="Normal 7 2 5 3 2 3 2 3" xfId="43409"/>
    <cellStyle name="Normal 7 2 5 3 2 3 3" xfId="20845"/>
    <cellStyle name="Normal 7 2 5 3 2 3 4" xfId="35888"/>
    <cellStyle name="Normal 7 2 5 3 2 4" xfId="9573"/>
    <cellStyle name="Normal 7 2 5 3 2 4 2" xfId="24617"/>
    <cellStyle name="Normal 7 2 5 3 2 4 3" xfId="39660"/>
    <cellStyle name="Normal 7 2 5 3 2 5" xfId="17096"/>
    <cellStyle name="Normal 7 2 5 3 2 6" xfId="32139"/>
    <cellStyle name="Normal 7 2 5 3 3" xfId="2937"/>
    <cellStyle name="Normal 7 2 5 3 3 2" xfId="6732"/>
    <cellStyle name="Normal 7 2 5 3 3 2 2" xfId="14255"/>
    <cellStyle name="Normal 7 2 5 3 3 2 2 2" xfId="29299"/>
    <cellStyle name="Normal 7 2 5 3 3 2 2 3" xfId="44342"/>
    <cellStyle name="Normal 7 2 5 3 3 2 3" xfId="21778"/>
    <cellStyle name="Normal 7 2 5 3 3 2 4" xfId="36821"/>
    <cellStyle name="Normal 7 2 5 3 3 3" xfId="10506"/>
    <cellStyle name="Normal 7 2 5 3 3 3 2" xfId="25550"/>
    <cellStyle name="Normal 7 2 5 3 3 3 3" xfId="40593"/>
    <cellStyle name="Normal 7 2 5 3 3 4" xfId="18029"/>
    <cellStyle name="Normal 7 2 5 3 3 5" xfId="33072"/>
    <cellStyle name="Normal 7 2 5 3 4" xfId="4867"/>
    <cellStyle name="Normal 7 2 5 3 4 2" xfId="12390"/>
    <cellStyle name="Normal 7 2 5 3 4 2 2" xfId="27434"/>
    <cellStyle name="Normal 7 2 5 3 4 2 3" xfId="42477"/>
    <cellStyle name="Normal 7 2 5 3 4 3" xfId="19913"/>
    <cellStyle name="Normal 7 2 5 3 4 4" xfId="34956"/>
    <cellStyle name="Normal 7 2 5 3 5" xfId="8641"/>
    <cellStyle name="Normal 7 2 5 3 5 2" xfId="23685"/>
    <cellStyle name="Normal 7 2 5 3 5 3" xfId="38728"/>
    <cellStyle name="Normal 7 2 5 3 6" xfId="16164"/>
    <cellStyle name="Normal 7 2 5 3 7" xfId="31207"/>
    <cellStyle name="Normal 7 2 5 4" xfId="1546"/>
    <cellStyle name="Normal 7 2 5 4 2" xfId="3417"/>
    <cellStyle name="Normal 7 2 5 4 2 2" xfId="7212"/>
    <cellStyle name="Normal 7 2 5 4 2 2 2" xfId="14735"/>
    <cellStyle name="Normal 7 2 5 4 2 2 2 2" xfId="29779"/>
    <cellStyle name="Normal 7 2 5 4 2 2 2 3" xfId="44822"/>
    <cellStyle name="Normal 7 2 5 4 2 2 3" xfId="22258"/>
    <cellStyle name="Normal 7 2 5 4 2 2 4" xfId="37301"/>
    <cellStyle name="Normal 7 2 5 4 2 3" xfId="10986"/>
    <cellStyle name="Normal 7 2 5 4 2 3 2" xfId="26030"/>
    <cellStyle name="Normal 7 2 5 4 2 3 3" xfId="41073"/>
    <cellStyle name="Normal 7 2 5 4 2 4" xfId="18509"/>
    <cellStyle name="Normal 7 2 5 4 2 5" xfId="33552"/>
    <cellStyle name="Normal 7 2 5 4 3" xfId="5347"/>
    <cellStyle name="Normal 7 2 5 4 3 2" xfId="12870"/>
    <cellStyle name="Normal 7 2 5 4 3 2 2" xfId="27914"/>
    <cellStyle name="Normal 7 2 5 4 3 2 3" xfId="42957"/>
    <cellStyle name="Normal 7 2 5 4 3 3" xfId="20393"/>
    <cellStyle name="Normal 7 2 5 4 3 4" xfId="35436"/>
    <cellStyle name="Normal 7 2 5 4 4" xfId="9121"/>
    <cellStyle name="Normal 7 2 5 4 4 2" xfId="24165"/>
    <cellStyle name="Normal 7 2 5 4 4 3" xfId="39208"/>
    <cellStyle name="Normal 7 2 5 4 5" xfId="16644"/>
    <cellStyle name="Normal 7 2 5 4 6" xfId="31687"/>
    <cellStyle name="Normal 7 2 5 5" xfId="2484"/>
    <cellStyle name="Normal 7 2 5 5 2" xfId="6280"/>
    <cellStyle name="Normal 7 2 5 5 2 2" xfId="13803"/>
    <cellStyle name="Normal 7 2 5 5 2 2 2" xfId="28847"/>
    <cellStyle name="Normal 7 2 5 5 2 2 3" xfId="43890"/>
    <cellStyle name="Normal 7 2 5 5 2 3" xfId="21326"/>
    <cellStyle name="Normal 7 2 5 5 2 4" xfId="36369"/>
    <cellStyle name="Normal 7 2 5 5 3" xfId="10054"/>
    <cellStyle name="Normal 7 2 5 5 3 2" xfId="25098"/>
    <cellStyle name="Normal 7 2 5 5 3 3" xfId="40141"/>
    <cellStyle name="Normal 7 2 5 5 4" xfId="17577"/>
    <cellStyle name="Normal 7 2 5 5 5" xfId="32620"/>
    <cellStyle name="Normal 7 2 5 6" xfId="4412"/>
    <cellStyle name="Normal 7 2 5 6 2" xfId="11936"/>
    <cellStyle name="Normal 7 2 5 6 2 2" xfId="26980"/>
    <cellStyle name="Normal 7 2 5 6 2 3" xfId="42023"/>
    <cellStyle name="Normal 7 2 5 6 3" xfId="19459"/>
    <cellStyle name="Normal 7 2 5 6 4" xfId="34502"/>
    <cellStyle name="Normal 7 2 5 7" xfId="8175"/>
    <cellStyle name="Normal 7 2 5 7 2" xfId="23219"/>
    <cellStyle name="Normal 7 2 5 7 3" xfId="38262"/>
    <cellStyle name="Normal 7 2 5 8" xfId="15698"/>
    <cellStyle name="Normal 7 2 5 9" xfId="30741"/>
    <cellStyle name="Normal 7 2 6" xfId="523"/>
    <cellStyle name="Normal 7 2 6 2" xfId="1041"/>
    <cellStyle name="Normal 7 2 6 2 2" xfId="2000"/>
    <cellStyle name="Normal 7 2 6 2 2 2" xfId="3871"/>
    <cellStyle name="Normal 7 2 6 2 2 2 2" xfId="7666"/>
    <cellStyle name="Normal 7 2 6 2 2 2 2 2" xfId="15189"/>
    <cellStyle name="Normal 7 2 6 2 2 2 2 2 2" xfId="30233"/>
    <cellStyle name="Normal 7 2 6 2 2 2 2 2 3" xfId="45276"/>
    <cellStyle name="Normal 7 2 6 2 2 2 2 3" xfId="22712"/>
    <cellStyle name="Normal 7 2 6 2 2 2 2 4" xfId="37755"/>
    <cellStyle name="Normal 7 2 6 2 2 2 3" xfId="11440"/>
    <cellStyle name="Normal 7 2 6 2 2 2 3 2" xfId="26484"/>
    <cellStyle name="Normal 7 2 6 2 2 2 3 3" xfId="41527"/>
    <cellStyle name="Normal 7 2 6 2 2 2 4" xfId="18963"/>
    <cellStyle name="Normal 7 2 6 2 2 2 5" xfId="34006"/>
    <cellStyle name="Normal 7 2 6 2 2 3" xfId="5801"/>
    <cellStyle name="Normal 7 2 6 2 2 3 2" xfId="13324"/>
    <cellStyle name="Normal 7 2 6 2 2 3 2 2" xfId="28368"/>
    <cellStyle name="Normal 7 2 6 2 2 3 2 3" xfId="43411"/>
    <cellStyle name="Normal 7 2 6 2 2 3 3" xfId="20847"/>
    <cellStyle name="Normal 7 2 6 2 2 3 4" xfId="35890"/>
    <cellStyle name="Normal 7 2 6 2 2 4" xfId="9575"/>
    <cellStyle name="Normal 7 2 6 2 2 4 2" xfId="24619"/>
    <cellStyle name="Normal 7 2 6 2 2 4 3" xfId="39662"/>
    <cellStyle name="Normal 7 2 6 2 2 5" xfId="17098"/>
    <cellStyle name="Normal 7 2 6 2 2 6" xfId="32141"/>
    <cellStyle name="Normal 7 2 6 2 3" xfId="2939"/>
    <cellStyle name="Normal 7 2 6 2 3 2" xfId="6734"/>
    <cellStyle name="Normal 7 2 6 2 3 2 2" xfId="14257"/>
    <cellStyle name="Normal 7 2 6 2 3 2 2 2" xfId="29301"/>
    <cellStyle name="Normal 7 2 6 2 3 2 2 3" xfId="44344"/>
    <cellStyle name="Normal 7 2 6 2 3 2 3" xfId="21780"/>
    <cellStyle name="Normal 7 2 6 2 3 2 4" xfId="36823"/>
    <cellStyle name="Normal 7 2 6 2 3 3" xfId="10508"/>
    <cellStyle name="Normal 7 2 6 2 3 3 2" xfId="25552"/>
    <cellStyle name="Normal 7 2 6 2 3 3 3" xfId="40595"/>
    <cellStyle name="Normal 7 2 6 2 3 4" xfId="18031"/>
    <cellStyle name="Normal 7 2 6 2 3 5" xfId="33074"/>
    <cellStyle name="Normal 7 2 6 2 4" xfId="4869"/>
    <cellStyle name="Normal 7 2 6 2 4 2" xfId="12392"/>
    <cellStyle name="Normal 7 2 6 2 4 2 2" xfId="27436"/>
    <cellStyle name="Normal 7 2 6 2 4 2 3" xfId="42479"/>
    <cellStyle name="Normal 7 2 6 2 4 3" xfId="19915"/>
    <cellStyle name="Normal 7 2 6 2 4 4" xfId="34958"/>
    <cellStyle name="Normal 7 2 6 2 5" xfId="8643"/>
    <cellStyle name="Normal 7 2 6 2 5 2" xfId="23687"/>
    <cellStyle name="Normal 7 2 6 2 5 3" xfId="38730"/>
    <cellStyle name="Normal 7 2 6 2 6" xfId="16166"/>
    <cellStyle name="Normal 7 2 6 2 7" xfId="31209"/>
    <cellStyle name="Normal 7 2 6 3" xfId="1548"/>
    <cellStyle name="Normal 7 2 6 3 2" xfId="3419"/>
    <cellStyle name="Normal 7 2 6 3 2 2" xfId="7214"/>
    <cellStyle name="Normal 7 2 6 3 2 2 2" xfId="14737"/>
    <cellStyle name="Normal 7 2 6 3 2 2 2 2" xfId="29781"/>
    <cellStyle name="Normal 7 2 6 3 2 2 2 3" xfId="44824"/>
    <cellStyle name="Normal 7 2 6 3 2 2 3" xfId="22260"/>
    <cellStyle name="Normal 7 2 6 3 2 2 4" xfId="37303"/>
    <cellStyle name="Normal 7 2 6 3 2 3" xfId="10988"/>
    <cellStyle name="Normal 7 2 6 3 2 3 2" xfId="26032"/>
    <cellStyle name="Normal 7 2 6 3 2 3 3" xfId="41075"/>
    <cellStyle name="Normal 7 2 6 3 2 4" xfId="18511"/>
    <cellStyle name="Normal 7 2 6 3 2 5" xfId="33554"/>
    <cellStyle name="Normal 7 2 6 3 3" xfId="5349"/>
    <cellStyle name="Normal 7 2 6 3 3 2" xfId="12872"/>
    <cellStyle name="Normal 7 2 6 3 3 2 2" xfId="27916"/>
    <cellStyle name="Normal 7 2 6 3 3 2 3" xfId="42959"/>
    <cellStyle name="Normal 7 2 6 3 3 3" xfId="20395"/>
    <cellStyle name="Normal 7 2 6 3 3 4" xfId="35438"/>
    <cellStyle name="Normal 7 2 6 3 4" xfId="9123"/>
    <cellStyle name="Normal 7 2 6 3 4 2" xfId="24167"/>
    <cellStyle name="Normal 7 2 6 3 4 3" xfId="39210"/>
    <cellStyle name="Normal 7 2 6 3 5" xfId="16646"/>
    <cellStyle name="Normal 7 2 6 3 6" xfId="31689"/>
    <cellStyle name="Normal 7 2 6 4" xfId="2486"/>
    <cellStyle name="Normal 7 2 6 4 2" xfId="6282"/>
    <cellStyle name="Normal 7 2 6 4 2 2" xfId="13805"/>
    <cellStyle name="Normal 7 2 6 4 2 2 2" xfId="28849"/>
    <cellStyle name="Normal 7 2 6 4 2 2 3" xfId="43892"/>
    <cellStyle name="Normal 7 2 6 4 2 3" xfId="21328"/>
    <cellStyle name="Normal 7 2 6 4 2 4" xfId="36371"/>
    <cellStyle name="Normal 7 2 6 4 3" xfId="10056"/>
    <cellStyle name="Normal 7 2 6 4 3 2" xfId="25100"/>
    <cellStyle name="Normal 7 2 6 4 3 3" xfId="40143"/>
    <cellStyle name="Normal 7 2 6 4 4" xfId="17579"/>
    <cellStyle name="Normal 7 2 6 4 5" xfId="32622"/>
    <cellStyle name="Normal 7 2 6 5" xfId="4414"/>
    <cellStyle name="Normal 7 2 6 5 2" xfId="11938"/>
    <cellStyle name="Normal 7 2 6 5 2 2" xfId="26982"/>
    <cellStyle name="Normal 7 2 6 5 2 3" xfId="42025"/>
    <cellStyle name="Normal 7 2 6 5 3" xfId="19461"/>
    <cellStyle name="Normal 7 2 6 5 4" xfId="34504"/>
    <cellStyle name="Normal 7 2 6 6" xfId="8177"/>
    <cellStyle name="Normal 7 2 6 6 2" xfId="23221"/>
    <cellStyle name="Normal 7 2 6 6 3" xfId="38264"/>
    <cellStyle name="Normal 7 2 6 7" xfId="15700"/>
    <cellStyle name="Normal 7 2 6 8" xfId="30743"/>
    <cellStyle name="Normal 7 2 7" xfId="1020"/>
    <cellStyle name="Normal 7 2 7 2" xfId="1979"/>
    <cellStyle name="Normal 7 2 7 2 2" xfId="3850"/>
    <cellStyle name="Normal 7 2 7 2 2 2" xfId="7645"/>
    <cellStyle name="Normal 7 2 7 2 2 2 2" xfId="15168"/>
    <cellStyle name="Normal 7 2 7 2 2 2 2 2" xfId="30212"/>
    <cellStyle name="Normal 7 2 7 2 2 2 2 3" xfId="45255"/>
    <cellStyle name="Normal 7 2 7 2 2 2 3" xfId="22691"/>
    <cellStyle name="Normal 7 2 7 2 2 2 4" xfId="37734"/>
    <cellStyle name="Normal 7 2 7 2 2 3" xfId="11419"/>
    <cellStyle name="Normal 7 2 7 2 2 3 2" xfId="26463"/>
    <cellStyle name="Normal 7 2 7 2 2 3 3" xfId="41506"/>
    <cellStyle name="Normal 7 2 7 2 2 4" xfId="18942"/>
    <cellStyle name="Normal 7 2 7 2 2 5" xfId="33985"/>
    <cellStyle name="Normal 7 2 7 2 3" xfId="5780"/>
    <cellStyle name="Normal 7 2 7 2 3 2" xfId="13303"/>
    <cellStyle name="Normal 7 2 7 2 3 2 2" xfId="28347"/>
    <cellStyle name="Normal 7 2 7 2 3 2 3" xfId="43390"/>
    <cellStyle name="Normal 7 2 7 2 3 3" xfId="20826"/>
    <cellStyle name="Normal 7 2 7 2 3 4" xfId="35869"/>
    <cellStyle name="Normal 7 2 7 2 4" xfId="9554"/>
    <cellStyle name="Normal 7 2 7 2 4 2" xfId="24598"/>
    <cellStyle name="Normal 7 2 7 2 4 3" xfId="39641"/>
    <cellStyle name="Normal 7 2 7 2 5" xfId="17077"/>
    <cellStyle name="Normal 7 2 7 2 6" xfId="32120"/>
    <cellStyle name="Normal 7 2 7 3" xfId="2918"/>
    <cellStyle name="Normal 7 2 7 3 2" xfId="6713"/>
    <cellStyle name="Normal 7 2 7 3 2 2" xfId="14236"/>
    <cellStyle name="Normal 7 2 7 3 2 2 2" xfId="29280"/>
    <cellStyle name="Normal 7 2 7 3 2 2 3" xfId="44323"/>
    <cellStyle name="Normal 7 2 7 3 2 3" xfId="21759"/>
    <cellStyle name="Normal 7 2 7 3 2 4" xfId="36802"/>
    <cellStyle name="Normal 7 2 7 3 3" xfId="10487"/>
    <cellStyle name="Normal 7 2 7 3 3 2" xfId="25531"/>
    <cellStyle name="Normal 7 2 7 3 3 3" xfId="40574"/>
    <cellStyle name="Normal 7 2 7 3 4" xfId="18010"/>
    <cellStyle name="Normal 7 2 7 3 5" xfId="33053"/>
    <cellStyle name="Normal 7 2 7 4" xfId="4848"/>
    <cellStyle name="Normal 7 2 7 4 2" xfId="12371"/>
    <cellStyle name="Normal 7 2 7 4 2 2" xfId="27415"/>
    <cellStyle name="Normal 7 2 7 4 2 3" xfId="42458"/>
    <cellStyle name="Normal 7 2 7 4 3" xfId="19894"/>
    <cellStyle name="Normal 7 2 7 4 4" xfId="34937"/>
    <cellStyle name="Normal 7 2 7 5" xfId="8622"/>
    <cellStyle name="Normal 7 2 7 5 2" xfId="23666"/>
    <cellStyle name="Normal 7 2 7 5 3" xfId="38709"/>
    <cellStyle name="Normal 7 2 7 6" xfId="16145"/>
    <cellStyle name="Normal 7 2 7 7" xfId="31188"/>
    <cellStyle name="Normal 7 2 8" xfId="1527"/>
    <cellStyle name="Normal 7 2 8 2" xfId="3398"/>
    <cellStyle name="Normal 7 2 8 2 2" xfId="7193"/>
    <cellStyle name="Normal 7 2 8 2 2 2" xfId="14716"/>
    <cellStyle name="Normal 7 2 8 2 2 2 2" xfId="29760"/>
    <cellStyle name="Normal 7 2 8 2 2 2 3" xfId="44803"/>
    <cellStyle name="Normal 7 2 8 2 2 3" xfId="22239"/>
    <cellStyle name="Normal 7 2 8 2 2 4" xfId="37282"/>
    <cellStyle name="Normal 7 2 8 2 3" xfId="10967"/>
    <cellStyle name="Normal 7 2 8 2 3 2" xfId="26011"/>
    <cellStyle name="Normal 7 2 8 2 3 3" xfId="41054"/>
    <cellStyle name="Normal 7 2 8 2 4" xfId="18490"/>
    <cellStyle name="Normal 7 2 8 2 5" xfId="33533"/>
    <cellStyle name="Normal 7 2 8 3" xfId="5328"/>
    <cellStyle name="Normal 7 2 8 3 2" xfId="12851"/>
    <cellStyle name="Normal 7 2 8 3 2 2" xfId="27895"/>
    <cellStyle name="Normal 7 2 8 3 2 3" xfId="42938"/>
    <cellStyle name="Normal 7 2 8 3 3" xfId="20374"/>
    <cellStyle name="Normal 7 2 8 3 4" xfId="35417"/>
    <cellStyle name="Normal 7 2 8 4" xfId="9102"/>
    <cellStyle name="Normal 7 2 8 4 2" xfId="24146"/>
    <cellStyle name="Normal 7 2 8 4 3" xfId="39189"/>
    <cellStyle name="Normal 7 2 8 5" xfId="16625"/>
    <cellStyle name="Normal 7 2 8 6" xfId="31668"/>
    <cellStyle name="Normal 7 2 9" xfId="2465"/>
    <cellStyle name="Normal 7 2 9 2" xfId="6261"/>
    <cellStyle name="Normal 7 2 9 2 2" xfId="13784"/>
    <cellStyle name="Normal 7 2 9 2 2 2" xfId="28828"/>
    <cellStyle name="Normal 7 2 9 2 2 3" xfId="43871"/>
    <cellStyle name="Normal 7 2 9 2 3" xfId="21307"/>
    <cellStyle name="Normal 7 2 9 2 4" xfId="36350"/>
    <cellStyle name="Normal 7 2 9 3" xfId="10035"/>
    <cellStyle name="Normal 7 2 9 3 2" xfId="25079"/>
    <cellStyle name="Normal 7 2 9 3 3" xfId="40122"/>
    <cellStyle name="Normal 7 2 9 4" xfId="17558"/>
    <cellStyle name="Normal 7 2 9 5" xfId="32601"/>
    <cellStyle name="Normal 7 3" xfId="524"/>
    <cellStyle name="Normal 7 3 10" xfId="8178"/>
    <cellStyle name="Normal 7 3 10 2" xfId="23222"/>
    <cellStyle name="Normal 7 3 10 3" xfId="38265"/>
    <cellStyle name="Normal 7 3 11" xfId="15701"/>
    <cellStyle name="Normal 7 3 12" xfId="30744"/>
    <cellStyle name="Normal 7 3 2" xfId="525"/>
    <cellStyle name="Normal 7 3 2 10" xfId="15702"/>
    <cellStyle name="Normal 7 3 2 11" xfId="30745"/>
    <cellStyle name="Normal 7 3 2 2" xfId="526"/>
    <cellStyle name="Normal 7 3 2 2 2" xfId="527"/>
    <cellStyle name="Normal 7 3 2 2 2 2" xfId="1045"/>
    <cellStyle name="Normal 7 3 2 2 2 2 2" xfId="2004"/>
    <cellStyle name="Normal 7 3 2 2 2 2 2 2" xfId="3875"/>
    <cellStyle name="Normal 7 3 2 2 2 2 2 2 2" xfId="7670"/>
    <cellStyle name="Normal 7 3 2 2 2 2 2 2 2 2" xfId="15193"/>
    <cellStyle name="Normal 7 3 2 2 2 2 2 2 2 2 2" xfId="30237"/>
    <cellStyle name="Normal 7 3 2 2 2 2 2 2 2 2 3" xfId="45280"/>
    <cellStyle name="Normal 7 3 2 2 2 2 2 2 2 3" xfId="22716"/>
    <cellStyle name="Normal 7 3 2 2 2 2 2 2 2 4" xfId="37759"/>
    <cellStyle name="Normal 7 3 2 2 2 2 2 2 3" xfId="11444"/>
    <cellStyle name="Normal 7 3 2 2 2 2 2 2 3 2" xfId="26488"/>
    <cellStyle name="Normal 7 3 2 2 2 2 2 2 3 3" xfId="41531"/>
    <cellStyle name="Normal 7 3 2 2 2 2 2 2 4" xfId="18967"/>
    <cellStyle name="Normal 7 3 2 2 2 2 2 2 5" xfId="34010"/>
    <cellStyle name="Normal 7 3 2 2 2 2 2 3" xfId="5805"/>
    <cellStyle name="Normal 7 3 2 2 2 2 2 3 2" xfId="13328"/>
    <cellStyle name="Normal 7 3 2 2 2 2 2 3 2 2" xfId="28372"/>
    <cellStyle name="Normal 7 3 2 2 2 2 2 3 2 3" xfId="43415"/>
    <cellStyle name="Normal 7 3 2 2 2 2 2 3 3" xfId="20851"/>
    <cellStyle name="Normal 7 3 2 2 2 2 2 3 4" xfId="35894"/>
    <cellStyle name="Normal 7 3 2 2 2 2 2 4" xfId="9579"/>
    <cellStyle name="Normal 7 3 2 2 2 2 2 4 2" xfId="24623"/>
    <cellStyle name="Normal 7 3 2 2 2 2 2 4 3" xfId="39666"/>
    <cellStyle name="Normal 7 3 2 2 2 2 2 5" xfId="17102"/>
    <cellStyle name="Normal 7 3 2 2 2 2 2 6" xfId="32145"/>
    <cellStyle name="Normal 7 3 2 2 2 2 3" xfId="2943"/>
    <cellStyle name="Normal 7 3 2 2 2 2 3 2" xfId="6738"/>
    <cellStyle name="Normal 7 3 2 2 2 2 3 2 2" xfId="14261"/>
    <cellStyle name="Normal 7 3 2 2 2 2 3 2 2 2" xfId="29305"/>
    <cellStyle name="Normal 7 3 2 2 2 2 3 2 2 3" xfId="44348"/>
    <cellStyle name="Normal 7 3 2 2 2 2 3 2 3" xfId="21784"/>
    <cellStyle name="Normal 7 3 2 2 2 2 3 2 4" xfId="36827"/>
    <cellStyle name="Normal 7 3 2 2 2 2 3 3" xfId="10512"/>
    <cellStyle name="Normal 7 3 2 2 2 2 3 3 2" xfId="25556"/>
    <cellStyle name="Normal 7 3 2 2 2 2 3 3 3" xfId="40599"/>
    <cellStyle name="Normal 7 3 2 2 2 2 3 4" xfId="18035"/>
    <cellStyle name="Normal 7 3 2 2 2 2 3 5" xfId="33078"/>
    <cellStyle name="Normal 7 3 2 2 2 2 4" xfId="4873"/>
    <cellStyle name="Normal 7 3 2 2 2 2 4 2" xfId="12396"/>
    <cellStyle name="Normal 7 3 2 2 2 2 4 2 2" xfId="27440"/>
    <cellStyle name="Normal 7 3 2 2 2 2 4 2 3" xfId="42483"/>
    <cellStyle name="Normal 7 3 2 2 2 2 4 3" xfId="19919"/>
    <cellStyle name="Normal 7 3 2 2 2 2 4 4" xfId="34962"/>
    <cellStyle name="Normal 7 3 2 2 2 2 5" xfId="8647"/>
    <cellStyle name="Normal 7 3 2 2 2 2 5 2" xfId="23691"/>
    <cellStyle name="Normal 7 3 2 2 2 2 5 3" xfId="38734"/>
    <cellStyle name="Normal 7 3 2 2 2 2 6" xfId="16170"/>
    <cellStyle name="Normal 7 3 2 2 2 2 7" xfId="31213"/>
    <cellStyle name="Normal 7 3 2 2 2 3" xfId="1552"/>
    <cellStyle name="Normal 7 3 2 2 2 3 2" xfId="3423"/>
    <cellStyle name="Normal 7 3 2 2 2 3 2 2" xfId="7218"/>
    <cellStyle name="Normal 7 3 2 2 2 3 2 2 2" xfId="14741"/>
    <cellStyle name="Normal 7 3 2 2 2 3 2 2 2 2" xfId="29785"/>
    <cellStyle name="Normal 7 3 2 2 2 3 2 2 2 3" xfId="44828"/>
    <cellStyle name="Normal 7 3 2 2 2 3 2 2 3" xfId="22264"/>
    <cellStyle name="Normal 7 3 2 2 2 3 2 2 4" xfId="37307"/>
    <cellStyle name="Normal 7 3 2 2 2 3 2 3" xfId="10992"/>
    <cellStyle name="Normal 7 3 2 2 2 3 2 3 2" xfId="26036"/>
    <cellStyle name="Normal 7 3 2 2 2 3 2 3 3" xfId="41079"/>
    <cellStyle name="Normal 7 3 2 2 2 3 2 4" xfId="18515"/>
    <cellStyle name="Normal 7 3 2 2 2 3 2 5" xfId="33558"/>
    <cellStyle name="Normal 7 3 2 2 2 3 3" xfId="5353"/>
    <cellStyle name="Normal 7 3 2 2 2 3 3 2" xfId="12876"/>
    <cellStyle name="Normal 7 3 2 2 2 3 3 2 2" xfId="27920"/>
    <cellStyle name="Normal 7 3 2 2 2 3 3 2 3" xfId="42963"/>
    <cellStyle name="Normal 7 3 2 2 2 3 3 3" xfId="20399"/>
    <cellStyle name="Normal 7 3 2 2 2 3 3 4" xfId="35442"/>
    <cellStyle name="Normal 7 3 2 2 2 3 4" xfId="9127"/>
    <cellStyle name="Normal 7 3 2 2 2 3 4 2" xfId="24171"/>
    <cellStyle name="Normal 7 3 2 2 2 3 4 3" xfId="39214"/>
    <cellStyle name="Normal 7 3 2 2 2 3 5" xfId="16650"/>
    <cellStyle name="Normal 7 3 2 2 2 3 6" xfId="31693"/>
    <cellStyle name="Normal 7 3 2 2 2 4" xfId="2490"/>
    <cellStyle name="Normal 7 3 2 2 2 4 2" xfId="6286"/>
    <cellStyle name="Normal 7 3 2 2 2 4 2 2" xfId="13809"/>
    <cellStyle name="Normal 7 3 2 2 2 4 2 2 2" xfId="28853"/>
    <cellStyle name="Normal 7 3 2 2 2 4 2 2 3" xfId="43896"/>
    <cellStyle name="Normal 7 3 2 2 2 4 2 3" xfId="21332"/>
    <cellStyle name="Normal 7 3 2 2 2 4 2 4" xfId="36375"/>
    <cellStyle name="Normal 7 3 2 2 2 4 3" xfId="10060"/>
    <cellStyle name="Normal 7 3 2 2 2 4 3 2" xfId="25104"/>
    <cellStyle name="Normal 7 3 2 2 2 4 3 3" xfId="40147"/>
    <cellStyle name="Normal 7 3 2 2 2 4 4" xfId="17583"/>
    <cellStyle name="Normal 7 3 2 2 2 4 5" xfId="32626"/>
    <cellStyle name="Normal 7 3 2 2 2 5" xfId="4418"/>
    <cellStyle name="Normal 7 3 2 2 2 5 2" xfId="11942"/>
    <cellStyle name="Normal 7 3 2 2 2 5 2 2" xfId="26986"/>
    <cellStyle name="Normal 7 3 2 2 2 5 2 3" xfId="42029"/>
    <cellStyle name="Normal 7 3 2 2 2 5 3" xfId="19465"/>
    <cellStyle name="Normal 7 3 2 2 2 5 4" xfId="34508"/>
    <cellStyle name="Normal 7 3 2 2 2 6" xfId="8181"/>
    <cellStyle name="Normal 7 3 2 2 2 6 2" xfId="23225"/>
    <cellStyle name="Normal 7 3 2 2 2 6 3" xfId="38268"/>
    <cellStyle name="Normal 7 3 2 2 2 7" xfId="15704"/>
    <cellStyle name="Normal 7 3 2 2 2 8" xfId="30747"/>
    <cellStyle name="Normal 7 3 2 2 3" xfId="1044"/>
    <cellStyle name="Normal 7 3 2 2 3 2" xfId="2003"/>
    <cellStyle name="Normal 7 3 2 2 3 2 2" xfId="3874"/>
    <cellStyle name="Normal 7 3 2 2 3 2 2 2" xfId="7669"/>
    <cellStyle name="Normal 7 3 2 2 3 2 2 2 2" xfId="15192"/>
    <cellStyle name="Normal 7 3 2 2 3 2 2 2 2 2" xfId="30236"/>
    <cellStyle name="Normal 7 3 2 2 3 2 2 2 2 3" xfId="45279"/>
    <cellStyle name="Normal 7 3 2 2 3 2 2 2 3" xfId="22715"/>
    <cellStyle name="Normal 7 3 2 2 3 2 2 2 4" xfId="37758"/>
    <cellStyle name="Normal 7 3 2 2 3 2 2 3" xfId="11443"/>
    <cellStyle name="Normal 7 3 2 2 3 2 2 3 2" xfId="26487"/>
    <cellStyle name="Normal 7 3 2 2 3 2 2 3 3" xfId="41530"/>
    <cellStyle name="Normal 7 3 2 2 3 2 2 4" xfId="18966"/>
    <cellStyle name="Normal 7 3 2 2 3 2 2 5" xfId="34009"/>
    <cellStyle name="Normal 7 3 2 2 3 2 3" xfId="5804"/>
    <cellStyle name="Normal 7 3 2 2 3 2 3 2" xfId="13327"/>
    <cellStyle name="Normal 7 3 2 2 3 2 3 2 2" xfId="28371"/>
    <cellStyle name="Normal 7 3 2 2 3 2 3 2 3" xfId="43414"/>
    <cellStyle name="Normal 7 3 2 2 3 2 3 3" xfId="20850"/>
    <cellStyle name="Normal 7 3 2 2 3 2 3 4" xfId="35893"/>
    <cellStyle name="Normal 7 3 2 2 3 2 4" xfId="9578"/>
    <cellStyle name="Normal 7 3 2 2 3 2 4 2" xfId="24622"/>
    <cellStyle name="Normal 7 3 2 2 3 2 4 3" xfId="39665"/>
    <cellStyle name="Normal 7 3 2 2 3 2 5" xfId="17101"/>
    <cellStyle name="Normal 7 3 2 2 3 2 6" xfId="32144"/>
    <cellStyle name="Normal 7 3 2 2 3 3" xfId="2942"/>
    <cellStyle name="Normal 7 3 2 2 3 3 2" xfId="6737"/>
    <cellStyle name="Normal 7 3 2 2 3 3 2 2" xfId="14260"/>
    <cellStyle name="Normal 7 3 2 2 3 3 2 2 2" xfId="29304"/>
    <cellStyle name="Normal 7 3 2 2 3 3 2 2 3" xfId="44347"/>
    <cellStyle name="Normal 7 3 2 2 3 3 2 3" xfId="21783"/>
    <cellStyle name="Normal 7 3 2 2 3 3 2 4" xfId="36826"/>
    <cellStyle name="Normal 7 3 2 2 3 3 3" xfId="10511"/>
    <cellStyle name="Normal 7 3 2 2 3 3 3 2" xfId="25555"/>
    <cellStyle name="Normal 7 3 2 2 3 3 3 3" xfId="40598"/>
    <cellStyle name="Normal 7 3 2 2 3 3 4" xfId="18034"/>
    <cellStyle name="Normal 7 3 2 2 3 3 5" xfId="33077"/>
    <cellStyle name="Normal 7 3 2 2 3 4" xfId="4872"/>
    <cellStyle name="Normal 7 3 2 2 3 4 2" xfId="12395"/>
    <cellStyle name="Normal 7 3 2 2 3 4 2 2" xfId="27439"/>
    <cellStyle name="Normal 7 3 2 2 3 4 2 3" xfId="42482"/>
    <cellStyle name="Normal 7 3 2 2 3 4 3" xfId="19918"/>
    <cellStyle name="Normal 7 3 2 2 3 4 4" xfId="34961"/>
    <cellStyle name="Normal 7 3 2 2 3 5" xfId="8646"/>
    <cellStyle name="Normal 7 3 2 2 3 5 2" xfId="23690"/>
    <cellStyle name="Normal 7 3 2 2 3 5 3" xfId="38733"/>
    <cellStyle name="Normal 7 3 2 2 3 6" xfId="16169"/>
    <cellStyle name="Normal 7 3 2 2 3 7" xfId="31212"/>
    <cellStyle name="Normal 7 3 2 2 4" xfId="1551"/>
    <cellStyle name="Normal 7 3 2 2 4 2" xfId="3422"/>
    <cellStyle name="Normal 7 3 2 2 4 2 2" xfId="7217"/>
    <cellStyle name="Normal 7 3 2 2 4 2 2 2" xfId="14740"/>
    <cellStyle name="Normal 7 3 2 2 4 2 2 2 2" xfId="29784"/>
    <cellStyle name="Normal 7 3 2 2 4 2 2 2 3" xfId="44827"/>
    <cellStyle name="Normal 7 3 2 2 4 2 2 3" xfId="22263"/>
    <cellStyle name="Normal 7 3 2 2 4 2 2 4" xfId="37306"/>
    <cellStyle name="Normal 7 3 2 2 4 2 3" xfId="10991"/>
    <cellStyle name="Normal 7 3 2 2 4 2 3 2" xfId="26035"/>
    <cellStyle name="Normal 7 3 2 2 4 2 3 3" xfId="41078"/>
    <cellStyle name="Normal 7 3 2 2 4 2 4" xfId="18514"/>
    <cellStyle name="Normal 7 3 2 2 4 2 5" xfId="33557"/>
    <cellStyle name="Normal 7 3 2 2 4 3" xfId="5352"/>
    <cellStyle name="Normal 7 3 2 2 4 3 2" xfId="12875"/>
    <cellStyle name="Normal 7 3 2 2 4 3 2 2" xfId="27919"/>
    <cellStyle name="Normal 7 3 2 2 4 3 2 3" xfId="42962"/>
    <cellStyle name="Normal 7 3 2 2 4 3 3" xfId="20398"/>
    <cellStyle name="Normal 7 3 2 2 4 3 4" xfId="35441"/>
    <cellStyle name="Normal 7 3 2 2 4 4" xfId="9126"/>
    <cellStyle name="Normal 7 3 2 2 4 4 2" xfId="24170"/>
    <cellStyle name="Normal 7 3 2 2 4 4 3" xfId="39213"/>
    <cellStyle name="Normal 7 3 2 2 4 5" xfId="16649"/>
    <cellStyle name="Normal 7 3 2 2 4 6" xfId="31692"/>
    <cellStyle name="Normal 7 3 2 2 5" xfId="2489"/>
    <cellStyle name="Normal 7 3 2 2 5 2" xfId="6285"/>
    <cellStyle name="Normal 7 3 2 2 5 2 2" xfId="13808"/>
    <cellStyle name="Normal 7 3 2 2 5 2 2 2" xfId="28852"/>
    <cellStyle name="Normal 7 3 2 2 5 2 2 3" xfId="43895"/>
    <cellStyle name="Normal 7 3 2 2 5 2 3" xfId="21331"/>
    <cellStyle name="Normal 7 3 2 2 5 2 4" xfId="36374"/>
    <cellStyle name="Normal 7 3 2 2 5 3" xfId="10059"/>
    <cellStyle name="Normal 7 3 2 2 5 3 2" xfId="25103"/>
    <cellStyle name="Normal 7 3 2 2 5 3 3" xfId="40146"/>
    <cellStyle name="Normal 7 3 2 2 5 4" xfId="17582"/>
    <cellStyle name="Normal 7 3 2 2 5 5" xfId="32625"/>
    <cellStyle name="Normal 7 3 2 2 6" xfId="4417"/>
    <cellStyle name="Normal 7 3 2 2 6 2" xfId="11941"/>
    <cellStyle name="Normal 7 3 2 2 6 2 2" xfId="26985"/>
    <cellStyle name="Normal 7 3 2 2 6 2 3" xfId="42028"/>
    <cellStyle name="Normal 7 3 2 2 6 3" xfId="19464"/>
    <cellStyle name="Normal 7 3 2 2 6 4" xfId="34507"/>
    <cellStyle name="Normal 7 3 2 2 7" xfId="8180"/>
    <cellStyle name="Normal 7 3 2 2 7 2" xfId="23224"/>
    <cellStyle name="Normal 7 3 2 2 7 3" xfId="38267"/>
    <cellStyle name="Normal 7 3 2 2 8" xfId="15703"/>
    <cellStyle name="Normal 7 3 2 2 9" xfId="30746"/>
    <cellStyle name="Normal 7 3 2 3" xfId="528"/>
    <cellStyle name="Normal 7 3 2 3 2" xfId="529"/>
    <cellStyle name="Normal 7 3 2 3 2 2" xfId="1047"/>
    <cellStyle name="Normal 7 3 2 3 2 2 2" xfId="2006"/>
    <cellStyle name="Normal 7 3 2 3 2 2 2 2" xfId="3877"/>
    <cellStyle name="Normal 7 3 2 3 2 2 2 2 2" xfId="7672"/>
    <cellStyle name="Normal 7 3 2 3 2 2 2 2 2 2" xfId="15195"/>
    <cellStyle name="Normal 7 3 2 3 2 2 2 2 2 2 2" xfId="30239"/>
    <cellStyle name="Normal 7 3 2 3 2 2 2 2 2 2 3" xfId="45282"/>
    <cellStyle name="Normal 7 3 2 3 2 2 2 2 2 3" xfId="22718"/>
    <cellStyle name="Normal 7 3 2 3 2 2 2 2 2 4" xfId="37761"/>
    <cellStyle name="Normal 7 3 2 3 2 2 2 2 3" xfId="11446"/>
    <cellStyle name="Normal 7 3 2 3 2 2 2 2 3 2" xfId="26490"/>
    <cellStyle name="Normal 7 3 2 3 2 2 2 2 3 3" xfId="41533"/>
    <cellStyle name="Normal 7 3 2 3 2 2 2 2 4" xfId="18969"/>
    <cellStyle name="Normal 7 3 2 3 2 2 2 2 5" xfId="34012"/>
    <cellStyle name="Normal 7 3 2 3 2 2 2 3" xfId="5807"/>
    <cellStyle name="Normal 7 3 2 3 2 2 2 3 2" xfId="13330"/>
    <cellStyle name="Normal 7 3 2 3 2 2 2 3 2 2" xfId="28374"/>
    <cellStyle name="Normal 7 3 2 3 2 2 2 3 2 3" xfId="43417"/>
    <cellStyle name="Normal 7 3 2 3 2 2 2 3 3" xfId="20853"/>
    <cellStyle name="Normal 7 3 2 3 2 2 2 3 4" xfId="35896"/>
    <cellStyle name="Normal 7 3 2 3 2 2 2 4" xfId="9581"/>
    <cellStyle name="Normal 7 3 2 3 2 2 2 4 2" xfId="24625"/>
    <cellStyle name="Normal 7 3 2 3 2 2 2 4 3" xfId="39668"/>
    <cellStyle name="Normal 7 3 2 3 2 2 2 5" xfId="17104"/>
    <cellStyle name="Normal 7 3 2 3 2 2 2 6" xfId="32147"/>
    <cellStyle name="Normal 7 3 2 3 2 2 3" xfId="2945"/>
    <cellStyle name="Normal 7 3 2 3 2 2 3 2" xfId="6740"/>
    <cellStyle name="Normal 7 3 2 3 2 2 3 2 2" xfId="14263"/>
    <cellStyle name="Normal 7 3 2 3 2 2 3 2 2 2" xfId="29307"/>
    <cellStyle name="Normal 7 3 2 3 2 2 3 2 2 3" xfId="44350"/>
    <cellStyle name="Normal 7 3 2 3 2 2 3 2 3" xfId="21786"/>
    <cellStyle name="Normal 7 3 2 3 2 2 3 2 4" xfId="36829"/>
    <cellStyle name="Normal 7 3 2 3 2 2 3 3" xfId="10514"/>
    <cellStyle name="Normal 7 3 2 3 2 2 3 3 2" xfId="25558"/>
    <cellStyle name="Normal 7 3 2 3 2 2 3 3 3" xfId="40601"/>
    <cellStyle name="Normal 7 3 2 3 2 2 3 4" xfId="18037"/>
    <cellStyle name="Normal 7 3 2 3 2 2 3 5" xfId="33080"/>
    <cellStyle name="Normal 7 3 2 3 2 2 4" xfId="4875"/>
    <cellStyle name="Normal 7 3 2 3 2 2 4 2" xfId="12398"/>
    <cellStyle name="Normal 7 3 2 3 2 2 4 2 2" xfId="27442"/>
    <cellStyle name="Normal 7 3 2 3 2 2 4 2 3" xfId="42485"/>
    <cellStyle name="Normal 7 3 2 3 2 2 4 3" xfId="19921"/>
    <cellStyle name="Normal 7 3 2 3 2 2 4 4" xfId="34964"/>
    <cellStyle name="Normal 7 3 2 3 2 2 5" xfId="8649"/>
    <cellStyle name="Normal 7 3 2 3 2 2 5 2" xfId="23693"/>
    <cellStyle name="Normal 7 3 2 3 2 2 5 3" xfId="38736"/>
    <cellStyle name="Normal 7 3 2 3 2 2 6" xfId="16172"/>
    <cellStyle name="Normal 7 3 2 3 2 2 7" xfId="31215"/>
    <cellStyle name="Normal 7 3 2 3 2 3" xfId="1554"/>
    <cellStyle name="Normal 7 3 2 3 2 3 2" xfId="3425"/>
    <cellStyle name="Normal 7 3 2 3 2 3 2 2" xfId="7220"/>
    <cellStyle name="Normal 7 3 2 3 2 3 2 2 2" xfId="14743"/>
    <cellStyle name="Normal 7 3 2 3 2 3 2 2 2 2" xfId="29787"/>
    <cellStyle name="Normal 7 3 2 3 2 3 2 2 2 3" xfId="44830"/>
    <cellStyle name="Normal 7 3 2 3 2 3 2 2 3" xfId="22266"/>
    <cellStyle name="Normal 7 3 2 3 2 3 2 2 4" xfId="37309"/>
    <cellStyle name="Normal 7 3 2 3 2 3 2 3" xfId="10994"/>
    <cellStyle name="Normal 7 3 2 3 2 3 2 3 2" xfId="26038"/>
    <cellStyle name="Normal 7 3 2 3 2 3 2 3 3" xfId="41081"/>
    <cellStyle name="Normal 7 3 2 3 2 3 2 4" xfId="18517"/>
    <cellStyle name="Normal 7 3 2 3 2 3 2 5" xfId="33560"/>
    <cellStyle name="Normal 7 3 2 3 2 3 3" xfId="5355"/>
    <cellStyle name="Normal 7 3 2 3 2 3 3 2" xfId="12878"/>
    <cellStyle name="Normal 7 3 2 3 2 3 3 2 2" xfId="27922"/>
    <cellStyle name="Normal 7 3 2 3 2 3 3 2 3" xfId="42965"/>
    <cellStyle name="Normal 7 3 2 3 2 3 3 3" xfId="20401"/>
    <cellStyle name="Normal 7 3 2 3 2 3 3 4" xfId="35444"/>
    <cellStyle name="Normal 7 3 2 3 2 3 4" xfId="9129"/>
    <cellStyle name="Normal 7 3 2 3 2 3 4 2" xfId="24173"/>
    <cellStyle name="Normal 7 3 2 3 2 3 4 3" xfId="39216"/>
    <cellStyle name="Normal 7 3 2 3 2 3 5" xfId="16652"/>
    <cellStyle name="Normal 7 3 2 3 2 3 6" xfId="31695"/>
    <cellStyle name="Normal 7 3 2 3 2 4" xfId="2492"/>
    <cellStyle name="Normal 7 3 2 3 2 4 2" xfId="6288"/>
    <cellStyle name="Normal 7 3 2 3 2 4 2 2" xfId="13811"/>
    <cellStyle name="Normal 7 3 2 3 2 4 2 2 2" xfId="28855"/>
    <cellStyle name="Normal 7 3 2 3 2 4 2 2 3" xfId="43898"/>
    <cellStyle name="Normal 7 3 2 3 2 4 2 3" xfId="21334"/>
    <cellStyle name="Normal 7 3 2 3 2 4 2 4" xfId="36377"/>
    <cellStyle name="Normal 7 3 2 3 2 4 3" xfId="10062"/>
    <cellStyle name="Normal 7 3 2 3 2 4 3 2" xfId="25106"/>
    <cellStyle name="Normal 7 3 2 3 2 4 3 3" xfId="40149"/>
    <cellStyle name="Normal 7 3 2 3 2 4 4" xfId="17585"/>
    <cellStyle name="Normal 7 3 2 3 2 4 5" xfId="32628"/>
    <cellStyle name="Normal 7 3 2 3 2 5" xfId="4420"/>
    <cellStyle name="Normal 7 3 2 3 2 5 2" xfId="11944"/>
    <cellStyle name="Normal 7 3 2 3 2 5 2 2" xfId="26988"/>
    <cellStyle name="Normal 7 3 2 3 2 5 2 3" xfId="42031"/>
    <cellStyle name="Normal 7 3 2 3 2 5 3" xfId="19467"/>
    <cellStyle name="Normal 7 3 2 3 2 5 4" xfId="34510"/>
    <cellStyle name="Normal 7 3 2 3 2 6" xfId="8183"/>
    <cellStyle name="Normal 7 3 2 3 2 6 2" xfId="23227"/>
    <cellStyle name="Normal 7 3 2 3 2 6 3" xfId="38270"/>
    <cellStyle name="Normal 7 3 2 3 2 7" xfId="15706"/>
    <cellStyle name="Normal 7 3 2 3 2 8" xfId="30749"/>
    <cellStyle name="Normal 7 3 2 3 3" xfId="1046"/>
    <cellStyle name="Normal 7 3 2 3 3 2" xfId="2005"/>
    <cellStyle name="Normal 7 3 2 3 3 2 2" xfId="3876"/>
    <cellStyle name="Normal 7 3 2 3 3 2 2 2" xfId="7671"/>
    <cellStyle name="Normal 7 3 2 3 3 2 2 2 2" xfId="15194"/>
    <cellStyle name="Normal 7 3 2 3 3 2 2 2 2 2" xfId="30238"/>
    <cellStyle name="Normal 7 3 2 3 3 2 2 2 2 3" xfId="45281"/>
    <cellStyle name="Normal 7 3 2 3 3 2 2 2 3" xfId="22717"/>
    <cellStyle name="Normal 7 3 2 3 3 2 2 2 4" xfId="37760"/>
    <cellStyle name="Normal 7 3 2 3 3 2 2 3" xfId="11445"/>
    <cellStyle name="Normal 7 3 2 3 3 2 2 3 2" xfId="26489"/>
    <cellStyle name="Normal 7 3 2 3 3 2 2 3 3" xfId="41532"/>
    <cellStyle name="Normal 7 3 2 3 3 2 2 4" xfId="18968"/>
    <cellStyle name="Normal 7 3 2 3 3 2 2 5" xfId="34011"/>
    <cellStyle name="Normal 7 3 2 3 3 2 3" xfId="5806"/>
    <cellStyle name="Normal 7 3 2 3 3 2 3 2" xfId="13329"/>
    <cellStyle name="Normal 7 3 2 3 3 2 3 2 2" xfId="28373"/>
    <cellStyle name="Normal 7 3 2 3 3 2 3 2 3" xfId="43416"/>
    <cellStyle name="Normal 7 3 2 3 3 2 3 3" xfId="20852"/>
    <cellStyle name="Normal 7 3 2 3 3 2 3 4" xfId="35895"/>
    <cellStyle name="Normal 7 3 2 3 3 2 4" xfId="9580"/>
    <cellStyle name="Normal 7 3 2 3 3 2 4 2" xfId="24624"/>
    <cellStyle name="Normal 7 3 2 3 3 2 4 3" xfId="39667"/>
    <cellStyle name="Normal 7 3 2 3 3 2 5" xfId="17103"/>
    <cellStyle name="Normal 7 3 2 3 3 2 6" xfId="32146"/>
    <cellStyle name="Normal 7 3 2 3 3 3" xfId="2944"/>
    <cellStyle name="Normal 7 3 2 3 3 3 2" xfId="6739"/>
    <cellStyle name="Normal 7 3 2 3 3 3 2 2" xfId="14262"/>
    <cellStyle name="Normal 7 3 2 3 3 3 2 2 2" xfId="29306"/>
    <cellStyle name="Normal 7 3 2 3 3 3 2 2 3" xfId="44349"/>
    <cellStyle name="Normal 7 3 2 3 3 3 2 3" xfId="21785"/>
    <cellStyle name="Normal 7 3 2 3 3 3 2 4" xfId="36828"/>
    <cellStyle name="Normal 7 3 2 3 3 3 3" xfId="10513"/>
    <cellStyle name="Normal 7 3 2 3 3 3 3 2" xfId="25557"/>
    <cellStyle name="Normal 7 3 2 3 3 3 3 3" xfId="40600"/>
    <cellStyle name="Normal 7 3 2 3 3 3 4" xfId="18036"/>
    <cellStyle name="Normal 7 3 2 3 3 3 5" xfId="33079"/>
    <cellStyle name="Normal 7 3 2 3 3 4" xfId="4874"/>
    <cellStyle name="Normal 7 3 2 3 3 4 2" xfId="12397"/>
    <cellStyle name="Normal 7 3 2 3 3 4 2 2" xfId="27441"/>
    <cellStyle name="Normal 7 3 2 3 3 4 2 3" xfId="42484"/>
    <cellStyle name="Normal 7 3 2 3 3 4 3" xfId="19920"/>
    <cellStyle name="Normal 7 3 2 3 3 4 4" xfId="34963"/>
    <cellStyle name="Normal 7 3 2 3 3 5" xfId="8648"/>
    <cellStyle name="Normal 7 3 2 3 3 5 2" xfId="23692"/>
    <cellStyle name="Normal 7 3 2 3 3 5 3" xfId="38735"/>
    <cellStyle name="Normal 7 3 2 3 3 6" xfId="16171"/>
    <cellStyle name="Normal 7 3 2 3 3 7" xfId="31214"/>
    <cellStyle name="Normal 7 3 2 3 4" xfId="1553"/>
    <cellStyle name="Normal 7 3 2 3 4 2" xfId="3424"/>
    <cellStyle name="Normal 7 3 2 3 4 2 2" xfId="7219"/>
    <cellStyle name="Normal 7 3 2 3 4 2 2 2" xfId="14742"/>
    <cellStyle name="Normal 7 3 2 3 4 2 2 2 2" xfId="29786"/>
    <cellStyle name="Normal 7 3 2 3 4 2 2 2 3" xfId="44829"/>
    <cellStyle name="Normal 7 3 2 3 4 2 2 3" xfId="22265"/>
    <cellStyle name="Normal 7 3 2 3 4 2 2 4" xfId="37308"/>
    <cellStyle name="Normal 7 3 2 3 4 2 3" xfId="10993"/>
    <cellStyle name="Normal 7 3 2 3 4 2 3 2" xfId="26037"/>
    <cellStyle name="Normal 7 3 2 3 4 2 3 3" xfId="41080"/>
    <cellStyle name="Normal 7 3 2 3 4 2 4" xfId="18516"/>
    <cellStyle name="Normal 7 3 2 3 4 2 5" xfId="33559"/>
    <cellStyle name="Normal 7 3 2 3 4 3" xfId="5354"/>
    <cellStyle name="Normal 7 3 2 3 4 3 2" xfId="12877"/>
    <cellStyle name="Normal 7 3 2 3 4 3 2 2" xfId="27921"/>
    <cellStyle name="Normal 7 3 2 3 4 3 2 3" xfId="42964"/>
    <cellStyle name="Normal 7 3 2 3 4 3 3" xfId="20400"/>
    <cellStyle name="Normal 7 3 2 3 4 3 4" xfId="35443"/>
    <cellStyle name="Normal 7 3 2 3 4 4" xfId="9128"/>
    <cellStyle name="Normal 7 3 2 3 4 4 2" xfId="24172"/>
    <cellStyle name="Normal 7 3 2 3 4 4 3" xfId="39215"/>
    <cellStyle name="Normal 7 3 2 3 4 5" xfId="16651"/>
    <cellStyle name="Normal 7 3 2 3 4 6" xfId="31694"/>
    <cellStyle name="Normal 7 3 2 3 5" xfId="2491"/>
    <cellStyle name="Normal 7 3 2 3 5 2" xfId="6287"/>
    <cellStyle name="Normal 7 3 2 3 5 2 2" xfId="13810"/>
    <cellStyle name="Normal 7 3 2 3 5 2 2 2" xfId="28854"/>
    <cellStyle name="Normal 7 3 2 3 5 2 2 3" xfId="43897"/>
    <cellStyle name="Normal 7 3 2 3 5 2 3" xfId="21333"/>
    <cellStyle name="Normal 7 3 2 3 5 2 4" xfId="36376"/>
    <cellStyle name="Normal 7 3 2 3 5 3" xfId="10061"/>
    <cellStyle name="Normal 7 3 2 3 5 3 2" xfId="25105"/>
    <cellStyle name="Normal 7 3 2 3 5 3 3" xfId="40148"/>
    <cellStyle name="Normal 7 3 2 3 5 4" xfId="17584"/>
    <cellStyle name="Normal 7 3 2 3 5 5" xfId="32627"/>
    <cellStyle name="Normal 7 3 2 3 6" xfId="4419"/>
    <cellStyle name="Normal 7 3 2 3 6 2" xfId="11943"/>
    <cellStyle name="Normal 7 3 2 3 6 2 2" xfId="26987"/>
    <cellStyle name="Normal 7 3 2 3 6 2 3" xfId="42030"/>
    <cellStyle name="Normal 7 3 2 3 6 3" xfId="19466"/>
    <cellStyle name="Normal 7 3 2 3 6 4" xfId="34509"/>
    <cellStyle name="Normal 7 3 2 3 7" xfId="8182"/>
    <cellStyle name="Normal 7 3 2 3 7 2" xfId="23226"/>
    <cellStyle name="Normal 7 3 2 3 7 3" xfId="38269"/>
    <cellStyle name="Normal 7 3 2 3 8" xfId="15705"/>
    <cellStyle name="Normal 7 3 2 3 9" xfId="30748"/>
    <cellStyle name="Normal 7 3 2 4" xfId="530"/>
    <cellStyle name="Normal 7 3 2 4 2" xfId="1048"/>
    <cellStyle name="Normal 7 3 2 4 2 2" xfId="2007"/>
    <cellStyle name="Normal 7 3 2 4 2 2 2" xfId="3878"/>
    <cellStyle name="Normal 7 3 2 4 2 2 2 2" xfId="7673"/>
    <cellStyle name="Normal 7 3 2 4 2 2 2 2 2" xfId="15196"/>
    <cellStyle name="Normal 7 3 2 4 2 2 2 2 2 2" xfId="30240"/>
    <cellStyle name="Normal 7 3 2 4 2 2 2 2 2 3" xfId="45283"/>
    <cellStyle name="Normal 7 3 2 4 2 2 2 2 3" xfId="22719"/>
    <cellStyle name="Normal 7 3 2 4 2 2 2 2 4" xfId="37762"/>
    <cellStyle name="Normal 7 3 2 4 2 2 2 3" xfId="11447"/>
    <cellStyle name="Normal 7 3 2 4 2 2 2 3 2" xfId="26491"/>
    <cellStyle name="Normal 7 3 2 4 2 2 2 3 3" xfId="41534"/>
    <cellStyle name="Normal 7 3 2 4 2 2 2 4" xfId="18970"/>
    <cellStyle name="Normal 7 3 2 4 2 2 2 5" xfId="34013"/>
    <cellStyle name="Normal 7 3 2 4 2 2 3" xfId="5808"/>
    <cellStyle name="Normal 7 3 2 4 2 2 3 2" xfId="13331"/>
    <cellStyle name="Normal 7 3 2 4 2 2 3 2 2" xfId="28375"/>
    <cellStyle name="Normal 7 3 2 4 2 2 3 2 3" xfId="43418"/>
    <cellStyle name="Normal 7 3 2 4 2 2 3 3" xfId="20854"/>
    <cellStyle name="Normal 7 3 2 4 2 2 3 4" xfId="35897"/>
    <cellStyle name="Normal 7 3 2 4 2 2 4" xfId="9582"/>
    <cellStyle name="Normal 7 3 2 4 2 2 4 2" xfId="24626"/>
    <cellStyle name="Normal 7 3 2 4 2 2 4 3" xfId="39669"/>
    <cellStyle name="Normal 7 3 2 4 2 2 5" xfId="17105"/>
    <cellStyle name="Normal 7 3 2 4 2 2 6" xfId="32148"/>
    <cellStyle name="Normal 7 3 2 4 2 3" xfId="2946"/>
    <cellStyle name="Normal 7 3 2 4 2 3 2" xfId="6741"/>
    <cellStyle name="Normal 7 3 2 4 2 3 2 2" xfId="14264"/>
    <cellStyle name="Normal 7 3 2 4 2 3 2 2 2" xfId="29308"/>
    <cellStyle name="Normal 7 3 2 4 2 3 2 2 3" xfId="44351"/>
    <cellStyle name="Normal 7 3 2 4 2 3 2 3" xfId="21787"/>
    <cellStyle name="Normal 7 3 2 4 2 3 2 4" xfId="36830"/>
    <cellStyle name="Normal 7 3 2 4 2 3 3" xfId="10515"/>
    <cellStyle name="Normal 7 3 2 4 2 3 3 2" xfId="25559"/>
    <cellStyle name="Normal 7 3 2 4 2 3 3 3" xfId="40602"/>
    <cellStyle name="Normal 7 3 2 4 2 3 4" xfId="18038"/>
    <cellStyle name="Normal 7 3 2 4 2 3 5" xfId="33081"/>
    <cellStyle name="Normal 7 3 2 4 2 4" xfId="4876"/>
    <cellStyle name="Normal 7 3 2 4 2 4 2" xfId="12399"/>
    <cellStyle name="Normal 7 3 2 4 2 4 2 2" xfId="27443"/>
    <cellStyle name="Normal 7 3 2 4 2 4 2 3" xfId="42486"/>
    <cellStyle name="Normal 7 3 2 4 2 4 3" xfId="19922"/>
    <cellStyle name="Normal 7 3 2 4 2 4 4" xfId="34965"/>
    <cellStyle name="Normal 7 3 2 4 2 5" xfId="8650"/>
    <cellStyle name="Normal 7 3 2 4 2 5 2" xfId="23694"/>
    <cellStyle name="Normal 7 3 2 4 2 5 3" xfId="38737"/>
    <cellStyle name="Normal 7 3 2 4 2 6" xfId="16173"/>
    <cellStyle name="Normal 7 3 2 4 2 7" xfId="31216"/>
    <cellStyle name="Normal 7 3 2 4 3" xfId="1555"/>
    <cellStyle name="Normal 7 3 2 4 3 2" xfId="3426"/>
    <cellStyle name="Normal 7 3 2 4 3 2 2" xfId="7221"/>
    <cellStyle name="Normal 7 3 2 4 3 2 2 2" xfId="14744"/>
    <cellStyle name="Normal 7 3 2 4 3 2 2 2 2" xfId="29788"/>
    <cellStyle name="Normal 7 3 2 4 3 2 2 2 3" xfId="44831"/>
    <cellStyle name="Normal 7 3 2 4 3 2 2 3" xfId="22267"/>
    <cellStyle name="Normal 7 3 2 4 3 2 2 4" xfId="37310"/>
    <cellStyle name="Normal 7 3 2 4 3 2 3" xfId="10995"/>
    <cellStyle name="Normal 7 3 2 4 3 2 3 2" xfId="26039"/>
    <cellStyle name="Normal 7 3 2 4 3 2 3 3" xfId="41082"/>
    <cellStyle name="Normal 7 3 2 4 3 2 4" xfId="18518"/>
    <cellStyle name="Normal 7 3 2 4 3 2 5" xfId="33561"/>
    <cellStyle name="Normal 7 3 2 4 3 3" xfId="5356"/>
    <cellStyle name="Normal 7 3 2 4 3 3 2" xfId="12879"/>
    <cellStyle name="Normal 7 3 2 4 3 3 2 2" xfId="27923"/>
    <cellStyle name="Normal 7 3 2 4 3 3 2 3" xfId="42966"/>
    <cellStyle name="Normal 7 3 2 4 3 3 3" xfId="20402"/>
    <cellStyle name="Normal 7 3 2 4 3 3 4" xfId="35445"/>
    <cellStyle name="Normal 7 3 2 4 3 4" xfId="9130"/>
    <cellStyle name="Normal 7 3 2 4 3 4 2" xfId="24174"/>
    <cellStyle name="Normal 7 3 2 4 3 4 3" xfId="39217"/>
    <cellStyle name="Normal 7 3 2 4 3 5" xfId="16653"/>
    <cellStyle name="Normal 7 3 2 4 3 6" xfId="31696"/>
    <cellStyle name="Normal 7 3 2 4 4" xfId="2493"/>
    <cellStyle name="Normal 7 3 2 4 4 2" xfId="6289"/>
    <cellStyle name="Normal 7 3 2 4 4 2 2" xfId="13812"/>
    <cellStyle name="Normal 7 3 2 4 4 2 2 2" xfId="28856"/>
    <cellStyle name="Normal 7 3 2 4 4 2 2 3" xfId="43899"/>
    <cellStyle name="Normal 7 3 2 4 4 2 3" xfId="21335"/>
    <cellStyle name="Normal 7 3 2 4 4 2 4" xfId="36378"/>
    <cellStyle name="Normal 7 3 2 4 4 3" xfId="10063"/>
    <cellStyle name="Normal 7 3 2 4 4 3 2" xfId="25107"/>
    <cellStyle name="Normal 7 3 2 4 4 3 3" xfId="40150"/>
    <cellStyle name="Normal 7 3 2 4 4 4" xfId="17586"/>
    <cellStyle name="Normal 7 3 2 4 4 5" xfId="32629"/>
    <cellStyle name="Normal 7 3 2 4 5" xfId="4421"/>
    <cellStyle name="Normal 7 3 2 4 5 2" xfId="11945"/>
    <cellStyle name="Normal 7 3 2 4 5 2 2" xfId="26989"/>
    <cellStyle name="Normal 7 3 2 4 5 2 3" xfId="42032"/>
    <cellStyle name="Normal 7 3 2 4 5 3" xfId="19468"/>
    <cellStyle name="Normal 7 3 2 4 5 4" xfId="34511"/>
    <cellStyle name="Normal 7 3 2 4 6" xfId="8184"/>
    <cellStyle name="Normal 7 3 2 4 6 2" xfId="23228"/>
    <cellStyle name="Normal 7 3 2 4 6 3" xfId="38271"/>
    <cellStyle name="Normal 7 3 2 4 7" xfId="15707"/>
    <cellStyle name="Normal 7 3 2 4 8" xfId="30750"/>
    <cellStyle name="Normal 7 3 2 5" xfId="1043"/>
    <cellStyle name="Normal 7 3 2 5 2" xfId="2002"/>
    <cellStyle name="Normal 7 3 2 5 2 2" xfId="3873"/>
    <cellStyle name="Normal 7 3 2 5 2 2 2" xfId="7668"/>
    <cellStyle name="Normal 7 3 2 5 2 2 2 2" xfId="15191"/>
    <cellStyle name="Normal 7 3 2 5 2 2 2 2 2" xfId="30235"/>
    <cellStyle name="Normal 7 3 2 5 2 2 2 2 3" xfId="45278"/>
    <cellStyle name="Normal 7 3 2 5 2 2 2 3" xfId="22714"/>
    <cellStyle name="Normal 7 3 2 5 2 2 2 4" xfId="37757"/>
    <cellStyle name="Normal 7 3 2 5 2 2 3" xfId="11442"/>
    <cellStyle name="Normal 7 3 2 5 2 2 3 2" xfId="26486"/>
    <cellStyle name="Normal 7 3 2 5 2 2 3 3" xfId="41529"/>
    <cellStyle name="Normal 7 3 2 5 2 2 4" xfId="18965"/>
    <cellStyle name="Normal 7 3 2 5 2 2 5" xfId="34008"/>
    <cellStyle name="Normal 7 3 2 5 2 3" xfId="5803"/>
    <cellStyle name="Normal 7 3 2 5 2 3 2" xfId="13326"/>
    <cellStyle name="Normal 7 3 2 5 2 3 2 2" xfId="28370"/>
    <cellStyle name="Normal 7 3 2 5 2 3 2 3" xfId="43413"/>
    <cellStyle name="Normal 7 3 2 5 2 3 3" xfId="20849"/>
    <cellStyle name="Normal 7 3 2 5 2 3 4" xfId="35892"/>
    <cellStyle name="Normal 7 3 2 5 2 4" xfId="9577"/>
    <cellStyle name="Normal 7 3 2 5 2 4 2" xfId="24621"/>
    <cellStyle name="Normal 7 3 2 5 2 4 3" xfId="39664"/>
    <cellStyle name="Normal 7 3 2 5 2 5" xfId="17100"/>
    <cellStyle name="Normal 7 3 2 5 2 6" xfId="32143"/>
    <cellStyle name="Normal 7 3 2 5 3" xfId="2941"/>
    <cellStyle name="Normal 7 3 2 5 3 2" xfId="6736"/>
    <cellStyle name="Normal 7 3 2 5 3 2 2" xfId="14259"/>
    <cellStyle name="Normal 7 3 2 5 3 2 2 2" xfId="29303"/>
    <cellStyle name="Normal 7 3 2 5 3 2 2 3" xfId="44346"/>
    <cellStyle name="Normal 7 3 2 5 3 2 3" xfId="21782"/>
    <cellStyle name="Normal 7 3 2 5 3 2 4" xfId="36825"/>
    <cellStyle name="Normal 7 3 2 5 3 3" xfId="10510"/>
    <cellStyle name="Normal 7 3 2 5 3 3 2" xfId="25554"/>
    <cellStyle name="Normal 7 3 2 5 3 3 3" xfId="40597"/>
    <cellStyle name="Normal 7 3 2 5 3 4" xfId="18033"/>
    <cellStyle name="Normal 7 3 2 5 3 5" xfId="33076"/>
    <cellStyle name="Normal 7 3 2 5 4" xfId="4871"/>
    <cellStyle name="Normal 7 3 2 5 4 2" xfId="12394"/>
    <cellStyle name="Normal 7 3 2 5 4 2 2" xfId="27438"/>
    <cellStyle name="Normal 7 3 2 5 4 2 3" xfId="42481"/>
    <cellStyle name="Normal 7 3 2 5 4 3" xfId="19917"/>
    <cellStyle name="Normal 7 3 2 5 4 4" xfId="34960"/>
    <cellStyle name="Normal 7 3 2 5 5" xfId="8645"/>
    <cellStyle name="Normal 7 3 2 5 5 2" xfId="23689"/>
    <cellStyle name="Normal 7 3 2 5 5 3" xfId="38732"/>
    <cellStyle name="Normal 7 3 2 5 6" xfId="16168"/>
    <cellStyle name="Normal 7 3 2 5 7" xfId="31211"/>
    <cellStyle name="Normal 7 3 2 6" xfId="1550"/>
    <cellStyle name="Normal 7 3 2 6 2" xfId="3421"/>
    <cellStyle name="Normal 7 3 2 6 2 2" xfId="7216"/>
    <cellStyle name="Normal 7 3 2 6 2 2 2" xfId="14739"/>
    <cellStyle name="Normal 7 3 2 6 2 2 2 2" xfId="29783"/>
    <cellStyle name="Normal 7 3 2 6 2 2 2 3" xfId="44826"/>
    <cellStyle name="Normal 7 3 2 6 2 2 3" xfId="22262"/>
    <cellStyle name="Normal 7 3 2 6 2 2 4" xfId="37305"/>
    <cellStyle name="Normal 7 3 2 6 2 3" xfId="10990"/>
    <cellStyle name="Normal 7 3 2 6 2 3 2" xfId="26034"/>
    <cellStyle name="Normal 7 3 2 6 2 3 3" xfId="41077"/>
    <cellStyle name="Normal 7 3 2 6 2 4" xfId="18513"/>
    <cellStyle name="Normal 7 3 2 6 2 5" xfId="33556"/>
    <cellStyle name="Normal 7 3 2 6 3" xfId="5351"/>
    <cellStyle name="Normal 7 3 2 6 3 2" xfId="12874"/>
    <cellStyle name="Normal 7 3 2 6 3 2 2" xfId="27918"/>
    <cellStyle name="Normal 7 3 2 6 3 2 3" xfId="42961"/>
    <cellStyle name="Normal 7 3 2 6 3 3" xfId="20397"/>
    <cellStyle name="Normal 7 3 2 6 3 4" xfId="35440"/>
    <cellStyle name="Normal 7 3 2 6 4" xfId="9125"/>
    <cellStyle name="Normal 7 3 2 6 4 2" xfId="24169"/>
    <cellStyle name="Normal 7 3 2 6 4 3" xfId="39212"/>
    <cellStyle name="Normal 7 3 2 6 5" xfId="16648"/>
    <cellStyle name="Normal 7 3 2 6 6" xfId="31691"/>
    <cellStyle name="Normal 7 3 2 7" xfId="2488"/>
    <cellStyle name="Normal 7 3 2 7 2" xfId="6284"/>
    <cellStyle name="Normal 7 3 2 7 2 2" xfId="13807"/>
    <cellStyle name="Normal 7 3 2 7 2 2 2" xfId="28851"/>
    <cellStyle name="Normal 7 3 2 7 2 2 3" xfId="43894"/>
    <cellStyle name="Normal 7 3 2 7 2 3" xfId="21330"/>
    <cellStyle name="Normal 7 3 2 7 2 4" xfId="36373"/>
    <cellStyle name="Normal 7 3 2 7 3" xfId="10058"/>
    <cellStyle name="Normal 7 3 2 7 3 2" xfId="25102"/>
    <cellStyle name="Normal 7 3 2 7 3 3" xfId="40145"/>
    <cellStyle name="Normal 7 3 2 7 4" xfId="17581"/>
    <cellStyle name="Normal 7 3 2 7 5" xfId="32624"/>
    <cellStyle name="Normal 7 3 2 8" xfId="4416"/>
    <cellStyle name="Normal 7 3 2 8 2" xfId="11940"/>
    <cellStyle name="Normal 7 3 2 8 2 2" xfId="26984"/>
    <cellStyle name="Normal 7 3 2 8 2 3" xfId="42027"/>
    <cellStyle name="Normal 7 3 2 8 3" xfId="19463"/>
    <cellStyle name="Normal 7 3 2 8 4" xfId="34506"/>
    <cellStyle name="Normal 7 3 2 9" xfId="8179"/>
    <cellStyle name="Normal 7 3 2 9 2" xfId="23223"/>
    <cellStyle name="Normal 7 3 2 9 3" xfId="38266"/>
    <cellStyle name="Normal 7 3 3" xfId="531"/>
    <cellStyle name="Normal 7 3 3 2" xfId="532"/>
    <cellStyle name="Normal 7 3 3 2 2" xfId="1050"/>
    <cellStyle name="Normal 7 3 3 2 2 2" xfId="2009"/>
    <cellStyle name="Normal 7 3 3 2 2 2 2" xfId="3880"/>
    <cellStyle name="Normal 7 3 3 2 2 2 2 2" xfId="7675"/>
    <cellStyle name="Normal 7 3 3 2 2 2 2 2 2" xfId="15198"/>
    <cellStyle name="Normal 7 3 3 2 2 2 2 2 2 2" xfId="30242"/>
    <cellStyle name="Normal 7 3 3 2 2 2 2 2 2 3" xfId="45285"/>
    <cellStyle name="Normal 7 3 3 2 2 2 2 2 3" xfId="22721"/>
    <cellStyle name="Normal 7 3 3 2 2 2 2 2 4" xfId="37764"/>
    <cellStyle name="Normal 7 3 3 2 2 2 2 3" xfId="11449"/>
    <cellStyle name="Normal 7 3 3 2 2 2 2 3 2" xfId="26493"/>
    <cellStyle name="Normal 7 3 3 2 2 2 2 3 3" xfId="41536"/>
    <cellStyle name="Normal 7 3 3 2 2 2 2 4" xfId="18972"/>
    <cellStyle name="Normal 7 3 3 2 2 2 2 5" xfId="34015"/>
    <cellStyle name="Normal 7 3 3 2 2 2 3" xfId="5810"/>
    <cellStyle name="Normal 7 3 3 2 2 2 3 2" xfId="13333"/>
    <cellStyle name="Normal 7 3 3 2 2 2 3 2 2" xfId="28377"/>
    <cellStyle name="Normal 7 3 3 2 2 2 3 2 3" xfId="43420"/>
    <cellStyle name="Normal 7 3 3 2 2 2 3 3" xfId="20856"/>
    <cellStyle name="Normal 7 3 3 2 2 2 3 4" xfId="35899"/>
    <cellStyle name="Normal 7 3 3 2 2 2 4" xfId="9584"/>
    <cellStyle name="Normal 7 3 3 2 2 2 4 2" xfId="24628"/>
    <cellStyle name="Normal 7 3 3 2 2 2 4 3" xfId="39671"/>
    <cellStyle name="Normal 7 3 3 2 2 2 5" xfId="17107"/>
    <cellStyle name="Normal 7 3 3 2 2 2 6" xfId="32150"/>
    <cellStyle name="Normal 7 3 3 2 2 3" xfId="2948"/>
    <cellStyle name="Normal 7 3 3 2 2 3 2" xfId="6743"/>
    <cellStyle name="Normal 7 3 3 2 2 3 2 2" xfId="14266"/>
    <cellStyle name="Normal 7 3 3 2 2 3 2 2 2" xfId="29310"/>
    <cellStyle name="Normal 7 3 3 2 2 3 2 2 3" xfId="44353"/>
    <cellStyle name="Normal 7 3 3 2 2 3 2 3" xfId="21789"/>
    <cellStyle name="Normal 7 3 3 2 2 3 2 4" xfId="36832"/>
    <cellStyle name="Normal 7 3 3 2 2 3 3" xfId="10517"/>
    <cellStyle name="Normal 7 3 3 2 2 3 3 2" xfId="25561"/>
    <cellStyle name="Normal 7 3 3 2 2 3 3 3" xfId="40604"/>
    <cellStyle name="Normal 7 3 3 2 2 3 4" xfId="18040"/>
    <cellStyle name="Normal 7 3 3 2 2 3 5" xfId="33083"/>
    <cellStyle name="Normal 7 3 3 2 2 4" xfId="4878"/>
    <cellStyle name="Normal 7 3 3 2 2 4 2" xfId="12401"/>
    <cellStyle name="Normal 7 3 3 2 2 4 2 2" xfId="27445"/>
    <cellStyle name="Normal 7 3 3 2 2 4 2 3" xfId="42488"/>
    <cellStyle name="Normal 7 3 3 2 2 4 3" xfId="19924"/>
    <cellStyle name="Normal 7 3 3 2 2 4 4" xfId="34967"/>
    <cellStyle name="Normal 7 3 3 2 2 5" xfId="8652"/>
    <cellStyle name="Normal 7 3 3 2 2 5 2" xfId="23696"/>
    <cellStyle name="Normal 7 3 3 2 2 5 3" xfId="38739"/>
    <cellStyle name="Normal 7 3 3 2 2 6" xfId="16175"/>
    <cellStyle name="Normal 7 3 3 2 2 7" xfId="31218"/>
    <cellStyle name="Normal 7 3 3 2 3" xfId="1557"/>
    <cellStyle name="Normal 7 3 3 2 3 2" xfId="3428"/>
    <cellStyle name="Normal 7 3 3 2 3 2 2" xfId="7223"/>
    <cellStyle name="Normal 7 3 3 2 3 2 2 2" xfId="14746"/>
    <cellStyle name="Normal 7 3 3 2 3 2 2 2 2" xfId="29790"/>
    <cellStyle name="Normal 7 3 3 2 3 2 2 2 3" xfId="44833"/>
    <cellStyle name="Normal 7 3 3 2 3 2 2 3" xfId="22269"/>
    <cellStyle name="Normal 7 3 3 2 3 2 2 4" xfId="37312"/>
    <cellStyle name="Normal 7 3 3 2 3 2 3" xfId="10997"/>
    <cellStyle name="Normal 7 3 3 2 3 2 3 2" xfId="26041"/>
    <cellStyle name="Normal 7 3 3 2 3 2 3 3" xfId="41084"/>
    <cellStyle name="Normal 7 3 3 2 3 2 4" xfId="18520"/>
    <cellStyle name="Normal 7 3 3 2 3 2 5" xfId="33563"/>
    <cellStyle name="Normal 7 3 3 2 3 3" xfId="5358"/>
    <cellStyle name="Normal 7 3 3 2 3 3 2" xfId="12881"/>
    <cellStyle name="Normal 7 3 3 2 3 3 2 2" xfId="27925"/>
    <cellStyle name="Normal 7 3 3 2 3 3 2 3" xfId="42968"/>
    <cellStyle name="Normal 7 3 3 2 3 3 3" xfId="20404"/>
    <cellStyle name="Normal 7 3 3 2 3 3 4" xfId="35447"/>
    <cellStyle name="Normal 7 3 3 2 3 4" xfId="9132"/>
    <cellStyle name="Normal 7 3 3 2 3 4 2" xfId="24176"/>
    <cellStyle name="Normal 7 3 3 2 3 4 3" xfId="39219"/>
    <cellStyle name="Normal 7 3 3 2 3 5" xfId="16655"/>
    <cellStyle name="Normal 7 3 3 2 3 6" xfId="31698"/>
    <cellStyle name="Normal 7 3 3 2 4" xfId="2495"/>
    <cellStyle name="Normal 7 3 3 2 4 2" xfId="6291"/>
    <cellStyle name="Normal 7 3 3 2 4 2 2" xfId="13814"/>
    <cellStyle name="Normal 7 3 3 2 4 2 2 2" xfId="28858"/>
    <cellStyle name="Normal 7 3 3 2 4 2 2 3" xfId="43901"/>
    <cellStyle name="Normal 7 3 3 2 4 2 3" xfId="21337"/>
    <cellStyle name="Normal 7 3 3 2 4 2 4" xfId="36380"/>
    <cellStyle name="Normal 7 3 3 2 4 3" xfId="10065"/>
    <cellStyle name="Normal 7 3 3 2 4 3 2" xfId="25109"/>
    <cellStyle name="Normal 7 3 3 2 4 3 3" xfId="40152"/>
    <cellStyle name="Normal 7 3 3 2 4 4" xfId="17588"/>
    <cellStyle name="Normal 7 3 3 2 4 5" xfId="32631"/>
    <cellStyle name="Normal 7 3 3 2 5" xfId="4423"/>
    <cellStyle name="Normal 7 3 3 2 5 2" xfId="11947"/>
    <cellStyle name="Normal 7 3 3 2 5 2 2" xfId="26991"/>
    <cellStyle name="Normal 7 3 3 2 5 2 3" xfId="42034"/>
    <cellStyle name="Normal 7 3 3 2 5 3" xfId="19470"/>
    <cellStyle name="Normal 7 3 3 2 5 4" xfId="34513"/>
    <cellStyle name="Normal 7 3 3 2 6" xfId="8186"/>
    <cellStyle name="Normal 7 3 3 2 6 2" xfId="23230"/>
    <cellStyle name="Normal 7 3 3 2 6 3" xfId="38273"/>
    <cellStyle name="Normal 7 3 3 2 7" xfId="15709"/>
    <cellStyle name="Normal 7 3 3 2 8" xfId="30752"/>
    <cellStyle name="Normal 7 3 3 3" xfId="1049"/>
    <cellStyle name="Normal 7 3 3 3 2" xfId="2008"/>
    <cellStyle name="Normal 7 3 3 3 2 2" xfId="3879"/>
    <cellStyle name="Normal 7 3 3 3 2 2 2" xfId="7674"/>
    <cellStyle name="Normal 7 3 3 3 2 2 2 2" xfId="15197"/>
    <cellStyle name="Normal 7 3 3 3 2 2 2 2 2" xfId="30241"/>
    <cellStyle name="Normal 7 3 3 3 2 2 2 2 3" xfId="45284"/>
    <cellStyle name="Normal 7 3 3 3 2 2 2 3" xfId="22720"/>
    <cellStyle name="Normal 7 3 3 3 2 2 2 4" xfId="37763"/>
    <cellStyle name="Normal 7 3 3 3 2 2 3" xfId="11448"/>
    <cellStyle name="Normal 7 3 3 3 2 2 3 2" xfId="26492"/>
    <cellStyle name="Normal 7 3 3 3 2 2 3 3" xfId="41535"/>
    <cellStyle name="Normal 7 3 3 3 2 2 4" xfId="18971"/>
    <cellStyle name="Normal 7 3 3 3 2 2 5" xfId="34014"/>
    <cellStyle name="Normal 7 3 3 3 2 3" xfId="5809"/>
    <cellStyle name="Normal 7 3 3 3 2 3 2" xfId="13332"/>
    <cellStyle name="Normal 7 3 3 3 2 3 2 2" xfId="28376"/>
    <cellStyle name="Normal 7 3 3 3 2 3 2 3" xfId="43419"/>
    <cellStyle name="Normal 7 3 3 3 2 3 3" xfId="20855"/>
    <cellStyle name="Normal 7 3 3 3 2 3 4" xfId="35898"/>
    <cellStyle name="Normal 7 3 3 3 2 4" xfId="9583"/>
    <cellStyle name="Normal 7 3 3 3 2 4 2" xfId="24627"/>
    <cellStyle name="Normal 7 3 3 3 2 4 3" xfId="39670"/>
    <cellStyle name="Normal 7 3 3 3 2 5" xfId="17106"/>
    <cellStyle name="Normal 7 3 3 3 2 6" xfId="32149"/>
    <cellStyle name="Normal 7 3 3 3 3" xfId="2947"/>
    <cellStyle name="Normal 7 3 3 3 3 2" xfId="6742"/>
    <cellStyle name="Normal 7 3 3 3 3 2 2" xfId="14265"/>
    <cellStyle name="Normal 7 3 3 3 3 2 2 2" xfId="29309"/>
    <cellStyle name="Normal 7 3 3 3 3 2 2 3" xfId="44352"/>
    <cellStyle name="Normal 7 3 3 3 3 2 3" xfId="21788"/>
    <cellStyle name="Normal 7 3 3 3 3 2 4" xfId="36831"/>
    <cellStyle name="Normal 7 3 3 3 3 3" xfId="10516"/>
    <cellStyle name="Normal 7 3 3 3 3 3 2" xfId="25560"/>
    <cellStyle name="Normal 7 3 3 3 3 3 3" xfId="40603"/>
    <cellStyle name="Normal 7 3 3 3 3 4" xfId="18039"/>
    <cellStyle name="Normal 7 3 3 3 3 5" xfId="33082"/>
    <cellStyle name="Normal 7 3 3 3 4" xfId="4877"/>
    <cellStyle name="Normal 7 3 3 3 4 2" xfId="12400"/>
    <cellStyle name="Normal 7 3 3 3 4 2 2" xfId="27444"/>
    <cellStyle name="Normal 7 3 3 3 4 2 3" xfId="42487"/>
    <cellStyle name="Normal 7 3 3 3 4 3" xfId="19923"/>
    <cellStyle name="Normal 7 3 3 3 4 4" xfId="34966"/>
    <cellStyle name="Normal 7 3 3 3 5" xfId="8651"/>
    <cellStyle name="Normal 7 3 3 3 5 2" xfId="23695"/>
    <cellStyle name="Normal 7 3 3 3 5 3" xfId="38738"/>
    <cellStyle name="Normal 7 3 3 3 6" xfId="16174"/>
    <cellStyle name="Normal 7 3 3 3 7" xfId="31217"/>
    <cellStyle name="Normal 7 3 3 4" xfId="1556"/>
    <cellStyle name="Normal 7 3 3 4 2" xfId="3427"/>
    <cellStyle name="Normal 7 3 3 4 2 2" xfId="7222"/>
    <cellStyle name="Normal 7 3 3 4 2 2 2" xfId="14745"/>
    <cellStyle name="Normal 7 3 3 4 2 2 2 2" xfId="29789"/>
    <cellStyle name="Normal 7 3 3 4 2 2 2 3" xfId="44832"/>
    <cellStyle name="Normal 7 3 3 4 2 2 3" xfId="22268"/>
    <cellStyle name="Normal 7 3 3 4 2 2 4" xfId="37311"/>
    <cellStyle name="Normal 7 3 3 4 2 3" xfId="10996"/>
    <cellStyle name="Normal 7 3 3 4 2 3 2" xfId="26040"/>
    <cellStyle name="Normal 7 3 3 4 2 3 3" xfId="41083"/>
    <cellStyle name="Normal 7 3 3 4 2 4" xfId="18519"/>
    <cellStyle name="Normal 7 3 3 4 2 5" xfId="33562"/>
    <cellStyle name="Normal 7 3 3 4 3" xfId="5357"/>
    <cellStyle name="Normal 7 3 3 4 3 2" xfId="12880"/>
    <cellStyle name="Normal 7 3 3 4 3 2 2" xfId="27924"/>
    <cellStyle name="Normal 7 3 3 4 3 2 3" xfId="42967"/>
    <cellStyle name="Normal 7 3 3 4 3 3" xfId="20403"/>
    <cellStyle name="Normal 7 3 3 4 3 4" xfId="35446"/>
    <cellStyle name="Normal 7 3 3 4 4" xfId="9131"/>
    <cellStyle name="Normal 7 3 3 4 4 2" xfId="24175"/>
    <cellStyle name="Normal 7 3 3 4 4 3" xfId="39218"/>
    <cellStyle name="Normal 7 3 3 4 5" xfId="16654"/>
    <cellStyle name="Normal 7 3 3 4 6" xfId="31697"/>
    <cellStyle name="Normal 7 3 3 5" xfId="2494"/>
    <cellStyle name="Normal 7 3 3 5 2" xfId="6290"/>
    <cellStyle name="Normal 7 3 3 5 2 2" xfId="13813"/>
    <cellStyle name="Normal 7 3 3 5 2 2 2" xfId="28857"/>
    <cellStyle name="Normal 7 3 3 5 2 2 3" xfId="43900"/>
    <cellStyle name="Normal 7 3 3 5 2 3" xfId="21336"/>
    <cellStyle name="Normal 7 3 3 5 2 4" xfId="36379"/>
    <cellStyle name="Normal 7 3 3 5 3" xfId="10064"/>
    <cellStyle name="Normal 7 3 3 5 3 2" xfId="25108"/>
    <cellStyle name="Normal 7 3 3 5 3 3" xfId="40151"/>
    <cellStyle name="Normal 7 3 3 5 4" xfId="17587"/>
    <cellStyle name="Normal 7 3 3 5 5" xfId="32630"/>
    <cellStyle name="Normal 7 3 3 6" xfId="4422"/>
    <cellStyle name="Normal 7 3 3 6 2" xfId="11946"/>
    <cellStyle name="Normal 7 3 3 6 2 2" xfId="26990"/>
    <cellStyle name="Normal 7 3 3 6 2 3" xfId="42033"/>
    <cellStyle name="Normal 7 3 3 6 3" xfId="19469"/>
    <cellStyle name="Normal 7 3 3 6 4" xfId="34512"/>
    <cellStyle name="Normal 7 3 3 7" xfId="8185"/>
    <cellStyle name="Normal 7 3 3 7 2" xfId="23229"/>
    <cellStyle name="Normal 7 3 3 7 3" xfId="38272"/>
    <cellStyle name="Normal 7 3 3 8" xfId="15708"/>
    <cellStyle name="Normal 7 3 3 9" xfId="30751"/>
    <cellStyle name="Normal 7 3 4" xfId="533"/>
    <cellStyle name="Normal 7 3 4 2" xfId="534"/>
    <cellStyle name="Normal 7 3 4 2 2" xfId="1052"/>
    <cellStyle name="Normal 7 3 4 2 2 2" xfId="2011"/>
    <cellStyle name="Normal 7 3 4 2 2 2 2" xfId="3882"/>
    <cellStyle name="Normal 7 3 4 2 2 2 2 2" xfId="7677"/>
    <cellStyle name="Normal 7 3 4 2 2 2 2 2 2" xfId="15200"/>
    <cellStyle name="Normal 7 3 4 2 2 2 2 2 2 2" xfId="30244"/>
    <cellStyle name="Normal 7 3 4 2 2 2 2 2 2 3" xfId="45287"/>
    <cellStyle name="Normal 7 3 4 2 2 2 2 2 3" xfId="22723"/>
    <cellStyle name="Normal 7 3 4 2 2 2 2 2 4" xfId="37766"/>
    <cellStyle name="Normal 7 3 4 2 2 2 2 3" xfId="11451"/>
    <cellStyle name="Normal 7 3 4 2 2 2 2 3 2" xfId="26495"/>
    <cellStyle name="Normal 7 3 4 2 2 2 2 3 3" xfId="41538"/>
    <cellStyle name="Normal 7 3 4 2 2 2 2 4" xfId="18974"/>
    <cellStyle name="Normal 7 3 4 2 2 2 2 5" xfId="34017"/>
    <cellStyle name="Normal 7 3 4 2 2 2 3" xfId="5812"/>
    <cellStyle name="Normal 7 3 4 2 2 2 3 2" xfId="13335"/>
    <cellStyle name="Normal 7 3 4 2 2 2 3 2 2" xfId="28379"/>
    <cellStyle name="Normal 7 3 4 2 2 2 3 2 3" xfId="43422"/>
    <cellStyle name="Normal 7 3 4 2 2 2 3 3" xfId="20858"/>
    <cellStyle name="Normal 7 3 4 2 2 2 3 4" xfId="35901"/>
    <cellStyle name="Normal 7 3 4 2 2 2 4" xfId="9586"/>
    <cellStyle name="Normal 7 3 4 2 2 2 4 2" xfId="24630"/>
    <cellStyle name="Normal 7 3 4 2 2 2 4 3" xfId="39673"/>
    <cellStyle name="Normal 7 3 4 2 2 2 5" xfId="17109"/>
    <cellStyle name="Normal 7 3 4 2 2 2 6" xfId="32152"/>
    <cellStyle name="Normal 7 3 4 2 2 3" xfId="2950"/>
    <cellStyle name="Normal 7 3 4 2 2 3 2" xfId="6745"/>
    <cellStyle name="Normal 7 3 4 2 2 3 2 2" xfId="14268"/>
    <cellStyle name="Normal 7 3 4 2 2 3 2 2 2" xfId="29312"/>
    <cellStyle name="Normal 7 3 4 2 2 3 2 2 3" xfId="44355"/>
    <cellStyle name="Normal 7 3 4 2 2 3 2 3" xfId="21791"/>
    <cellStyle name="Normal 7 3 4 2 2 3 2 4" xfId="36834"/>
    <cellStyle name="Normal 7 3 4 2 2 3 3" xfId="10519"/>
    <cellStyle name="Normal 7 3 4 2 2 3 3 2" xfId="25563"/>
    <cellStyle name="Normal 7 3 4 2 2 3 3 3" xfId="40606"/>
    <cellStyle name="Normal 7 3 4 2 2 3 4" xfId="18042"/>
    <cellStyle name="Normal 7 3 4 2 2 3 5" xfId="33085"/>
    <cellStyle name="Normal 7 3 4 2 2 4" xfId="4880"/>
    <cellStyle name="Normal 7 3 4 2 2 4 2" xfId="12403"/>
    <cellStyle name="Normal 7 3 4 2 2 4 2 2" xfId="27447"/>
    <cellStyle name="Normal 7 3 4 2 2 4 2 3" xfId="42490"/>
    <cellStyle name="Normal 7 3 4 2 2 4 3" xfId="19926"/>
    <cellStyle name="Normal 7 3 4 2 2 4 4" xfId="34969"/>
    <cellStyle name="Normal 7 3 4 2 2 5" xfId="8654"/>
    <cellStyle name="Normal 7 3 4 2 2 5 2" xfId="23698"/>
    <cellStyle name="Normal 7 3 4 2 2 5 3" xfId="38741"/>
    <cellStyle name="Normal 7 3 4 2 2 6" xfId="16177"/>
    <cellStyle name="Normal 7 3 4 2 2 7" xfId="31220"/>
    <cellStyle name="Normal 7 3 4 2 3" xfId="1559"/>
    <cellStyle name="Normal 7 3 4 2 3 2" xfId="3430"/>
    <cellStyle name="Normal 7 3 4 2 3 2 2" xfId="7225"/>
    <cellStyle name="Normal 7 3 4 2 3 2 2 2" xfId="14748"/>
    <cellStyle name="Normal 7 3 4 2 3 2 2 2 2" xfId="29792"/>
    <cellStyle name="Normal 7 3 4 2 3 2 2 2 3" xfId="44835"/>
    <cellStyle name="Normal 7 3 4 2 3 2 2 3" xfId="22271"/>
    <cellStyle name="Normal 7 3 4 2 3 2 2 4" xfId="37314"/>
    <cellStyle name="Normal 7 3 4 2 3 2 3" xfId="10999"/>
    <cellStyle name="Normal 7 3 4 2 3 2 3 2" xfId="26043"/>
    <cellStyle name="Normal 7 3 4 2 3 2 3 3" xfId="41086"/>
    <cellStyle name="Normal 7 3 4 2 3 2 4" xfId="18522"/>
    <cellStyle name="Normal 7 3 4 2 3 2 5" xfId="33565"/>
    <cellStyle name="Normal 7 3 4 2 3 3" xfId="5360"/>
    <cellStyle name="Normal 7 3 4 2 3 3 2" xfId="12883"/>
    <cellStyle name="Normal 7 3 4 2 3 3 2 2" xfId="27927"/>
    <cellStyle name="Normal 7 3 4 2 3 3 2 3" xfId="42970"/>
    <cellStyle name="Normal 7 3 4 2 3 3 3" xfId="20406"/>
    <cellStyle name="Normal 7 3 4 2 3 3 4" xfId="35449"/>
    <cellStyle name="Normal 7 3 4 2 3 4" xfId="9134"/>
    <cellStyle name="Normal 7 3 4 2 3 4 2" xfId="24178"/>
    <cellStyle name="Normal 7 3 4 2 3 4 3" xfId="39221"/>
    <cellStyle name="Normal 7 3 4 2 3 5" xfId="16657"/>
    <cellStyle name="Normal 7 3 4 2 3 6" xfId="31700"/>
    <cellStyle name="Normal 7 3 4 2 4" xfId="2497"/>
    <cellStyle name="Normal 7 3 4 2 4 2" xfId="6293"/>
    <cellStyle name="Normal 7 3 4 2 4 2 2" xfId="13816"/>
    <cellStyle name="Normal 7 3 4 2 4 2 2 2" xfId="28860"/>
    <cellStyle name="Normal 7 3 4 2 4 2 2 3" xfId="43903"/>
    <cellStyle name="Normal 7 3 4 2 4 2 3" xfId="21339"/>
    <cellStyle name="Normal 7 3 4 2 4 2 4" xfId="36382"/>
    <cellStyle name="Normal 7 3 4 2 4 3" xfId="10067"/>
    <cellStyle name="Normal 7 3 4 2 4 3 2" xfId="25111"/>
    <cellStyle name="Normal 7 3 4 2 4 3 3" xfId="40154"/>
    <cellStyle name="Normal 7 3 4 2 4 4" xfId="17590"/>
    <cellStyle name="Normal 7 3 4 2 4 5" xfId="32633"/>
    <cellStyle name="Normal 7 3 4 2 5" xfId="4425"/>
    <cellStyle name="Normal 7 3 4 2 5 2" xfId="11949"/>
    <cellStyle name="Normal 7 3 4 2 5 2 2" xfId="26993"/>
    <cellStyle name="Normal 7 3 4 2 5 2 3" xfId="42036"/>
    <cellStyle name="Normal 7 3 4 2 5 3" xfId="19472"/>
    <cellStyle name="Normal 7 3 4 2 5 4" xfId="34515"/>
    <cellStyle name="Normal 7 3 4 2 6" xfId="8188"/>
    <cellStyle name="Normal 7 3 4 2 6 2" xfId="23232"/>
    <cellStyle name="Normal 7 3 4 2 6 3" xfId="38275"/>
    <cellStyle name="Normal 7 3 4 2 7" xfId="15711"/>
    <cellStyle name="Normal 7 3 4 2 8" xfId="30754"/>
    <cellStyle name="Normal 7 3 4 3" xfId="1051"/>
    <cellStyle name="Normal 7 3 4 3 2" xfId="2010"/>
    <cellStyle name="Normal 7 3 4 3 2 2" xfId="3881"/>
    <cellStyle name="Normal 7 3 4 3 2 2 2" xfId="7676"/>
    <cellStyle name="Normal 7 3 4 3 2 2 2 2" xfId="15199"/>
    <cellStyle name="Normal 7 3 4 3 2 2 2 2 2" xfId="30243"/>
    <cellStyle name="Normal 7 3 4 3 2 2 2 2 3" xfId="45286"/>
    <cellStyle name="Normal 7 3 4 3 2 2 2 3" xfId="22722"/>
    <cellStyle name="Normal 7 3 4 3 2 2 2 4" xfId="37765"/>
    <cellStyle name="Normal 7 3 4 3 2 2 3" xfId="11450"/>
    <cellStyle name="Normal 7 3 4 3 2 2 3 2" xfId="26494"/>
    <cellStyle name="Normal 7 3 4 3 2 2 3 3" xfId="41537"/>
    <cellStyle name="Normal 7 3 4 3 2 2 4" xfId="18973"/>
    <cellStyle name="Normal 7 3 4 3 2 2 5" xfId="34016"/>
    <cellStyle name="Normal 7 3 4 3 2 3" xfId="5811"/>
    <cellStyle name="Normal 7 3 4 3 2 3 2" xfId="13334"/>
    <cellStyle name="Normal 7 3 4 3 2 3 2 2" xfId="28378"/>
    <cellStyle name="Normal 7 3 4 3 2 3 2 3" xfId="43421"/>
    <cellStyle name="Normal 7 3 4 3 2 3 3" xfId="20857"/>
    <cellStyle name="Normal 7 3 4 3 2 3 4" xfId="35900"/>
    <cellStyle name="Normal 7 3 4 3 2 4" xfId="9585"/>
    <cellStyle name="Normal 7 3 4 3 2 4 2" xfId="24629"/>
    <cellStyle name="Normal 7 3 4 3 2 4 3" xfId="39672"/>
    <cellStyle name="Normal 7 3 4 3 2 5" xfId="17108"/>
    <cellStyle name="Normal 7 3 4 3 2 6" xfId="32151"/>
    <cellStyle name="Normal 7 3 4 3 3" xfId="2949"/>
    <cellStyle name="Normal 7 3 4 3 3 2" xfId="6744"/>
    <cellStyle name="Normal 7 3 4 3 3 2 2" xfId="14267"/>
    <cellStyle name="Normal 7 3 4 3 3 2 2 2" xfId="29311"/>
    <cellStyle name="Normal 7 3 4 3 3 2 2 3" xfId="44354"/>
    <cellStyle name="Normal 7 3 4 3 3 2 3" xfId="21790"/>
    <cellStyle name="Normal 7 3 4 3 3 2 4" xfId="36833"/>
    <cellStyle name="Normal 7 3 4 3 3 3" xfId="10518"/>
    <cellStyle name="Normal 7 3 4 3 3 3 2" xfId="25562"/>
    <cellStyle name="Normal 7 3 4 3 3 3 3" xfId="40605"/>
    <cellStyle name="Normal 7 3 4 3 3 4" xfId="18041"/>
    <cellStyle name="Normal 7 3 4 3 3 5" xfId="33084"/>
    <cellStyle name="Normal 7 3 4 3 4" xfId="4879"/>
    <cellStyle name="Normal 7 3 4 3 4 2" xfId="12402"/>
    <cellStyle name="Normal 7 3 4 3 4 2 2" xfId="27446"/>
    <cellStyle name="Normal 7 3 4 3 4 2 3" xfId="42489"/>
    <cellStyle name="Normal 7 3 4 3 4 3" xfId="19925"/>
    <cellStyle name="Normal 7 3 4 3 4 4" xfId="34968"/>
    <cellStyle name="Normal 7 3 4 3 5" xfId="8653"/>
    <cellStyle name="Normal 7 3 4 3 5 2" xfId="23697"/>
    <cellStyle name="Normal 7 3 4 3 5 3" xfId="38740"/>
    <cellStyle name="Normal 7 3 4 3 6" xfId="16176"/>
    <cellStyle name="Normal 7 3 4 3 7" xfId="31219"/>
    <cellStyle name="Normal 7 3 4 4" xfId="1558"/>
    <cellStyle name="Normal 7 3 4 4 2" xfId="3429"/>
    <cellStyle name="Normal 7 3 4 4 2 2" xfId="7224"/>
    <cellStyle name="Normal 7 3 4 4 2 2 2" xfId="14747"/>
    <cellStyle name="Normal 7 3 4 4 2 2 2 2" xfId="29791"/>
    <cellStyle name="Normal 7 3 4 4 2 2 2 3" xfId="44834"/>
    <cellStyle name="Normal 7 3 4 4 2 2 3" xfId="22270"/>
    <cellStyle name="Normal 7 3 4 4 2 2 4" xfId="37313"/>
    <cellStyle name="Normal 7 3 4 4 2 3" xfId="10998"/>
    <cellStyle name="Normal 7 3 4 4 2 3 2" xfId="26042"/>
    <cellStyle name="Normal 7 3 4 4 2 3 3" xfId="41085"/>
    <cellStyle name="Normal 7 3 4 4 2 4" xfId="18521"/>
    <cellStyle name="Normal 7 3 4 4 2 5" xfId="33564"/>
    <cellStyle name="Normal 7 3 4 4 3" xfId="5359"/>
    <cellStyle name="Normal 7 3 4 4 3 2" xfId="12882"/>
    <cellStyle name="Normal 7 3 4 4 3 2 2" xfId="27926"/>
    <cellStyle name="Normal 7 3 4 4 3 2 3" xfId="42969"/>
    <cellStyle name="Normal 7 3 4 4 3 3" xfId="20405"/>
    <cellStyle name="Normal 7 3 4 4 3 4" xfId="35448"/>
    <cellStyle name="Normal 7 3 4 4 4" xfId="9133"/>
    <cellStyle name="Normal 7 3 4 4 4 2" xfId="24177"/>
    <cellStyle name="Normal 7 3 4 4 4 3" xfId="39220"/>
    <cellStyle name="Normal 7 3 4 4 5" xfId="16656"/>
    <cellStyle name="Normal 7 3 4 4 6" xfId="31699"/>
    <cellStyle name="Normal 7 3 4 5" xfId="2496"/>
    <cellStyle name="Normal 7 3 4 5 2" xfId="6292"/>
    <cellStyle name="Normal 7 3 4 5 2 2" xfId="13815"/>
    <cellStyle name="Normal 7 3 4 5 2 2 2" xfId="28859"/>
    <cellStyle name="Normal 7 3 4 5 2 2 3" xfId="43902"/>
    <cellStyle name="Normal 7 3 4 5 2 3" xfId="21338"/>
    <cellStyle name="Normal 7 3 4 5 2 4" xfId="36381"/>
    <cellStyle name="Normal 7 3 4 5 3" xfId="10066"/>
    <cellStyle name="Normal 7 3 4 5 3 2" xfId="25110"/>
    <cellStyle name="Normal 7 3 4 5 3 3" xfId="40153"/>
    <cellStyle name="Normal 7 3 4 5 4" xfId="17589"/>
    <cellStyle name="Normal 7 3 4 5 5" xfId="32632"/>
    <cellStyle name="Normal 7 3 4 6" xfId="4424"/>
    <cellStyle name="Normal 7 3 4 6 2" xfId="11948"/>
    <cellStyle name="Normal 7 3 4 6 2 2" xfId="26992"/>
    <cellStyle name="Normal 7 3 4 6 2 3" xfId="42035"/>
    <cellStyle name="Normal 7 3 4 6 3" xfId="19471"/>
    <cellStyle name="Normal 7 3 4 6 4" xfId="34514"/>
    <cellStyle name="Normal 7 3 4 7" xfId="8187"/>
    <cellStyle name="Normal 7 3 4 7 2" xfId="23231"/>
    <cellStyle name="Normal 7 3 4 7 3" xfId="38274"/>
    <cellStyle name="Normal 7 3 4 8" xfId="15710"/>
    <cellStyle name="Normal 7 3 4 9" xfId="30753"/>
    <cellStyle name="Normal 7 3 5" xfId="535"/>
    <cellStyle name="Normal 7 3 5 2" xfId="1053"/>
    <cellStyle name="Normal 7 3 5 2 2" xfId="2012"/>
    <cellStyle name="Normal 7 3 5 2 2 2" xfId="3883"/>
    <cellStyle name="Normal 7 3 5 2 2 2 2" xfId="7678"/>
    <cellStyle name="Normal 7 3 5 2 2 2 2 2" xfId="15201"/>
    <cellStyle name="Normal 7 3 5 2 2 2 2 2 2" xfId="30245"/>
    <cellStyle name="Normal 7 3 5 2 2 2 2 2 3" xfId="45288"/>
    <cellStyle name="Normal 7 3 5 2 2 2 2 3" xfId="22724"/>
    <cellStyle name="Normal 7 3 5 2 2 2 2 4" xfId="37767"/>
    <cellStyle name="Normal 7 3 5 2 2 2 3" xfId="11452"/>
    <cellStyle name="Normal 7 3 5 2 2 2 3 2" xfId="26496"/>
    <cellStyle name="Normal 7 3 5 2 2 2 3 3" xfId="41539"/>
    <cellStyle name="Normal 7 3 5 2 2 2 4" xfId="18975"/>
    <cellStyle name="Normal 7 3 5 2 2 2 5" xfId="34018"/>
    <cellStyle name="Normal 7 3 5 2 2 3" xfId="5813"/>
    <cellStyle name="Normal 7 3 5 2 2 3 2" xfId="13336"/>
    <cellStyle name="Normal 7 3 5 2 2 3 2 2" xfId="28380"/>
    <cellStyle name="Normal 7 3 5 2 2 3 2 3" xfId="43423"/>
    <cellStyle name="Normal 7 3 5 2 2 3 3" xfId="20859"/>
    <cellStyle name="Normal 7 3 5 2 2 3 4" xfId="35902"/>
    <cellStyle name="Normal 7 3 5 2 2 4" xfId="9587"/>
    <cellStyle name="Normal 7 3 5 2 2 4 2" xfId="24631"/>
    <cellStyle name="Normal 7 3 5 2 2 4 3" xfId="39674"/>
    <cellStyle name="Normal 7 3 5 2 2 5" xfId="17110"/>
    <cellStyle name="Normal 7 3 5 2 2 6" xfId="32153"/>
    <cellStyle name="Normal 7 3 5 2 3" xfId="2951"/>
    <cellStyle name="Normal 7 3 5 2 3 2" xfId="6746"/>
    <cellStyle name="Normal 7 3 5 2 3 2 2" xfId="14269"/>
    <cellStyle name="Normal 7 3 5 2 3 2 2 2" xfId="29313"/>
    <cellStyle name="Normal 7 3 5 2 3 2 2 3" xfId="44356"/>
    <cellStyle name="Normal 7 3 5 2 3 2 3" xfId="21792"/>
    <cellStyle name="Normal 7 3 5 2 3 2 4" xfId="36835"/>
    <cellStyle name="Normal 7 3 5 2 3 3" xfId="10520"/>
    <cellStyle name="Normal 7 3 5 2 3 3 2" xfId="25564"/>
    <cellStyle name="Normal 7 3 5 2 3 3 3" xfId="40607"/>
    <cellStyle name="Normal 7 3 5 2 3 4" xfId="18043"/>
    <cellStyle name="Normal 7 3 5 2 3 5" xfId="33086"/>
    <cellStyle name="Normal 7 3 5 2 4" xfId="4881"/>
    <cellStyle name="Normal 7 3 5 2 4 2" xfId="12404"/>
    <cellStyle name="Normal 7 3 5 2 4 2 2" xfId="27448"/>
    <cellStyle name="Normal 7 3 5 2 4 2 3" xfId="42491"/>
    <cellStyle name="Normal 7 3 5 2 4 3" xfId="19927"/>
    <cellStyle name="Normal 7 3 5 2 4 4" xfId="34970"/>
    <cellStyle name="Normal 7 3 5 2 5" xfId="8655"/>
    <cellStyle name="Normal 7 3 5 2 5 2" xfId="23699"/>
    <cellStyle name="Normal 7 3 5 2 5 3" xfId="38742"/>
    <cellStyle name="Normal 7 3 5 2 6" xfId="16178"/>
    <cellStyle name="Normal 7 3 5 2 7" xfId="31221"/>
    <cellStyle name="Normal 7 3 5 3" xfId="1560"/>
    <cellStyle name="Normal 7 3 5 3 2" xfId="3431"/>
    <cellStyle name="Normal 7 3 5 3 2 2" xfId="7226"/>
    <cellStyle name="Normal 7 3 5 3 2 2 2" xfId="14749"/>
    <cellStyle name="Normal 7 3 5 3 2 2 2 2" xfId="29793"/>
    <cellStyle name="Normal 7 3 5 3 2 2 2 3" xfId="44836"/>
    <cellStyle name="Normal 7 3 5 3 2 2 3" xfId="22272"/>
    <cellStyle name="Normal 7 3 5 3 2 2 4" xfId="37315"/>
    <cellStyle name="Normal 7 3 5 3 2 3" xfId="11000"/>
    <cellStyle name="Normal 7 3 5 3 2 3 2" xfId="26044"/>
    <cellStyle name="Normal 7 3 5 3 2 3 3" xfId="41087"/>
    <cellStyle name="Normal 7 3 5 3 2 4" xfId="18523"/>
    <cellStyle name="Normal 7 3 5 3 2 5" xfId="33566"/>
    <cellStyle name="Normal 7 3 5 3 3" xfId="5361"/>
    <cellStyle name="Normal 7 3 5 3 3 2" xfId="12884"/>
    <cellStyle name="Normal 7 3 5 3 3 2 2" xfId="27928"/>
    <cellStyle name="Normal 7 3 5 3 3 2 3" xfId="42971"/>
    <cellStyle name="Normal 7 3 5 3 3 3" xfId="20407"/>
    <cellStyle name="Normal 7 3 5 3 3 4" xfId="35450"/>
    <cellStyle name="Normal 7 3 5 3 4" xfId="9135"/>
    <cellStyle name="Normal 7 3 5 3 4 2" xfId="24179"/>
    <cellStyle name="Normal 7 3 5 3 4 3" xfId="39222"/>
    <cellStyle name="Normal 7 3 5 3 5" xfId="16658"/>
    <cellStyle name="Normal 7 3 5 3 6" xfId="31701"/>
    <cellStyle name="Normal 7 3 5 4" xfId="2498"/>
    <cellStyle name="Normal 7 3 5 4 2" xfId="6294"/>
    <cellStyle name="Normal 7 3 5 4 2 2" xfId="13817"/>
    <cellStyle name="Normal 7 3 5 4 2 2 2" xfId="28861"/>
    <cellStyle name="Normal 7 3 5 4 2 2 3" xfId="43904"/>
    <cellStyle name="Normal 7 3 5 4 2 3" xfId="21340"/>
    <cellStyle name="Normal 7 3 5 4 2 4" xfId="36383"/>
    <cellStyle name="Normal 7 3 5 4 3" xfId="10068"/>
    <cellStyle name="Normal 7 3 5 4 3 2" xfId="25112"/>
    <cellStyle name="Normal 7 3 5 4 3 3" xfId="40155"/>
    <cellStyle name="Normal 7 3 5 4 4" xfId="17591"/>
    <cellStyle name="Normal 7 3 5 4 5" xfId="32634"/>
    <cellStyle name="Normal 7 3 5 5" xfId="4426"/>
    <cellStyle name="Normal 7 3 5 5 2" xfId="11950"/>
    <cellStyle name="Normal 7 3 5 5 2 2" xfId="26994"/>
    <cellStyle name="Normal 7 3 5 5 2 3" xfId="42037"/>
    <cellStyle name="Normal 7 3 5 5 3" xfId="19473"/>
    <cellStyle name="Normal 7 3 5 5 4" xfId="34516"/>
    <cellStyle name="Normal 7 3 5 6" xfId="8189"/>
    <cellStyle name="Normal 7 3 5 6 2" xfId="23233"/>
    <cellStyle name="Normal 7 3 5 6 3" xfId="38276"/>
    <cellStyle name="Normal 7 3 5 7" xfId="15712"/>
    <cellStyle name="Normal 7 3 5 8" xfId="30755"/>
    <cellStyle name="Normal 7 3 6" xfId="1042"/>
    <cellStyle name="Normal 7 3 6 2" xfId="2001"/>
    <cellStyle name="Normal 7 3 6 2 2" xfId="3872"/>
    <cellStyle name="Normal 7 3 6 2 2 2" xfId="7667"/>
    <cellStyle name="Normal 7 3 6 2 2 2 2" xfId="15190"/>
    <cellStyle name="Normal 7 3 6 2 2 2 2 2" xfId="30234"/>
    <cellStyle name="Normal 7 3 6 2 2 2 2 3" xfId="45277"/>
    <cellStyle name="Normal 7 3 6 2 2 2 3" xfId="22713"/>
    <cellStyle name="Normal 7 3 6 2 2 2 4" xfId="37756"/>
    <cellStyle name="Normal 7 3 6 2 2 3" xfId="11441"/>
    <cellStyle name="Normal 7 3 6 2 2 3 2" xfId="26485"/>
    <cellStyle name="Normal 7 3 6 2 2 3 3" xfId="41528"/>
    <cellStyle name="Normal 7 3 6 2 2 4" xfId="18964"/>
    <cellStyle name="Normal 7 3 6 2 2 5" xfId="34007"/>
    <cellStyle name="Normal 7 3 6 2 3" xfId="5802"/>
    <cellStyle name="Normal 7 3 6 2 3 2" xfId="13325"/>
    <cellStyle name="Normal 7 3 6 2 3 2 2" xfId="28369"/>
    <cellStyle name="Normal 7 3 6 2 3 2 3" xfId="43412"/>
    <cellStyle name="Normal 7 3 6 2 3 3" xfId="20848"/>
    <cellStyle name="Normal 7 3 6 2 3 4" xfId="35891"/>
    <cellStyle name="Normal 7 3 6 2 4" xfId="9576"/>
    <cellStyle name="Normal 7 3 6 2 4 2" xfId="24620"/>
    <cellStyle name="Normal 7 3 6 2 4 3" xfId="39663"/>
    <cellStyle name="Normal 7 3 6 2 5" xfId="17099"/>
    <cellStyle name="Normal 7 3 6 2 6" xfId="32142"/>
    <cellStyle name="Normal 7 3 6 3" xfId="2940"/>
    <cellStyle name="Normal 7 3 6 3 2" xfId="6735"/>
    <cellStyle name="Normal 7 3 6 3 2 2" xfId="14258"/>
    <cellStyle name="Normal 7 3 6 3 2 2 2" xfId="29302"/>
    <cellStyle name="Normal 7 3 6 3 2 2 3" xfId="44345"/>
    <cellStyle name="Normal 7 3 6 3 2 3" xfId="21781"/>
    <cellStyle name="Normal 7 3 6 3 2 4" xfId="36824"/>
    <cellStyle name="Normal 7 3 6 3 3" xfId="10509"/>
    <cellStyle name="Normal 7 3 6 3 3 2" xfId="25553"/>
    <cellStyle name="Normal 7 3 6 3 3 3" xfId="40596"/>
    <cellStyle name="Normal 7 3 6 3 4" xfId="18032"/>
    <cellStyle name="Normal 7 3 6 3 5" xfId="33075"/>
    <cellStyle name="Normal 7 3 6 4" xfId="4870"/>
    <cellStyle name="Normal 7 3 6 4 2" xfId="12393"/>
    <cellStyle name="Normal 7 3 6 4 2 2" xfId="27437"/>
    <cellStyle name="Normal 7 3 6 4 2 3" xfId="42480"/>
    <cellStyle name="Normal 7 3 6 4 3" xfId="19916"/>
    <cellStyle name="Normal 7 3 6 4 4" xfId="34959"/>
    <cellStyle name="Normal 7 3 6 5" xfId="8644"/>
    <cellStyle name="Normal 7 3 6 5 2" xfId="23688"/>
    <cellStyle name="Normal 7 3 6 5 3" xfId="38731"/>
    <cellStyle name="Normal 7 3 6 6" xfId="16167"/>
    <cellStyle name="Normal 7 3 6 7" xfId="31210"/>
    <cellStyle name="Normal 7 3 7" xfId="1549"/>
    <cellStyle name="Normal 7 3 7 2" xfId="3420"/>
    <cellStyle name="Normal 7 3 7 2 2" xfId="7215"/>
    <cellStyle name="Normal 7 3 7 2 2 2" xfId="14738"/>
    <cellStyle name="Normal 7 3 7 2 2 2 2" xfId="29782"/>
    <cellStyle name="Normal 7 3 7 2 2 2 3" xfId="44825"/>
    <cellStyle name="Normal 7 3 7 2 2 3" xfId="22261"/>
    <cellStyle name="Normal 7 3 7 2 2 4" xfId="37304"/>
    <cellStyle name="Normal 7 3 7 2 3" xfId="10989"/>
    <cellStyle name="Normal 7 3 7 2 3 2" xfId="26033"/>
    <cellStyle name="Normal 7 3 7 2 3 3" xfId="41076"/>
    <cellStyle name="Normal 7 3 7 2 4" xfId="18512"/>
    <cellStyle name="Normal 7 3 7 2 5" xfId="33555"/>
    <cellStyle name="Normal 7 3 7 3" xfId="5350"/>
    <cellStyle name="Normal 7 3 7 3 2" xfId="12873"/>
    <cellStyle name="Normal 7 3 7 3 2 2" xfId="27917"/>
    <cellStyle name="Normal 7 3 7 3 2 3" xfId="42960"/>
    <cellStyle name="Normal 7 3 7 3 3" xfId="20396"/>
    <cellStyle name="Normal 7 3 7 3 4" xfId="35439"/>
    <cellStyle name="Normal 7 3 7 4" xfId="9124"/>
    <cellStyle name="Normal 7 3 7 4 2" xfId="24168"/>
    <cellStyle name="Normal 7 3 7 4 3" xfId="39211"/>
    <cellStyle name="Normal 7 3 7 5" xfId="16647"/>
    <cellStyle name="Normal 7 3 7 6" xfId="31690"/>
    <cellStyle name="Normal 7 3 8" xfId="2487"/>
    <cellStyle name="Normal 7 3 8 2" xfId="6283"/>
    <cellStyle name="Normal 7 3 8 2 2" xfId="13806"/>
    <cellStyle name="Normal 7 3 8 2 2 2" xfId="28850"/>
    <cellStyle name="Normal 7 3 8 2 2 3" xfId="43893"/>
    <cellStyle name="Normal 7 3 8 2 3" xfId="21329"/>
    <cellStyle name="Normal 7 3 8 2 4" xfId="36372"/>
    <cellStyle name="Normal 7 3 8 3" xfId="10057"/>
    <cellStyle name="Normal 7 3 8 3 2" xfId="25101"/>
    <cellStyle name="Normal 7 3 8 3 3" xfId="40144"/>
    <cellStyle name="Normal 7 3 8 4" xfId="17580"/>
    <cellStyle name="Normal 7 3 8 5" xfId="32623"/>
    <cellStyle name="Normal 7 3 9" xfId="4415"/>
    <cellStyle name="Normal 7 3 9 2" xfId="11939"/>
    <cellStyle name="Normal 7 3 9 2 2" xfId="26983"/>
    <cellStyle name="Normal 7 3 9 2 3" xfId="42026"/>
    <cellStyle name="Normal 7 3 9 3" xfId="19462"/>
    <cellStyle name="Normal 7 3 9 4" xfId="34505"/>
    <cellStyle name="Normal 7 4" xfId="536"/>
    <cellStyle name="Normal 7 4 10" xfId="15713"/>
    <cellStyle name="Normal 7 4 11" xfId="30756"/>
    <cellStyle name="Normal 7 4 2" xfId="537"/>
    <cellStyle name="Normal 7 4 2 2" xfId="538"/>
    <cellStyle name="Normal 7 4 2 2 2" xfId="1056"/>
    <cellStyle name="Normal 7 4 2 2 2 2" xfId="2015"/>
    <cellStyle name="Normal 7 4 2 2 2 2 2" xfId="3886"/>
    <cellStyle name="Normal 7 4 2 2 2 2 2 2" xfId="7681"/>
    <cellStyle name="Normal 7 4 2 2 2 2 2 2 2" xfId="15204"/>
    <cellStyle name="Normal 7 4 2 2 2 2 2 2 2 2" xfId="30248"/>
    <cellStyle name="Normal 7 4 2 2 2 2 2 2 2 3" xfId="45291"/>
    <cellStyle name="Normal 7 4 2 2 2 2 2 2 3" xfId="22727"/>
    <cellStyle name="Normal 7 4 2 2 2 2 2 2 4" xfId="37770"/>
    <cellStyle name="Normal 7 4 2 2 2 2 2 3" xfId="11455"/>
    <cellStyle name="Normal 7 4 2 2 2 2 2 3 2" xfId="26499"/>
    <cellStyle name="Normal 7 4 2 2 2 2 2 3 3" xfId="41542"/>
    <cellStyle name="Normal 7 4 2 2 2 2 2 4" xfId="18978"/>
    <cellStyle name="Normal 7 4 2 2 2 2 2 5" xfId="34021"/>
    <cellStyle name="Normal 7 4 2 2 2 2 3" xfId="5816"/>
    <cellStyle name="Normal 7 4 2 2 2 2 3 2" xfId="13339"/>
    <cellStyle name="Normal 7 4 2 2 2 2 3 2 2" xfId="28383"/>
    <cellStyle name="Normal 7 4 2 2 2 2 3 2 3" xfId="43426"/>
    <cellStyle name="Normal 7 4 2 2 2 2 3 3" xfId="20862"/>
    <cellStyle name="Normal 7 4 2 2 2 2 3 4" xfId="35905"/>
    <cellStyle name="Normal 7 4 2 2 2 2 4" xfId="9590"/>
    <cellStyle name="Normal 7 4 2 2 2 2 4 2" xfId="24634"/>
    <cellStyle name="Normal 7 4 2 2 2 2 4 3" xfId="39677"/>
    <cellStyle name="Normal 7 4 2 2 2 2 5" xfId="17113"/>
    <cellStyle name="Normal 7 4 2 2 2 2 6" xfId="32156"/>
    <cellStyle name="Normal 7 4 2 2 2 3" xfId="2954"/>
    <cellStyle name="Normal 7 4 2 2 2 3 2" xfId="6749"/>
    <cellStyle name="Normal 7 4 2 2 2 3 2 2" xfId="14272"/>
    <cellStyle name="Normal 7 4 2 2 2 3 2 2 2" xfId="29316"/>
    <cellStyle name="Normal 7 4 2 2 2 3 2 2 3" xfId="44359"/>
    <cellStyle name="Normal 7 4 2 2 2 3 2 3" xfId="21795"/>
    <cellStyle name="Normal 7 4 2 2 2 3 2 4" xfId="36838"/>
    <cellStyle name="Normal 7 4 2 2 2 3 3" xfId="10523"/>
    <cellStyle name="Normal 7 4 2 2 2 3 3 2" xfId="25567"/>
    <cellStyle name="Normal 7 4 2 2 2 3 3 3" xfId="40610"/>
    <cellStyle name="Normal 7 4 2 2 2 3 4" xfId="18046"/>
    <cellStyle name="Normal 7 4 2 2 2 3 5" xfId="33089"/>
    <cellStyle name="Normal 7 4 2 2 2 4" xfId="4884"/>
    <cellStyle name="Normal 7 4 2 2 2 4 2" xfId="12407"/>
    <cellStyle name="Normal 7 4 2 2 2 4 2 2" xfId="27451"/>
    <cellStyle name="Normal 7 4 2 2 2 4 2 3" xfId="42494"/>
    <cellStyle name="Normal 7 4 2 2 2 4 3" xfId="19930"/>
    <cellStyle name="Normal 7 4 2 2 2 4 4" xfId="34973"/>
    <cellStyle name="Normal 7 4 2 2 2 5" xfId="8658"/>
    <cellStyle name="Normal 7 4 2 2 2 5 2" xfId="23702"/>
    <cellStyle name="Normal 7 4 2 2 2 5 3" xfId="38745"/>
    <cellStyle name="Normal 7 4 2 2 2 6" xfId="16181"/>
    <cellStyle name="Normal 7 4 2 2 2 7" xfId="31224"/>
    <cellStyle name="Normal 7 4 2 2 3" xfId="1563"/>
    <cellStyle name="Normal 7 4 2 2 3 2" xfId="3434"/>
    <cellStyle name="Normal 7 4 2 2 3 2 2" xfId="7229"/>
    <cellStyle name="Normal 7 4 2 2 3 2 2 2" xfId="14752"/>
    <cellStyle name="Normal 7 4 2 2 3 2 2 2 2" xfId="29796"/>
    <cellStyle name="Normal 7 4 2 2 3 2 2 2 3" xfId="44839"/>
    <cellStyle name="Normal 7 4 2 2 3 2 2 3" xfId="22275"/>
    <cellStyle name="Normal 7 4 2 2 3 2 2 4" xfId="37318"/>
    <cellStyle name="Normal 7 4 2 2 3 2 3" xfId="11003"/>
    <cellStyle name="Normal 7 4 2 2 3 2 3 2" xfId="26047"/>
    <cellStyle name="Normal 7 4 2 2 3 2 3 3" xfId="41090"/>
    <cellStyle name="Normal 7 4 2 2 3 2 4" xfId="18526"/>
    <cellStyle name="Normal 7 4 2 2 3 2 5" xfId="33569"/>
    <cellStyle name="Normal 7 4 2 2 3 3" xfId="5364"/>
    <cellStyle name="Normal 7 4 2 2 3 3 2" xfId="12887"/>
    <cellStyle name="Normal 7 4 2 2 3 3 2 2" xfId="27931"/>
    <cellStyle name="Normal 7 4 2 2 3 3 2 3" xfId="42974"/>
    <cellStyle name="Normal 7 4 2 2 3 3 3" xfId="20410"/>
    <cellStyle name="Normal 7 4 2 2 3 3 4" xfId="35453"/>
    <cellStyle name="Normal 7 4 2 2 3 4" xfId="9138"/>
    <cellStyle name="Normal 7 4 2 2 3 4 2" xfId="24182"/>
    <cellStyle name="Normal 7 4 2 2 3 4 3" xfId="39225"/>
    <cellStyle name="Normal 7 4 2 2 3 5" xfId="16661"/>
    <cellStyle name="Normal 7 4 2 2 3 6" xfId="31704"/>
    <cellStyle name="Normal 7 4 2 2 4" xfId="2501"/>
    <cellStyle name="Normal 7 4 2 2 4 2" xfId="6297"/>
    <cellStyle name="Normal 7 4 2 2 4 2 2" xfId="13820"/>
    <cellStyle name="Normal 7 4 2 2 4 2 2 2" xfId="28864"/>
    <cellStyle name="Normal 7 4 2 2 4 2 2 3" xfId="43907"/>
    <cellStyle name="Normal 7 4 2 2 4 2 3" xfId="21343"/>
    <cellStyle name="Normal 7 4 2 2 4 2 4" xfId="36386"/>
    <cellStyle name="Normal 7 4 2 2 4 3" xfId="10071"/>
    <cellStyle name="Normal 7 4 2 2 4 3 2" xfId="25115"/>
    <cellStyle name="Normal 7 4 2 2 4 3 3" xfId="40158"/>
    <cellStyle name="Normal 7 4 2 2 4 4" xfId="17594"/>
    <cellStyle name="Normal 7 4 2 2 4 5" xfId="32637"/>
    <cellStyle name="Normal 7 4 2 2 5" xfId="4429"/>
    <cellStyle name="Normal 7 4 2 2 5 2" xfId="11953"/>
    <cellStyle name="Normal 7 4 2 2 5 2 2" xfId="26997"/>
    <cellStyle name="Normal 7 4 2 2 5 2 3" xfId="42040"/>
    <cellStyle name="Normal 7 4 2 2 5 3" xfId="19476"/>
    <cellStyle name="Normal 7 4 2 2 5 4" xfId="34519"/>
    <cellStyle name="Normal 7 4 2 2 6" xfId="8192"/>
    <cellStyle name="Normal 7 4 2 2 6 2" xfId="23236"/>
    <cellStyle name="Normal 7 4 2 2 6 3" xfId="38279"/>
    <cellStyle name="Normal 7 4 2 2 7" xfId="15715"/>
    <cellStyle name="Normal 7 4 2 2 8" xfId="30758"/>
    <cellStyle name="Normal 7 4 2 3" xfId="1055"/>
    <cellStyle name="Normal 7 4 2 3 2" xfId="2014"/>
    <cellStyle name="Normal 7 4 2 3 2 2" xfId="3885"/>
    <cellStyle name="Normal 7 4 2 3 2 2 2" xfId="7680"/>
    <cellStyle name="Normal 7 4 2 3 2 2 2 2" xfId="15203"/>
    <cellStyle name="Normal 7 4 2 3 2 2 2 2 2" xfId="30247"/>
    <cellStyle name="Normal 7 4 2 3 2 2 2 2 3" xfId="45290"/>
    <cellStyle name="Normal 7 4 2 3 2 2 2 3" xfId="22726"/>
    <cellStyle name="Normal 7 4 2 3 2 2 2 4" xfId="37769"/>
    <cellStyle name="Normal 7 4 2 3 2 2 3" xfId="11454"/>
    <cellStyle name="Normal 7 4 2 3 2 2 3 2" xfId="26498"/>
    <cellStyle name="Normal 7 4 2 3 2 2 3 3" xfId="41541"/>
    <cellStyle name="Normal 7 4 2 3 2 2 4" xfId="18977"/>
    <cellStyle name="Normal 7 4 2 3 2 2 5" xfId="34020"/>
    <cellStyle name="Normal 7 4 2 3 2 3" xfId="5815"/>
    <cellStyle name="Normal 7 4 2 3 2 3 2" xfId="13338"/>
    <cellStyle name="Normal 7 4 2 3 2 3 2 2" xfId="28382"/>
    <cellStyle name="Normal 7 4 2 3 2 3 2 3" xfId="43425"/>
    <cellStyle name="Normal 7 4 2 3 2 3 3" xfId="20861"/>
    <cellStyle name="Normal 7 4 2 3 2 3 4" xfId="35904"/>
    <cellStyle name="Normal 7 4 2 3 2 4" xfId="9589"/>
    <cellStyle name="Normal 7 4 2 3 2 4 2" xfId="24633"/>
    <cellStyle name="Normal 7 4 2 3 2 4 3" xfId="39676"/>
    <cellStyle name="Normal 7 4 2 3 2 5" xfId="17112"/>
    <cellStyle name="Normal 7 4 2 3 2 6" xfId="32155"/>
    <cellStyle name="Normal 7 4 2 3 3" xfId="2953"/>
    <cellStyle name="Normal 7 4 2 3 3 2" xfId="6748"/>
    <cellStyle name="Normal 7 4 2 3 3 2 2" xfId="14271"/>
    <cellStyle name="Normal 7 4 2 3 3 2 2 2" xfId="29315"/>
    <cellStyle name="Normal 7 4 2 3 3 2 2 3" xfId="44358"/>
    <cellStyle name="Normal 7 4 2 3 3 2 3" xfId="21794"/>
    <cellStyle name="Normal 7 4 2 3 3 2 4" xfId="36837"/>
    <cellStyle name="Normal 7 4 2 3 3 3" xfId="10522"/>
    <cellStyle name="Normal 7 4 2 3 3 3 2" xfId="25566"/>
    <cellStyle name="Normal 7 4 2 3 3 3 3" xfId="40609"/>
    <cellStyle name="Normal 7 4 2 3 3 4" xfId="18045"/>
    <cellStyle name="Normal 7 4 2 3 3 5" xfId="33088"/>
    <cellStyle name="Normal 7 4 2 3 4" xfId="4883"/>
    <cellStyle name="Normal 7 4 2 3 4 2" xfId="12406"/>
    <cellStyle name="Normal 7 4 2 3 4 2 2" xfId="27450"/>
    <cellStyle name="Normal 7 4 2 3 4 2 3" xfId="42493"/>
    <cellStyle name="Normal 7 4 2 3 4 3" xfId="19929"/>
    <cellStyle name="Normal 7 4 2 3 4 4" xfId="34972"/>
    <cellStyle name="Normal 7 4 2 3 5" xfId="8657"/>
    <cellStyle name="Normal 7 4 2 3 5 2" xfId="23701"/>
    <cellStyle name="Normal 7 4 2 3 5 3" xfId="38744"/>
    <cellStyle name="Normal 7 4 2 3 6" xfId="16180"/>
    <cellStyle name="Normal 7 4 2 3 7" xfId="31223"/>
    <cellStyle name="Normal 7 4 2 4" xfId="1562"/>
    <cellStyle name="Normal 7 4 2 4 2" xfId="3433"/>
    <cellStyle name="Normal 7 4 2 4 2 2" xfId="7228"/>
    <cellStyle name="Normal 7 4 2 4 2 2 2" xfId="14751"/>
    <cellStyle name="Normal 7 4 2 4 2 2 2 2" xfId="29795"/>
    <cellStyle name="Normal 7 4 2 4 2 2 2 3" xfId="44838"/>
    <cellStyle name="Normal 7 4 2 4 2 2 3" xfId="22274"/>
    <cellStyle name="Normal 7 4 2 4 2 2 4" xfId="37317"/>
    <cellStyle name="Normal 7 4 2 4 2 3" xfId="11002"/>
    <cellStyle name="Normal 7 4 2 4 2 3 2" xfId="26046"/>
    <cellStyle name="Normal 7 4 2 4 2 3 3" xfId="41089"/>
    <cellStyle name="Normal 7 4 2 4 2 4" xfId="18525"/>
    <cellStyle name="Normal 7 4 2 4 2 5" xfId="33568"/>
    <cellStyle name="Normal 7 4 2 4 3" xfId="5363"/>
    <cellStyle name="Normal 7 4 2 4 3 2" xfId="12886"/>
    <cellStyle name="Normal 7 4 2 4 3 2 2" xfId="27930"/>
    <cellStyle name="Normal 7 4 2 4 3 2 3" xfId="42973"/>
    <cellStyle name="Normal 7 4 2 4 3 3" xfId="20409"/>
    <cellStyle name="Normal 7 4 2 4 3 4" xfId="35452"/>
    <cellStyle name="Normal 7 4 2 4 4" xfId="9137"/>
    <cellStyle name="Normal 7 4 2 4 4 2" xfId="24181"/>
    <cellStyle name="Normal 7 4 2 4 4 3" xfId="39224"/>
    <cellStyle name="Normal 7 4 2 4 5" xfId="16660"/>
    <cellStyle name="Normal 7 4 2 4 6" xfId="31703"/>
    <cellStyle name="Normal 7 4 2 5" xfId="2500"/>
    <cellStyle name="Normal 7 4 2 5 2" xfId="6296"/>
    <cellStyle name="Normal 7 4 2 5 2 2" xfId="13819"/>
    <cellStyle name="Normal 7 4 2 5 2 2 2" xfId="28863"/>
    <cellStyle name="Normal 7 4 2 5 2 2 3" xfId="43906"/>
    <cellStyle name="Normal 7 4 2 5 2 3" xfId="21342"/>
    <cellStyle name="Normal 7 4 2 5 2 4" xfId="36385"/>
    <cellStyle name="Normal 7 4 2 5 3" xfId="10070"/>
    <cellStyle name="Normal 7 4 2 5 3 2" xfId="25114"/>
    <cellStyle name="Normal 7 4 2 5 3 3" xfId="40157"/>
    <cellStyle name="Normal 7 4 2 5 4" xfId="17593"/>
    <cellStyle name="Normal 7 4 2 5 5" xfId="32636"/>
    <cellStyle name="Normal 7 4 2 6" xfId="4428"/>
    <cellStyle name="Normal 7 4 2 6 2" xfId="11952"/>
    <cellStyle name="Normal 7 4 2 6 2 2" xfId="26996"/>
    <cellStyle name="Normal 7 4 2 6 2 3" xfId="42039"/>
    <cellStyle name="Normal 7 4 2 6 3" xfId="19475"/>
    <cellStyle name="Normal 7 4 2 6 4" xfId="34518"/>
    <cellStyle name="Normal 7 4 2 7" xfId="8191"/>
    <cellStyle name="Normal 7 4 2 7 2" xfId="23235"/>
    <cellStyle name="Normal 7 4 2 7 3" xfId="38278"/>
    <cellStyle name="Normal 7 4 2 8" xfId="15714"/>
    <cellStyle name="Normal 7 4 2 9" xfId="30757"/>
    <cellStyle name="Normal 7 4 3" xfId="539"/>
    <cellStyle name="Normal 7 4 3 2" xfId="540"/>
    <cellStyle name="Normal 7 4 3 2 2" xfId="1058"/>
    <cellStyle name="Normal 7 4 3 2 2 2" xfId="2017"/>
    <cellStyle name="Normal 7 4 3 2 2 2 2" xfId="3888"/>
    <cellStyle name="Normal 7 4 3 2 2 2 2 2" xfId="7683"/>
    <cellStyle name="Normal 7 4 3 2 2 2 2 2 2" xfId="15206"/>
    <cellStyle name="Normal 7 4 3 2 2 2 2 2 2 2" xfId="30250"/>
    <cellStyle name="Normal 7 4 3 2 2 2 2 2 2 3" xfId="45293"/>
    <cellStyle name="Normal 7 4 3 2 2 2 2 2 3" xfId="22729"/>
    <cellStyle name="Normal 7 4 3 2 2 2 2 2 4" xfId="37772"/>
    <cellStyle name="Normal 7 4 3 2 2 2 2 3" xfId="11457"/>
    <cellStyle name="Normal 7 4 3 2 2 2 2 3 2" xfId="26501"/>
    <cellStyle name="Normal 7 4 3 2 2 2 2 3 3" xfId="41544"/>
    <cellStyle name="Normal 7 4 3 2 2 2 2 4" xfId="18980"/>
    <cellStyle name="Normal 7 4 3 2 2 2 2 5" xfId="34023"/>
    <cellStyle name="Normal 7 4 3 2 2 2 3" xfId="5818"/>
    <cellStyle name="Normal 7 4 3 2 2 2 3 2" xfId="13341"/>
    <cellStyle name="Normal 7 4 3 2 2 2 3 2 2" xfId="28385"/>
    <cellStyle name="Normal 7 4 3 2 2 2 3 2 3" xfId="43428"/>
    <cellStyle name="Normal 7 4 3 2 2 2 3 3" xfId="20864"/>
    <cellStyle name="Normal 7 4 3 2 2 2 3 4" xfId="35907"/>
    <cellStyle name="Normal 7 4 3 2 2 2 4" xfId="9592"/>
    <cellStyle name="Normal 7 4 3 2 2 2 4 2" xfId="24636"/>
    <cellStyle name="Normal 7 4 3 2 2 2 4 3" xfId="39679"/>
    <cellStyle name="Normal 7 4 3 2 2 2 5" xfId="17115"/>
    <cellStyle name="Normal 7 4 3 2 2 2 6" xfId="32158"/>
    <cellStyle name="Normal 7 4 3 2 2 3" xfId="2956"/>
    <cellStyle name="Normal 7 4 3 2 2 3 2" xfId="6751"/>
    <cellStyle name="Normal 7 4 3 2 2 3 2 2" xfId="14274"/>
    <cellStyle name="Normal 7 4 3 2 2 3 2 2 2" xfId="29318"/>
    <cellStyle name="Normal 7 4 3 2 2 3 2 2 3" xfId="44361"/>
    <cellStyle name="Normal 7 4 3 2 2 3 2 3" xfId="21797"/>
    <cellStyle name="Normal 7 4 3 2 2 3 2 4" xfId="36840"/>
    <cellStyle name="Normal 7 4 3 2 2 3 3" xfId="10525"/>
    <cellStyle name="Normal 7 4 3 2 2 3 3 2" xfId="25569"/>
    <cellStyle name="Normal 7 4 3 2 2 3 3 3" xfId="40612"/>
    <cellStyle name="Normal 7 4 3 2 2 3 4" xfId="18048"/>
    <cellStyle name="Normal 7 4 3 2 2 3 5" xfId="33091"/>
    <cellStyle name="Normal 7 4 3 2 2 4" xfId="4886"/>
    <cellStyle name="Normal 7 4 3 2 2 4 2" xfId="12409"/>
    <cellStyle name="Normal 7 4 3 2 2 4 2 2" xfId="27453"/>
    <cellStyle name="Normal 7 4 3 2 2 4 2 3" xfId="42496"/>
    <cellStyle name="Normal 7 4 3 2 2 4 3" xfId="19932"/>
    <cellStyle name="Normal 7 4 3 2 2 4 4" xfId="34975"/>
    <cellStyle name="Normal 7 4 3 2 2 5" xfId="8660"/>
    <cellStyle name="Normal 7 4 3 2 2 5 2" xfId="23704"/>
    <cellStyle name="Normal 7 4 3 2 2 5 3" xfId="38747"/>
    <cellStyle name="Normal 7 4 3 2 2 6" xfId="16183"/>
    <cellStyle name="Normal 7 4 3 2 2 7" xfId="31226"/>
    <cellStyle name="Normal 7 4 3 2 3" xfId="1565"/>
    <cellStyle name="Normal 7 4 3 2 3 2" xfId="3436"/>
    <cellStyle name="Normal 7 4 3 2 3 2 2" xfId="7231"/>
    <cellStyle name="Normal 7 4 3 2 3 2 2 2" xfId="14754"/>
    <cellStyle name="Normal 7 4 3 2 3 2 2 2 2" xfId="29798"/>
    <cellStyle name="Normal 7 4 3 2 3 2 2 2 3" xfId="44841"/>
    <cellStyle name="Normal 7 4 3 2 3 2 2 3" xfId="22277"/>
    <cellStyle name="Normal 7 4 3 2 3 2 2 4" xfId="37320"/>
    <cellStyle name="Normal 7 4 3 2 3 2 3" xfId="11005"/>
    <cellStyle name="Normal 7 4 3 2 3 2 3 2" xfId="26049"/>
    <cellStyle name="Normal 7 4 3 2 3 2 3 3" xfId="41092"/>
    <cellStyle name="Normal 7 4 3 2 3 2 4" xfId="18528"/>
    <cellStyle name="Normal 7 4 3 2 3 2 5" xfId="33571"/>
    <cellStyle name="Normal 7 4 3 2 3 3" xfId="5366"/>
    <cellStyle name="Normal 7 4 3 2 3 3 2" xfId="12889"/>
    <cellStyle name="Normal 7 4 3 2 3 3 2 2" xfId="27933"/>
    <cellStyle name="Normal 7 4 3 2 3 3 2 3" xfId="42976"/>
    <cellStyle name="Normal 7 4 3 2 3 3 3" xfId="20412"/>
    <cellStyle name="Normal 7 4 3 2 3 3 4" xfId="35455"/>
    <cellStyle name="Normal 7 4 3 2 3 4" xfId="9140"/>
    <cellStyle name="Normal 7 4 3 2 3 4 2" xfId="24184"/>
    <cellStyle name="Normal 7 4 3 2 3 4 3" xfId="39227"/>
    <cellStyle name="Normal 7 4 3 2 3 5" xfId="16663"/>
    <cellStyle name="Normal 7 4 3 2 3 6" xfId="31706"/>
    <cellStyle name="Normal 7 4 3 2 4" xfId="2503"/>
    <cellStyle name="Normal 7 4 3 2 4 2" xfId="6299"/>
    <cellStyle name="Normal 7 4 3 2 4 2 2" xfId="13822"/>
    <cellStyle name="Normal 7 4 3 2 4 2 2 2" xfId="28866"/>
    <cellStyle name="Normal 7 4 3 2 4 2 2 3" xfId="43909"/>
    <cellStyle name="Normal 7 4 3 2 4 2 3" xfId="21345"/>
    <cellStyle name="Normal 7 4 3 2 4 2 4" xfId="36388"/>
    <cellStyle name="Normal 7 4 3 2 4 3" xfId="10073"/>
    <cellStyle name="Normal 7 4 3 2 4 3 2" xfId="25117"/>
    <cellStyle name="Normal 7 4 3 2 4 3 3" xfId="40160"/>
    <cellStyle name="Normal 7 4 3 2 4 4" xfId="17596"/>
    <cellStyle name="Normal 7 4 3 2 4 5" xfId="32639"/>
    <cellStyle name="Normal 7 4 3 2 5" xfId="4431"/>
    <cellStyle name="Normal 7 4 3 2 5 2" xfId="11955"/>
    <cellStyle name="Normal 7 4 3 2 5 2 2" xfId="26999"/>
    <cellStyle name="Normal 7 4 3 2 5 2 3" xfId="42042"/>
    <cellStyle name="Normal 7 4 3 2 5 3" xfId="19478"/>
    <cellStyle name="Normal 7 4 3 2 5 4" xfId="34521"/>
    <cellStyle name="Normal 7 4 3 2 6" xfId="8194"/>
    <cellStyle name="Normal 7 4 3 2 6 2" xfId="23238"/>
    <cellStyle name="Normal 7 4 3 2 6 3" xfId="38281"/>
    <cellStyle name="Normal 7 4 3 2 7" xfId="15717"/>
    <cellStyle name="Normal 7 4 3 2 8" xfId="30760"/>
    <cellStyle name="Normal 7 4 3 3" xfId="1057"/>
    <cellStyle name="Normal 7 4 3 3 2" xfId="2016"/>
    <cellStyle name="Normal 7 4 3 3 2 2" xfId="3887"/>
    <cellStyle name="Normal 7 4 3 3 2 2 2" xfId="7682"/>
    <cellStyle name="Normal 7 4 3 3 2 2 2 2" xfId="15205"/>
    <cellStyle name="Normal 7 4 3 3 2 2 2 2 2" xfId="30249"/>
    <cellStyle name="Normal 7 4 3 3 2 2 2 2 3" xfId="45292"/>
    <cellStyle name="Normal 7 4 3 3 2 2 2 3" xfId="22728"/>
    <cellStyle name="Normal 7 4 3 3 2 2 2 4" xfId="37771"/>
    <cellStyle name="Normal 7 4 3 3 2 2 3" xfId="11456"/>
    <cellStyle name="Normal 7 4 3 3 2 2 3 2" xfId="26500"/>
    <cellStyle name="Normal 7 4 3 3 2 2 3 3" xfId="41543"/>
    <cellStyle name="Normal 7 4 3 3 2 2 4" xfId="18979"/>
    <cellStyle name="Normal 7 4 3 3 2 2 5" xfId="34022"/>
    <cellStyle name="Normal 7 4 3 3 2 3" xfId="5817"/>
    <cellStyle name="Normal 7 4 3 3 2 3 2" xfId="13340"/>
    <cellStyle name="Normal 7 4 3 3 2 3 2 2" xfId="28384"/>
    <cellStyle name="Normal 7 4 3 3 2 3 2 3" xfId="43427"/>
    <cellStyle name="Normal 7 4 3 3 2 3 3" xfId="20863"/>
    <cellStyle name="Normal 7 4 3 3 2 3 4" xfId="35906"/>
    <cellStyle name="Normal 7 4 3 3 2 4" xfId="9591"/>
    <cellStyle name="Normal 7 4 3 3 2 4 2" xfId="24635"/>
    <cellStyle name="Normal 7 4 3 3 2 4 3" xfId="39678"/>
    <cellStyle name="Normal 7 4 3 3 2 5" xfId="17114"/>
    <cellStyle name="Normal 7 4 3 3 2 6" xfId="32157"/>
    <cellStyle name="Normal 7 4 3 3 3" xfId="2955"/>
    <cellStyle name="Normal 7 4 3 3 3 2" xfId="6750"/>
    <cellStyle name="Normal 7 4 3 3 3 2 2" xfId="14273"/>
    <cellStyle name="Normal 7 4 3 3 3 2 2 2" xfId="29317"/>
    <cellStyle name="Normal 7 4 3 3 3 2 2 3" xfId="44360"/>
    <cellStyle name="Normal 7 4 3 3 3 2 3" xfId="21796"/>
    <cellStyle name="Normal 7 4 3 3 3 2 4" xfId="36839"/>
    <cellStyle name="Normal 7 4 3 3 3 3" xfId="10524"/>
    <cellStyle name="Normal 7 4 3 3 3 3 2" xfId="25568"/>
    <cellStyle name="Normal 7 4 3 3 3 3 3" xfId="40611"/>
    <cellStyle name="Normal 7 4 3 3 3 4" xfId="18047"/>
    <cellStyle name="Normal 7 4 3 3 3 5" xfId="33090"/>
    <cellStyle name="Normal 7 4 3 3 4" xfId="4885"/>
    <cellStyle name="Normal 7 4 3 3 4 2" xfId="12408"/>
    <cellStyle name="Normal 7 4 3 3 4 2 2" xfId="27452"/>
    <cellStyle name="Normal 7 4 3 3 4 2 3" xfId="42495"/>
    <cellStyle name="Normal 7 4 3 3 4 3" xfId="19931"/>
    <cellStyle name="Normal 7 4 3 3 4 4" xfId="34974"/>
    <cellStyle name="Normal 7 4 3 3 5" xfId="8659"/>
    <cellStyle name="Normal 7 4 3 3 5 2" xfId="23703"/>
    <cellStyle name="Normal 7 4 3 3 5 3" xfId="38746"/>
    <cellStyle name="Normal 7 4 3 3 6" xfId="16182"/>
    <cellStyle name="Normal 7 4 3 3 7" xfId="31225"/>
    <cellStyle name="Normal 7 4 3 4" xfId="1564"/>
    <cellStyle name="Normal 7 4 3 4 2" xfId="3435"/>
    <cellStyle name="Normal 7 4 3 4 2 2" xfId="7230"/>
    <cellStyle name="Normal 7 4 3 4 2 2 2" xfId="14753"/>
    <cellStyle name="Normal 7 4 3 4 2 2 2 2" xfId="29797"/>
    <cellStyle name="Normal 7 4 3 4 2 2 2 3" xfId="44840"/>
    <cellStyle name="Normal 7 4 3 4 2 2 3" xfId="22276"/>
    <cellStyle name="Normal 7 4 3 4 2 2 4" xfId="37319"/>
    <cellStyle name="Normal 7 4 3 4 2 3" xfId="11004"/>
    <cellStyle name="Normal 7 4 3 4 2 3 2" xfId="26048"/>
    <cellStyle name="Normal 7 4 3 4 2 3 3" xfId="41091"/>
    <cellStyle name="Normal 7 4 3 4 2 4" xfId="18527"/>
    <cellStyle name="Normal 7 4 3 4 2 5" xfId="33570"/>
    <cellStyle name="Normal 7 4 3 4 3" xfId="5365"/>
    <cellStyle name="Normal 7 4 3 4 3 2" xfId="12888"/>
    <cellStyle name="Normal 7 4 3 4 3 2 2" xfId="27932"/>
    <cellStyle name="Normal 7 4 3 4 3 2 3" xfId="42975"/>
    <cellStyle name="Normal 7 4 3 4 3 3" xfId="20411"/>
    <cellStyle name="Normal 7 4 3 4 3 4" xfId="35454"/>
    <cellStyle name="Normal 7 4 3 4 4" xfId="9139"/>
    <cellStyle name="Normal 7 4 3 4 4 2" xfId="24183"/>
    <cellStyle name="Normal 7 4 3 4 4 3" xfId="39226"/>
    <cellStyle name="Normal 7 4 3 4 5" xfId="16662"/>
    <cellStyle name="Normal 7 4 3 4 6" xfId="31705"/>
    <cellStyle name="Normal 7 4 3 5" xfId="2502"/>
    <cellStyle name="Normal 7 4 3 5 2" xfId="6298"/>
    <cellStyle name="Normal 7 4 3 5 2 2" xfId="13821"/>
    <cellStyle name="Normal 7 4 3 5 2 2 2" xfId="28865"/>
    <cellStyle name="Normal 7 4 3 5 2 2 3" xfId="43908"/>
    <cellStyle name="Normal 7 4 3 5 2 3" xfId="21344"/>
    <cellStyle name="Normal 7 4 3 5 2 4" xfId="36387"/>
    <cellStyle name="Normal 7 4 3 5 3" xfId="10072"/>
    <cellStyle name="Normal 7 4 3 5 3 2" xfId="25116"/>
    <cellStyle name="Normal 7 4 3 5 3 3" xfId="40159"/>
    <cellStyle name="Normal 7 4 3 5 4" xfId="17595"/>
    <cellStyle name="Normal 7 4 3 5 5" xfId="32638"/>
    <cellStyle name="Normal 7 4 3 6" xfId="4430"/>
    <cellStyle name="Normal 7 4 3 6 2" xfId="11954"/>
    <cellStyle name="Normal 7 4 3 6 2 2" xfId="26998"/>
    <cellStyle name="Normal 7 4 3 6 2 3" xfId="42041"/>
    <cellStyle name="Normal 7 4 3 6 3" xfId="19477"/>
    <cellStyle name="Normal 7 4 3 6 4" xfId="34520"/>
    <cellStyle name="Normal 7 4 3 7" xfId="8193"/>
    <cellStyle name="Normal 7 4 3 7 2" xfId="23237"/>
    <cellStyle name="Normal 7 4 3 7 3" xfId="38280"/>
    <cellStyle name="Normal 7 4 3 8" xfId="15716"/>
    <cellStyle name="Normal 7 4 3 9" xfId="30759"/>
    <cellStyle name="Normal 7 4 4" xfId="541"/>
    <cellStyle name="Normal 7 4 4 2" xfId="1059"/>
    <cellStyle name="Normal 7 4 4 2 2" xfId="2018"/>
    <cellStyle name="Normal 7 4 4 2 2 2" xfId="3889"/>
    <cellStyle name="Normal 7 4 4 2 2 2 2" xfId="7684"/>
    <cellStyle name="Normal 7 4 4 2 2 2 2 2" xfId="15207"/>
    <cellStyle name="Normal 7 4 4 2 2 2 2 2 2" xfId="30251"/>
    <cellStyle name="Normal 7 4 4 2 2 2 2 2 3" xfId="45294"/>
    <cellStyle name="Normal 7 4 4 2 2 2 2 3" xfId="22730"/>
    <cellStyle name="Normal 7 4 4 2 2 2 2 4" xfId="37773"/>
    <cellStyle name="Normal 7 4 4 2 2 2 3" xfId="11458"/>
    <cellStyle name="Normal 7 4 4 2 2 2 3 2" xfId="26502"/>
    <cellStyle name="Normal 7 4 4 2 2 2 3 3" xfId="41545"/>
    <cellStyle name="Normal 7 4 4 2 2 2 4" xfId="18981"/>
    <cellStyle name="Normal 7 4 4 2 2 2 5" xfId="34024"/>
    <cellStyle name="Normal 7 4 4 2 2 3" xfId="5819"/>
    <cellStyle name="Normal 7 4 4 2 2 3 2" xfId="13342"/>
    <cellStyle name="Normal 7 4 4 2 2 3 2 2" xfId="28386"/>
    <cellStyle name="Normal 7 4 4 2 2 3 2 3" xfId="43429"/>
    <cellStyle name="Normal 7 4 4 2 2 3 3" xfId="20865"/>
    <cellStyle name="Normal 7 4 4 2 2 3 4" xfId="35908"/>
    <cellStyle name="Normal 7 4 4 2 2 4" xfId="9593"/>
    <cellStyle name="Normal 7 4 4 2 2 4 2" xfId="24637"/>
    <cellStyle name="Normal 7 4 4 2 2 4 3" xfId="39680"/>
    <cellStyle name="Normal 7 4 4 2 2 5" xfId="17116"/>
    <cellStyle name="Normal 7 4 4 2 2 6" xfId="32159"/>
    <cellStyle name="Normal 7 4 4 2 3" xfId="2957"/>
    <cellStyle name="Normal 7 4 4 2 3 2" xfId="6752"/>
    <cellStyle name="Normal 7 4 4 2 3 2 2" xfId="14275"/>
    <cellStyle name="Normal 7 4 4 2 3 2 2 2" xfId="29319"/>
    <cellStyle name="Normal 7 4 4 2 3 2 2 3" xfId="44362"/>
    <cellStyle name="Normal 7 4 4 2 3 2 3" xfId="21798"/>
    <cellStyle name="Normal 7 4 4 2 3 2 4" xfId="36841"/>
    <cellStyle name="Normal 7 4 4 2 3 3" xfId="10526"/>
    <cellStyle name="Normal 7 4 4 2 3 3 2" xfId="25570"/>
    <cellStyle name="Normal 7 4 4 2 3 3 3" xfId="40613"/>
    <cellStyle name="Normal 7 4 4 2 3 4" xfId="18049"/>
    <cellStyle name="Normal 7 4 4 2 3 5" xfId="33092"/>
    <cellStyle name="Normal 7 4 4 2 4" xfId="4887"/>
    <cellStyle name="Normal 7 4 4 2 4 2" xfId="12410"/>
    <cellStyle name="Normal 7 4 4 2 4 2 2" xfId="27454"/>
    <cellStyle name="Normal 7 4 4 2 4 2 3" xfId="42497"/>
    <cellStyle name="Normal 7 4 4 2 4 3" xfId="19933"/>
    <cellStyle name="Normal 7 4 4 2 4 4" xfId="34976"/>
    <cellStyle name="Normal 7 4 4 2 5" xfId="8661"/>
    <cellStyle name="Normal 7 4 4 2 5 2" xfId="23705"/>
    <cellStyle name="Normal 7 4 4 2 5 3" xfId="38748"/>
    <cellStyle name="Normal 7 4 4 2 6" xfId="16184"/>
    <cellStyle name="Normal 7 4 4 2 7" xfId="31227"/>
    <cellStyle name="Normal 7 4 4 3" xfId="1566"/>
    <cellStyle name="Normal 7 4 4 3 2" xfId="3437"/>
    <cellStyle name="Normal 7 4 4 3 2 2" xfId="7232"/>
    <cellStyle name="Normal 7 4 4 3 2 2 2" xfId="14755"/>
    <cellStyle name="Normal 7 4 4 3 2 2 2 2" xfId="29799"/>
    <cellStyle name="Normal 7 4 4 3 2 2 2 3" xfId="44842"/>
    <cellStyle name="Normal 7 4 4 3 2 2 3" xfId="22278"/>
    <cellStyle name="Normal 7 4 4 3 2 2 4" xfId="37321"/>
    <cellStyle name="Normal 7 4 4 3 2 3" xfId="11006"/>
    <cellStyle name="Normal 7 4 4 3 2 3 2" xfId="26050"/>
    <cellStyle name="Normal 7 4 4 3 2 3 3" xfId="41093"/>
    <cellStyle name="Normal 7 4 4 3 2 4" xfId="18529"/>
    <cellStyle name="Normal 7 4 4 3 2 5" xfId="33572"/>
    <cellStyle name="Normal 7 4 4 3 3" xfId="5367"/>
    <cellStyle name="Normal 7 4 4 3 3 2" xfId="12890"/>
    <cellStyle name="Normal 7 4 4 3 3 2 2" xfId="27934"/>
    <cellStyle name="Normal 7 4 4 3 3 2 3" xfId="42977"/>
    <cellStyle name="Normal 7 4 4 3 3 3" xfId="20413"/>
    <cellStyle name="Normal 7 4 4 3 3 4" xfId="35456"/>
    <cellStyle name="Normal 7 4 4 3 4" xfId="9141"/>
    <cellStyle name="Normal 7 4 4 3 4 2" xfId="24185"/>
    <cellStyle name="Normal 7 4 4 3 4 3" xfId="39228"/>
    <cellStyle name="Normal 7 4 4 3 5" xfId="16664"/>
    <cellStyle name="Normal 7 4 4 3 6" xfId="31707"/>
    <cellStyle name="Normal 7 4 4 4" xfId="2504"/>
    <cellStyle name="Normal 7 4 4 4 2" xfId="6300"/>
    <cellStyle name="Normal 7 4 4 4 2 2" xfId="13823"/>
    <cellStyle name="Normal 7 4 4 4 2 2 2" xfId="28867"/>
    <cellStyle name="Normal 7 4 4 4 2 2 3" xfId="43910"/>
    <cellStyle name="Normal 7 4 4 4 2 3" xfId="21346"/>
    <cellStyle name="Normal 7 4 4 4 2 4" xfId="36389"/>
    <cellStyle name="Normal 7 4 4 4 3" xfId="10074"/>
    <cellStyle name="Normal 7 4 4 4 3 2" xfId="25118"/>
    <cellStyle name="Normal 7 4 4 4 3 3" xfId="40161"/>
    <cellStyle name="Normal 7 4 4 4 4" xfId="17597"/>
    <cellStyle name="Normal 7 4 4 4 5" xfId="32640"/>
    <cellStyle name="Normal 7 4 4 5" xfId="4432"/>
    <cellStyle name="Normal 7 4 4 5 2" xfId="11956"/>
    <cellStyle name="Normal 7 4 4 5 2 2" xfId="27000"/>
    <cellStyle name="Normal 7 4 4 5 2 3" xfId="42043"/>
    <cellStyle name="Normal 7 4 4 5 3" xfId="19479"/>
    <cellStyle name="Normal 7 4 4 5 4" xfId="34522"/>
    <cellStyle name="Normal 7 4 4 6" xfId="8195"/>
    <cellStyle name="Normal 7 4 4 6 2" xfId="23239"/>
    <cellStyle name="Normal 7 4 4 6 3" xfId="38282"/>
    <cellStyle name="Normal 7 4 4 7" xfId="15718"/>
    <cellStyle name="Normal 7 4 4 8" xfId="30761"/>
    <cellStyle name="Normal 7 4 5" xfId="1054"/>
    <cellStyle name="Normal 7 4 5 2" xfId="2013"/>
    <cellStyle name="Normal 7 4 5 2 2" xfId="3884"/>
    <cellStyle name="Normal 7 4 5 2 2 2" xfId="7679"/>
    <cellStyle name="Normal 7 4 5 2 2 2 2" xfId="15202"/>
    <cellStyle name="Normal 7 4 5 2 2 2 2 2" xfId="30246"/>
    <cellStyle name="Normal 7 4 5 2 2 2 2 3" xfId="45289"/>
    <cellStyle name="Normal 7 4 5 2 2 2 3" xfId="22725"/>
    <cellStyle name="Normal 7 4 5 2 2 2 4" xfId="37768"/>
    <cellStyle name="Normal 7 4 5 2 2 3" xfId="11453"/>
    <cellStyle name="Normal 7 4 5 2 2 3 2" xfId="26497"/>
    <cellStyle name="Normal 7 4 5 2 2 3 3" xfId="41540"/>
    <cellStyle name="Normal 7 4 5 2 2 4" xfId="18976"/>
    <cellStyle name="Normal 7 4 5 2 2 5" xfId="34019"/>
    <cellStyle name="Normal 7 4 5 2 3" xfId="5814"/>
    <cellStyle name="Normal 7 4 5 2 3 2" xfId="13337"/>
    <cellStyle name="Normal 7 4 5 2 3 2 2" xfId="28381"/>
    <cellStyle name="Normal 7 4 5 2 3 2 3" xfId="43424"/>
    <cellStyle name="Normal 7 4 5 2 3 3" xfId="20860"/>
    <cellStyle name="Normal 7 4 5 2 3 4" xfId="35903"/>
    <cellStyle name="Normal 7 4 5 2 4" xfId="9588"/>
    <cellStyle name="Normal 7 4 5 2 4 2" xfId="24632"/>
    <cellStyle name="Normal 7 4 5 2 4 3" xfId="39675"/>
    <cellStyle name="Normal 7 4 5 2 5" xfId="17111"/>
    <cellStyle name="Normal 7 4 5 2 6" xfId="32154"/>
    <cellStyle name="Normal 7 4 5 3" xfId="2952"/>
    <cellStyle name="Normal 7 4 5 3 2" xfId="6747"/>
    <cellStyle name="Normal 7 4 5 3 2 2" xfId="14270"/>
    <cellStyle name="Normal 7 4 5 3 2 2 2" xfId="29314"/>
    <cellStyle name="Normal 7 4 5 3 2 2 3" xfId="44357"/>
    <cellStyle name="Normal 7 4 5 3 2 3" xfId="21793"/>
    <cellStyle name="Normal 7 4 5 3 2 4" xfId="36836"/>
    <cellStyle name="Normal 7 4 5 3 3" xfId="10521"/>
    <cellStyle name="Normal 7 4 5 3 3 2" xfId="25565"/>
    <cellStyle name="Normal 7 4 5 3 3 3" xfId="40608"/>
    <cellStyle name="Normal 7 4 5 3 4" xfId="18044"/>
    <cellStyle name="Normal 7 4 5 3 5" xfId="33087"/>
    <cellStyle name="Normal 7 4 5 4" xfId="4882"/>
    <cellStyle name="Normal 7 4 5 4 2" xfId="12405"/>
    <cellStyle name="Normal 7 4 5 4 2 2" xfId="27449"/>
    <cellStyle name="Normal 7 4 5 4 2 3" xfId="42492"/>
    <cellStyle name="Normal 7 4 5 4 3" xfId="19928"/>
    <cellStyle name="Normal 7 4 5 4 4" xfId="34971"/>
    <cellStyle name="Normal 7 4 5 5" xfId="8656"/>
    <cellStyle name="Normal 7 4 5 5 2" xfId="23700"/>
    <cellStyle name="Normal 7 4 5 5 3" xfId="38743"/>
    <cellStyle name="Normal 7 4 5 6" xfId="16179"/>
    <cellStyle name="Normal 7 4 5 7" xfId="31222"/>
    <cellStyle name="Normal 7 4 6" xfId="1561"/>
    <cellStyle name="Normal 7 4 6 2" xfId="3432"/>
    <cellStyle name="Normal 7 4 6 2 2" xfId="7227"/>
    <cellStyle name="Normal 7 4 6 2 2 2" xfId="14750"/>
    <cellStyle name="Normal 7 4 6 2 2 2 2" xfId="29794"/>
    <cellStyle name="Normal 7 4 6 2 2 2 3" xfId="44837"/>
    <cellStyle name="Normal 7 4 6 2 2 3" xfId="22273"/>
    <cellStyle name="Normal 7 4 6 2 2 4" xfId="37316"/>
    <cellStyle name="Normal 7 4 6 2 3" xfId="11001"/>
    <cellStyle name="Normal 7 4 6 2 3 2" xfId="26045"/>
    <cellStyle name="Normal 7 4 6 2 3 3" xfId="41088"/>
    <cellStyle name="Normal 7 4 6 2 4" xfId="18524"/>
    <cellStyle name="Normal 7 4 6 2 5" xfId="33567"/>
    <cellStyle name="Normal 7 4 6 3" xfId="5362"/>
    <cellStyle name="Normal 7 4 6 3 2" xfId="12885"/>
    <cellStyle name="Normal 7 4 6 3 2 2" xfId="27929"/>
    <cellStyle name="Normal 7 4 6 3 2 3" xfId="42972"/>
    <cellStyle name="Normal 7 4 6 3 3" xfId="20408"/>
    <cellStyle name="Normal 7 4 6 3 4" xfId="35451"/>
    <cellStyle name="Normal 7 4 6 4" xfId="9136"/>
    <cellStyle name="Normal 7 4 6 4 2" xfId="24180"/>
    <cellStyle name="Normal 7 4 6 4 3" xfId="39223"/>
    <cellStyle name="Normal 7 4 6 5" xfId="16659"/>
    <cellStyle name="Normal 7 4 6 6" xfId="31702"/>
    <cellStyle name="Normal 7 4 7" xfId="2499"/>
    <cellStyle name="Normal 7 4 7 2" xfId="6295"/>
    <cellStyle name="Normal 7 4 7 2 2" xfId="13818"/>
    <cellStyle name="Normal 7 4 7 2 2 2" xfId="28862"/>
    <cellStyle name="Normal 7 4 7 2 2 3" xfId="43905"/>
    <cellStyle name="Normal 7 4 7 2 3" xfId="21341"/>
    <cellStyle name="Normal 7 4 7 2 4" xfId="36384"/>
    <cellStyle name="Normal 7 4 7 3" xfId="10069"/>
    <cellStyle name="Normal 7 4 7 3 2" xfId="25113"/>
    <cellStyle name="Normal 7 4 7 3 3" xfId="40156"/>
    <cellStyle name="Normal 7 4 7 4" xfId="17592"/>
    <cellStyle name="Normal 7 4 7 5" xfId="32635"/>
    <cellStyle name="Normal 7 4 8" xfId="4427"/>
    <cellStyle name="Normal 7 4 8 2" xfId="11951"/>
    <cellStyle name="Normal 7 4 8 2 2" xfId="26995"/>
    <cellStyle name="Normal 7 4 8 2 3" xfId="42038"/>
    <cellStyle name="Normal 7 4 8 3" xfId="19474"/>
    <cellStyle name="Normal 7 4 8 4" xfId="34517"/>
    <cellStyle name="Normal 7 4 9" xfId="8190"/>
    <cellStyle name="Normal 7 4 9 2" xfId="23234"/>
    <cellStyle name="Normal 7 4 9 3" xfId="38277"/>
    <cellStyle name="Normal 7 5" xfId="542"/>
    <cellStyle name="Normal 7 5 2" xfId="543"/>
    <cellStyle name="Normal 7 5 2 2" xfId="1061"/>
    <cellStyle name="Normal 7 5 2 2 2" xfId="2020"/>
    <cellStyle name="Normal 7 5 2 2 2 2" xfId="3891"/>
    <cellStyle name="Normal 7 5 2 2 2 2 2" xfId="7686"/>
    <cellStyle name="Normal 7 5 2 2 2 2 2 2" xfId="15209"/>
    <cellStyle name="Normal 7 5 2 2 2 2 2 2 2" xfId="30253"/>
    <cellStyle name="Normal 7 5 2 2 2 2 2 2 3" xfId="45296"/>
    <cellStyle name="Normal 7 5 2 2 2 2 2 3" xfId="22732"/>
    <cellStyle name="Normal 7 5 2 2 2 2 2 4" xfId="37775"/>
    <cellStyle name="Normal 7 5 2 2 2 2 3" xfId="11460"/>
    <cellStyle name="Normal 7 5 2 2 2 2 3 2" xfId="26504"/>
    <cellStyle name="Normal 7 5 2 2 2 2 3 3" xfId="41547"/>
    <cellStyle name="Normal 7 5 2 2 2 2 4" xfId="18983"/>
    <cellStyle name="Normal 7 5 2 2 2 2 5" xfId="34026"/>
    <cellStyle name="Normal 7 5 2 2 2 3" xfId="5821"/>
    <cellStyle name="Normal 7 5 2 2 2 3 2" xfId="13344"/>
    <cellStyle name="Normal 7 5 2 2 2 3 2 2" xfId="28388"/>
    <cellStyle name="Normal 7 5 2 2 2 3 2 3" xfId="43431"/>
    <cellStyle name="Normal 7 5 2 2 2 3 3" xfId="20867"/>
    <cellStyle name="Normal 7 5 2 2 2 3 4" xfId="35910"/>
    <cellStyle name="Normal 7 5 2 2 2 4" xfId="9595"/>
    <cellStyle name="Normal 7 5 2 2 2 4 2" xfId="24639"/>
    <cellStyle name="Normal 7 5 2 2 2 4 3" xfId="39682"/>
    <cellStyle name="Normal 7 5 2 2 2 5" xfId="17118"/>
    <cellStyle name="Normal 7 5 2 2 2 6" xfId="32161"/>
    <cellStyle name="Normal 7 5 2 2 3" xfId="2959"/>
    <cellStyle name="Normal 7 5 2 2 3 2" xfId="6754"/>
    <cellStyle name="Normal 7 5 2 2 3 2 2" xfId="14277"/>
    <cellStyle name="Normal 7 5 2 2 3 2 2 2" xfId="29321"/>
    <cellStyle name="Normal 7 5 2 2 3 2 2 3" xfId="44364"/>
    <cellStyle name="Normal 7 5 2 2 3 2 3" xfId="21800"/>
    <cellStyle name="Normal 7 5 2 2 3 2 4" xfId="36843"/>
    <cellStyle name="Normal 7 5 2 2 3 3" xfId="10528"/>
    <cellStyle name="Normal 7 5 2 2 3 3 2" xfId="25572"/>
    <cellStyle name="Normal 7 5 2 2 3 3 3" xfId="40615"/>
    <cellStyle name="Normal 7 5 2 2 3 4" xfId="18051"/>
    <cellStyle name="Normal 7 5 2 2 3 5" xfId="33094"/>
    <cellStyle name="Normal 7 5 2 2 4" xfId="4889"/>
    <cellStyle name="Normal 7 5 2 2 4 2" xfId="12412"/>
    <cellStyle name="Normal 7 5 2 2 4 2 2" xfId="27456"/>
    <cellStyle name="Normal 7 5 2 2 4 2 3" xfId="42499"/>
    <cellStyle name="Normal 7 5 2 2 4 3" xfId="19935"/>
    <cellStyle name="Normal 7 5 2 2 4 4" xfId="34978"/>
    <cellStyle name="Normal 7 5 2 2 5" xfId="8663"/>
    <cellStyle name="Normal 7 5 2 2 5 2" xfId="23707"/>
    <cellStyle name="Normal 7 5 2 2 5 3" xfId="38750"/>
    <cellStyle name="Normal 7 5 2 2 6" xfId="16186"/>
    <cellStyle name="Normal 7 5 2 2 7" xfId="31229"/>
    <cellStyle name="Normal 7 5 2 3" xfId="1568"/>
    <cellStyle name="Normal 7 5 2 3 2" xfId="3439"/>
    <cellStyle name="Normal 7 5 2 3 2 2" xfId="7234"/>
    <cellStyle name="Normal 7 5 2 3 2 2 2" xfId="14757"/>
    <cellStyle name="Normal 7 5 2 3 2 2 2 2" xfId="29801"/>
    <cellStyle name="Normal 7 5 2 3 2 2 2 3" xfId="44844"/>
    <cellStyle name="Normal 7 5 2 3 2 2 3" xfId="22280"/>
    <cellStyle name="Normal 7 5 2 3 2 2 4" xfId="37323"/>
    <cellStyle name="Normal 7 5 2 3 2 3" xfId="11008"/>
    <cellStyle name="Normal 7 5 2 3 2 3 2" xfId="26052"/>
    <cellStyle name="Normal 7 5 2 3 2 3 3" xfId="41095"/>
    <cellStyle name="Normal 7 5 2 3 2 4" xfId="18531"/>
    <cellStyle name="Normal 7 5 2 3 2 5" xfId="33574"/>
    <cellStyle name="Normal 7 5 2 3 3" xfId="5369"/>
    <cellStyle name="Normal 7 5 2 3 3 2" xfId="12892"/>
    <cellStyle name="Normal 7 5 2 3 3 2 2" xfId="27936"/>
    <cellStyle name="Normal 7 5 2 3 3 2 3" xfId="42979"/>
    <cellStyle name="Normal 7 5 2 3 3 3" xfId="20415"/>
    <cellStyle name="Normal 7 5 2 3 3 4" xfId="35458"/>
    <cellStyle name="Normal 7 5 2 3 4" xfId="9143"/>
    <cellStyle name="Normal 7 5 2 3 4 2" xfId="24187"/>
    <cellStyle name="Normal 7 5 2 3 4 3" xfId="39230"/>
    <cellStyle name="Normal 7 5 2 3 5" xfId="16666"/>
    <cellStyle name="Normal 7 5 2 3 6" xfId="31709"/>
    <cellStyle name="Normal 7 5 2 4" xfId="2506"/>
    <cellStyle name="Normal 7 5 2 4 2" xfId="6302"/>
    <cellStyle name="Normal 7 5 2 4 2 2" xfId="13825"/>
    <cellStyle name="Normal 7 5 2 4 2 2 2" xfId="28869"/>
    <cellStyle name="Normal 7 5 2 4 2 2 3" xfId="43912"/>
    <cellStyle name="Normal 7 5 2 4 2 3" xfId="21348"/>
    <cellStyle name="Normal 7 5 2 4 2 4" xfId="36391"/>
    <cellStyle name="Normal 7 5 2 4 3" xfId="10076"/>
    <cellStyle name="Normal 7 5 2 4 3 2" xfId="25120"/>
    <cellStyle name="Normal 7 5 2 4 3 3" xfId="40163"/>
    <cellStyle name="Normal 7 5 2 4 4" xfId="17599"/>
    <cellStyle name="Normal 7 5 2 4 5" xfId="32642"/>
    <cellStyle name="Normal 7 5 2 5" xfId="4434"/>
    <cellStyle name="Normal 7 5 2 5 2" xfId="11958"/>
    <cellStyle name="Normal 7 5 2 5 2 2" xfId="27002"/>
    <cellStyle name="Normal 7 5 2 5 2 3" xfId="42045"/>
    <cellStyle name="Normal 7 5 2 5 3" xfId="19481"/>
    <cellStyle name="Normal 7 5 2 5 4" xfId="34524"/>
    <cellStyle name="Normal 7 5 2 6" xfId="8197"/>
    <cellStyle name="Normal 7 5 2 6 2" xfId="23241"/>
    <cellStyle name="Normal 7 5 2 6 3" xfId="38284"/>
    <cellStyle name="Normal 7 5 2 7" xfId="15720"/>
    <cellStyle name="Normal 7 5 2 8" xfId="30763"/>
    <cellStyle name="Normal 7 5 3" xfId="1060"/>
    <cellStyle name="Normal 7 5 3 2" xfId="2019"/>
    <cellStyle name="Normal 7 5 3 2 2" xfId="3890"/>
    <cellStyle name="Normal 7 5 3 2 2 2" xfId="7685"/>
    <cellStyle name="Normal 7 5 3 2 2 2 2" xfId="15208"/>
    <cellStyle name="Normal 7 5 3 2 2 2 2 2" xfId="30252"/>
    <cellStyle name="Normal 7 5 3 2 2 2 2 3" xfId="45295"/>
    <cellStyle name="Normal 7 5 3 2 2 2 3" xfId="22731"/>
    <cellStyle name="Normal 7 5 3 2 2 2 4" xfId="37774"/>
    <cellStyle name="Normal 7 5 3 2 2 3" xfId="11459"/>
    <cellStyle name="Normal 7 5 3 2 2 3 2" xfId="26503"/>
    <cellStyle name="Normal 7 5 3 2 2 3 3" xfId="41546"/>
    <cellStyle name="Normal 7 5 3 2 2 4" xfId="18982"/>
    <cellStyle name="Normal 7 5 3 2 2 5" xfId="34025"/>
    <cellStyle name="Normal 7 5 3 2 3" xfId="5820"/>
    <cellStyle name="Normal 7 5 3 2 3 2" xfId="13343"/>
    <cellStyle name="Normal 7 5 3 2 3 2 2" xfId="28387"/>
    <cellStyle name="Normal 7 5 3 2 3 2 3" xfId="43430"/>
    <cellStyle name="Normal 7 5 3 2 3 3" xfId="20866"/>
    <cellStyle name="Normal 7 5 3 2 3 4" xfId="35909"/>
    <cellStyle name="Normal 7 5 3 2 4" xfId="9594"/>
    <cellStyle name="Normal 7 5 3 2 4 2" xfId="24638"/>
    <cellStyle name="Normal 7 5 3 2 4 3" xfId="39681"/>
    <cellStyle name="Normal 7 5 3 2 5" xfId="17117"/>
    <cellStyle name="Normal 7 5 3 2 6" xfId="32160"/>
    <cellStyle name="Normal 7 5 3 3" xfId="2958"/>
    <cellStyle name="Normal 7 5 3 3 2" xfId="6753"/>
    <cellStyle name="Normal 7 5 3 3 2 2" xfId="14276"/>
    <cellStyle name="Normal 7 5 3 3 2 2 2" xfId="29320"/>
    <cellStyle name="Normal 7 5 3 3 2 2 3" xfId="44363"/>
    <cellStyle name="Normal 7 5 3 3 2 3" xfId="21799"/>
    <cellStyle name="Normal 7 5 3 3 2 4" xfId="36842"/>
    <cellStyle name="Normal 7 5 3 3 3" xfId="10527"/>
    <cellStyle name="Normal 7 5 3 3 3 2" xfId="25571"/>
    <cellStyle name="Normal 7 5 3 3 3 3" xfId="40614"/>
    <cellStyle name="Normal 7 5 3 3 4" xfId="18050"/>
    <cellStyle name="Normal 7 5 3 3 5" xfId="33093"/>
    <cellStyle name="Normal 7 5 3 4" xfId="4888"/>
    <cellStyle name="Normal 7 5 3 4 2" xfId="12411"/>
    <cellStyle name="Normal 7 5 3 4 2 2" xfId="27455"/>
    <cellStyle name="Normal 7 5 3 4 2 3" xfId="42498"/>
    <cellStyle name="Normal 7 5 3 4 3" xfId="19934"/>
    <cellStyle name="Normal 7 5 3 4 4" xfId="34977"/>
    <cellStyle name="Normal 7 5 3 5" xfId="8662"/>
    <cellStyle name="Normal 7 5 3 5 2" xfId="23706"/>
    <cellStyle name="Normal 7 5 3 5 3" xfId="38749"/>
    <cellStyle name="Normal 7 5 3 6" xfId="16185"/>
    <cellStyle name="Normal 7 5 3 7" xfId="31228"/>
    <cellStyle name="Normal 7 5 4" xfId="1567"/>
    <cellStyle name="Normal 7 5 4 2" xfId="3438"/>
    <cellStyle name="Normal 7 5 4 2 2" xfId="7233"/>
    <cellStyle name="Normal 7 5 4 2 2 2" xfId="14756"/>
    <cellStyle name="Normal 7 5 4 2 2 2 2" xfId="29800"/>
    <cellStyle name="Normal 7 5 4 2 2 2 3" xfId="44843"/>
    <cellStyle name="Normal 7 5 4 2 2 3" xfId="22279"/>
    <cellStyle name="Normal 7 5 4 2 2 4" xfId="37322"/>
    <cellStyle name="Normal 7 5 4 2 3" xfId="11007"/>
    <cellStyle name="Normal 7 5 4 2 3 2" xfId="26051"/>
    <cellStyle name="Normal 7 5 4 2 3 3" xfId="41094"/>
    <cellStyle name="Normal 7 5 4 2 4" xfId="18530"/>
    <cellStyle name="Normal 7 5 4 2 5" xfId="33573"/>
    <cellStyle name="Normal 7 5 4 3" xfId="5368"/>
    <cellStyle name="Normal 7 5 4 3 2" xfId="12891"/>
    <cellStyle name="Normal 7 5 4 3 2 2" xfId="27935"/>
    <cellStyle name="Normal 7 5 4 3 2 3" xfId="42978"/>
    <cellStyle name="Normal 7 5 4 3 3" xfId="20414"/>
    <cellStyle name="Normal 7 5 4 3 4" xfId="35457"/>
    <cellStyle name="Normal 7 5 4 4" xfId="9142"/>
    <cellStyle name="Normal 7 5 4 4 2" xfId="24186"/>
    <cellStyle name="Normal 7 5 4 4 3" xfId="39229"/>
    <cellStyle name="Normal 7 5 4 5" xfId="16665"/>
    <cellStyle name="Normal 7 5 4 6" xfId="31708"/>
    <cellStyle name="Normal 7 5 5" xfId="2505"/>
    <cellStyle name="Normal 7 5 5 2" xfId="6301"/>
    <cellStyle name="Normal 7 5 5 2 2" xfId="13824"/>
    <cellStyle name="Normal 7 5 5 2 2 2" xfId="28868"/>
    <cellStyle name="Normal 7 5 5 2 2 3" xfId="43911"/>
    <cellStyle name="Normal 7 5 5 2 3" xfId="21347"/>
    <cellStyle name="Normal 7 5 5 2 4" xfId="36390"/>
    <cellStyle name="Normal 7 5 5 3" xfId="10075"/>
    <cellStyle name="Normal 7 5 5 3 2" xfId="25119"/>
    <cellStyle name="Normal 7 5 5 3 3" xfId="40162"/>
    <cellStyle name="Normal 7 5 5 4" xfId="17598"/>
    <cellStyle name="Normal 7 5 5 5" xfId="32641"/>
    <cellStyle name="Normal 7 5 6" xfId="4433"/>
    <cellStyle name="Normal 7 5 6 2" xfId="11957"/>
    <cellStyle name="Normal 7 5 6 2 2" xfId="27001"/>
    <cellStyle name="Normal 7 5 6 2 3" xfId="42044"/>
    <cellStyle name="Normal 7 5 6 3" xfId="19480"/>
    <cellStyle name="Normal 7 5 6 4" xfId="34523"/>
    <cellStyle name="Normal 7 5 7" xfId="8196"/>
    <cellStyle name="Normal 7 5 7 2" xfId="23240"/>
    <cellStyle name="Normal 7 5 7 3" xfId="38283"/>
    <cellStyle name="Normal 7 5 8" xfId="15719"/>
    <cellStyle name="Normal 7 5 9" xfId="30762"/>
    <cellStyle name="Normal 7 6" xfId="544"/>
    <cellStyle name="Normal 7 6 2" xfId="545"/>
    <cellStyle name="Normal 7 6 2 2" xfId="1063"/>
    <cellStyle name="Normal 7 6 2 2 2" xfId="2022"/>
    <cellStyle name="Normal 7 6 2 2 2 2" xfId="3893"/>
    <cellStyle name="Normal 7 6 2 2 2 2 2" xfId="7688"/>
    <cellStyle name="Normal 7 6 2 2 2 2 2 2" xfId="15211"/>
    <cellStyle name="Normal 7 6 2 2 2 2 2 2 2" xfId="30255"/>
    <cellStyle name="Normal 7 6 2 2 2 2 2 2 3" xfId="45298"/>
    <cellStyle name="Normal 7 6 2 2 2 2 2 3" xfId="22734"/>
    <cellStyle name="Normal 7 6 2 2 2 2 2 4" xfId="37777"/>
    <cellStyle name="Normal 7 6 2 2 2 2 3" xfId="11462"/>
    <cellStyle name="Normal 7 6 2 2 2 2 3 2" xfId="26506"/>
    <cellStyle name="Normal 7 6 2 2 2 2 3 3" xfId="41549"/>
    <cellStyle name="Normal 7 6 2 2 2 2 4" xfId="18985"/>
    <cellStyle name="Normal 7 6 2 2 2 2 5" xfId="34028"/>
    <cellStyle name="Normal 7 6 2 2 2 3" xfId="5823"/>
    <cellStyle name="Normal 7 6 2 2 2 3 2" xfId="13346"/>
    <cellStyle name="Normal 7 6 2 2 2 3 2 2" xfId="28390"/>
    <cellStyle name="Normal 7 6 2 2 2 3 2 3" xfId="43433"/>
    <cellStyle name="Normal 7 6 2 2 2 3 3" xfId="20869"/>
    <cellStyle name="Normal 7 6 2 2 2 3 4" xfId="35912"/>
    <cellStyle name="Normal 7 6 2 2 2 4" xfId="9597"/>
    <cellStyle name="Normal 7 6 2 2 2 4 2" xfId="24641"/>
    <cellStyle name="Normal 7 6 2 2 2 4 3" xfId="39684"/>
    <cellStyle name="Normal 7 6 2 2 2 5" xfId="17120"/>
    <cellStyle name="Normal 7 6 2 2 2 6" xfId="32163"/>
    <cellStyle name="Normal 7 6 2 2 3" xfId="2961"/>
    <cellStyle name="Normal 7 6 2 2 3 2" xfId="6756"/>
    <cellStyle name="Normal 7 6 2 2 3 2 2" xfId="14279"/>
    <cellStyle name="Normal 7 6 2 2 3 2 2 2" xfId="29323"/>
    <cellStyle name="Normal 7 6 2 2 3 2 2 3" xfId="44366"/>
    <cellStyle name="Normal 7 6 2 2 3 2 3" xfId="21802"/>
    <cellStyle name="Normal 7 6 2 2 3 2 4" xfId="36845"/>
    <cellStyle name="Normal 7 6 2 2 3 3" xfId="10530"/>
    <cellStyle name="Normal 7 6 2 2 3 3 2" xfId="25574"/>
    <cellStyle name="Normal 7 6 2 2 3 3 3" xfId="40617"/>
    <cellStyle name="Normal 7 6 2 2 3 4" xfId="18053"/>
    <cellStyle name="Normal 7 6 2 2 3 5" xfId="33096"/>
    <cellStyle name="Normal 7 6 2 2 4" xfId="4891"/>
    <cellStyle name="Normal 7 6 2 2 4 2" xfId="12414"/>
    <cellStyle name="Normal 7 6 2 2 4 2 2" xfId="27458"/>
    <cellStyle name="Normal 7 6 2 2 4 2 3" xfId="42501"/>
    <cellStyle name="Normal 7 6 2 2 4 3" xfId="19937"/>
    <cellStyle name="Normal 7 6 2 2 4 4" xfId="34980"/>
    <cellStyle name="Normal 7 6 2 2 5" xfId="8665"/>
    <cellStyle name="Normal 7 6 2 2 5 2" xfId="23709"/>
    <cellStyle name="Normal 7 6 2 2 5 3" xfId="38752"/>
    <cellStyle name="Normal 7 6 2 2 6" xfId="16188"/>
    <cellStyle name="Normal 7 6 2 2 7" xfId="31231"/>
    <cellStyle name="Normal 7 6 2 3" xfId="1570"/>
    <cellStyle name="Normal 7 6 2 3 2" xfId="3441"/>
    <cellStyle name="Normal 7 6 2 3 2 2" xfId="7236"/>
    <cellStyle name="Normal 7 6 2 3 2 2 2" xfId="14759"/>
    <cellStyle name="Normal 7 6 2 3 2 2 2 2" xfId="29803"/>
    <cellStyle name="Normal 7 6 2 3 2 2 2 3" xfId="44846"/>
    <cellStyle name="Normal 7 6 2 3 2 2 3" xfId="22282"/>
    <cellStyle name="Normal 7 6 2 3 2 2 4" xfId="37325"/>
    <cellStyle name="Normal 7 6 2 3 2 3" xfId="11010"/>
    <cellStyle name="Normal 7 6 2 3 2 3 2" xfId="26054"/>
    <cellStyle name="Normal 7 6 2 3 2 3 3" xfId="41097"/>
    <cellStyle name="Normal 7 6 2 3 2 4" xfId="18533"/>
    <cellStyle name="Normal 7 6 2 3 2 5" xfId="33576"/>
    <cellStyle name="Normal 7 6 2 3 3" xfId="5371"/>
    <cellStyle name="Normal 7 6 2 3 3 2" xfId="12894"/>
    <cellStyle name="Normal 7 6 2 3 3 2 2" xfId="27938"/>
    <cellStyle name="Normal 7 6 2 3 3 2 3" xfId="42981"/>
    <cellStyle name="Normal 7 6 2 3 3 3" xfId="20417"/>
    <cellStyle name="Normal 7 6 2 3 3 4" xfId="35460"/>
    <cellStyle name="Normal 7 6 2 3 4" xfId="9145"/>
    <cellStyle name="Normal 7 6 2 3 4 2" xfId="24189"/>
    <cellStyle name="Normal 7 6 2 3 4 3" xfId="39232"/>
    <cellStyle name="Normal 7 6 2 3 5" xfId="16668"/>
    <cellStyle name="Normal 7 6 2 3 6" xfId="31711"/>
    <cellStyle name="Normal 7 6 2 4" xfId="2508"/>
    <cellStyle name="Normal 7 6 2 4 2" xfId="6304"/>
    <cellStyle name="Normal 7 6 2 4 2 2" xfId="13827"/>
    <cellStyle name="Normal 7 6 2 4 2 2 2" xfId="28871"/>
    <cellStyle name="Normal 7 6 2 4 2 2 3" xfId="43914"/>
    <cellStyle name="Normal 7 6 2 4 2 3" xfId="21350"/>
    <cellStyle name="Normal 7 6 2 4 2 4" xfId="36393"/>
    <cellStyle name="Normal 7 6 2 4 3" xfId="10078"/>
    <cellStyle name="Normal 7 6 2 4 3 2" xfId="25122"/>
    <cellStyle name="Normal 7 6 2 4 3 3" xfId="40165"/>
    <cellStyle name="Normal 7 6 2 4 4" xfId="17601"/>
    <cellStyle name="Normal 7 6 2 4 5" xfId="32644"/>
    <cellStyle name="Normal 7 6 2 5" xfId="4436"/>
    <cellStyle name="Normal 7 6 2 5 2" xfId="11960"/>
    <cellStyle name="Normal 7 6 2 5 2 2" xfId="27004"/>
    <cellStyle name="Normal 7 6 2 5 2 3" xfId="42047"/>
    <cellStyle name="Normal 7 6 2 5 3" xfId="19483"/>
    <cellStyle name="Normal 7 6 2 5 4" xfId="34526"/>
    <cellStyle name="Normal 7 6 2 6" xfId="8199"/>
    <cellStyle name="Normal 7 6 2 6 2" xfId="23243"/>
    <cellStyle name="Normal 7 6 2 6 3" xfId="38286"/>
    <cellStyle name="Normal 7 6 2 7" xfId="15722"/>
    <cellStyle name="Normal 7 6 2 8" xfId="30765"/>
    <cellStyle name="Normal 7 6 3" xfId="1062"/>
    <cellStyle name="Normal 7 6 3 2" xfId="2021"/>
    <cellStyle name="Normal 7 6 3 2 2" xfId="3892"/>
    <cellStyle name="Normal 7 6 3 2 2 2" xfId="7687"/>
    <cellStyle name="Normal 7 6 3 2 2 2 2" xfId="15210"/>
    <cellStyle name="Normal 7 6 3 2 2 2 2 2" xfId="30254"/>
    <cellStyle name="Normal 7 6 3 2 2 2 2 3" xfId="45297"/>
    <cellStyle name="Normal 7 6 3 2 2 2 3" xfId="22733"/>
    <cellStyle name="Normal 7 6 3 2 2 2 4" xfId="37776"/>
    <cellStyle name="Normal 7 6 3 2 2 3" xfId="11461"/>
    <cellStyle name="Normal 7 6 3 2 2 3 2" xfId="26505"/>
    <cellStyle name="Normal 7 6 3 2 2 3 3" xfId="41548"/>
    <cellStyle name="Normal 7 6 3 2 2 4" xfId="18984"/>
    <cellStyle name="Normal 7 6 3 2 2 5" xfId="34027"/>
    <cellStyle name="Normal 7 6 3 2 3" xfId="5822"/>
    <cellStyle name="Normal 7 6 3 2 3 2" xfId="13345"/>
    <cellStyle name="Normal 7 6 3 2 3 2 2" xfId="28389"/>
    <cellStyle name="Normal 7 6 3 2 3 2 3" xfId="43432"/>
    <cellStyle name="Normal 7 6 3 2 3 3" xfId="20868"/>
    <cellStyle name="Normal 7 6 3 2 3 4" xfId="35911"/>
    <cellStyle name="Normal 7 6 3 2 4" xfId="9596"/>
    <cellStyle name="Normal 7 6 3 2 4 2" xfId="24640"/>
    <cellStyle name="Normal 7 6 3 2 4 3" xfId="39683"/>
    <cellStyle name="Normal 7 6 3 2 5" xfId="17119"/>
    <cellStyle name="Normal 7 6 3 2 6" xfId="32162"/>
    <cellStyle name="Normal 7 6 3 3" xfId="2960"/>
    <cellStyle name="Normal 7 6 3 3 2" xfId="6755"/>
    <cellStyle name="Normal 7 6 3 3 2 2" xfId="14278"/>
    <cellStyle name="Normal 7 6 3 3 2 2 2" xfId="29322"/>
    <cellStyle name="Normal 7 6 3 3 2 2 3" xfId="44365"/>
    <cellStyle name="Normal 7 6 3 3 2 3" xfId="21801"/>
    <cellStyle name="Normal 7 6 3 3 2 4" xfId="36844"/>
    <cellStyle name="Normal 7 6 3 3 3" xfId="10529"/>
    <cellStyle name="Normal 7 6 3 3 3 2" xfId="25573"/>
    <cellStyle name="Normal 7 6 3 3 3 3" xfId="40616"/>
    <cellStyle name="Normal 7 6 3 3 4" xfId="18052"/>
    <cellStyle name="Normal 7 6 3 3 5" xfId="33095"/>
    <cellStyle name="Normal 7 6 3 4" xfId="4890"/>
    <cellStyle name="Normal 7 6 3 4 2" xfId="12413"/>
    <cellStyle name="Normal 7 6 3 4 2 2" xfId="27457"/>
    <cellStyle name="Normal 7 6 3 4 2 3" xfId="42500"/>
    <cellStyle name="Normal 7 6 3 4 3" xfId="19936"/>
    <cellStyle name="Normal 7 6 3 4 4" xfId="34979"/>
    <cellStyle name="Normal 7 6 3 5" xfId="8664"/>
    <cellStyle name="Normal 7 6 3 5 2" xfId="23708"/>
    <cellStyle name="Normal 7 6 3 5 3" xfId="38751"/>
    <cellStyle name="Normal 7 6 3 6" xfId="16187"/>
    <cellStyle name="Normal 7 6 3 7" xfId="31230"/>
    <cellStyle name="Normal 7 6 4" xfId="1569"/>
    <cellStyle name="Normal 7 6 4 2" xfId="3440"/>
    <cellStyle name="Normal 7 6 4 2 2" xfId="7235"/>
    <cellStyle name="Normal 7 6 4 2 2 2" xfId="14758"/>
    <cellStyle name="Normal 7 6 4 2 2 2 2" xfId="29802"/>
    <cellStyle name="Normal 7 6 4 2 2 2 3" xfId="44845"/>
    <cellStyle name="Normal 7 6 4 2 2 3" xfId="22281"/>
    <cellStyle name="Normal 7 6 4 2 2 4" xfId="37324"/>
    <cellStyle name="Normal 7 6 4 2 3" xfId="11009"/>
    <cellStyle name="Normal 7 6 4 2 3 2" xfId="26053"/>
    <cellStyle name="Normal 7 6 4 2 3 3" xfId="41096"/>
    <cellStyle name="Normal 7 6 4 2 4" xfId="18532"/>
    <cellStyle name="Normal 7 6 4 2 5" xfId="33575"/>
    <cellStyle name="Normal 7 6 4 3" xfId="5370"/>
    <cellStyle name="Normal 7 6 4 3 2" xfId="12893"/>
    <cellStyle name="Normal 7 6 4 3 2 2" xfId="27937"/>
    <cellStyle name="Normal 7 6 4 3 2 3" xfId="42980"/>
    <cellStyle name="Normal 7 6 4 3 3" xfId="20416"/>
    <cellStyle name="Normal 7 6 4 3 4" xfId="35459"/>
    <cellStyle name="Normal 7 6 4 4" xfId="9144"/>
    <cellStyle name="Normal 7 6 4 4 2" xfId="24188"/>
    <cellStyle name="Normal 7 6 4 4 3" xfId="39231"/>
    <cellStyle name="Normal 7 6 4 5" xfId="16667"/>
    <cellStyle name="Normal 7 6 4 6" xfId="31710"/>
    <cellStyle name="Normal 7 6 5" xfId="2507"/>
    <cellStyle name="Normal 7 6 5 2" xfId="6303"/>
    <cellStyle name="Normal 7 6 5 2 2" xfId="13826"/>
    <cellStyle name="Normal 7 6 5 2 2 2" xfId="28870"/>
    <cellStyle name="Normal 7 6 5 2 2 3" xfId="43913"/>
    <cellStyle name="Normal 7 6 5 2 3" xfId="21349"/>
    <cellStyle name="Normal 7 6 5 2 4" xfId="36392"/>
    <cellStyle name="Normal 7 6 5 3" xfId="10077"/>
    <cellStyle name="Normal 7 6 5 3 2" xfId="25121"/>
    <cellStyle name="Normal 7 6 5 3 3" xfId="40164"/>
    <cellStyle name="Normal 7 6 5 4" xfId="17600"/>
    <cellStyle name="Normal 7 6 5 5" xfId="32643"/>
    <cellStyle name="Normal 7 6 6" xfId="4435"/>
    <cellStyle name="Normal 7 6 6 2" xfId="11959"/>
    <cellStyle name="Normal 7 6 6 2 2" xfId="27003"/>
    <cellStyle name="Normal 7 6 6 2 3" xfId="42046"/>
    <cellStyle name="Normal 7 6 6 3" xfId="19482"/>
    <cellStyle name="Normal 7 6 6 4" xfId="34525"/>
    <cellStyle name="Normal 7 6 7" xfId="8198"/>
    <cellStyle name="Normal 7 6 7 2" xfId="23242"/>
    <cellStyle name="Normal 7 6 7 3" xfId="38285"/>
    <cellStyle name="Normal 7 6 8" xfId="15721"/>
    <cellStyle name="Normal 7 6 9" xfId="30764"/>
    <cellStyle name="Normal 7 7" xfId="546"/>
    <cellStyle name="Normal 7 8" xfId="602"/>
    <cellStyle name="Normal 70" xfId="45458"/>
    <cellStyle name="Normal 70 2" xfId="45470"/>
    <cellStyle name="Normal 70 3" xfId="45484"/>
    <cellStyle name="Normal 71" xfId="45492"/>
    <cellStyle name="Normal 72" xfId="45493"/>
    <cellStyle name="Normal 73" xfId="45495"/>
    <cellStyle name="Normal 74" xfId="45497"/>
    <cellStyle name="Normal 75" xfId="45499"/>
    <cellStyle name="Normal 8" xfId="547"/>
    <cellStyle name="Normal 9" xfId="548"/>
    <cellStyle name="Normal 9 10" xfId="4437"/>
    <cellStyle name="Normal 9 10 2" xfId="11961"/>
    <cellStyle name="Normal 9 10 2 2" xfId="27005"/>
    <cellStyle name="Normal 9 10 2 3" xfId="42048"/>
    <cellStyle name="Normal 9 10 3" xfId="19484"/>
    <cellStyle name="Normal 9 10 4" xfId="34527"/>
    <cellStyle name="Normal 9 11" xfId="8200"/>
    <cellStyle name="Normal 9 11 2" xfId="23244"/>
    <cellStyle name="Normal 9 11 3" xfId="38287"/>
    <cellStyle name="Normal 9 12" xfId="15723"/>
    <cellStyle name="Normal 9 13" xfId="30766"/>
    <cellStyle name="Normal 9 2" xfId="549"/>
    <cellStyle name="Normal 9 2 10" xfId="8201"/>
    <cellStyle name="Normal 9 2 10 2" xfId="23245"/>
    <cellStyle name="Normal 9 2 10 3" xfId="38288"/>
    <cellStyle name="Normal 9 2 11" xfId="15724"/>
    <cellStyle name="Normal 9 2 12" xfId="30767"/>
    <cellStyle name="Normal 9 2 2" xfId="550"/>
    <cellStyle name="Normal 9 2 2 10" xfId="15725"/>
    <cellStyle name="Normal 9 2 2 11" xfId="30768"/>
    <cellStyle name="Normal 9 2 2 2" xfId="551"/>
    <cellStyle name="Normal 9 2 2 2 2" xfId="552"/>
    <cellStyle name="Normal 9 2 2 2 2 2" xfId="1068"/>
    <cellStyle name="Normal 9 2 2 2 2 2 2" xfId="2027"/>
    <cellStyle name="Normal 9 2 2 2 2 2 2 2" xfId="3898"/>
    <cellStyle name="Normal 9 2 2 2 2 2 2 2 2" xfId="7693"/>
    <cellStyle name="Normal 9 2 2 2 2 2 2 2 2 2" xfId="15216"/>
    <cellStyle name="Normal 9 2 2 2 2 2 2 2 2 2 2" xfId="30260"/>
    <cellStyle name="Normal 9 2 2 2 2 2 2 2 2 2 3" xfId="45303"/>
    <cellStyle name="Normal 9 2 2 2 2 2 2 2 2 3" xfId="22739"/>
    <cellStyle name="Normal 9 2 2 2 2 2 2 2 2 4" xfId="37782"/>
    <cellStyle name="Normal 9 2 2 2 2 2 2 2 3" xfId="11467"/>
    <cellStyle name="Normal 9 2 2 2 2 2 2 2 3 2" xfId="26511"/>
    <cellStyle name="Normal 9 2 2 2 2 2 2 2 3 3" xfId="41554"/>
    <cellStyle name="Normal 9 2 2 2 2 2 2 2 4" xfId="18990"/>
    <cellStyle name="Normal 9 2 2 2 2 2 2 2 5" xfId="34033"/>
    <cellStyle name="Normal 9 2 2 2 2 2 2 3" xfId="5828"/>
    <cellStyle name="Normal 9 2 2 2 2 2 2 3 2" xfId="13351"/>
    <cellStyle name="Normal 9 2 2 2 2 2 2 3 2 2" xfId="28395"/>
    <cellStyle name="Normal 9 2 2 2 2 2 2 3 2 3" xfId="43438"/>
    <cellStyle name="Normal 9 2 2 2 2 2 2 3 3" xfId="20874"/>
    <cellStyle name="Normal 9 2 2 2 2 2 2 3 4" xfId="35917"/>
    <cellStyle name="Normal 9 2 2 2 2 2 2 4" xfId="9602"/>
    <cellStyle name="Normal 9 2 2 2 2 2 2 4 2" xfId="24646"/>
    <cellStyle name="Normal 9 2 2 2 2 2 2 4 3" xfId="39689"/>
    <cellStyle name="Normal 9 2 2 2 2 2 2 5" xfId="17125"/>
    <cellStyle name="Normal 9 2 2 2 2 2 2 6" xfId="32168"/>
    <cellStyle name="Normal 9 2 2 2 2 2 3" xfId="2966"/>
    <cellStyle name="Normal 9 2 2 2 2 2 3 2" xfId="6761"/>
    <cellStyle name="Normal 9 2 2 2 2 2 3 2 2" xfId="14284"/>
    <cellStyle name="Normal 9 2 2 2 2 2 3 2 2 2" xfId="29328"/>
    <cellStyle name="Normal 9 2 2 2 2 2 3 2 2 3" xfId="44371"/>
    <cellStyle name="Normal 9 2 2 2 2 2 3 2 3" xfId="21807"/>
    <cellStyle name="Normal 9 2 2 2 2 2 3 2 4" xfId="36850"/>
    <cellStyle name="Normal 9 2 2 2 2 2 3 3" xfId="10535"/>
    <cellStyle name="Normal 9 2 2 2 2 2 3 3 2" xfId="25579"/>
    <cellStyle name="Normal 9 2 2 2 2 2 3 3 3" xfId="40622"/>
    <cellStyle name="Normal 9 2 2 2 2 2 3 4" xfId="18058"/>
    <cellStyle name="Normal 9 2 2 2 2 2 3 5" xfId="33101"/>
    <cellStyle name="Normal 9 2 2 2 2 2 4" xfId="4896"/>
    <cellStyle name="Normal 9 2 2 2 2 2 4 2" xfId="12419"/>
    <cellStyle name="Normal 9 2 2 2 2 2 4 2 2" xfId="27463"/>
    <cellStyle name="Normal 9 2 2 2 2 2 4 2 3" xfId="42506"/>
    <cellStyle name="Normal 9 2 2 2 2 2 4 3" xfId="19942"/>
    <cellStyle name="Normal 9 2 2 2 2 2 4 4" xfId="34985"/>
    <cellStyle name="Normal 9 2 2 2 2 2 5" xfId="8670"/>
    <cellStyle name="Normal 9 2 2 2 2 2 5 2" xfId="23714"/>
    <cellStyle name="Normal 9 2 2 2 2 2 5 3" xfId="38757"/>
    <cellStyle name="Normal 9 2 2 2 2 2 6" xfId="16193"/>
    <cellStyle name="Normal 9 2 2 2 2 2 7" xfId="31236"/>
    <cellStyle name="Normal 9 2 2 2 2 3" xfId="1575"/>
    <cellStyle name="Normal 9 2 2 2 2 3 2" xfId="3446"/>
    <cellStyle name="Normal 9 2 2 2 2 3 2 2" xfId="7241"/>
    <cellStyle name="Normal 9 2 2 2 2 3 2 2 2" xfId="14764"/>
    <cellStyle name="Normal 9 2 2 2 2 3 2 2 2 2" xfId="29808"/>
    <cellStyle name="Normal 9 2 2 2 2 3 2 2 2 3" xfId="44851"/>
    <cellStyle name="Normal 9 2 2 2 2 3 2 2 3" xfId="22287"/>
    <cellStyle name="Normal 9 2 2 2 2 3 2 2 4" xfId="37330"/>
    <cellStyle name="Normal 9 2 2 2 2 3 2 3" xfId="11015"/>
    <cellStyle name="Normal 9 2 2 2 2 3 2 3 2" xfId="26059"/>
    <cellStyle name="Normal 9 2 2 2 2 3 2 3 3" xfId="41102"/>
    <cellStyle name="Normal 9 2 2 2 2 3 2 4" xfId="18538"/>
    <cellStyle name="Normal 9 2 2 2 2 3 2 5" xfId="33581"/>
    <cellStyle name="Normal 9 2 2 2 2 3 3" xfId="5376"/>
    <cellStyle name="Normal 9 2 2 2 2 3 3 2" xfId="12899"/>
    <cellStyle name="Normal 9 2 2 2 2 3 3 2 2" xfId="27943"/>
    <cellStyle name="Normal 9 2 2 2 2 3 3 2 3" xfId="42986"/>
    <cellStyle name="Normal 9 2 2 2 2 3 3 3" xfId="20422"/>
    <cellStyle name="Normal 9 2 2 2 2 3 3 4" xfId="35465"/>
    <cellStyle name="Normal 9 2 2 2 2 3 4" xfId="9150"/>
    <cellStyle name="Normal 9 2 2 2 2 3 4 2" xfId="24194"/>
    <cellStyle name="Normal 9 2 2 2 2 3 4 3" xfId="39237"/>
    <cellStyle name="Normal 9 2 2 2 2 3 5" xfId="16673"/>
    <cellStyle name="Normal 9 2 2 2 2 3 6" xfId="31716"/>
    <cellStyle name="Normal 9 2 2 2 2 4" xfId="2513"/>
    <cellStyle name="Normal 9 2 2 2 2 4 2" xfId="6309"/>
    <cellStyle name="Normal 9 2 2 2 2 4 2 2" xfId="13832"/>
    <cellStyle name="Normal 9 2 2 2 2 4 2 2 2" xfId="28876"/>
    <cellStyle name="Normal 9 2 2 2 2 4 2 2 3" xfId="43919"/>
    <cellStyle name="Normal 9 2 2 2 2 4 2 3" xfId="21355"/>
    <cellStyle name="Normal 9 2 2 2 2 4 2 4" xfId="36398"/>
    <cellStyle name="Normal 9 2 2 2 2 4 3" xfId="10083"/>
    <cellStyle name="Normal 9 2 2 2 2 4 3 2" xfId="25127"/>
    <cellStyle name="Normal 9 2 2 2 2 4 3 3" xfId="40170"/>
    <cellStyle name="Normal 9 2 2 2 2 4 4" xfId="17606"/>
    <cellStyle name="Normal 9 2 2 2 2 4 5" xfId="32649"/>
    <cellStyle name="Normal 9 2 2 2 2 5" xfId="4441"/>
    <cellStyle name="Normal 9 2 2 2 2 5 2" xfId="11965"/>
    <cellStyle name="Normal 9 2 2 2 2 5 2 2" xfId="27009"/>
    <cellStyle name="Normal 9 2 2 2 2 5 2 3" xfId="42052"/>
    <cellStyle name="Normal 9 2 2 2 2 5 3" xfId="19488"/>
    <cellStyle name="Normal 9 2 2 2 2 5 4" xfId="34531"/>
    <cellStyle name="Normal 9 2 2 2 2 6" xfId="8204"/>
    <cellStyle name="Normal 9 2 2 2 2 6 2" xfId="23248"/>
    <cellStyle name="Normal 9 2 2 2 2 6 3" xfId="38291"/>
    <cellStyle name="Normal 9 2 2 2 2 7" xfId="15727"/>
    <cellStyle name="Normal 9 2 2 2 2 8" xfId="30770"/>
    <cellStyle name="Normal 9 2 2 2 3" xfId="1067"/>
    <cellStyle name="Normal 9 2 2 2 3 2" xfId="2026"/>
    <cellStyle name="Normal 9 2 2 2 3 2 2" xfId="3897"/>
    <cellStyle name="Normal 9 2 2 2 3 2 2 2" xfId="7692"/>
    <cellStyle name="Normal 9 2 2 2 3 2 2 2 2" xfId="15215"/>
    <cellStyle name="Normal 9 2 2 2 3 2 2 2 2 2" xfId="30259"/>
    <cellStyle name="Normal 9 2 2 2 3 2 2 2 2 3" xfId="45302"/>
    <cellStyle name="Normal 9 2 2 2 3 2 2 2 3" xfId="22738"/>
    <cellStyle name="Normal 9 2 2 2 3 2 2 2 4" xfId="37781"/>
    <cellStyle name="Normal 9 2 2 2 3 2 2 3" xfId="11466"/>
    <cellStyle name="Normal 9 2 2 2 3 2 2 3 2" xfId="26510"/>
    <cellStyle name="Normal 9 2 2 2 3 2 2 3 3" xfId="41553"/>
    <cellStyle name="Normal 9 2 2 2 3 2 2 4" xfId="18989"/>
    <cellStyle name="Normal 9 2 2 2 3 2 2 5" xfId="34032"/>
    <cellStyle name="Normal 9 2 2 2 3 2 3" xfId="5827"/>
    <cellStyle name="Normal 9 2 2 2 3 2 3 2" xfId="13350"/>
    <cellStyle name="Normal 9 2 2 2 3 2 3 2 2" xfId="28394"/>
    <cellStyle name="Normal 9 2 2 2 3 2 3 2 3" xfId="43437"/>
    <cellStyle name="Normal 9 2 2 2 3 2 3 3" xfId="20873"/>
    <cellStyle name="Normal 9 2 2 2 3 2 3 4" xfId="35916"/>
    <cellStyle name="Normal 9 2 2 2 3 2 4" xfId="9601"/>
    <cellStyle name="Normal 9 2 2 2 3 2 4 2" xfId="24645"/>
    <cellStyle name="Normal 9 2 2 2 3 2 4 3" xfId="39688"/>
    <cellStyle name="Normal 9 2 2 2 3 2 5" xfId="17124"/>
    <cellStyle name="Normal 9 2 2 2 3 2 6" xfId="32167"/>
    <cellStyle name="Normal 9 2 2 2 3 3" xfId="2965"/>
    <cellStyle name="Normal 9 2 2 2 3 3 2" xfId="6760"/>
    <cellStyle name="Normal 9 2 2 2 3 3 2 2" xfId="14283"/>
    <cellStyle name="Normal 9 2 2 2 3 3 2 2 2" xfId="29327"/>
    <cellStyle name="Normal 9 2 2 2 3 3 2 2 3" xfId="44370"/>
    <cellStyle name="Normal 9 2 2 2 3 3 2 3" xfId="21806"/>
    <cellStyle name="Normal 9 2 2 2 3 3 2 4" xfId="36849"/>
    <cellStyle name="Normal 9 2 2 2 3 3 3" xfId="10534"/>
    <cellStyle name="Normal 9 2 2 2 3 3 3 2" xfId="25578"/>
    <cellStyle name="Normal 9 2 2 2 3 3 3 3" xfId="40621"/>
    <cellStyle name="Normal 9 2 2 2 3 3 4" xfId="18057"/>
    <cellStyle name="Normal 9 2 2 2 3 3 5" xfId="33100"/>
    <cellStyle name="Normal 9 2 2 2 3 4" xfId="4895"/>
    <cellStyle name="Normal 9 2 2 2 3 4 2" xfId="12418"/>
    <cellStyle name="Normal 9 2 2 2 3 4 2 2" xfId="27462"/>
    <cellStyle name="Normal 9 2 2 2 3 4 2 3" xfId="42505"/>
    <cellStyle name="Normal 9 2 2 2 3 4 3" xfId="19941"/>
    <cellStyle name="Normal 9 2 2 2 3 4 4" xfId="34984"/>
    <cellStyle name="Normal 9 2 2 2 3 5" xfId="8669"/>
    <cellStyle name="Normal 9 2 2 2 3 5 2" xfId="23713"/>
    <cellStyle name="Normal 9 2 2 2 3 5 3" xfId="38756"/>
    <cellStyle name="Normal 9 2 2 2 3 6" xfId="16192"/>
    <cellStyle name="Normal 9 2 2 2 3 7" xfId="31235"/>
    <cellStyle name="Normal 9 2 2 2 4" xfId="1574"/>
    <cellStyle name="Normal 9 2 2 2 4 2" xfId="3445"/>
    <cellStyle name="Normal 9 2 2 2 4 2 2" xfId="7240"/>
    <cellStyle name="Normal 9 2 2 2 4 2 2 2" xfId="14763"/>
    <cellStyle name="Normal 9 2 2 2 4 2 2 2 2" xfId="29807"/>
    <cellStyle name="Normal 9 2 2 2 4 2 2 2 3" xfId="44850"/>
    <cellStyle name="Normal 9 2 2 2 4 2 2 3" xfId="22286"/>
    <cellStyle name="Normal 9 2 2 2 4 2 2 4" xfId="37329"/>
    <cellStyle name="Normal 9 2 2 2 4 2 3" xfId="11014"/>
    <cellStyle name="Normal 9 2 2 2 4 2 3 2" xfId="26058"/>
    <cellStyle name="Normal 9 2 2 2 4 2 3 3" xfId="41101"/>
    <cellStyle name="Normal 9 2 2 2 4 2 4" xfId="18537"/>
    <cellStyle name="Normal 9 2 2 2 4 2 5" xfId="33580"/>
    <cellStyle name="Normal 9 2 2 2 4 3" xfId="5375"/>
    <cellStyle name="Normal 9 2 2 2 4 3 2" xfId="12898"/>
    <cellStyle name="Normal 9 2 2 2 4 3 2 2" xfId="27942"/>
    <cellStyle name="Normal 9 2 2 2 4 3 2 3" xfId="42985"/>
    <cellStyle name="Normal 9 2 2 2 4 3 3" xfId="20421"/>
    <cellStyle name="Normal 9 2 2 2 4 3 4" xfId="35464"/>
    <cellStyle name="Normal 9 2 2 2 4 4" xfId="9149"/>
    <cellStyle name="Normal 9 2 2 2 4 4 2" xfId="24193"/>
    <cellStyle name="Normal 9 2 2 2 4 4 3" xfId="39236"/>
    <cellStyle name="Normal 9 2 2 2 4 5" xfId="16672"/>
    <cellStyle name="Normal 9 2 2 2 4 6" xfId="31715"/>
    <cellStyle name="Normal 9 2 2 2 5" xfId="2512"/>
    <cellStyle name="Normal 9 2 2 2 5 2" xfId="6308"/>
    <cellStyle name="Normal 9 2 2 2 5 2 2" xfId="13831"/>
    <cellStyle name="Normal 9 2 2 2 5 2 2 2" xfId="28875"/>
    <cellStyle name="Normal 9 2 2 2 5 2 2 3" xfId="43918"/>
    <cellStyle name="Normal 9 2 2 2 5 2 3" xfId="21354"/>
    <cellStyle name="Normal 9 2 2 2 5 2 4" xfId="36397"/>
    <cellStyle name="Normal 9 2 2 2 5 3" xfId="10082"/>
    <cellStyle name="Normal 9 2 2 2 5 3 2" xfId="25126"/>
    <cellStyle name="Normal 9 2 2 2 5 3 3" xfId="40169"/>
    <cellStyle name="Normal 9 2 2 2 5 4" xfId="17605"/>
    <cellStyle name="Normal 9 2 2 2 5 5" xfId="32648"/>
    <cellStyle name="Normal 9 2 2 2 6" xfId="4440"/>
    <cellStyle name="Normal 9 2 2 2 6 2" xfId="11964"/>
    <cellStyle name="Normal 9 2 2 2 6 2 2" xfId="27008"/>
    <cellStyle name="Normal 9 2 2 2 6 2 3" xfId="42051"/>
    <cellStyle name="Normal 9 2 2 2 6 3" xfId="19487"/>
    <cellStyle name="Normal 9 2 2 2 6 4" xfId="34530"/>
    <cellStyle name="Normal 9 2 2 2 7" xfId="8203"/>
    <cellStyle name="Normal 9 2 2 2 7 2" xfId="23247"/>
    <cellStyle name="Normal 9 2 2 2 7 3" xfId="38290"/>
    <cellStyle name="Normal 9 2 2 2 8" xfId="15726"/>
    <cellStyle name="Normal 9 2 2 2 9" xfId="30769"/>
    <cellStyle name="Normal 9 2 2 3" xfId="553"/>
    <cellStyle name="Normal 9 2 2 3 2" xfId="554"/>
    <cellStyle name="Normal 9 2 2 3 2 2" xfId="1070"/>
    <cellStyle name="Normal 9 2 2 3 2 2 2" xfId="2029"/>
    <cellStyle name="Normal 9 2 2 3 2 2 2 2" xfId="3900"/>
    <cellStyle name="Normal 9 2 2 3 2 2 2 2 2" xfId="7695"/>
    <cellStyle name="Normal 9 2 2 3 2 2 2 2 2 2" xfId="15218"/>
    <cellStyle name="Normal 9 2 2 3 2 2 2 2 2 2 2" xfId="30262"/>
    <cellStyle name="Normal 9 2 2 3 2 2 2 2 2 2 3" xfId="45305"/>
    <cellStyle name="Normal 9 2 2 3 2 2 2 2 2 3" xfId="22741"/>
    <cellStyle name="Normal 9 2 2 3 2 2 2 2 2 4" xfId="37784"/>
    <cellStyle name="Normal 9 2 2 3 2 2 2 2 3" xfId="11469"/>
    <cellStyle name="Normal 9 2 2 3 2 2 2 2 3 2" xfId="26513"/>
    <cellStyle name="Normal 9 2 2 3 2 2 2 2 3 3" xfId="41556"/>
    <cellStyle name="Normal 9 2 2 3 2 2 2 2 4" xfId="18992"/>
    <cellStyle name="Normal 9 2 2 3 2 2 2 2 5" xfId="34035"/>
    <cellStyle name="Normal 9 2 2 3 2 2 2 3" xfId="5830"/>
    <cellStyle name="Normal 9 2 2 3 2 2 2 3 2" xfId="13353"/>
    <cellStyle name="Normal 9 2 2 3 2 2 2 3 2 2" xfId="28397"/>
    <cellStyle name="Normal 9 2 2 3 2 2 2 3 2 3" xfId="43440"/>
    <cellStyle name="Normal 9 2 2 3 2 2 2 3 3" xfId="20876"/>
    <cellStyle name="Normal 9 2 2 3 2 2 2 3 4" xfId="35919"/>
    <cellStyle name="Normal 9 2 2 3 2 2 2 4" xfId="9604"/>
    <cellStyle name="Normal 9 2 2 3 2 2 2 4 2" xfId="24648"/>
    <cellStyle name="Normal 9 2 2 3 2 2 2 4 3" xfId="39691"/>
    <cellStyle name="Normal 9 2 2 3 2 2 2 5" xfId="17127"/>
    <cellStyle name="Normal 9 2 2 3 2 2 2 6" xfId="32170"/>
    <cellStyle name="Normal 9 2 2 3 2 2 3" xfId="2968"/>
    <cellStyle name="Normal 9 2 2 3 2 2 3 2" xfId="6763"/>
    <cellStyle name="Normal 9 2 2 3 2 2 3 2 2" xfId="14286"/>
    <cellStyle name="Normal 9 2 2 3 2 2 3 2 2 2" xfId="29330"/>
    <cellStyle name="Normal 9 2 2 3 2 2 3 2 2 3" xfId="44373"/>
    <cellStyle name="Normal 9 2 2 3 2 2 3 2 3" xfId="21809"/>
    <cellStyle name="Normal 9 2 2 3 2 2 3 2 4" xfId="36852"/>
    <cellStyle name="Normal 9 2 2 3 2 2 3 3" xfId="10537"/>
    <cellStyle name="Normal 9 2 2 3 2 2 3 3 2" xfId="25581"/>
    <cellStyle name="Normal 9 2 2 3 2 2 3 3 3" xfId="40624"/>
    <cellStyle name="Normal 9 2 2 3 2 2 3 4" xfId="18060"/>
    <cellStyle name="Normal 9 2 2 3 2 2 3 5" xfId="33103"/>
    <cellStyle name="Normal 9 2 2 3 2 2 4" xfId="4898"/>
    <cellStyle name="Normal 9 2 2 3 2 2 4 2" xfId="12421"/>
    <cellStyle name="Normal 9 2 2 3 2 2 4 2 2" xfId="27465"/>
    <cellStyle name="Normal 9 2 2 3 2 2 4 2 3" xfId="42508"/>
    <cellStyle name="Normal 9 2 2 3 2 2 4 3" xfId="19944"/>
    <cellStyle name="Normal 9 2 2 3 2 2 4 4" xfId="34987"/>
    <cellStyle name="Normal 9 2 2 3 2 2 5" xfId="8672"/>
    <cellStyle name="Normal 9 2 2 3 2 2 5 2" xfId="23716"/>
    <cellStyle name="Normal 9 2 2 3 2 2 5 3" xfId="38759"/>
    <cellStyle name="Normal 9 2 2 3 2 2 6" xfId="16195"/>
    <cellStyle name="Normal 9 2 2 3 2 2 7" xfId="31238"/>
    <cellStyle name="Normal 9 2 2 3 2 3" xfId="1577"/>
    <cellStyle name="Normal 9 2 2 3 2 3 2" xfId="3448"/>
    <cellStyle name="Normal 9 2 2 3 2 3 2 2" xfId="7243"/>
    <cellStyle name="Normal 9 2 2 3 2 3 2 2 2" xfId="14766"/>
    <cellStyle name="Normal 9 2 2 3 2 3 2 2 2 2" xfId="29810"/>
    <cellStyle name="Normal 9 2 2 3 2 3 2 2 2 3" xfId="44853"/>
    <cellStyle name="Normal 9 2 2 3 2 3 2 2 3" xfId="22289"/>
    <cellStyle name="Normal 9 2 2 3 2 3 2 2 4" xfId="37332"/>
    <cellStyle name="Normal 9 2 2 3 2 3 2 3" xfId="11017"/>
    <cellStyle name="Normal 9 2 2 3 2 3 2 3 2" xfId="26061"/>
    <cellStyle name="Normal 9 2 2 3 2 3 2 3 3" xfId="41104"/>
    <cellStyle name="Normal 9 2 2 3 2 3 2 4" xfId="18540"/>
    <cellStyle name="Normal 9 2 2 3 2 3 2 5" xfId="33583"/>
    <cellStyle name="Normal 9 2 2 3 2 3 3" xfId="5378"/>
    <cellStyle name="Normal 9 2 2 3 2 3 3 2" xfId="12901"/>
    <cellStyle name="Normal 9 2 2 3 2 3 3 2 2" xfId="27945"/>
    <cellStyle name="Normal 9 2 2 3 2 3 3 2 3" xfId="42988"/>
    <cellStyle name="Normal 9 2 2 3 2 3 3 3" xfId="20424"/>
    <cellStyle name="Normal 9 2 2 3 2 3 3 4" xfId="35467"/>
    <cellStyle name="Normal 9 2 2 3 2 3 4" xfId="9152"/>
    <cellStyle name="Normal 9 2 2 3 2 3 4 2" xfId="24196"/>
    <cellStyle name="Normal 9 2 2 3 2 3 4 3" xfId="39239"/>
    <cellStyle name="Normal 9 2 2 3 2 3 5" xfId="16675"/>
    <cellStyle name="Normal 9 2 2 3 2 3 6" xfId="31718"/>
    <cellStyle name="Normal 9 2 2 3 2 4" xfId="2515"/>
    <cellStyle name="Normal 9 2 2 3 2 4 2" xfId="6311"/>
    <cellStyle name="Normal 9 2 2 3 2 4 2 2" xfId="13834"/>
    <cellStyle name="Normal 9 2 2 3 2 4 2 2 2" xfId="28878"/>
    <cellStyle name="Normal 9 2 2 3 2 4 2 2 3" xfId="43921"/>
    <cellStyle name="Normal 9 2 2 3 2 4 2 3" xfId="21357"/>
    <cellStyle name="Normal 9 2 2 3 2 4 2 4" xfId="36400"/>
    <cellStyle name="Normal 9 2 2 3 2 4 3" xfId="10085"/>
    <cellStyle name="Normal 9 2 2 3 2 4 3 2" xfId="25129"/>
    <cellStyle name="Normal 9 2 2 3 2 4 3 3" xfId="40172"/>
    <cellStyle name="Normal 9 2 2 3 2 4 4" xfId="17608"/>
    <cellStyle name="Normal 9 2 2 3 2 4 5" xfId="32651"/>
    <cellStyle name="Normal 9 2 2 3 2 5" xfId="4443"/>
    <cellStyle name="Normal 9 2 2 3 2 5 2" xfId="11967"/>
    <cellStyle name="Normal 9 2 2 3 2 5 2 2" xfId="27011"/>
    <cellStyle name="Normal 9 2 2 3 2 5 2 3" xfId="42054"/>
    <cellStyle name="Normal 9 2 2 3 2 5 3" xfId="19490"/>
    <cellStyle name="Normal 9 2 2 3 2 5 4" xfId="34533"/>
    <cellStyle name="Normal 9 2 2 3 2 6" xfId="8206"/>
    <cellStyle name="Normal 9 2 2 3 2 6 2" xfId="23250"/>
    <cellStyle name="Normal 9 2 2 3 2 6 3" xfId="38293"/>
    <cellStyle name="Normal 9 2 2 3 2 7" xfId="15729"/>
    <cellStyle name="Normal 9 2 2 3 2 8" xfId="30772"/>
    <cellStyle name="Normal 9 2 2 3 3" xfId="1069"/>
    <cellStyle name="Normal 9 2 2 3 3 2" xfId="2028"/>
    <cellStyle name="Normal 9 2 2 3 3 2 2" xfId="3899"/>
    <cellStyle name="Normal 9 2 2 3 3 2 2 2" xfId="7694"/>
    <cellStyle name="Normal 9 2 2 3 3 2 2 2 2" xfId="15217"/>
    <cellStyle name="Normal 9 2 2 3 3 2 2 2 2 2" xfId="30261"/>
    <cellStyle name="Normal 9 2 2 3 3 2 2 2 2 3" xfId="45304"/>
    <cellStyle name="Normal 9 2 2 3 3 2 2 2 3" xfId="22740"/>
    <cellStyle name="Normal 9 2 2 3 3 2 2 2 4" xfId="37783"/>
    <cellStyle name="Normal 9 2 2 3 3 2 2 3" xfId="11468"/>
    <cellStyle name="Normal 9 2 2 3 3 2 2 3 2" xfId="26512"/>
    <cellStyle name="Normal 9 2 2 3 3 2 2 3 3" xfId="41555"/>
    <cellStyle name="Normal 9 2 2 3 3 2 2 4" xfId="18991"/>
    <cellStyle name="Normal 9 2 2 3 3 2 2 5" xfId="34034"/>
    <cellStyle name="Normal 9 2 2 3 3 2 3" xfId="5829"/>
    <cellStyle name="Normal 9 2 2 3 3 2 3 2" xfId="13352"/>
    <cellStyle name="Normal 9 2 2 3 3 2 3 2 2" xfId="28396"/>
    <cellStyle name="Normal 9 2 2 3 3 2 3 2 3" xfId="43439"/>
    <cellStyle name="Normal 9 2 2 3 3 2 3 3" xfId="20875"/>
    <cellStyle name="Normal 9 2 2 3 3 2 3 4" xfId="35918"/>
    <cellStyle name="Normal 9 2 2 3 3 2 4" xfId="9603"/>
    <cellStyle name="Normal 9 2 2 3 3 2 4 2" xfId="24647"/>
    <cellStyle name="Normal 9 2 2 3 3 2 4 3" xfId="39690"/>
    <cellStyle name="Normal 9 2 2 3 3 2 5" xfId="17126"/>
    <cellStyle name="Normal 9 2 2 3 3 2 6" xfId="32169"/>
    <cellStyle name="Normal 9 2 2 3 3 3" xfId="2967"/>
    <cellStyle name="Normal 9 2 2 3 3 3 2" xfId="6762"/>
    <cellStyle name="Normal 9 2 2 3 3 3 2 2" xfId="14285"/>
    <cellStyle name="Normal 9 2 2 3 3 3 2 2 2" xfId="29329"/>
    <cellStyle name="Normal 9 2 2 3 3 3 2 2 3" xfId="44372"/>
    <cellStyle name="Normal 9 2 2 3 3 3 2 3" xfId="21808"/>
    <cellStyle name="Normal 9 2 2 3 3 3 2 4" xfId="36851"/>
    <cellStyle name="Normal 9 2 2 3 3 3 3" xfId="10536"/>
    <cellStyle name="Normal 9 2 2 3 3 3 3 2" xfId="25580"/>
    <cellStyle name="Normal 9 2 2 3 3 3 3 3" xfId="40623"/>
    <cellStyle name="Normal 9 2 2 3 3 3 4" xfId="18059"/>
    <cellStyle name="Normal 9 2 2 3 3 3 5" xfId="33102"/>
    <cellStyle name="Normal 9 2 2 3 3 4" xfId="4897"/>
    <cellStyle name="Normal 9 2 2 3 3 4 2" xfId="12420"/>
    <cellStyle name="Normal 9 2 2 3 3 4 2 2" xfId="27464"/>
    <cellStyle name="Normal 9 2 2 3 3 4 2 3" xfId="42507"/>
    <cellStyle name="Normal 9 2 2 3 3 4 3" xfId="19943"/>
    <cellStyle name="Normal 9 2 2 3 3 4 4" xfId="34986"/>
    <cellStyle name="Normal 9 2 2 3 3 5" xfId="8671"/>
    <cellStyle name="Normal 9 2 2 3 3 5 2" xfId="23715"/>
    <cellStyle name="Normal 9 2 2 3 3 5 3" xfId="38758"/>
    <cellStyle name="Normal 9 2 2 3 3 6" xfId="16194"/>
    <cellStyle name="Normal 9 2 2 3 3 7" xfId="31237"/>
    <cellStyle name="Normal 9 2 2 3 4" xfId="1576"/>
    <cellStyle name="Normal 9 2 2 3 4 2" xfId="3447"/>
    <cellStyle name="Normal 9 2 2 3 4 2 2" xfId="7242"/>
    <cellStyle name="Normal 9 2 2 3 4 2 2 2" xfId="14765"/>
    <cellStyle name="Normal 9 2 2 3 4 2 2 2 2" xfId="29809"/>
    <cellStyle name="Normal 9 2 2 3 4 2 2 2 3" xfId="44852"/>
    <cellStyle name="Normal 9 2 2 3 4 2 2 3" xfId="22288"/>
    <cellStyle name="Normal 9 2 2 3 4 2 2 4" xfId="37331"/>
    <cellStyle name="Normal 9 2 2 3 4 2 3" xfId="11016"/>
    <cellStyle name="Normal 9 2 2 3 4 2 3 2" xfId="26060"/>
    <cellStyle name="Normal 9 2 2 3 4 2 3 3" xfId="41103"/>
    <cellStyle name="Normal 9 2 2 3 4 2 4" xfId="18539"/>
    <cellStyle name="Normal 9 2 2 3 4 2 5" xfId="33582"/>
    <cellStyle name="Normal 9 2 2 3 4 3" xfId="5377"/>
    <cellStyle name="Normal 9 2 2 3 4 3 2" xfId="12900"/>
    <cellStyle name="Normal 9 2 2 3 4 3 2 2" xfId="27944"/>
    <cellStyle name="Normal 9 2 2 3 4 3 2 3" xfId="42987"/>
    <cellStyle name="Normal 9 2 2 3 4 3 3" xfId="20423"/>
    <cellStyle name="Normal 9 2 2 3 4 3 4" xfId="35466"/>
    <cellStyle name="Normal 9 2 2 3 4 4" xfId="9151"/>
    <cellStyle name="Normal 9 2 2 3 4 4 2" xfId="24195"/>
    <cellStyle name="Normal 9 2 2 3 4 4 3" xfId="39238"/>
    <cellStyle name="Normal 9 2 2 3 4 5" xfId="16674"/>
    <cellStyle name="Normal 9 2 2 3 4 6" xfId="31717"/>
    <cellStyle name="Normal 9 2 2 3 5" xfId="2514"/>
    <cellStyle name="Normal 9 2 2 3 5 2" xfId="6310"/>
    <cellStyle name="Normal 9 2 2 3 5 2 2" xfId="13833"/>
    <cellStyle name="Normal 9 2 2 3 5 2 2 2" xfId="28877"/>
    <cellStyle name="Normal 9 2 2 3 5 2 2 3" xfId="43920"/>
    <cellStyle name="Normal 9 2 2 3 5 2 3" xfId="21356"/>
    <cellStyle name="Normal 9 2 2 3 5 2 4" xfId="36399"/>
    <cellStyle name="Normal 9 2 2 3 5 3" xfId="10084"/>
    <cellStyle name="Normal 9 2 2 3 5 3 2" xfId="25128"/>
    <cellStyle name="Normal 9 2 2 3 5 3 3" xfId="40171"/>
    <cellStyle name="Normal 9 2 2 3 5 4" xfId="17607"/>
    <cellStyle name="Normal 9 2 2 3 5 5" xfId="32650"/>
    <cellStyle name="Normal 9 2 2 3 6" xfId="4442"/>
    <cellStyle name="Normal 9 2 2 3 6 2" xfId="11966"/>
    <cellStyle name="Normal 9 2 2 3 6 2 2" xfId="27010"/>
    <cellStyle name="Normal 9 2 2 3 6 2 3" xfId="42053"/>
    <cellStyle name="Normal 9 2 2 3 6 3" xfId="19489"/>
    <cellStyle name="Normal 9 2 2 3 6 4" xfId="34532"/>
    <cellStyle name="Normal 9 2 2 3 7" xfId="8205"/>
    <cellStyle name="Normal 9 2 2 3 7 2" xfId="23249"/>
    <cellStyle name="Normal 9 2 2 3 7 3" xfId="38292"/>
    <cellStyle name="Normal 9 2 2 3 8" xfId="15728"/>
    <cellStyle name="Normal 9 2 2 3 9" xfId="30771"/>
    <cellStyle name="Normal 9 2 2 4" xfId="555"/>
    <cellStyle name="Normal 9 2 2 4 2" xfId="1071"/>
    <cellStyle name="Normal 9 2 2 4 2 2" xfId="2030"/>
    <cellStyle name="Normal 9 2 2 4 2 2 2" xfId="3901"/>
    <cellStyle name="Normal 9 2 2 4 2 2 2 2" xfId="7696"/>
    <cellStyle name="Normal 9 2 2 4 2 2 2 2 2" xfId="15219"/>
    <cellStyle name="Normal 9 2 2 4 2 2 2 2 2 2" xfId="30263"/>
    <cellStyle name="Normal 9 2 2 4 2 2 2 2 2 3" xfId="45306"/>
    <cellStyle name="Normal 9 2 2 4 2 2 2 2 3" xfId="22742"/>
    <cellStyle name="Normal 9 2 2 4 2 2 2 2 4" xfId="37785"/>
    <cellStyle name="Normal 9 2 2 4 2 2 2 3" xfId="11470"/>
    <cellStyle name="Normal 9 2 2 4 2 2 2 3 2" xfId="26514"/>
    <cellStyle name="Normal 9 2 2 4 2 2 2 3 3" xfId="41557"/>
    <cellStyle name="Normal 9 2 2 4 2 2 2 4" xfId="18993"/>
    <cellStyle name="Normal 9 2 2 4 2 2 2 5" xfId="34036"/>
    <cellStyle name="Normal 9 2 2 4 2 2 3" xfId="5831"/>
    <cellStyle name="Normal 9 2 2 4 2 2 3 2" xfId="13354"/>
    <cellStyle name="Normal 9 2 2 4 2 2 3 2 2" xfId="28398"/>
    <cellStyle name="Normal 9 2 2 4 2 2 3 2 3" xfId="43441"/>
    <cellStyle name="Normal 9 2 2 4 2 2 3 3" xfId="20877"/>
    <cellStyle name="Normal 9 2 2 4 2 2 3 4" xfId="35920"/>
    <cellStyle name="Normal 9 2 2 4 2 2 4" xfId="9605"/>
    <cellStyle name="Normal 9 2 2 4 2 2 4 2" xfId="24649"/>
    <cellStyle name="Normal 9 2 2 4 2 2 4 3" xfId="39692"/>
    <cellStyle name="Normal 9 2 2 4 2 2 5" xfId="17128"/>
    <cellStyle name="Normal 9 2 2 4 2 2 6" xfId="32171"/>
    <cellStyle name="Normal 9 2 2 4 2 3" xfId="2969"/>
    <cellStyle name="Normal 9 2 2 4 2 3 2" xfId="6764"/>
    <cellStyle name="Normal 9 2 2 4 2 3 2 2" xfId="14287"/>
    <cellStyle name="Normal 9 2 2 4 2 3 2 2 2" xfId="29331"/>
    <cellStyle name="Normal 9 2 2 4 2 3 2 2 3" xfId="44374"/>
    <cellStyle name="Normal 9 2 2 4 2 3 2 3" xfId="21810"/>
    <cellStyle name="Normal 9 2 2 4 2 3 2 4" xfId="36853"/>
    <cellStyle name="Normal 9 2 2 4 2 3 3" xfId="10538"/>
    <cellStyle name="Normal 9 2 2 4 2 3 3 2" xfId="25582"/>
    <cellStyle name="Normal 9 2 2 4 2 3 3 3" xfId="40625"/>
    <cellStyle name="Normal 9 2 2 4 2 3 4" xfId="18061"/>
    <cellStyle name="Normal 9 2 2 4 2 3 5" xfId="33104"/>
    <cellStyle name="Normal 9 2 2 4 2 4" xfId="4899"/>
    <cellStyle name="Normal 9 2 2 4 2 4 2" xfId="12422"/>
    <cellStyle name="Normal 9 2 2 4 2 4 2 2" xfId="27466"/>
    <cellStyle name="Normal 9 2 2 4 2 4 2 3" xfId="42509"/>
    <cellStyle name="Normal 9 2 2 4 2 4 3" xfId="19945"/>
    <cellStyle name="Normal 9 2 2 4 2 4 4" xfId="34988"/>
    <cellStyle name="Normal 9 2 2 4 2 5" xfId="8673"/>
    <cellStyle name="Normal 9 2 2 4 2 5 2" xfId="23717"/>
    <cellStyle name="Normal 9 2 2 4 2 5 3" xfId="38760"/>
    <cellStyle name="Normal 9 2 2 4 2 6" xfId="16196"/>
    <cellStyle name="Normal 9 2 2 4 2 7" xfId="31239"/>
    <cellStyle name="Normal 9 2 2 4 3" xfId="1578"/>
    <cellStyle name="Normal 9 2 2 4 3 2" xfId="3449"/>
    <cellStyle name="Normal 9 2 2 4 3 2 2" xfId="7244"/>
    <cellStyle name="Normal 9 2 2 4 3 2 2 2" xfId="14767"/>
    <cellStyle name="Normal 9 2 2 4 3 2 2 2 2" xfId="29811"/>
    <cellStyle name="Normal 9 2 2 4 3 2 2 2 3" xfId="44854"/>
    <cellStyle name="Normal 9 2 2 4 3 2 2 3" xfId="22290"/>
    <cellStyle name="Normal 9 2 2 4 3 2 2 4" xfId="37333"/>
    <cellStyle name="Normal 9 2 2 4 3 2 3" xfId="11018"/>
    <cellStyle name="Normal 9 2 2 4 3 2 3 2" xfId="26062"/>
    <cellStyle name="Normal 9 2 2 4 3 2 3 3" xfId="41105"/>
    <cellStyle name="Normal 9 2 2 4 3 2 4" xfId="18541"/>
    <cellStyle name="Normal 9 2 2 4 3 2 5" xfId="33584"/>
    <cellStyle name="Normal 9 2 2 4 3 3" xfId="5379"/>
    <cellStyle name="Normal 9 2 2 4 3 3 2" xfId="12902"/>
    <cellStyle name="Normal 9 2 2 4 3 3 2 2" xfId="27946"/>
    <cellStyle name="Normal 9 2 2 4 3 3 2 3" xfId="42989"/>
    <cellStyle name="Normal 9 2 2 4 3 3 3" xfId="20425"/>
    <cellStyle name="Normal 9 2 2 4 3 3 4" xfId="35468"/>
    <cellStyle name="Normal 9 2 2 4 3 4" xfId="9153"/>
    <cellStyle name="Normal 9 2 2 4 3 4 2" xfId="24197"/>
    <cellStyle name="Normal 9 2 2 4 3 4 3" xfId="39240"/>
    <cellStyle name="Normal 9 2 2 4 3 5" xfId="16676"/>
    <cellStyle name="Normal 9 2 2 4 3 6" xfId="31719"/>
    <cellStyle name="Normal 9 2 2 4 4" xfId="2516"/>
    <cellStyle name="Normal 9 2 2 4 4 2" xfId="6312"/>
    <cellStyle name="Normal 9 2 2 4 4 2 2" xfId="13835"/>
    <cellStyle name="Normal 9 2 2 4 4 2 2 2" xfId="28879"/>
    <cellStyle name="Normal 9 2 2 4 4 2 2 3" xfId="43922"/>
    <cellStyle name="Normal 9 2 2 4 4 2 3" xfId="21358"/>
    <cellStyle name="Normal 9 2 2 4 4 2 4" xfId="36401"/>
    <cellStyle name="Normal 9 2 2 4 4 3" xfId="10086"/>
    <cellStyle name="Normal 9 2 2 4 4 3 2" xfId="25130"/>
    <cellStyle name="Normal 9 2 2 4 4 3 3" xfId="40173"/>
    <cellStyle name="Normal 9 2 2 4 4 4" xfId="17609"/>
    <cellStyle name="Normal 9 2 2 4 4 5" xfId="32652"/>
    <cellStyle name="Normal 9 2 2 4 5" xfId="4444"/>
    <cellStyle name="Normal 9 2 2 4 5 2" xfId="11968"/>
    <cellStyle name="Normal 9 2 2 4 5 2 2" xfId="27012"/>
    <cellStyle name="Normal 9 2 2 4 5 2 3" xfId="42055"/>
    <cellStyle name="Normal 9 2 2 4 5 3" xfId="19491"/>
    <cellStyle name="Normal 9 2 2 4 5 4" xfId="34534"/>
    <cellStyle name="Normal 9 2 2 4 6" xfId="8207"/>
    <cellStyle name="Normal 9 2 2 4 6 2" xfId="23251"/>
    <cellStyle name="Normal 9 2 2 4 6 3" xfId="38294"/>
    <cellStyle name="Normal 9 2 2 4 7" xfId="15730"/>
    <cellStyle name="Normal 9 2 2 4 8" xfId="30773"/>
    <cellStyle name="Normal 9 2 2 5" xfId="1066"/>
    <cellStyle name="Normal 9 2 2 5 2" xfId="2025"/>
    <cellStyle name="Normal 9 2 2 5 2 2" xfId="3896"/>
    <cellStyle name="Normal 9 2 2 5 2 2 2" xfId="7691"/>
    <cellStyle name="Normal 9 2 2 5 2 2 2 2" xfId="15214"/>
    <cellStyle name="Normal 9 2 2 5 2 2 2 2 2" xfId="30258"/>
    <cellStyle name="Normal 9 2 2 5 2 2 2 2 3" xfId="45301"/>
    <cellStyle name="Normal 9 2 2 5 2 2 2 3" xfId="22737"/>
    <cellStyle name="Normal 9 2 2 5 2 2 2 4" xfId="37780"/>
    <cellStyle name="Normal 9 2 2 5 2 2 3" xfId="11465"/>
    <cellStyle name="Normal 9 2 2 5 2 2 3 2" xfId="26509"/>
    <cellStyle name="Normal 9 2 2 5 2 2 3 3" xfId="41552"/>
    <cellStyle name="Normal 9 2 2 5 2 2 4" xfId="18988"/>
    <cellStyle name="Normal 9 2 2 5 2 2 5" xfId="34031"/>
    <cellStyle name="Normal 9 2 2 5 2 3" xfId="5826"/>
    <cellStyle name="Normal 9 2 2 5 2 3 2" xfId="13349"/>
    <cellStyle name="Normal 9 2 2 5 2 3 2 2" xfId="28393"/>
    <cellStyle name="Normal 9 2 2 5 2 3 2 3" xfId="43436"/>
    <cellStyle name="Normal 9 2 2 5 2 3 3" xfId="20872"/>
    <cellStyle name="Normal 9 2 2 5 2 3 4" xfId="35915"/>
    <cellStyle name="Normal 9 2 2 5 2 4" xfId="9600"/>
    <cellStyle name="Normal 9 2 2 5 2 4 2" xfId="24644"/>
    <cellStyle name="Normal 9 2 2 5 2 4 3" xfId="39687"/>
    <cellStyle name="Normal 9 2 2 5 2 5" xfId="17123"/>
    <cellStyle name="Normal 9 2 2 5 2 6" xfId="32166"/>
    <cellStyle name="Normal 9 2 2 5 3" xfId="2964"/>
    <cellStyle name="Normal 9 2 2 5 3 2" xfId="6759"/>
    <cellStyle name="Normal 9 2 2 5 3 2 2" xfId="14282"/>
    <cellStyle name="Normal 9 2 2 5 3 2 2 2" xfId="29326"/>
    <cellStyle name="Normal 9 2 2 5 3 2 2 3" xfId="44369"/>
    <cellStyle name="Normal 9 2 2 5 3 2 3" xfId="21805"/>
    <cellStyle name="Normal 9 2 2 5 3 2 4" xfId="36848"/>
    <cellStyle name="Normal 9 2 2 5 3 3" xfId="10533"/>
    <cellStyle name="Normal 9 2 2 5 3 3 2" xfId="25577"/>
    <cellStyle name="Normal 9 2 2 5 3 3 3" xfId="40620"/>
    <cellStyle name="Normal 9 2 2 5 3 4" xfId="18056"/>
    <cellStyle name="Normal 9 2 2 5 3 5" xfId="33099"/>
    <cellStyle name="Normal 9 2 2 5 4" xfId="4894"/>
    <cellStyle name="Normal 9 2 2 5 4 2" xfId="12417"/>
    <cellStyle name="Normal 9 2 2 5 4 2 2" xfId="27461"/>
    <cellStyle name="Normal 9 2 2 5 4 2 3" xfId="42504"/>
    <cellStyle name="Normal 9 2 2 5 4 3" xfId="19940"/>
    <cellStyle name="Normal 9 2 2 5 4 4" xfId="34983"/>
    <cellStyle name="Normal 9 2 2 5 5" xfId="8668"/>
    <cellStyle name="Normal 9 2 2 5 5 2" xfId="23712"/>
    <cellStyle name="Normal 9 2 2 5 5 3" xfId="38755"/>
    <cellStyle name="Normal 9 2 2 5 6" xfId="16191"/>
    <cellStyle name="Normal 9 2 2 5 7" xfId="31234"/>
    <cellStyle name="Normal 9 2 2 6" xfId="1573"/>
    <cellStyle name="Normal 9 2 2 6 2" xfId="3444"/>
    <cellStyle name="Normal 9 2 2 6 2 2" xfId="7239"/>
    <cellStyle name="Normal 9 2 2 6 2 2 2" xfId="14762"/>
    <cellStyle name="Normal 9 2 2 6 2 2 2 2" xfId="29806"/>
    <cellStyle name="Normal 9 2 2 6 2 2 2 3" xfId="44849"/>
    <cellStyle name="Normal 9 2 2 6 2 2 3" xfId="22285"/>
    <cellStyle name="Normal 9 2 2 6 2 2 4" xfId="37328"/>
    <cellStyle name="Normal 9 2 2 6 2 3" xfId="11013"/>
    <cellStyle name="Normal 9 2 2 6 2 3 2" xfId="26057"/>
    <cellStyle name="Normal 9 2 2 6 2 3 3" xfId="41100"/>
    <cellStyle name="Normal 9 2 2 6 2 4" xfId="18536"/>
    <cellStyle name="Normal 9 2 2 6 2 5" xfId="33579"/>
    <cellStyle name="Normal 9 2 2 6 3" xfId="5374"/>
    <cellStyle name="Normal 9 2 2 6 3 2" xfId="12897"/>
    <cellStyle name="Normal 9 2 2 6 3 2 2" xfId="27941"/>
    <cellStyle name="Normal 9 2 2 6 3 2 3" xfId="42984"/>
    <cellStyle name="Normal 9 2 2 6 3 3" xfId="20420"/>
    <cellStyle name="Normal 9 2 2 6 3 4" xfId="35463"/>
    <cellStyle name="Normal 9 2 2 6 4" xfId="9148"/>
    <cellStyle name="Normal 9 2 2 6 4 2" xfId="24192"/>
    <cellStyle name="Normal 9 2 2 6 4 3" xfId="39235"/>
    <cellStyle name="Normal 9 2 2 6 5" xfId="16671"/>
    <cellStyle name="Normal 9 2 2 6 6" xfId="31714"/>
    <cellStyle name="Normal 9 2 2 7" xfId="2511"/>
    <cellStyle name="Normal 9 2 2 7 2" xfId="6307"/>
    <cellStyle name="Normal 9 2 2 7 2 2" xfId="13830"/>
    <cellStyle name="Normal 9 2 2 7 2 2 2" xfId="28874"/>
    <cellStyle name="Normal 9 2 2 7 2 2 3" xfId="43917"/>
    <cellStyle name="Normal 9 2 2 7 2 3" xfId="21353"/>
    <cellStyle name="Normal 9 2 2 7 2 4" xfId="36396"/>
    <cellStyle name="Normal 9 2 2 7 3" xfId="10081"/>
    <cellStyle name="Normal 9 2 2 7 3 2" xfId="25125"/>
    <cellStyle name="Normal 9 2 2 7 3 3" xfId="40168"/>
    <cellStyle name="Normal 9 2 2 7 4" xfId="17604"/>
    <cellStyle name="Normal 9 2 2 7 5" xfId="32647"/>
    <cellStyle name="Normal 9 2 2 8" xfId="4439"/>
    <cellStyle name="Normal 9 2 2 8 2" xfId="11963"/>
    <cellStyle name="Normal 9 2 2 8 2 2" xfId="27007"/>
    <cellStyle name="Normal 9 2 2 8 2 3" xfId="42050"/>
    <cellStyle name="Normal 9 2 2 8 3" xfId="19486"/>
    <cellStyle name="Normal 9 2 2 8 4" xfId="34529"/>
    <cellStyle name="Normal 9 2 2 9" xfId="8202"/>
    <cellStyle name="Normal 9 2 2 9 2" xfId="23246"/>
    <cellStyle name="Normal 9 2 2 9 3" xfId="38289"/>
    <cellStyle name="Normal 9 2 3" xfId="556"/>
    <cellStyle name="Normal 9 2 3 2" xfId="557"/>
    <cellStyle name="Normal 9 2 3 2 2" xfId="1073"/>
    <cellStyle name="Normal 9 2 3 2 2 2" xfId="2032"/>
    <cellStyle name="Normal 9 2 3 2 2 2 2" xfId="3903"/>
    <cellStyle name="Normal 9 2 3 2 2 2 2 2" xfId="7698"/>
    <cellStyle name="Normal 9 2 3 2 2 2 2 2 2" xfId="15221"/>
    <cellStyle name="Normal 9 2 3 2 2 2 2 2 2 2" xfId="30265"/>
    <cellStyle name="Normal 9 2 3 2 2 2 2 2 2 3" xfId="45308"/>
    <cellStyle name="Normal 9 2 3 2 2 2 2 2 3" xfId="22744"/>
    <cellStyle name="Normal 9 2 3 2 2 2 2 2 4" xfId="37787"/>
    <cellStyle name="Normal 9 2 3 2 2 2 2 3" xfId="11472"/>
    <cellStyle name="Normal 9 2 3 2 2 2 2 3 2" xfId="26516"/>
    <cellStyle name="Normal 9 2 3 2 2 2 2 3 3" xfId="41559"/>
    <cellStyle name="Normal 9 2 3 2 2 2 2 4" xfId="18995"/>
    <cellStyle name="Normal 9 2 3 2 2 2 2 5" xfId="34038"/>
    <cellStyle name="Normal 9 2 3 2 2 2 3" xfId="5833"/>
    <cellStyle name="Normal 9 2 3 2 2 2 3 2" xfId="13356"/>
    <cellStyle name="Normal 9 2 3 2 2 2 3 2 2" xfId="28400"/>
    <cellStyle name="Normal 9 2 3 2 2 2 3 2 3" xfId="43443"/>
    <cellStyle name="Normal 9 2 3 2 2 2 3 3" xfId="20879"/>
    <cellStyle name="Normal 9 2 3 2 2 2 3 4" xfId="35922"/>
    <cellStyle name="Normal 9 2 3 2 2 2 4" xfId="9607"/>
    <cellStyle name="Normal 9 2 3 2 2 2 4 2" xfId="24651"/>
    <cellStyle name="Normal 9 2 3 2 2 2 4 3" xfId="39694"/>
    <cellStyle name="Normal 9 2 3 2 2 2 5" xfId="17130"/>
    <cellStyle name="Normal 9 2 3 2 2 2 6" xfId="32173"/>
    <cellStyle name="Normal 9 2 3 2 2 3" xfId="2971"/>
    <cellStyle name="Normal 9 2 3 2 2 3 2" xfId="6766"/>
    <cellStyle name="Normal 9 2 3 2 2 3 2 2" xfId="14289"/>
    <cellStyle name="Normal 9 2 3 2 2 3 2 2 2" xfId="29333"/>
    <cellStyle name="Normal 9 2 3 2 2 3 2 2 3" xfId="44376"/>
    <cellStyle name="Normal 9 2 3 2 2 3 2 3" xfId="21812"/>
    <cellStyle name="Normal 9 2 3 2 2 3 2 4" xfId="36855"/>
    <cellStyle name="Normal 9 2 3 2 2 3 3" xfId="10540"/>
    <cellStyle name="Normal 9 2 3 2 2 3 3 2" xfId="25584"/>
    <cellStyle name="Normal 9 2 3 2 2 3 3 3" xfId="40627"/>
    <cellStyle name="Normal 9 2 3 2 2 3 4" xfId="18063"/>
    <cellStyle name="Normal 9 2 3 2 2 3 5" xfId="33106"/>
    <cellStyle name="Normal 9 2 3 2 2 4" xfId="4901"/>
    <cellStyle name="Normal 9 2 3 2 2 4 2" xfId="12424"/>
    <cellStyle name="Normal 9 2 3 2 2 4 2 2" xfId="27468"/>
    <cellStyle name="Normal 9 2 3 2 2 4 2 3" xfId="42511"/>
    <cellStyle name="Normal 9 2 3 2 2 4 3" xfId="19947"/>
    <cellStyle name="Normal 9 2 3 2 2 4 4" xfId="34990"/>
    <cellStyle name="Normal 9 2 3 2 2 5" xfId="8675"/>
    <cellStyle name="Normal 9 2 3 2 2 5 2" xfId="23719"/>
    <cellStyle name="Normal 9 2 3 2 2 5 3" xfId="38762"/>
    <cellStyle name="Normal 9 2 3 2 2 6" xfId="16198"/>
    <cellStyle name="Normal 9 2 3 2 2 7" xfId="31241"/>
    <cellStyle name="Normal 9 2 3 2 3" xfId="1580"/>
    <cellStyle name="Normal 9 2 3 2 3 2" xfId="3451"/>
    <cellStyle name="Normal 9 2 3 2 3 2 2" xfId="7246"/>
    <cellStyle name="Normal 9 2 3 2 3 2 2 2" xfId="14769"/>
    <cellStyle name="Normal 9 2 3 2 3 2 2 2 2" xfId="29813"/>
    <cellStyle name="Normal 9 2 3 2 3 2 2 2 3" xfId="44856"/>
    <cellStyle name="Normal 9 2 3 2 3 2 2 3" xfId="22292"/>
    <cellStyle name="Normal 9 2 3 2 3 2 2 4" xfId="37335"/>
    <cellStyle name="Normal 9 2 3 2 3 2 3" xfId="11020"/>
    <cellStyle name="Normal 9 2 3 2 3 2 3 2" xfId="26064"/>
    <cellStyle name="Normal 9 2 3 2 3 2 3 3" xfId="41107"/>
    <cellStyle name="Normal 9 2 3 2 3 2 4" xfId="18543"/>
    <cellStyle name="Normal 9 2 3 2 3 2 5" xfId="33586"/>
    <cellStyle name="Normal 9 2 3 2 3 3" xfId="5381"/>
    <cellStyle name="Normal 9 2 3 2 3 3 2" xfId="12904"/>
    <cellStyle name="Normal 9 2 3 2 3 3 2 2" xfId="27948"/>
    <cellStyle name="Normal 9 2 3 2 3 3 2 3" xfId="42991"/>
    <cellStyle name="Normal 9 2 3 2 3 3 3" xfId="20427"/>
    <cellStyle name="Normal 9 2 3 2 3 3 4" xfId="35470"/>
    <cellStyle name="Normal 9 2 3 2 3 4" xfId="9155"/>
    <cellStyle name="Normal 9 2 3 2 3 4 2" xfId="24199"/>
    <cellStyle name="Normal 9 2 3 2 3 4 3" xfId="39242"/>
    <cellStyle name="Normal 9 2 3 2 3 5" xfId="16678"/>
    <cellStyle name="Normal 9 2 3 2 3 6" xfId="31721"/>
    <cellStyle name="Normal 9 2 3 2 4" xfId="2518"/>
    <cellStyle name="Normal 9 2 3 2 4 2" xfId="6314"/>
    <cellStyle name="Normal 9 2 3 2 4 2 2" xfId="13837"/>
    <cellStyle name="Normal 9 2 3 2 4 2 2 2" xfId="28881"/>
    <cellStyle name="Normal 9 2 3 2 4 2 2 3" xfId="43924"/>
    <cellStyle name="Normal 9 2 3 2 4 2 3" xfId="21360"/>
    <cellStyle name="Normal 9 2 3 2 4 2 4" xfId="36403"/>
    <cellStyle name="Normal 9 2 3 2 4 3" xfId="10088"/>
    <cellStyle name="Normal 9 2 3 2 4 3 2" xfId="25132"/>
    <cellStyle name="Normal 9 2 3 2 4 3 3" xfId="40175"/>
    <cellStyle name="Normal 9 2 3 2 4 4" xfId="17611"/>
    <cellStyle name="Normal 9 2 3 2 4 5" xfId="32654"/>
    <cellStyle name="Normal 9 2 3 2 5" xfId="4446"/>
    <cellStyle name="Normal 9 2 3 2 5 2" xfId="11970"/>
    <cellStyle name="Normal 9 2 3 2 5 2 2" xfId="27014"/>
    <cellStyle name="Normal 9 2 3 2 5 2 3" xfId="42057"/>
    <cellStyle name="Normal 9 2 3 2 5 3" xfId="19493"/>
    <cellStyle name="Normal 9 2 3 2 5 4" xfId="34536"/>
    <cellStyle name="Normal 9 2 3 2 6" xfId="8209"/>
    <cellStyle name="Normal 9 2 3 2 6 2" xfId="23253"/>
    <cellStyle name="Normal 9 2 3 2 6 3" xfId="38296"/>
    <cellStyle name="Normal 9 2 3 2 7" xfId="15732"/>
    <cellStyle name="Normal 9 2 3 2 8" xfId="30775"/>
    <cellStyle name="Normal 9 2 3 3" xfId="1072"/>
    <cellStyle name="Normal 9 2 3 3 2" xfId="2031"/>
    <cellStyle name="Normal 9 2 3 3 2 2" xfId="3902"/>
    <cellStyle name="Normal 9 2 3 3 2 2 2" xfId="7697"/>
    <cellStyle name="Normal 9 2 3 3 2 2 2 2" xfId="15220"/>
    <cellStyle name="Normal 9 2 3 3 2 2 2 2 2" xfId="30264"/>
    <cellStyle name="Normal 9 2 3 3 2 2 2 2 3" xfId="45307"/>
    <cellStyle name="Normal 9 2 3 3 2 2 2 3" xfId="22743"/>
    <cellStyle name="Normal 9 2 3 3 2 2 2 4" xfId="37786"/>
    <cellStyle name="Normal 9 2 3 3 2 2 3" xfId="11471"/>
    <cellStyle name="Normal 9 2 3 3 2 2 3 2" xfId="26515"/>
    <cellStyle name="Normal 9 2 3 3 2 2 3 3" xfId="41558"/>
    <cellStyle name="Normal 9 2 3 3 2 2 4" xfId="18994"/>
    <cellStyle name="Normal 9 2 3 3 2 2 5" xfId="34037"/>
    <cellStyle name="Normal 9 2 3 3 2 3" xfId="5832"/>
    <cellStyle name="Normal 9 2 3 3 2 3 2" xfId="13355"/>
    <cellStyle name="Normal 9 2 3 3 2 3 2 2" xfId="28399"/>
    <cellStyle name="Normal 9 2 3 3 2 3 2 3" xfId="43442"/>
    <cellStyle name="Normal 9 2 3 3 2 3 3" xfId="20878"/>
    <cellStyle name="Normal 9 2 3 3 2 3 4" xfId="35921"/>
    <cellStyle name="Normal 9 2 3 3 2 4" xfId="9606"/>
    <cellStyle name="Normal 9 2 3 3 2 4 2" xfId="24650"/>
    <cellStyle name="Normal 9 2 3 3 2 4 3" xfId="39693"/>
    <cellStyle name="Normal 9 2 3 3 2 5" xfId="17129"/>
    <cellStyle name="Normal 9 2 3 3 2 6" xfId="32172"/>
    <cellStyle name="Normal 9 2 3 3 3" xfId="2970"/>
    <cellStyle name="Normal 9 2 3 3 3 2" xfId="6765"/>
    <cellStyle name="Normal 9 2 3 3 3 2 2" xfId="14288"/>
    <cellStyle name="Normal 9 2 3 3 3 2 2 2" xfId="29332"/>
    <cellStyle name="Normal 9 2 3 3 3 2 2 3" xfId="44375"/>
    <cellStyle name="Normal 9 2 3 3 3 2 3" xfId="21811"/>
    <cellStyle name="Normal 9 2 3 3 3 2 4" xfId="36854"/>
    <cellStyle name="Normal 9 2 3 3 3 3" xfId="10539"/>
    <cellStyle name="Normal 9 2 3 3 3 3 2" xfId="25583"/>
    <cellStyle name="Normal 9 2 3 3 3 3 3" xfId="40626"/>
    <cellStyle name="Normal 9 2 3 3 3 4" xfId="18062"/>
    <cellStyle name="Normal 9 2 3 3 3 5" xfId="33105"/>
    <cellStyle name="Normal 9 2 3 3 4" xfId="4900"/>
    <cellStyle name="Normal 9 2 3 3 4 2" xfId="12423"/>
    <cellStyle name="Normal 9 2 3 3 4 2 2" xfId="27467"/>
    <cellStyle name="Normal 9 2 3 3 4 2 3" xfId="42510"/>
    <cellStyle name="Normal 9 2 3 3 4 3" xfId="19946"/>
    <cellStyle name="Normal 9 2 3 3 4 4" xfId="34989"/>
    <cellStyle name="Normal 9 2 3 3 5" xfId="8674"/>
    <cellStyle name="Normal 9 2 3 3 5 2" xfId="23718"/>
    <cellStyle name="Normal 9 2 3 3 5 3" xfId="38761"/>
    <cellStyle name="Normal 9 2 3 3 6" xfId="16197"/>
    <cellStyle name="Normal 9 2 3 3 7" xfId="31240"/>
    <cellStyle name="Normal 9 2 3 4" xfId="1579"/>
    <cellStyle name="Normal 9 2 3 4 2" xfId="3450"/>
    <cellStyle name="Normal 9 2 3 4 2 2" xfId="7245"/>
    <cellStyle name="Normal 9 2 3 4 2 2 2" xfId="14768"/>
    <cellStyle name="Normal 9 2 3 4 2 2 2 2" xfId="29812"/>
    <cellStyle name="Normal 9 2 3 4 2 2 2 3" xfId="44855"/>
    <cellStyle name="Normal 9 2 3 4 2 2 3" xfId="22291"/>
    <cellStyle name="Normal 9 2 3 4 2 2 4" xfId="37334"/>
    <cellStyle name="Normal 9 2 3 4 2 3" xfId="11019"/>
    <cellStyle name="Normal 9 2 3 4 2 3 2" xfId="26063"/>
    <cellStyle name="Normal 9 2 3 4 2 3 3" xfId="41106"/>
    <cellStyle name="Normal 9 2 3 4 2 4" xfId="18542"/>
    <cellStyle name="Normal 9 2 3 4 2 5" xfId="33585"/>
    <cellStyle name="Normal 9 2 3 4 3" xfId="5380"/>
    <cellStyle name="Normal 9 2 3 4 3 2" xfId="12903"/>
    <cellStyle name="Normal 9 2 3 4 3 2 2" xfId="27947"/>
    <cellStyle name="Normal 9 2 3 4 3 2 3" xfId="42990"/>
    <cellStyle name="Normal 9 2 3 4 3 3" xfId="20426"/>
    <cellStyle name="Normal 9 2 3 4 3 4" xfId="35469"/>
    <cellStyle name="Normal 9 2 3 4 4" xfId="9154"/>
    <cellStyle name="Normal 9 2 3 4 4 2" xfId="24198"/>
    <cellStyle name="Normal 9 2 3 4 4 3" xfId="39241"/>
    <cellStyle name="Normal 9 2 3 4 5" xfId="16677"/>
    <cellStyle name="Normal 9 2 3 4 6" xfId="31720"/>
    <cellStyle name="Normal 9 2 3 5" xfId="2517"/>
    <cellStyle name="Normal 9 2 3 5 2" xfId="6313"/>
    <cellStyle name="Normal 9 2 3 5 2 2" xfId="13836"/>
    <cellStyle name="Normal 9 2 3 5 2 2 2" xfId="28880"/>
    <cellStyle name="Normal 9 2 3 5 2 2 3" xfId="43923"/>
    <cellStyle name="Normal 9 2 3 5 2 3" xfId="21359"/>
    <cellStyle name="Normal 9 2 3 5 2 4" xfId="36402"/>
    <cellStyle name="Normal 9 2 3 5 3" xfId="10087"/>
    <cellStyle name="Normal 9 2 3 5 3 2" xfId="25131"/>
    <cellStyle name="Normal 9 2 3 5 3 3" xfId="40174"/>
    <cellStyle name="Normal 9 2 3 5 4" xfId="17610"/>
    <cellStyle name="Normal 9 2 3 5 5" xfId="32653"/>
    <cellStyle name="Normal 9 2 3 6" xfId="4445"/>
    <cellStyle name="Normal 9 2 3 6 2" xfId="11969"/>
    <cellStyle name="Normal 9 2 3 6 2 2" xfId="27013"/>
    <cellStyle name="Normal 9 2 3 6 2 3" xfId="42056"/>
    <cellStyle name="Normal 9 2 3 6 3" xfId="19492"/>
    <cellStyle name="Normal 9 2 3 6 4" xfId="34535"/>
    <cellStyle name="Normal 9 2 3 7" xfId="8208"/>
    <cellStyle name="Normal 9 2 3 7 2" xfId="23252"/>
    <cellStyle name="Normal 9 2 3 7 3" xfId="38295"/>
    <cellStyle name="Normal 9 2 3 8" xfId="15731"/>
    <cellStyle name="Normal 9 2 3 9" xfId="30774"/>
    <cellStyle name="Normal 9 2 4" xfId="558"/>
    <cellStyle name="Normal 9 2 4 2" xfId="559"/>
    <cellStyle name="Normal 9 2 4 2 2" xfId="1075"/>
    <cellStyle name="Normal 9 2 4 2 2 2" xfId="2034"/>
    <cellStyle name="Normal 9 2 4 2 2 2 2" xfId="3905"/>
    <cellStyle name="Normal 9 2 4 2 2 2 2 2" xfId="7700"/>
    <cellStyle name="Normal 9 2 4 2 2 2 2 2 2" xfId="15223"/>
    <cellStyle name="Normal 9 2 4 2 2 2 2 2 2 2" xfId="30267"/>
    <cellStyle name="Normal 9 2 4 2 2 2 2 2 2 3" xfId="45310"/>
    <cellStyle name="Normal 9 2 4 2 2 2 2 2 3" xfId="22746"/>
    <cellStyle name="Normal 9 2 4 2 2 2 2 2 4" xfId="37789"/>
    <cellStyle name="Normal 9 2 4 2 2 2 2 3" xfId="11474"/>
    <cellStyle name="Normal 9 2 4 2 2 2 2 3 2" xfId="26518"/>
    <cellStyle name="Normal 9 2 4 2 2 2 2 3 3" xfId="41561"/>
    <cellStyle name="Normal 9 2 4 2 2 2 2 4" xfId="18997"/>
    <cellStyle name="Normal 9 2 4 2 2 2 2 5" xfId="34040"/>
    <cellStyle name="Normal 9 2 4 2 2 2 3" xfId="5835"/>
    <cellStyle name="Normal 9 2 4 2 2 2 3 2" xfId="13358"/>
    <cellStyle name="Normal 9 2 4 2 2 2 3 2 2" xfId="28402"/>
    <cellStyle name="Normal 9 2 4 2 2 2 3 2 3" xfId="43445"/>
    <cellStyle name="Normal 9 2 4 2 2 2 3 3" xfId="20881"/>
    <cellStyle name="Normal 9 2 4 2 2 2 3 4" xfId="35924"/>
    <cellStyle name="Normal 9 2 4 2 2 2 4" xfId="9609"/>
    <cellStyle name="Normal 9 2 4 2 2 2 4 2" xfId="24653"/>
    <cellStyle name="Normal 9 2 4 2 2 2 4 3" xfId="39696"/>
    <cellStyle name="Normal 9 2 4 2 2 2 5" xfId="17132"/>
    <cellStyle name="Normal 9 2 4 2 2 2 6" xfId="32175"/>
    <cellStyle name="Normal 9 2 4 2 2 3" xfId="2973"/>
    <cellStyle name="Normal 9 2 4 2 2 3 2" xfId="6768"/>
    <cellStyle name="Normal 9 2 4 2 2 3 2 2" xfId="14291"/>
    <cellStyle name="Normal 9 2 4 2 2 3 2 2 2" xfId="29335"/>
    <cellStyle name="Normal 9 2 4 2 2 3 2 2 3" xfId="44378"/>
    <cellStyle name="Normal 9 2 4 2 2 3 2 3" xfId="21814"/>
    <cellStyle name="Normal 9 2 4 2 2 3 2 4" xfId="36857"/>
    <cellStyle name="Normal 9 2 4 2 2 3 3" xfId="10542"/>
    <cellStyle name="Normal 9 2 4 2 2 3 3 2" xfId="25586"/>
    <cellStyle name="Normal 9 2 4 2 2 3 3 3" xfId="40629"/>
    <cellStyle name="Normal 9 2 4 2 2 3 4" xfId="18065"/>
    <cellStyle name="Normal 9 2 4 2 2 3 5" xfId="33108"/>
    <cellStyle name="Normal 9 2 4 2 2 4" xfId="4903"/>
    <cellStyle name="Normal 9 2 4 2 2 4 2" xfId="12426"/>
    <cellStyle name="Normal 9 2 4 2 2 4 2 2" xfId="27470"/>
    <cellStyle name="Normal 9 2 4 2 2 4 2 3" xfId="42513"/>
    <cellStyle name="Normal 9 2 4 2 2 4 3" xfId="19949"/>
    <cellStyle name="Normal 9 2 4 2 2 4 4" xfId="34992"/>
    <cellStyle name="Normal 9 2 4 2 2 5" xfId="8677"/>
    <cellStyle name="Normal 9 2 4 2 2 5 2" xfId="23721"/>
    <cellStyle name="Normal 9 2 4 2 2 5 3" xfId="38764"/>
    <cellStyle name="Normal 9 2 4 2 2 6" xfId="16200"/>
    <cellStyle name="Normal 9 2 4 2 2 7" xfId="31243"/>
    <cellStyle name="Normal 9 2 4 2 3" xfId="1582"/>
    <cellStyle name="Normal 9 2 4 2 3 2" xfId="3453"/>
    <cellStyle name="Normal 9 2 4 2 3 2 2" xfId="7248"/>
    <cellStyle name="Normal 9 2 4 2 3 2 2 2" xfId="14771"/>
    <cellStyle name="Normal 9 2 4 2 3 2 2 2 2" xfId="29815"/>
    <cellStyle name="Normal 9 2 4 2 3 2 2 2 3" xfId="44858"/>
    <cellStyle name="Normal 9 2 4 2 3 2 2 3" xfId="22294"/>
    <cellStyle name="Normal 9 2 4 2 3 2 2 4" xfId="37337"/>
    <cellStyle name="Normal 9 2 4 2 3 2 3" xfId="11022"/>
    <cellStyle name="Normal 9 2 4 2 3 2 3 2" xfId="26066"/>
    <cellStyle name="Normal 9 2 4 2 3 2 3 3" xfId="41109"/>
    <cellStyle name="Normal 9 2 4 2 3 2 4" xfId="18545"/>
    <cellStyle name="Normal 9 2 4 2 3 2 5" xfId="33588"/>
    <cellStyle name="Normal 9 2 4 2 3 3" xfId="5383"/>
    <cellStyle name="Normal 9 2 4 2 3 3 2" xfId="12906"/>
    <cellStyle name="Normal 9 2 4 2 3 3 2 2" xfId="27950"/>
    <cellStyle name="Normal 9 2 4 2 3 3 2 3" xfId="42993"/>
    <cellStyle name="Normal 9 2 4 2 3 3 3" xfId="20429"/>
    <cellStyle name="Normal 9 2 4 2 3 3 4" xfId="35472"/>
    <cellStyle name="Normal 9 2 4 2 3 4" xfId="9157"/>
    <cellStyle name="Normal 9 2 4 2 3 4 2" xfId="24201"/>
    <cellStyle name="Normal 9 2 4 2 3 4 3" xfId="39244"/>
    <cellStyle name="Normal 9 2 4 2 3 5" xfId="16680"/>
    <cellStyle name="Normal 9 2 4 2 3 6" xfId="31723"/>
    <cellStyle name="Normal 9 2 4 2 4" xfId="2520"/>
    <cellStyle name="Normal 9 2 4 2 4 2" xfId="6316"/>
    <cellStyle name="Normal 9 2 4 2 4 2 2" xfId="13839"/>
    <cellStyle name="Normal 9 2 4 2 4 2 2 2" xfId="28883"/>
    <cellStyle name="Normal 9 2 4 2 4 2 2 3" xfId="43926"/>
    <cellStyle name="Normal 9 2 4 2 4 2 3" xfId="21362"/>
    <cellStyle name="Normal 9 2 4 2 4 2 4" xfId="36405"/>
    <cellStyle name="Normal 9 2 4 2 4 3" xfId="10090"/>
    <cellStyle name="Normal 9 2 4 2 4 3 2" xfId="25134"/>
    <cellStyle name="Normal 9 2 4 2 4 3 3" xfId="40177"/>
    <cellStyle name="Normal 9 2 4 2 4 4" xfId="17613"/>
    <cellStyle name="Normal 9 2 4 2 4 5" xfId="32656"/>
    <cellStyle name="Normal 9 2 4 2 5" xfId="4448"/>
    <cellStyle name="Normal 9 2 4 2 5 2" xfId="11972"/>
    <cellStyle name="Normal 9 2 4 2 5 2 2" xfId="27016"/>
    <cellStyle name="Normal 9 2 4 2 5 2 3" xfId="42059"/>
    <cellStyle name="Normal 9 2 4 2 5 3" xfId="19495"/>
    <cellStyle name="Normal 9 2 4 2 5 4" xfId="34538"/>
    <cellStyle name="Normal 9 2 4 2 6" xfId="8211"/>
    <cellStyle name="Normal 9 2 4 2 6 2" xfId="23255"/>
    <cellStyle name="Normal 9 2 4 2 6 3" xfId="38298"/>
    <cellStyle name="Normal 9 2 4 2 7" xfId="15734"/>
    <cellStyle name="Normal 9 2 4 2 8" xfId="30777"/>
    <cellStyle name="Normal 9 2 4 3" xfId="1074"/>
    <cellStyle name="Normal 9 2 4 3 2" xfId="2033"/>
    <cellStyle name="Normal 9 2 4 3 2 2" xfId="3904"/>
    <cellStyle name="Normal 9 2 4 3 2 2 2" xfId="7699"/>
    <cellStyle name="Normal 9 2 4 3 2 2 2 2" xfId="15222"/>
    <cellStyle name="Normal 9 2 4 3 2 2 2 2 2" xfId="30266"/>
    <cellStyle name="Normal 9 2 4 3 2 2 2 2 3" xfId="45309"/>
    <cellStyle name="Normal 9 2 4 3 2 2 2 3" xfId="22745"/>
    <cellStyle name="Normal 9 2 4 3 2 2 2 4" xfId="37788"/>
    <cellStyle name="Normal 9 2 4 3 2 2 3" xfId="11473"/>
    <cellStyle name="Normal 9 2 4 3 2 2 3 2" xfId="26517"/>
    <cellStyle name="Normal 9 2 4 3 2 2 3 3" xfId="41560"/>
    <cellStyle name="Normal 9 2 4 3 2 2 4" xfId="18996"/>
    <cellStyle name="Normal 9 2 4 3 2 2 5" xfId="34039"/>
    <cellStyle name="Normal 9 2 4 3 2 3" xfId="5834"/>
    <cellStyle name="Normal 9 2 4 3 2 3 2" xfId="13357"/>
    <cellStyle name="Normal 9 2 4 3 2 3 2 2" xfId="28401"/>
    <cellStyle name="Normal 9 2 4 3 2 3 2 3" xfId="43444"/>
    <cellStyle name="Normal 9 2 4 3 2 3 3" xfId="20880"/>
    <cellStyle name="Normal 9 2 4 3 2 3 4" xfId="35923"/>
    <cellStyle name="Normal 9 2 4 3 2 4" xfId="9608"/>
    <cellStyle name="Normal 9 2 4 3 2 4 2" xfId="24652"/>
    <cellStyle name="Normal 9 2 4 3 2 4 3" xfId="39695"/>
    <cellStyle name="Normal 9 2 4 3 2 5" xfId="17131"/>
    <cellStyle name="Normal 9 2 4 3 2 6" xfId="32174"/>
    <cellStyle name="Normal 9 2 4 3 3" xfId="2972"/>
    <cellStyle name="Normal 9 2 4 3 3 2" xfId="6767"/>
    <cellStyle name="Normal 9 2 4 3 3 2 2" xfId="14290"/>
    <cellStyle name="Normal 9 2 4 3 3 2 2 2" xfId="29334"/>
    <cellStyle name="Normal 9 2 4 3 3 2 2 3" xfId="44377"/>
    <cellStyle name="Normal 9 2 4 3 3 2 3" xfId="21813"/>
    <cellStyle name="Normal 9 2 4 3 3 2 4" xfId="36856"/>
    <cellStyle name="Normal 9 2 4 3 3 3" xfId="10541"/>
    <cellStyle name="Normal 9 2 4 3 3 3 2" xfId="25585"/>
    <cellStyle name="Normal 9 2 4 3 3 3 3" xfId="40628"/>
    <cellStyle name="Normal 9 2 4 3 3 4" xfId="18064"/>
    <cellStyle name="Normal 9 2 4 3 3 5" xfId="33107"/>
    <cellStyle name="Normal 9 2 4 3 4" xfId="4902"/>
    <cellStyle name="Normal 9 2 4 3 4 2" xfId="12425"/>
    <cellStyle name="Normal 9 2 4 3 4 2 2" xfId="27469"/>
    <cellStyle name="Normal 9 2 4 3 4 2 3" xfId="42512"/>
    <cellStyle name="Normal 9 2 4 3 4 3" xfId="19948"/>
    <cellStyle name="Normal 9 2 4 3 4 4" xfId="34991"/>
    <cellStyle name="Normal 9 2 4 3 5" xfId="8676"/>
    <cellStyle name="Normal 9 2 4 3 5 2" xfId="23720"/>
    <cellStyle name="Normal 9 2 4 3 5 3" xfId="38763"/>
    <cellStyle name="Normal 9 2 4 3 6" xfId="16199"/>
    <cellStyle name="Normal 9 2 4 3 7" xfId="31242"/>
    <cellStyle name="Normal 9 2 4 4" xfId="1581"/>
    <cellStyle name="Normal 9 2 4 4 2" xfId="3452"/>
    <cellStyle name="Normal 9 2 4 4 2 2" xfId="7247"/>
    <cellStyle name="Normal 9 2 4 4 2 2 2" xfId="14770"/>
    <cellStyle name="Normal 9 2 4 4 2 2 2 2" xfId="29814"/>
    <cellStyle name="Normal 9 2 4 4 2 2 2 3" xfId="44857"/>
    <cellStyle name="Normal 9 2 4 4 2 2 3" xfId="22293"/>
    <cellStyle name="Normal 9 2 4 4 2 2 4" xfId="37336"/>
    <cellStyle name="Normal 9 2 4 4 2 3" xfId="11021"/>
    <cellStyle name="Normal 9 2 4 4 2 3 2" xfId="26065"/>
    <cellStyle name="Normal 9 2 4 4 2 3 3" xfId="41108"/>
    <cellStyle name="Normal 9 2 4 4 2 4" xfId="18544"/>
    <cellStyle name="Normal 9 2 4 4 2 5" xfId="33587"/>
    <cellStyle name="Normal 9 2 4 4 3" xfId="5382"/>
    <cellStyle name="Normal 9 2 4 4 3 2" xfId="12905"/>
    <cellStyle name="Normal 9 2 4 4 3 2 2" xfId="27949"/>
    <cellStyle name="Normal 9 2 4 4 3 2 3" xfId="42992"/>
    <cellStyle name="Normal 9 2 4 4 3 3" xfId="20428"/>
    <cellStyle name="Normal 9 2 4 4 3 4" xfId="35471"/>
    <cellStyle name="Normal 9 2 4 4 4" xfId="9156"/>
    <cellStyle name="Normal 9 2 4 4 4 2" xfId="24200"/>
    <cellStyle name="Normal 9 2 4 4 4 3" xfId="39243"/>
    <cellStyle name="Normal 9 2 4 4 5" xfId="16679"/>
    <cellStyle name="Normal 9 2 4 4 6" xfId="31722"/>
    <cellStyle name="Normal 9 2 4 5" xfId="2519"/>
    <cellStyle name="Normal 9 2 4 5 2" xfId="6315"/>
    <cellStyle name="Normal 9 2 4 5 2 2" xfId="13838"/>
    <cellStyle name="Normal 9 2 4 5 2 2 2" xfId="28882"/>
    <cellStyle name="Normal 9 2 4 5 2 2 3" xfId="43925"/>
    <cellStyle name="Normal 9 2 4 5 2 3" xfId="21361"/>
    <cellStyle name="Normal 9 2 4 5 2 4" xfId="36404"/>
    <cellStyle name="Normal 9 2 4 5 3" xfId="10089"/>
    <cellStyle name="Normal 9 2 4 5 3 2" xfId="25133"/>
    <cellStyle name="Normal 9 2 4 5 3 3" xfId="40176"/>
    <cellStyle name="Normal 9 2 4 5 4" xfId="17612"/>
    <cellStyle name="Normal 9 2 4 5 5" xfId="32655"/>
    <cellStyle name="Normal 9 2 4 6" xfId="4447"/>
    <cellStyle name="Normal 9 2 4 6 2" xfId="11971"/>
    <cellStyle name="Normal 9 2 4 6 2 2" xfId="27015"/>
    <cellStyle name="Normal 9 2 4 6 2 3" xfId="42058"/>
    <cellStyle name="Normal 9 2 4 6 3" xfId="19494"/>
    <cellStyle name="Normal 9 2 4 6 4" xfId="34537"/>
    <cellStyle name="Normal 9 2 4 7" xfId="8210"/>
    <cellStyle name="Normal 9 2 4 7 2" xfId="23254"/>
    <cellStyle name="Normal 9 2 4 7 3" xfId="38297"/>
    <cellStyle name="Normal 9 2 4 8" xfId="15733"/>
    <cellStyle name="Normal 9 2 4 9" xfId="30776"/>
    <cellStyle name="Normal 9 2 5" xfId="560"/>
    <cellStyle name="Normal 9 2 5 2" xfId="1076"/>
    <cellStyle name="Normal 9 2 5 2 2" xfId="2035"/>
    <cellStyle name="Normal 9 2 5 2 2 2" xfId="3906"/>
    <cellStyle name="Normal 9 2 5 2 2 2 2" xfId="7701"/>
    <cellStyle name="Normal 9 2 5 2 2 2 2 2" xfId="15224"/>
    <cellStyle name="Normal 9 2 5 2 2 2 2 2 2" xfId="30268"/>
    <cellStyle name="Normal 9 2 5 2 2 2 2 2 3" xfId="45311"/>
    <cellStyle name="Normal 9 2 5 2 2 2 2 3" xfId="22747"/>
    <cellStyle name="Normal 9 2 5 2 2 2 2 4" xfId="37790"/>
    <cellStyle name="Normal 9 2 5 2 2 2 3" xfId="11475"/>
    <cellStyle name="Normal 9 2 5 2 2 2 3 2" xfId="26519"/>
    <cellStyle name="Normal 9 2 5 2 2 2 3 3" xfId="41562"/>
    <cellStyle name="Normal 9 2 5 2 2 2 4" xfId="18998"/>
    <cellStyle name="Normal 9 2 5 2 2 2 5" xfId="34041"/>
    <cellStyle name="Normal 9 2 5 2 2 3" xfId="5836"/>
    <cellStyle name="Normal 9 2 5 2 2 3 2" xfId="13359"/>
    <cellStyle name="Normal 9 2 5 2 2 3 2 2" xfId="28403"/>
    <cellStyle name="Normal 9 2 5 2 2 3 2 3" xfId="43446"/>
    <cellStyle name="Normal 9 2 5 2 2 3 3" xfId="20882"/>
    <cellStyle name="Normal 9 2 5 2 2 3 4" xfId="35925"/>
    <cellStyle name="Normal 9 2 5 2 2 4" xfId="9610"/>
    <cellStyle name="Normal 9 2 5 2 2 4 2" xfId="24654"/>
    <cellStyle name="Normal 9 2 5 2 2 4 3" xfId="39697"/>
    <cellStyle name="Normal 9 2 5 2 2 5" xfId="17133"/>
    <cellStyle name="Normal 9 2 5 2 2 6" xfId="32176"/>
    <cellStyle name="Normal 9 2 5 2 3" xfId="2974"/>
    <cellStyle name="Normal 9 2 5 2 3 2" xfId="6769"/>
    <cellStyle name="Normal 9 2 5 2 3 2 2" xfId="14292"/>
    <cellStyle name="Normal 9 2 5 2 3 2 2 2" xfId="29336"/>
    <cellStyle name="Normal 9 2 5 2 3 2 2 3" xfId="44379"/>
    <cellStyle name="Normal 9 2 5 2 3 2 3" xfId="21815"/>
    <cellStyle name="Normal 9 2 5 2 3 2 4" xfId="36858"/>
    <cellStyle name="Normal 9 2 5 2 3 3" xfId="10543"/>
    <cellStyle name="Normal 9 2 5 2 3 3 2" xfId="25587"/>
    <cellStyle name="Normal 9 2 5 2 3 3 3" xfId="40630"/>
    <cellStyle name="Normal 9 2 5 2 3 4" xfId="18066"/>
    <cellStyle name="Normal 9 2 5 2 3 5" xfId="33109"/>
    <cellStyle name="Normal 9 2 5 2 4" xfId="4904"/>
    <cellStyle name="Normal 9 2 5 2 4 2" xfId="12427"/>
    <cellStyle name="Normal 9 2 5 2 4 2 2" xfId="27471"/>
    <cellStyle name="Normal 9 2 5 2 4 2 3" xfId="42514"/>
    <cellStyle name="Normal 9 2 5 2 4 3" xfId="19950"/>
    <cellStyle name="Normal 9 2 5 2 4 4" xfId="34993"/>
    <cellStyle name="Normal 9 2 5 2 5" xfId="8678"/>
    <cellStyle name="Normal 9 2 5 2 5 2" xfId="23722"/>
    <cellStyle name="Normal 9 2 5 2 5 3" xfId="38765"/>
    <cellStyle name="Normal 9 2 5 2 6" xfId="16201"/>
    <cellStyle name="Normal 9 2 5 2 7" xfId="31244"/>
    <cellStyle name="Normal 9 2 5 3" xfId="1583"/>
    <cellStyle name="Normal 9 2 5 3 2" xfId="3454"/>
    <cellStyle name="Normal 9 2 5 3 2 2" xfId="7249"/>
    <cellStyle name="Normal 9 2 5 3 2 2 2" xfId="14772"/>
    <cellStyle name="Normal 9 2 5 3 2 2 2 2" xfId="29816"/>
    <cellStyle name="Normal 9 2 5 3 2 2 2 3" xfId="44859"/>
    <cellStyle name="Normal 9 2 5 3 2 2 3" xfId="22295"/>
    <cellStyle name="Normal 9 2 5 3 2 2 4" xfId="37338"/>
    <cellStyle name="Normal 9 2 5 3 2 3" xfId="11023"/>
    <cellStyle name="Normal 9 2 5 3 2 3 2" xfId="26067"/>
    <cellStyle name="Normal 9 2 5 3 2 3 3" xfId="41110"/>
    <cellStyle name="Normal 9 2 5 3 2 4" xfId="18546"/>
    <cellStyle name="Normal 9 2 5 3 2 5" xfId="33589"/>
    <cellStyle name="Normal 9 2 5 3 3" xfId="5384"/>
    <cellStyle name="Normal 9 2 5 3 3 2" xfId="12907"/>
    <cellStyle name="Normal 9 2 5 3 3 2 2" xfId="27951"/>
    <cellStyle name="Normal 9 2 5 3 3 2 3" xfId="42994"/>
    <cellStyle name="Normal 9 2 5 3 3 3" xfId="20430"/>
    <cellStyle name="Normal 9 2 5 3 3 4" xfId="35473"/>
    <cellStyle name="Normal 9 2 5 3 4" xfId="9158"/>
    <cellStyle name="Normal 9 2 5 3 4 2" xfId="24202"/>
    <cellStyle name="Normal 9 2 5 3 4 3" xfId="39245"/>
    <cellStyle name="Normal 9 2 5 3 5" xfId="16681"/>
    <cellStyle name="Normal 9 2 5 3 6" xfId="31724"/>
    <cellStyle name="Normal 9 2 5 4" xfId="2521"/>
    <cellStyle name="Normal 9 2 5 4 2" xfId="6317"/>
    <cellStyle name="Normal 9 2 5 4 2 2" xfId="13840"/>
    <cellStyle name="Normal 9 2 5 4 2 2 2" xfId="28884"/>
    <cellStyle name="Normal 9 2 5 4 2 2 3" xfId="43927"/>
    <cellStyle name="Normal 9 2 5 4 2 3" xfId="21363"/>
    <cellStyle name="Normal 9 2 5 4 2 4" xfId="36406"/>
    <cellStyle name="Normal 9 2 5 4 3" xfId="10091"/>
    <cellStyle name="Normal 9 2 5 4 3 2" xfId="25135"/>
    <cellStyle name="Normal 9 2 5 4 3 3" xfId="40178"/>
    <cellStyle name="Normal 9 2 5 4 4" xfId="17614"/>
    <cellStyle name="Normal 9 2 5 4 5" xfId="32657"/>
    <cellStyle name="Normal 9 2 5 5" xfId="4449"/>
    <cellStyle name="Normal 9 2 5 5 2" xfId="11973"/>
    <cellStyle name="Normal 9 2 5 5 2 2" xfId="27017"/>
    <cellStyle name="Normal 9 2 5 5 2 3" xfId="42060"/>
    <cellStyle name="Normal 9 2 5 5 3" xfId="19496"/>
    <cellStyle name="Normal 9 2 5 5 4" xfId="34539"/>
    <cellStyle name="Normal 9 2 5 6" xfId="8212"/>
    <cellStyle name="Normal 9 2 5 6 2" xfId="23256"/>
    <cellStyle name="Normal 9 2 5 6 3" xfId="38299"/>
    <cellStyle name="Normal 9 2 5 7" xfId="15735"/>
    <cellStyle name="Normal 9 2 5 8" xfId="30778"/>
    <cellStyle name="Normal 9 2 6" xfId="1065"/>
    <cellStyle name="Normal 9 2 6 2" xfId="2024"/>
    <cellStyle name="Normal 9 2 6 2 2" xfId="3895"/>
    <cellStyle name="Normal 9 2 6 2 2 2" xfId="7690"/>
    <cellStyle name="Normal 9 2 6 2 2 2 2" xfId="15213"/>
    <cellStyle name="Normal 9 2 6 2 2 2 2 2" xfId="30257"/>
    <cellStyle name="Normal 9 2 6 2 2 2 2 3" xfId="45300"/>
    <cellStyle name="Normal 9 2 6 2 2 2 3" xfId="22736"/>
    <cellStyle name="Normal 9 2 6 2 2 2 4" xfId="37779"/>
    <cellStyle name="Normal 9 2 6 2 2 3" xfId="11464"/>
    <cellStyle name="Normal 9 2 6 2 2 3 2" xfId="26508"/>
    <cellStyle name="Normal 9 2 6 2 2 3 3" xfId="41551"/>
    <cellStyle name="Normal 9 2 6 2 2 4" xfId="18987"/>
    <cellStyle name="Normal 9 2 6 2 2 5" xfId="34030"/>
    <cellStyle name="Normal 9 2 6 2 3" xfId="5825"/>
    <cellStyle name="Normal 9 2 6 2 3 2" xfId="13348"/>
    <cellStyle name="Normal 9 2 6 2 3 2 2" xfId="28392"/>
    <cellStyle name="Normal 9 2 6 2 3 2 3" xfId="43435"/>
    <cellStyle name="Normal 9 2 6 2 3 3" xfId="20871"/>
    <cellStyle name="Normal 9 2 6 2 3 4" xfId="35914"/>
    <cellStyle name="Normal 9 2 6 2 4" xfId="9599"/>
    <cellStyle name="Normal 9 2 6 2 4 2" xfId="24643"/>
    <cellStyle name="Normal 9 2 6 2 4 3" xfId="39686"/>
    <cellStyle name="Normal 9 2 6 2 5" xfId="17122"/>
    <cellStyle name="Normal 9 2 6 2 6" xfId="32165"/>
    <cellStyle name="Normal 9 2 6 3" xfId="2963"/>
    <cellStyle name="Normal 9 2 6 3 2" xfId="6758"/>
    <cellStyle name="Normal 9 2 6 3 2 2" xfId="14281"/>
    <cellStyle name="Normal 9 2 6 3 2 2 2" xfId="29325"/>
    <cellStyle name="Normal 9 2 6 3 2 2 3" xfId="44368"/>
    <cellStyle name="Normal 9 2 6 3 2 3" xfId="21804"/>
    <cellStyle name="Normal 9 2 6 3 2 4" xfId="36847"/>
    <cellStyle name="Normal 9 2 6 3 3" xfId="10532"/>
    <cellStyle name="Normal 9 2 6 3 3 2" xfId="25576"/>
    <cellStyle name="Normal 9 2 6 3 3 3" xfId="40619"/>
    <cellStyle name="Normal 9 2 6 3 4" xfId="18055"/>
    <cellStyle name="Normal 9 2 6 3 5" xfId="33098"/>
    <cellStyle name="Normal 9 2 6 4" xfId="4893"/>
    <cellStyle name="Normal 9 2 6 4 2" xfId="12416"/>
    <cellStyle name="Normal 9 2 6 4 2 2" xfId="27460"/>
    <cellStyle name="Normal 9 2 6 4 2 3" xfId="42503"/>
    <cellStyle name="Normal 9 2 6 4 3" xfId="19939"/>
    <cellStyle name="Normal 9 2 6 4 4" xfId="34982"/>
    <cellStyle name="Normal 9 2 6 5" xfId="8667"/>
    <cellStyle name="Normal 9 2 6 5 2" xfId="23711"/>
    <cellStyle name="Normal 9 2 6 5 3" xfId="38754"/>
    <cellStyle name="Normal 9 2 6 6" xfId="16190"/>
    <cellStyle name="Normal 9 2 6 7" xfId="31233"/>
    <cellStyle name="Normal 9 2 7" xfId="1572"/>
    <cellStyle name="Normal 9 2 7 2" xfId="3443"/>
    <cellStyle name="Normal 9 2 7 2 2" xfId="7238"/>
    <cellStyle name="Normal 9 2 7 2 2 2" xfId="14761"/>
    <cellStyle name="Normal 9 2 7 2 2 2 2" xfId="29805"/>
    <cellStyle name="Normal 9 2 7 2 2 2 3" xfId="44848"/>
    <cellStyle name="Normal 9 2 7 2 2 3" xfId="22284"/>
    <cellStyle name="Normal 9 2 7 2 2 4" xfId="37327"/>
    <cellStyle name="Normal 9 2 7 2 3" xfId="11012"/>
    <cellStyle name="Normal 9 2 7 2 3 2" xfId="26056"/>
    <cellStyle name="Normal 9 2 7 2 3 3" xfId="41099"/>
    <cellStyle name="Normal 9 2 7 2 4" xfId="18535"/>
    <cellStyle name="Normal 9 2 7 2 5" xfId="33578"/>
    <cellStyle name="Normal 9 2 7 3" xfId="5373"/>
    <cellStyle name="Normal 9 2 7 3 2" xfId="12896"/>
    <cellStyle name="Normal 9 2 7 3 2 2" xfId="27940"/>
    <cellStyle name="Normal 9 2 7 3 2 3" xfId="42983"/>
    <cellStyle name="Normal 9 2 7 3 3" xfId="20419"/>
    <cellStyle name="Normal 9 2 7 3 4" xfId="35462"/>
    <cellStyle name="Normal 9 2 7 4" xfId="9147"/>
    <cellStyle name="Normal 9 2 7 4 2" xfId="24191"/>
    <cellStyle name="Normal 9 2 7 4 3" xfId="39234"/>
    <cellStyle name="Normal 9 2 7 5" xfId="16670"/>
    <cellStyle name="Normal 9 2 7 6" xfId="31713"/>
    <cellStyle name="Normal 9 2 8" xfId="2510"/>
    <cellStyle name="Normal 9 2 8 2" xfId="6306"/>
    <cellStyle name="Normal 9 2 8 2 2" xfId="13829"/>
    <cellStyle name="Normal 9 2 8 2 2 2" xfId="28873"/>
    <cellStyle name="Normal 9 2 8 2 2 3" xfId="43916"/>
    <cellStyle name="Normal 9 2 8 2 3" xfId="21352"/>
    <cellStyle name="Normal 9 2 8 2 4" xfId="36395"/>
    <cellStyle name="Normal 9 2 8 3" xfId="10080"/>
    <cellStyle name="Normal 9 2 8 3 2" xfId="25124"/>
    <cellStyle name="Normal 9 2 8 3 3" xfId="40167"/>
    <cellStyle name="Normal 9 2 8 4" xfId="17603"/>
    <cellStyle name="Normal 9 2 8 5" xfId="32646"/>
    <cellStyle name="Normal 9 2 9" xfId="4438"/>
    <cellStyle name="Normal 9 2 9 2" xfId="11962"/>
    <cellStyle name="Normal 9 2 9 2 2" xfId="27006"/>
    <cellStyle name="Normal 9 2 9 2 3" xfId="42049"/>
    <cellStyle name="Normal 9 2 9 3" xfId="19485"/>
    <cellStyle name="Normal 9 2 9 4" xfId="34528"/>
    <cellStyle name="Normal 9 3" xfId="561"/>
    <cellStyle name="Normal 9 3 10" xfId="15736"/>
    <cellStyle name="Normal 9 3 11" xfId="30779"/>
    <cellStyle name="Normal 9 3 2" xfId="562"/>
    <cellStyle name="Normal 9 3 2 2" xfId="563"/>
    <cellStyle name="Normal 9 3 2 2 2" xfId="1079"/>
    <cellStyle name="Normal 9 3 2 2 2 2" xfId="2038"/>
    <cellStyle name="Normal 9 3 2 2 2 2 2" xfId="3909"/>
    <cellStyle name="Normal 9 3 2 2 2 2 2 2" xfId="7704"/>
    <cellStyle name="Normal 9 3 2 2 2 2 2 2 2" xfId="15227"/>
    <cellStyle name="Normal 9 3 2 2 2 2 2 2 2 2" xfId="30271"/>
    <cellStyle name="Normal 9 3 2 2 2 2 2 2 2 3" xfId="45314"/>
    <cellStyle name="Normal 9 3 2 2 2 2 2 2 3" xfId="22750"/>
    <cellStyle name="Normal 9 3 2 2 2 2 2 2 4" xfId="37793"/>
    <cellStyle name="Normal 9 3 2 2 2 2 2 3" xfId="11478"/>
    <cellStyle name="Normal 9 3 2 2 2 2 2 3 2" xfId="26522"/>
    <cellStyle name="Normal 9 3 2 2 2 2 2 3 3" xfId="41565"/>
    <cellStyle name="Normal 9 3 2 2 2 2 2 4" xfId="19001"/>
    <cellStyle name="Normal 9 3 2 2 2 2 2 5" xfId="34044"/>
    <cellStyle name="Normal 9 3 2 2 2 2 3" xfId="5839"/>
    <cellStyle name="Normal 9 3 2 2 2 2 3 2" xfId="13362"/>
    <cellStyle name="Normal 9 3 2 2 2 2 3 2 2" xfId="28406"/>
    <cellStyle name="Normal 9 3 2 2 2 2 3 2 3" xfId="43449"/>
    <cellStyle name="Normal 9 3 2 2 2 2 3 3" xfId="20885"/>
    <cellStyle name="Normal 9 3 2 2 2 2 3 4" xfId="35928"/>
    <cellStyle name="Normal 9 3 2 2 2 2 4" xfId="9613"/>
    <cellStyle name="Normal 9 3 2 2 2 2 4 2" xfId="24657"/>
    <cellStyle name="Normal 9 3 2 2 2 2 4 3" xfId="39700"/>
    <cellStyle name="Normal 9 3 2 2 2 2 5" xfId="17136"/>
    <cellStyle name="Normal 9 3 2 2 2 2 6" xfId="32179"/>
    <cellStyle name="Normal 9 3 2 2 2 3" xfId="2977"/>
    <cellStyle name="Normal 9 3 2 2 2 3 2" xfId="6772"/>
    <cellStyle name="Normal 9 3 2 2 2 3 2 2" xfId="14295"/>
    <cellStyle name="Normal 9 3 2 2 2 3 2 2 2" xfId="29339"/>
    <cellStyle name="Normal 9 3 2 2 2 3 2 2 3" xfId="44382"/>
    <cellStyle name="Normal 9 3 2 2 2 3 2 3" xfId="21818"/>
    <cellStyle name="Normal 9 3 2 2 2 3 2 4" xfId="36861"/>
    <cellStyle name="Normal 9 3 2 2 2 3 3" xfId="10546"/>
    <cellStyle name="Normal 9 3 2 2 2 3 3 2" xfId="25590"/>
    <cellStyle name="Normal 9 3 2 2 2 3 3 3" xfId="40633"/>
    <cellStyle name="Normal 9 3 2 2 2 3 4" xfId="18069"/>
    <cellStyle name="Normal 9 3 2 2 2 3 5" xfId="33112"/>
    <cellStyle name="Normal 9 3 2 2 2 4" xfId="4907"/>
    <cellStyle name="Normal 9 3 2 2 2 4 2" xfId="12430"/>
    <cellStyle name="Normal 9 3 2 2 2 4 2 2" xfId="27474"/>
    <cellStyle name="Normal 9 3 2 2 2 4 2 3" xfId="42517"/>
    <cellStyle name="Normal 9 3 2 2 2 4 3" xfId="19953"/>
    <cellStyle name="Normal 9 3 2 2 2 4 4" xfId="34996"/>
    <cellStyle name="Normal 9 3 2 2 2 5" xfId="8681"/>
    <cellStyle name="Normal 9 3 2 2 2 5 2" xfId="23725"/>
    <cellStyle name="Normal 9 3 2 2 2 5 3" xfId="38768"/>
    <cellStyle name="Normal 9 3 2 2 2 6" xfId="16204"/>
    <cellStyle name="Normal 9 3 2 2 2 7" xfId="31247"/>
    <cellStyle name="Normal 9 3 2 2 3" xfId="1586"/>
    <cellStyle name="Normal 9 3 2 2 3 2" xfId="3457"/>
    <cellStyle name="Normal 9 3 2 2 3 2 2" xfId="7252"/>
    <cellStyle name="Normal 9 3 2 2 3 2 2 2" xfId="14775"/>
    <cellStyle name="Normal 9 3 2 2 3 2 2 2 2" xfId="29819"/>
    <cellStyle name="Normal 9 3 2 2 3 2 2 2 3" xfId="44862"/>
    <cellStyle name="Normal 9 3 2 2 3 2 2 3" xfId="22298"/>
    <cellStyle name="Normal 9 3 2 2 3 2 2 4" xfId="37341"/>
    <cellStyle name="Normal 9 3 2 2 3 2 3" xfId="11026"/>
    <cellStyle name="Normal 9 3 2 2 3 2 3 2" xfId="26070"/>
    <cellStyle name="Normal 9 3 2 2 3 2 3 3" xfId="41113"/>
    <cellStyle name="Normal 9 3 2 2 3 2 4" xfId="18549"/>
    <cellStyle name="Normal 9 3 2 2 3 2 5" xfId="33592"/>
    <cellStyle name="Normal 9 3 2 2 3 3" xfId="5387"/>
    <cellStyle name="Normal 9 3 2 2 3 3 2" xfId="12910"/>
    <cellStyle name="Normal 9 3 2 2 3 3 2 2" xfId="27954"/>
    <cellStyle name="Normal 9 3 2 2 3 3 2 3" xfId="42997"/>
    <cellStyle name="Normal 9 3 2 2 3 3 3" xfId="20433"/>
    <cellStyle name="Normal 9 3 2 2 3 3 4" xfId="35476"/>
    <cellStyle name="Normal 9 3 2 2 3 4" xfId="9161"/>
    <cellStyle name="Normal 9 3 2 2 3 4 2" xfId="24205"/>
    <cellStyle name="Normal 9 3 2 2 3 4 3" xfId="39248"/>
    <cellStyle name="Normal 9 3 2 2 3 5" xfId="16684"/>
    <cellStyle name="Normal 9 3 2 2 3 6" xfId="31727"/>
    <cellStyle name="Normal 9 3 2 2 4" xfId="2524"/>
    <cellStyle name="Normal 9 3 2 2 4 2" xfId="6320"/>
    <cellStyle name="Normal 9 3 2 2 4 2 2" xfId="13843"/>
    <cellStyle name="Normal 9 3 2 2 4 2 2 2" xfId="28887"/>
    <cellStyle name="Normal 9 3 2 2 4 2 2 3" xfId="43930"/>
    <cellStyle name="Normal 9 3 2 2 4 2 3" xfId="21366"/>
    <cellStyle name="Normal 9 3 2 2 4 2 4" xfId="36409"/>
    <cellStyle name="Normal 9 3 2 2 4 3" xfId="10094"/>
    <cellStyle name="Normal 9 3 2 2 4 3 2" xfId="25138"/>
    <cellStyle name="Normal 9 3 2 2 4 3 3" xfId="40181"/>
    <cellStyle name="Normal 9 3 2 2 4 4" xfId="17617"/>
    <cellStyle name="Normal 9 3 2 2 4 5" xfId="32660"/>
    <cellStyle name="Normal 9 3 2 2 5" xfId="4452"/>
    <cellStyle name="Normal 9 3 2 2 5 2" xfId="11976"/>
    <cellStyle name="Normal 9 3 2 2 5 2 2" xfId="27020"/>
    <cellStyle name="Normal 9 3 2 2 5 2 3" xfId="42063"/>
    <cellStyle name="Normal 9 3 2 2 5 3" xfId="19499"/>
    <cellStyle name="Normal 9 3 2 2 5 4" xfId="34542"/>
    <cellStyle name="Normal 9 3 2 2 6" xfId="8215"/>
    <cellStyle name="Normal 9 3 2 2 6 2" xfId="23259"/>
    <cellStyle name="Normal 9 3 2 2 6 3" xfId="38302"/>
    <cellStyle name="Normal 9 3 2 2 7" xfId="15738"/>
    <cellStyle name="Normal 9 3 2 2 8" xfId="30781"/>
    <cellStyle name="Normal 9 3 2 3" xfId="1078"/>
    <cellStyle name="Normal 9 3 2 3 2" xfId="2037"/>
    <cellStyle name="Normal 9 3 2 3 2 2" xfId="3908"/>
    <cellStyle name="Normal 9 3 2 3 2 2 2" xfId="7703"/>
    <cellStyle name="Normal 9 3 2 3 2 2 2 2" xfId="15226"/>
    <cellStyle name="Normal 9 3 2 3 2 2 2 2 2" xfId="30270"/>
    <cellStyle name="Normal 9 3 2 3 2 2 2 2 3" xfId="45313"/>
    <cellStyle name="Normal 9 3 2 3 2 2 2 3" xfId="22749"/>
    <cellStyle name="Normal 9 3 2 3 2 2 2 4" xfId="37792"/>
    <cellStyle name="Normal 9 3 2 3 2 2 3" xfId="11477"/>
    <cellStyle name="Normal 9 3 2 3 2 2 3 2" xfId="26521"/>
    <cellStyle name="Normal 9 3 2 3 2 2 3 3" xfId="41564"/>
    <cellStyle name="Normal 9 3 2 3 2 2 4" xfId="19000"/>
    <cellStyle name="Normal 9 3 2 3 2 2 5" xfId="34043"/>
    <cellStyle name="Normal 9 3 2 3 2 3" xfId="5838"/>
    <cellStyle name="Normal 9 3 2 3 2 3 2" xfId="13361"/>
    <cellStyle name="Normal 9 3 2 3 2 3 2 2" xfId="28405"/>
    <cellStyle name="Normal 9 3 2 3 2 3 2 3" xfId="43448"/>
    <cellStyle name="Normal 9 3 2 3 2 3 3" xfId="20884"/>
    <cellStyle name="Normal 9 3 2 3 2 3 4" xfId="35927"/>
    <cellStyle name="Normal 9 3 2 3 2 4" xfId="9612"/>
    <cellStyle name="Normal 9 3 2 3 2 4 2" xfId="24656"/>
    <cellStyle name="Normal 9 3 2 3 2 4 3" xfId="39699"/>
    <cellStyle name="Normal 9 3 2 3 2 5" xfId="17135"/>
    <cellStyle name="Normal 9 3 2 3 2 6" xfId="32178"/>
    <cellStyle name="Normal 9 3 2 3 3" xfId="2976"/>
    <cellStyle name="Normal 9 3 2 3 3 2" xfId="6771"/>
    <cellStyle name="Normal 9 3 2 3 3 2 2" xfId="14294"/>
    <cellStyle name="Normal 9 3 2 3 3 2 2 2" xfId="29338"/>
    <cellStyle name="Normal 9 3 2 3 3 2 2 3" xfId="44381"/>
    <cellStyle name="Normal 9 3 2 3 3 2 3" xfId="21817"/>
    <cellStyle name="Normal 9 3 2 3 3 2 4" xfId="36860"/>
    <cellStyle name="Normal 9 3 2 3 3 3" xfId="10545"/>
    <cellStyle name="Normal 9 3 2 3 3 3 2" xfId="25589"/>
    <cellStyle name="Normal 9 3 2 3 3 3 3" xfId="40632"/>
    <cellStyle name="Normal 9 3 2 3 3 4" xfId="18068"/>
    <cellStyle name="Normal 9 3 2 3 3 5" xfId="33111"/>
    <cellStyle name="Normal 9 3 2 3 4" xfId="4906"/>
    <cellStyle name="Normal 9 3 2 3 4 2" xfId="12429"/>
    <cellStyle name="Normal 9 3 2 3 4 2 2" xfId="27473"/>
    <cellStyle name="Normal 9 3 2 3 4 2 3" xfId="42516"/>
    <cellStyle name="Normal 9 3 2 3 4 3" xfId="19952"/>
    <cellStyle name="Normal 9 3 2 3 4 4" xfId="34995"/>
    <cellStyle name="Normal 9 3 2 3 5" xfId="8680"/>
    <cellStyle name="Normal 9 3 2 3 5 2" xfId="23724"/>
    <cellStyle name="Normal 9 3 2 3 5 3" xfId="38767"/>
    <cellStyle name="Normal 9 3 2 3 6" xfId="16203"/>
    <cellStyle name="Normal 9 3 2 3 7" xfId="31246"/>
    <cellStyle name="Normal 9 3 2 4" xfId="1585"/>
    <cellStyle name="Normal 9 3 2 4 2" xfId="3456"/>
    <cellStyle name="Normal 9 3 2 4 2 2" xfId="7251"/>
    <cellStyle name="Normal 9 3 2 4 2 2 2" xfId="14774"/>
    <cellStyle name="Normal 9 3 2 4 2 2 2 2" xfId="29818"/>
    <cellStyle name="Normal 9 3 2 4 2 2 2 3" xfId="44861"/>
    <cellStyle name="Normal 9 3 2 4 2 2 3" xfId="22297"/>
    <cellStyle name="Normal 9 3 2 4 2 2 4" xfId="37340"/>
    <cellStyle name="Normal 9 3 2 4 2 3" xfId="11025"/>
    <cellStyle name="Normal 9 3 2 4 2 3 2" xfId="26069"/>
    <cellStyle name="Normal 9 3 2 4 2 3 3" xfId="41112"/>
    <cellStyle name="Normal 9 3 2 4 2 4" xfId="18548"/>
    <cellStyle name="Normal 9 3 2 4 2 5" xfId="33591"/>
    <cellStyle name="Normal 9 3 2 4 3" xfId="5386"/>
    <cellStyle name="Normal 9 3 2 4 3 2" xfId="12909"/>
    <cellStyle name="Normal 9 3 2 4 3 2 2" xfId="27953"/>
    <cellStyle name="Normal 9 3 2 4 3 2 3" xfId="42996"/>
    <cellStyle name="Normal 9 3 2 4 3 3" xfId="20432"/>
    <cellStyle name="Normal 9 3 2 4 3 4" xfId="35475"/>
    <cellStyle name="Normal 9 3 2 4 4" xfId="9160"/>
    <cellStyle name="Normal 9 3 2 4 4 2" xfId="24204"/>
    <cellStyle name="Normal 9 3 2 4 4 3" xfId="39247"/>
    <cellStyle name="Normal 9 3 2 4 5" xfId="16683"/>
    <cellStyle name="Normal 9 3 2 4 6" xfId="31726"/>
    <cellStyle name="Normal 9 3 2 5" xfId="2523"/>
    <cellStyle name="Normal 9 3 2 5 2" xfId="6319"/>
    <cellStyle name="Normal 9 3 2 5 2 2" xfId="13842"/>
    <cellStyle name="Normal 9 3 2 5 2 2 2" xfId="28886"/>
    <cellStyle name="Normal 9 3 2 5 2 2 3" xfId="43929"/>
    <cellStyle name="Normal 9 3 2 5 2 3" xfId="21365"/>
    <cellStyle name="Normal 9 3 2 5 2 4" xfId="36408"/>
    <cellStyle name="Normal 9 3 2 5 3" xfId="10093"/>
    <cellStyle name="Normal 9 3 2 5 3 2" xfId="25137"/>
    <cellStyle name="Normal 9 3 2 5 3 3" xfId="40180"/>
    <cellStyle name="Normal 9 3 2 5 4" xfId="17616"/>
    <cellStyle name="Normal 9 3 2 5 5" xfId="32659"/>
    <cellStyle name="Normal 9 3 2 6" xfId="4451"/>
    <cellStyle name="Normal 9 3 2 6 2" xfId="11975"/>
    <cellStyle name="Normal 9 3 2 6 2 2" xfId="27019"/>
    <cellStyle name="Normal 9 3 2 6 2 3" xfId="42062"/>
    <cellStyle name="Normal 9 3 2 6 3" xfId="19498"/>
    <cellStyle name="Normal 9 3 2 6 4" xfId="34541"/>
    <cellStyle name="Normal 9 3 2 7" xfId="8214"/>
    <cellStyle name="Normal 9 3 2 7 2" xfId="23258"/>
    <cellStyle name="Normal 9 3 2 7 3" xfId="38301"/>
    <cellStyle name="Normal 9 3 2 8" xfId="15737"/>
    <cellStyle name="Normal 9 3 2 9" xfId="30780"/>
    <cellStyle name="Normal 9 3 3" xfId="564"/>
    <cellStyle name="Normal 9 3 3 2" xfId="565"/>
    <cellStyle name="Normal 9 3 3 2 2" xfId="1081"/>
    <cellStyle name="Normal 9 3 3 2 2 2" xfId="2040"/>
    <cellStyle name="Normal 9 3 3 2 2 2 2" xfId="3911"/>
    <cellStyle name="Normal 9 3 3 2 2 2 2 2" xfId="7706"/>
    <cellStyle name="Normal 9 3 3 2 2 2 2 2 2" xfId="15229"/>
    <cellStyle name="Normal 9 3 3 2 2 2 2 2 2 2" xfId="30273"/>
    <cellStyle name="Normal 9 3 3 2 2 2 2 2 2 3" xfId="45316"/>
    <cellStyle name="Normal 9 3 3 2 2 2 2 2 3" xfId="22752"/>
    <cellStyle name="Normal 9 3 3 2 2 2 2 2 4" xfId="37795"/>
    <cellStyle name="Normal 9 3 3 2 2 2 2 3" xfId="11480"/>
    <cellStyle name="Normal 9 3 3 2 2 2 2 3 2" xfId="26524"/>
    <cellStyle name="Normal 9 3 3 2 2 2 2 3 3" xfId="41567"/>
    <cellStyle name="Normal 9 3 3 2 2 2 2 4" xfId="19003"/>
    <cellStyle name="Normal 9 3 3 2 2 2 2 5" xfId="34046"/>
    <cellStyle name="Normal 9 3 3 2 2 2 3" xfId="5841"/>
    <cellStyle name="Normal 9 3 3 2 2 2 3 2" xfId="13364"/>
    <cellStyle name="Normal 9 3 3 2 2 2 3 2 2" xfId="28408"/>
    <cellStyle name="Normal 9 3 3 2 2 2 3 2 3" xfId="43451"/>
    <cellStyle name="Normal 9 3 3 2 2 2 3 3" xfId="20887"/>
    <cellStyle name="Normal 9 3 3 2 2 2 3 4" xfId="35930"/>
    <cellStyle name="Normal 9 3 3 2 2 2 4" xfId="9615"/>
    <cellStyle name="Normal 9 3 3 2 2 2 4 2" xfId="24659"/>
    <cellStyle name="Normal 9 3 3 2 2 2 4 3" xfId="39702"/>
    <cellStyle name="Normal 9 3 3 2 2 2 5" xfId="17138"/>
    <cellStyle name="Normal 9 3 3 2 2 2 6" xfId="32181"/>
    <cellStyle name="Normal 9 3 3 2 2 3" xfId="2979"/>
    <cellStyle name="Normal 9 3 3 2 2 3 2" xfId="6774"/>
    <cellStyle name="Normal 9 3 3 2 2 3 2 2" xfId="14297"/>
    <cellStyle name="Normal 9 3 3 2 2 3 2 2 2" xfId="29341"/>
    <cellStyle name="Normal 9 3 3 2 2 3 2 2 3" xfId="44384"/>
    <cellStyle name="Normal 9 3 3 2 2 3 2 3" xfId="21820"/>
    <cellStyle name="Normal 9 3 3 2 2 3 2 4" xfId="36863"/>
    <cellStyle name="Normal 9 3 3 2 2 3 3" xfId="10548"/>
    <cellStyle name="Normal 9 3 3 2 2 3 3 2" xfId="25592"/>
    <cellStyle name="Normal 9 3 3 2 2 3 3 3" xfId="40635"/>
    <cellStyle name="Normal 9 3 3 2 2 3 4" xfId="18071"/>
    <cellStyle name="Normal 9 3 3 2 2 3 5" xfId="33114"/>
    <cellStyle name="Normal 9 3 3 2 2 4" xfId="4909"/>
    <cellStyle name="Normal 9 3 3 2 2 4 2" xfId="12432"/>
    <cellStyle name="Normal 9 3 3 2 2 4 2 2" xfId="27476"/>
    <cellStyle name="Normal 9 3 3 2 2 4 2 3" xfId="42519"/>
    <cellStyle name="Normal 9 3 3 2 2 4 3" xfId="19955"/>
    <cellStyle name="Normal 9 3 3 2 2 4 4" xfId="34998"/>
    <cellStyle name="Normal 9 3 3 2 2 5" xfId="8683"/>
    <cellStyle name="Normal 9 3 3 2 2 5 2" xfId="23727"/>
    <cellStyle name="Normal 9 3 3 2 2 5 3" xfId="38770"/>
    <cellStyle name="Normal 9 3 3 2 2 6" xfId="16206"/>
    <cellStyle name="Normal 9 3 3 2 2 7" xfId="31249"/>
    <cellStyle name="Normal 9 3 3 2 3" xfId="1588"/>
    <cellStyle name="Normal 9 3 3 2 3 2" xfId="3459"/>
    <cellStyle name="Normal 9 3 3 2 3 2 2" xfId="7254"/>
    <cellStyle name="Normal 9 3 3 2 3 2 2 2" xfId="14777"/>
    <cellStyle name="Normal 9 3 3 2 3 2 2 2 2" xfId="29821"/>
    <cellStyle name="Normal 9 3 3 2 3 2 2 2 3" xfId="44864"/>
    <cellStyle name="Normal 9 3 3 2 3 2 2 3" xfId="22300"/>
    <cellStyle name="Normal 9 3 3 2 3 2 2 4" xfId="37343"/>
    <cellStyle name="Normal 9 3 3 2 3 2 3" xfId="11028"/>
    <cellStyle name="Normal 9 3 3 2 3 2 3 2" xfId="26072"/>
    <cellStyle name="Normal 9 3 3 2 3 2 3 3" xfId="41115"/>
    <cellStyle name="Normal 9 3 3 2 3 2 4" xfId="18551"/>
    <cellStyle name="Normal 9 3 3 2 3 2 5" xfId="33594"/>
    <cellStyle name="Normal 9 3 3 2 3 3" xfId="5389"/>
    <cellStyle name="Normal 9 3 3 2 3 3 2" xfId="12912"/>
    <cellStyle name="Normal 9 3 3 2 3 3 2 2" xfId="27956"/>
    <cellStyle name="Normal 9 3 3 2 3 3 2 3" xfId="42999"/>
    <cellStyle name="Normal 9 3 3 2 3 3 3" xfId="20435"/>
    <cellStyle name="Normal 9 3 3 2 3 3 4" xfId="35478"/>
    <cellStyle name="Normal 9 3 3 2 3 4" xfId="9163"/>
    <cellStyle name="Normal 9 3 3 2 3 4 2" xfId="24207"/>
    <cellStyle name="Normal 9 3 3 2 3 4 3" xfId="39250"/>
    <cellStyle name="Normal 9 3 3 2 3 5" xfId="16686"/>
    <cellStyle name="Normal 9 3 3 2 3 6" xfId="31729"/>
    <cellStyle name="Normal 9 3 3 2 4" xfId="2526"/>
    <cellStyle name="Normal 9 3 3 2 4 2" xfId="6322"/>
    <cellStyle name="Normal 9 3 3 2 4 2 2" xfId="13845"/>
    <cellStyle name="Normal 9 3 3 2 4 2 2 2" xfId="28889"/>
    <cellStyle name="Normal 9 3 3 2 4 2 2 3" xfId="43932"/>
    <cellStyle name="Normal 9 3 3 2 4 2 3" xfId="21368"/>
    <cellStyle name="Normal 9 3 3 2 4 2 4" xfId="36411"/>
    <cellStyle name="Normal 9 3 3 2 4 3" xfId="10096"/>
    <cellStyle name="Normal 9 3 3 2 4 3 2" xfId="25140"/>
    <cellStyle name="Normal 9 3 3 2 4 3 3" xfId="40183"/>
    <cellStyle name="Normal 9 3 3 2 4 4" xfId="17619"/>
    <cellStyle name="Normal 9 3 3 2 4 5" xfId="32662"/>
    <cellStyle name="Normal 9 3 3 2 5" xfId="4454"/>
    <cellStyle name="Normal 9 3 3 2 5 2" xfId="11978"/>
    <cellStyle name="Normal 9 3 3 2 5 2 2" xfId="27022"/>
    <cellStyle name="Normal 9 3 3 2 5 2 3" xfId="42065"/>
    <cellStyle name="Normal 9 3 3 2 5 3" xfId="19501"/>
    <cellStyle name="Normal 9 3 3 2 5 4" xfId="34544"/>
    <cellStyle name="Normal 9 3 3 2 6" xfId="8217"/>
    <cellStyle name="Normal 9 3 3 2 6 2" xfId="23261"/>
    <cellStyle name="Normal 9 3 3 2 6 3" xfId="38304"/>
    <cellStyle name="Normal 9 3 3 2 7" xfId="15740"/>
    <cellStyle name="Normal 9 3 3 2 8" xfId="30783"/>
    <cellStyle name="Normal 9 3 3 3" xfId="1080"/>
    <cellStyle name="Normal 9 3 3 3 2" xfId="2039"/>
    <cellStyle name="Normal 9 3 3 3 2 2" xfId="3910"/>
    <cellStyle name="Normal 9 3 3 3 2 2 2" xfId="7705"/>
    <cellStyle name="Normal 9 3 3 3 2 2 2 2" xfId="15228"/>
    <cellStyle name="Normal 9 3 3 3 2 2 2 2 2" xfId="30272"/>
    <cellStyle name="Normal 9 3 3 3 2 2 2 2 3" xfId="45315"/>
    <cellStyle name="Normal 9 3 3 3 2 2 2 3" xfId="22751"/>
    <cellStyle name="Normal 9 3 3 3 2 2 2 4" xfId="37794"/>
    <cellStyle name="Normal 9 3 3 3 2 2 3" xfId="11479"/>
    <cellStyle name="Normal 9 3 3 3 2 2 3 2" xfId="26523"/>
    <cellStyle name="Normal 9 3 3 3 2 2 3 3" xfId="41566"/>
    <cellStyle name="Normal 9 3 3 3 2 2 4" xfId="19002"/>
    <cellStyle name="Normal 9 3 3 3 2 2 5" xfId="34045"/>
    <cellStyle name="Normal 9 3 3 3 2 3" xfId="5840"/>
    <cellStyle name="Normal 9 3 3 3 2 3 2" xfId="13363"/>
    <cellStyle name="Normal 9 3 3 3 2 3 2 2" xfId="28407"/>
    <cellStyle name="Normal 9 3 3 3 2 3 2 3" xfId="43450"/>
    <cellStyle name="Normal 9 3 3 3 2 3 3" xfId="20886"/>
    <cellStyle name="Normal 9 3 3 3 2 3 4" xfId="35929"/>
    <cellStyle name="Normal 9 3 3 3 2 4" xfId="9614"/>
    <cellStyle name="Normal 9 3 3 3 2 4 2" xfId="24658"/>
    <cellStyle name="Normal 9 3 3 3 2 4 3" xfId="39701"/>
    <cellStyle name="Normal 9 3 3 3 2 5" xfId="17137"/>
    <cellStyle name="Normal 9 3 3 3 2 6" xfId="32180"/>
    <cellStyle name="Normal 9 3 3 3 3" xfId="2978"/>
    <cellStyle name="Normal 9 3 3 3 3 2" xfId="6773"/>
    <cellStyle name="Normal 9 3 3 3 3 2 2" xfId="14296"/>
    <cellStyle name="Normal 9 3 3 3 3 2 2 2" xfId="29340"/>
    <cellStyle name="Normal 9 3 3 3 3 2 2 3" xfId="44383"/>
    <cellStyle name="Normal 9 3 3 3 3 2 3" xfId="21819"/>
    <cellStyle name="Normal 9 3 3 3 3 2 4" xfId="36862"/>
    <cellStyle name="Normal 9 3 3 3 3 3" xfId="10547"/>
    <cellStyle name="Normal 9 3 3 3 3 3 2" xfId="25591"/>
    <cellStyle name="Normal 9 3 3 3 3 3 3" xfId="40634"/>
    <cellStyle name="Normal 9 3 3 3 3 4" xfId="18070"/>
    <cellStyle name="Normal 9 3 3 3 3 5" xfId="33113"/>
    <cellStyle name="Normal 9 3 3 3 4" xfId="4908"/>
    <cellStyle name="Normal 9 3 3 3 4 2" xfId="12431"/>
    <cellStyle name="Normal 9 3 3 3 4 2 2" xfId="27475"/>
    <cellStyle name="Normal 9 3 3 3 4 2 3" xfId="42518"/>
    <cellStyle name="Normal 9 3 3 3 4 3" xfId="19954"/>
    <cellStyle name="Normal 9 3 3 3 4 4" xfId="34997"/>
    <cellStyle name="Normal 9 3 3 3 5" xfId="8682"/>
    <cellStyle name="Normal 9 3 3 3 5 2" xfId="23726"/>
    <cellStyle name="Normal 9 3 3 3 5 3" xfId="38769"/>
    <cellStyle name="Normal 9 3 3 3 6" xfId="16205"/>
    <cellStyle name="Normal 9 3 3 3 7" xfId="31248"/>
    <cellStyle name="Normal 9 3 3 4" xfId="1587"/>
    <cellStyle name="Normal 9 3 3 4 2" xfId="3458"/>
    <cellStyle name="Normal 9 3 3 4 2 2" xfId="7253"/>
    <cellStyle name="Normal 9 3 3 4 2 2 2" xfId="14776"/>
    <cellStyle name="Normal 9 3 3 4 2 2 2 2" xfId="29820"/>
    <cellStyle name="Normal 9 3 3 4 2 2 2 3" xfId="44863"/>
    <cellStyle name="Normal 9 3 3 4 2 2 3" xfId="22299"/>
    <cellStyle name="Normal 9 3 3 4 2 2 4" xfId="37342"/>
    <cellStyle name="Normal 9 3 3 4 2 3" xfId="11027"/>
    <cellStyle name="Normal 9 3 3 4 2 3 2" xfId="26071"/>
    <cellStyle name="Normal 9 3 3 4 2 3 3" xfId="41114"/>
    <cellStyle name="Normal 9 3 3 4 2 4" xfId="18550"/>
    <cellStyle name="Normal 9 3 3 4 2 5" xfId="33593"/>
    <cellStyle name="Normal 9 3 3 4 3" xfId="5388"/>
    <cellStyle name="Normal 9 3 3 4 3 2" xfId="12911"/>
    <cellStyle name="Normal 9 3 3 4 3 2 2" xfId="27955"/>
    <cellStyle name="Normal 9 3 3 4 3 2 3" xfId="42998"/>
    <cellStyle name="Normal 9 3 3 4 3 3" xfId="20434"/>
    <cellStyle name="Normal 9 3 3 4 3 4" xfId="35477"/>
    <cellStyle name="Normal 9 3 3 4 4" xfId="9162"/>
    <cellStyle name="Normal 9 3 3 4 4 2" xfId="24206"/>
    <cellStyle name="Normal 9 3 3 4 4 3" xfId="39249"/>
    <cellStyle name="Normal 9 3 3 4 5" xfId="16685"/>
    <cellStyle name="Normal 9 3 3 4 6" xfId="31728"/>
    <cellStyle name="Normal 9 3 3 5" xfId="2525"/>
    <cellStyle name="Normal 9 3 3 5 2" xfId="6321"/>
    <cellStyle name="Normal 9 3 3 5 2 2" xfId="13844"/>
    <cellStyle name="Normal 9 3 3 5 2 2 2" xfId="28888"/>
    <cellStyle name="Normal 9 3 3 5 2 2 3" xfId="43931"/>
    <cellStyle name="Normal 9 3 3 5 2 3" xfId="21367"/>
    <cellStyle name="Normal 9 3 3 5 2 4" xfId="36410"/>
    <cellStyle name="Normal 9 3 3 5 3" xfId="10095"/>
    <cellStyle name="Normal 9 3 3 5 3 2" xfId="25139"/>
    <cellStyle name="Normal 9 3 3 5 3 3" xfId="40182"/>
    <cellStyle name="Normal 9 3 3 5 4" xfId="17618"/>
    <cellStyle name="Normal 9 3 3 5 5" xfId="32661"/>
    <cellStyle name="Normal 9 3 3 6" xfId="4453"/>
    <cellStyle name="Normal 9 3 3 6 2" xfId="11977"/>
    <cellStyle name="Normal 9 3 3 6 2 2" xfId="27021"/>
    <cellStyle name="Normal 9 3 3 6 2 3" xfId="42064"/>
    <cellStyle name="Normal 9 3 3 6 3" xfId="19500"/>
    <cellStyle name="Normal 9 3 3 6 4" xfId="34543"/>
    <cellStyle name="Normal 9 3 3 7" xfId="8216"/>
    <cellStyle name="Normal 9 3 3 7 2" xfId="23260"/>
    <cellStyle name="Normal 9 3 3 7 3" xfId="38303"/>
    <cellStyle name="Normal 9 3 3 8" xfId="15739"/>
    <cellStyle name="Normal 9 3 3 9" xfId="30782"/>
    <cellStyle name="Normal 9 3 4" xfId="566"/>
    <cellStyle name="Normal 9 3 4 2" xfId="1082"/>
    <cellStyle name="Normal 9 3 4 2 2" xfId="2041"/>
    <cellStyle name="Normal 9 3 4 2 2 2" xfId="3912"/>
    <cellStyle name="Normal 9 3 4 2 2 2 2" xfId="7707"/>
    <cellStyle name="Normal 9 3 4 2 2 2 2 2" xfId="15230"/>
    <cellStyle name="Normal 9 3 4 2 2 2 2 2 2" xfId="30274"/>
    <cellStyle name="Normal 9 3 4 2 2 2 2 2 3" xfId="45317"/>
    <cellStyle name="Normal 9 3 4 2 2 2 2 3" xfId="22753"/>
    <cellStyle name="Normal 9 3 4 2 2 2 2 4" xfId="37796"/>
    <cellStyle name="Normal 9 3 4 2 2 2 3" xfId="11481"/>
    <cellStyle name="Normal 9 3 4 2 2 2 3 2" xfId="26525"/>
    <cellStyle name="Normal 9 3 4 2 2 2 3 3" xfId="41568"/>
    <cellStyle name="Normal 9 3 4 2 2 2 4" xfId="19004"/>
    <cellStyle name="Normal 9 3 4 2 2 2 5" xfId="34047"/>
    <cellStyle name="Normal 9 3 4 2 2 3" xfId="5842"/>
    <cellStyle name="Normal 9 3 4 2 2 3 2" xfId="13365"/>
    <cellStyle name="Normal 9 3 4 2 2 3 2 2" xfId="28409"/>
    <cellStyle name="Normal 9 3 4 2 2 3 2 3" xfId="43452"/>
    <cellStyle name="Normal 9 3 4 2 2 3 3" xfId="20888"/>
    <cellStyle name="Normal 9 3 4 2 2 3 4" xfId="35931"/>
    <cellStyle name="Normal 9 3 4 2 2 4" xfId="9616"/>
    <cellStyle name="Normal 9 3 4 2 2 4 2" xfId="24660"/>
    <cellStyle name="Normal 9 3 4 2 2 4 3" xfId="39703"/>
    <cellStyle name="Normal 9 3 4 2 2 5" xfId="17139"/>
    <cellStyle name="Normal 9 3 4 2 2 6" xfId="32182"/>
    <cellStyle name="Normal 9 3 4 2 3" xfId="2980"/>
    <cellStyle name="Normal 9 3 4 2 3 2" xfId="6775"/>
    <cellStyle name="Normal 9 3 4 2 3 2 2" xfId="14298"/>
    <cellStyle name="Normal 9 3 4 2 3 2 2 2" xfId="29342"/>
    <cellStyle name="Normal 9 3 4 2 3 2 2 3" xfId="44385"/>
    <cellStyle name="Normal 9 3 4 2 3 2 3" xfId="21821"/>
    <cellStyle name="Normal 9 3 4 2 3 2 4" xfId="36864"/>
    <cellStyle name="Normal 9 3 4 2 3 3" xfId="10549"/>
    <cellStyle name="Normal 9 3 4 2 3 3 2" xfId="25593"/>
    <cellStyle name="Normal 9 3 4 2 3 3 3" xfId="40636"/>
    <cellStyle name="Normal 9 3 4 2 3 4" xfId="18072"/>
    <cellStyle name="Normal 9 3 4 2 3 5" xfId="33115"/>
    <cellStyle name="Normal 9 3 4 2 4" xfId="4910"/>
    <cellStyle name="Normal 9 3 4 2 4 2" xfId="12433"/>
    <cellStyle name="Normal 9 3 4 2 4 2 2" xfId="27477"/>
    <cellStyle name="Normal 9 3 4 2 4 2 3" xfId="42520"/>
    <cellStyle name="Normal 9 3 4 2 4 3" xfId="19956"/>
    <cellStyle name="Normal 9 3 4 2 4 4" xfId="34999"/>
    <cellStyle name="Normal 9 3 4 2 5" xfId="8684"/>
    <cellStyle name="Normal 9 3 4 2 5 2" xfId="23728"/>
    <cellStyle name="Normal 9 3 4 2 5 3" xfId="38771"/>
    <cellStyle name="Normal 9 3 4 2 6" xfId="16207"/>
    <cellStyle name="Normal 9 3 4 2 7" xfId="31250"/>
    <cellStyle name="Normal 9 3 4 3" xfId="1589"/>
    <cellStyle name="Normal 9 3 4 3 2" xfId="3460"/>
    <cellStyle name="Normal 9 3 4 3 2 2" xfId="7255"/>
    <cellStyle name="Normal 9 3 4 3 2 2 2" xfId="14778"/>
    <cellStyle name="Normal 9 3 4 3 2 2 2 2" xfId="29822"/>
    <cellStyle name="Normal 9 3 4 3 2 2 2 3" xfId="44865"/>
    <cellStyle name="Normal 9 3 4 3 2 2 3" xfId="22301"/>
    <cellStyle name="Normal 9 3 4 3 2 2 4" xfId="37344"/>
    <cellStyle name="Normal 9 3 4 3 2 3" xfId="11029"/>
    <cellStyle name="Normal 9 3 4 3 2 3 2" xfId="26073"/>
    <cellStyle name="Normal 9 3 4 3 2 3 3" xfId="41116"/>
    <cellStyle name="Normal 9 3 4 3 2 4" xfId="18552"/>
    <cellStyle name="Normal 9 3 4 3 2 5" xfId="33595"/>
    <cellStyle name="Normal 9 3 4 3 3" xfId="5390"/>
    <cellStyle name="Normal 9 3 4 3 3 2" xfId="12913"/>
    <cellStyle name="Normal 9 3 4 3 3 2 2" xfId="27957"/>
    <cellStyle name="Normal 9 3 4 3 3 2 3" xfId="43000"/>
    <cellStyle name="Normal 9 3 4 3 3 3" xfId="20436"/>
    <cellStyle name="Normal 9 3 4 3 3 4" xfId="35479"/>
    <cellStyle name="Normal 9 3 4 3 4" xfId="9164"/>
    <cellStyle name="Normal 9 3 4 3 4 2" xfId="24208"/>
    <cellStyle name="Normal 9 3 4 3 4 3" xfId="39251"/>
    <cellStyle name="Normal 9 3 4 3 5" xfId="16687"/>
    <cellStyle name="Normal 9 3 4 3 6" xfId="31730"/>
    <cellStyle name="Normal 9 3 4 4" xfId="2527"/>
    <cellStyle name="Normal 9 3 4 4 2" xfId="6323"/>
    <cellStyle name="Normal 9 3 4 4 2 2" xfId="13846"/>
    <cellStyle name="Normal 9 3 4 4 2 2 2" xfId="28890"/>
    <cellStyle name="Normal 9 3 4 4 2 2 3" xfId="43933"/>
    <cellStyle name="Normal 9 3 4 4 2 3" xfId="21369"/>
    <cellStyle name="Normal 9 3 4 4 2 4" xfId="36412"/>
    <cellStyle name="Normal 9 3 4 4 3" xfId="10097"/>
    <cellStyle name="Normal 9 3 4 4 3 2" xfId="25141"/>
    <cellStyle name="Normal 9 3 4 4 3 3" xfId="40184"/>
    <cellStyle name="Normal 9 3 4 4 4" xfId="17620"/>
    <cellStyle name="Normal 9 3 4 4 5" xfId="32663"/>
    <cellStyle name="Normal 9 3 4 5" xfId="4455"/>
    <cellStyle name="Normal 9 3 4 5 2" xfId="11979"/>
    <cellStyle name="Normal 9 3 4 5 2 2" xfId="27023"/>
    <cellStyle name="Normal 9 3 4 5 2 3" xfId="42066"/>
    <cellStyle name="Normal 9 3 4 5 3" xfId="19502"/>
    <cellStyle name="Normal 9 3 4 5 4" xfId="34545"/>
    <cellStyle name="Normal 9 3 4 6" xfId="8218"/>
    <cellStyle name="Normal 9 3 4 6 2" xfId="23262"/>
    <cellStyle name="Normal 9 3 4 6 3" xfId="38305"/>
    <cellStyle name="Normal 9 3 4 7" xfId="15741"/>
    <cellStyle name="Normal 9 3 4 8" xfId="30784"/>
    <cellStyle name="Normal 9 3 5" xfId="1077"/>
    <cellStyle name="Normal 9 3 5 2" xfId="2036"/>
    <cellStyle name="Normal 9 3 5 2 2" xfId="3907"/>
    <cellStyle name="Normal 9 3 5 2 2 2" xfId="7702"/>
    <cellStyle name="Normal 9 3 5 2 2 2 2" xfId="15225"/>
    <cellStyle name="Normal 9 3 5 2 2 2 2 2" xfId="30269"/>
    <cellStyle name="Normal 9 3 5 2 2 2 2 3" xfId="45312"/>
    <cellStyle name="Normal 9 3 5 2 2 2 3" xfId="22748"/>
    <cellStyle name="Normal 9 3 5 2 2 2 4" xfId="37791"/>
    <cellStyle name="Normal 9 3 5 2 2 3" xfId="11476"/>
    <cellStyle name="Normal 9 3 5 2 2 3 2" xfId="26520"/>
    <cellStyle name="Normal 9 3 5 2 2 3 3" xfId="41563"/>
    <cellStyle name="Normal 9 3 5 2 2 4" xfId="18999"/>
    <cellStyle name="Normal 9 3 5 2 2 5" xfId="34042"/>
    <cellStyle name="Normal 9 3 5 2 3" xfId="5837"/>
    <cellStyle name="Normal 9 3 5 2 3 2" xfId="13360"/>
    <cellStyle name="Normal 9 3 5 2 3 2 2" xfId="28404"/>
    <cellStyle name="Normal 9 3 5 2 3 2 3" xfId="43447"/>
    <cellStyle name="Normal 9 3 5 2 3 3" xfId="20883"/>
    <cellStyle name="Normal 9 3 5 2 3 4" xfId="35926"/>
    <cellStyle name="Normal 9 3 5 2 4" xfId="9611"/>
    <cellStyle name="Normal 9 3 5 2 4 2" xfId="24655"/>
    <cellStyle name="Normal 9 3 5 2 4 3" xfId="39698"/>
    <cellStyle name="Normal 9 3 5 2 5" xfId="17134"/>
    <cellStyle name="Normal 9 3 5 2 6" xfId="32177"/>
    <cellStyle name="Normal 9 3 5 3" xfId="2975"/>
    <cellStyle name="Normal 9 3 5 3 2" xfId="6770"/>
    <cellStyle name="Normal 9 3 5 3 2 2" xfId="14293"/>
    <cellStyle name="Normal 9 3 5 3 2 2 2" xfId="29337"/>
    <cellStyle name="Normal 9 3 5 3 2 2 3" xfId="44380"/>
    <cellStyle name="Normal 9 3 5 3 2 3" xfId="21816"/>
    <cellStyle name="Normal 9 3 5 3 2 4" xfId="36859"/>
    <cellStyle name="Normal 9 3 5 3 3" xfId="10544"/>
    <cellStyle name="Normal 9 3 5 3 3 2" xfId="25588"/>
    <cellStyle name="Normal 9 3 5 3 3 3" xfId="40631"/>
    <cellStyle name="Normal 9 3 5 3 4" xfId="18067"/>
    <cellStyle name="Normal 9 3 5 3 5" xfId="33110"/>
    <cellStyle name="Normal 9 3 5 4" xfId="4905"/>
    <cellStyle name="Normal 9 3 5 4 2" xfId="12428"/>
    <cellStyle name="Normal 9 3 5 4 2 2" xfId="27472"/>
    <cellStyle name="Normal 9 3 5 4 2 3" xfId="42515"/>
    <cellStyle name="Normal 9 3 5 4 3" xfId="19951"/>
    <cellStyle name="Normal 9 3 5 4 4" xfId="34994"/>
    <cellStyle name="Normal 9 3 5 5" xfId="8679"/>
    <cellStyle name="Normal 9 3 5 5 2" xfId="23723"/>
    <cellStyle name="Normal 9 3 5 5 3" xfId="38766"/>
    <cellStyle name="Normal 9 3 5 6" xfId="16202"/>
    <cellStyle name="Normal 9 3 5 7" xfId="31245"/>
    <cellStyle name="Normal 9 3 6" xfId="1584"/>
    <cellStyle name="Normal 9 3 6 2" xfId="3455"/>
    <cellStyle name="Normal 9 3 6 2 2" xfId="7250"/>
    <cellStyle name="Normal 9 3 6 2 2 2" xfId="14773"/>
    <cellStyle name="Normal 9 3 6 2 2 2 2" xfId="29817"/>
    <cellStyle name="Normal 9 3 6 2 2 2 3" xfId="44860"/>
    <cellStyle name="Normal 9 3 6 2 2 3" xfId="22296"/>
    <cellStyle name="Normal 9 3 6 2 2 4" xfId="37339"/>
    <cellStyle name="Normal 9 3 6 2 3" xfId="11024"/>
    <cellStyle name="Normal 9 3 6 2 3 2" xfId="26068"/>
    <cellStyle name="Normal 9 3 6 2 3 3" xfId="41111"/>
    <cellStyle name="Normal 9 3 6 2 4" xfId="18547"/>
    <cellStyle name="Normal 9 3 6 2 5" xfId="33590"/>
    <cellStyle name="Normal 9 3 6 3" xfId="5385"/>
    <cellStyle name="Normal 9 3 6 3 2" xfId="12908"/>
    <cellStyle name="Normal 9 3 6 3 2 2" xfId="27952"/>
    <cellStyle name="Normal 9 3 6 3 2 3" xfId="42995"/>
    <cellStyle name="Normal 9 3 6 3 3" xfId="20431"/>
    <cellStyle name="Normal 9 3 6 3 4" xfId="35474"/>
    <cellStyle name="Normal 9 3 6 4" xfId="9159"/>
    <cellStyle name="Normal 9 3 6 4 2" xfId="24203"/>
    <cellStyle name="Normal 9 3 6 4 3" xfId="39246"/>
    <cellStyle name="Normal 9 3 6 5" xfId="16682"/>
    <cellStyle name="Normal 9 3 6 6" xfId="31725"/>
    <cellStyle name="Normal 9 3 7" xfId="2522"/>
    <cellStyle name="Normal 9 3 7 2" xfId="6318"/>
    <cellStyle name="Normal 9 3 7 2 2" xfId="13841"/>
    <cellStyle name="Normal 9 3 7 2 2 2" xfId="28885"/>
    <cellStyle name="Normal 9 3 7 2 2 3" xfId="43928"/>
    <cellStyle name="Normal 9 3 7 2 3" xfId="21364"/>
    <cellStyle name="Normal 9 3 7 2 4" xfId="36407"/>
    <cellStyle name="Normal 9 3 7 3" xfId="10092"/>
    <cellStyle name="Normal 9 3 7 3 2" xfId="25136"/>
    <cellStyle name="Normal 9 3 7 3 3" xfId="40179"/>
    <cellStyle name="Normal 9 3 7 4" xfId="17615"/>
    <cellStyle name="Normal 9 3 7 5" xfId="32658"/>
    <cellStyle name="Normal 9 3 8" xfId="4450"/>
    <cellStyle name="Normal 9 3 8 2" xfId="11974"/>
    <cellStyle name="Normal 9 3 8 2 2" xfId="27018"/>
    <cellStyle name="Normal 9 3 8 2 3" xfId="42061"/>
    <cellStyle name="Normal 9 3 8 3" xfId="19497"/>
    <cellStyle name="Normal 9 3 8 4" xfId="34540"/>
    <cellStyle name="Normal 9 3 9" xfId="8213"/>
    <cellStyle name="Normal 9 3 9 2" xfId="23257"/>
    <cellStyle name="Normal 9 3 9 3" xfId="38300"/>
    <cellStyle name="Normal 9 4" xfId="567"/>
    <cellStyle name="Normal 9 4 2" xfId="568"/>
    <cellStyle name="Normal 9 4 2 2" xfId="1084"/>
    <cellStyle name="Normal 9 4 2 2 2" xfId="2043"/>
    <cellStyle name="Normal 9 4 2 2 2 2" xfId="3914"/>
    <cellStyle name="Normal 9 4 2 2 2 2 2" xfId="7709"/>
    <cellStyle name="Normal 9 4 2 2 2 2 2 2" xfId="15232"/>
    <cellStyle name="Normal 9 4 2 2 2 2 2 2 2" xfId="30276"/>
    <cellStyle name="Normal 9 4 2 2 2 2 2 2 3" xfId="45319"/>
    <cellStyle name="Normal 9 4 2 2 2 2 2 3" xfId="22755"/>
    <cellStyle name="Normal 9 4 2 2 2 2 2 4" xfId="37798"/>
    <cellStyle name="Normal 9 4 2 2 2 2 3" xfId="11483"/>
    <cellStyle name="Normal 9 4 2 2 2 2 3 2" xfId="26527"/>
    <cellStyle name="Normal 9 4 2 2 2 2 3 3" xfId="41570"/>
    <cellStyle name="Normal 9 4 2 2 2 2 4" xfId="19006"/>
    <cellStyle name="Normal 9 4 2 2 2 2 5" xfId="34049"/>
    <cellStyle name="Normal 9 4 2 2 2 3" xfId="5844"/>
    <cellStyle name="Normal 9 4 2 2 2 3 2" xfId="13367"/>
    <cellStyle name="Normal 9 4 2 2 2 3 2 2" xfId="28411"/>
    <cellStyle name="Normal 9 4 2 2 2 3 2 3" xfId="43454"/>
    <cellStyle name="Normal 9 4 2 2 2 3 3" xfId="20890"/>
    <cellStyle name="Normal 9 4 2 2 2 3 4" xfId="35933"/>
    <cellStyle name="Normal 9 4 2 2 2 4" xfId="9618"/>
    <cellStyle name="Normal 9 4 2 2 2 4 2" xfId="24662"/>
    <cellStyle name="Normal 9 4 2 2 2 4 3" xfId="39705"/>
    <cellStyle name="Normal 9 4 2 2 2 5" xfId="17141"/>
    <cellStyle name="Normal 9 4 2 2 2 6" xfId="32184"/>
    <cellStyle name="Normal 9 4 2 2 3" xfId="2982"/>
    <cellStyle name="Normal 9 4 2 2 3 2" xfId="6777"/>
    <cellStyle name="Normal 9 4 2 2 3 2 2" xfId="14300"/>
    <cellStyle name="Normal 9 4 2 2 3 2 2 2" xfId="29344"/>
    <cellStyle name="Normal 9 4 2 2 3 2 2 3" xfId="44387"/>
    <cellStyle name="Normal 9 4 2 2 3 2 3" xfId="21823"/>
    <cellStyle name="Normal 9 4 2 2 3 2 4" xfId="36866"/>
    <cellStyle name="Normal 9 4 2 2 3 3" xfId="10551"/>
    <cellStyle name="Normal 9 4 2 2 3 3 2" xfId="25595"/>
    <cellStyle name="Normal 9 4 2 2 3 3 3" xfId="40638"/>
    <cellStyle name="Normal 9 4 2 2 3 4" xfId="18074"/>
    <cellStyle name="Normal 9 4 2 2 3 5" xfId="33117"/>
    <cellStyle name="Normal 9 4 2 2 4" xfId="4912"/>
    <cellStyle name="Normal 9 4 2 2 4 2" xfId="12435"/>
    <cellStyle name="Normal 9 4 2 2 4 2 2" xfId="27479"/>
    <cellStyle name="Normal 9 4 2 2 4 2 3" xfId="42522"/>
    <cellStyle name="Normal 9 4 2 2 4 3" xfId="19958"/>
    <cellStyle name="Normal 9 4 2 2 4 4" xfId="35001"/>
    <cellStyle name="Normal 9 4 2 2 5" xfId="8686"/>
    <cellStyle name="Normal 9 4 2 2 5 2" xfId="23730"/>
    <cellStyle name="Normal 9 4 2 2 5 3" xfId="38773"/>
    <cellStyle name="Normal 9 4 2 2 6" xfId="16209"/>
    <cellStyle name="Normal 9 4 2 2 7" xfId="31252"/>
    <cellStyle name="Normal 9 4 2 3" xfId="1591"/>
    <cellStyle name="Normal 9 4 2 3 2" xfId="3462"/>
    <cellStyle name="Normal 9 4 2 3 2 2" xfId="7257"/>
    <cellStyle name="Normal 9 4 2 3 2 2 2" xfId="14780"/>
    <cellStyle name="Normal 9 4 2 3 2 2 2 2" xfId="29824"/>
    <cellStyle name="Normal 9 4 2 3 2 2 2 3" xfId="44867"/>
    <cellStyle name="Normal 9 4 2 3 2 2 3" xfId="22303"/>
    <cellStyle name="Normal 9 4 2 3 2 2 4" xfId="37346"/>
    <cellStyle name="Normal 9 4 2 3 2 3" xfId="11031"/>
    <cellStyle name="Normal 9 4 2 3 2 3 2" xfId="26075"/>
    <cellStyle name="Normal 9 4 2 3 2 3 3" xfId="41118"/>
    <cellStyle name="Normal 9 4 2 3 2 4" xfId="18554"/>
    <cellStyle name="Normal 9 4 2 3 2 5" xfId="33597"/>
    <cellStyle name="Normal 9 4 2 3 3" xfId="5392"/>
    <cellStyle name="Normal 9 4 2 3 3 2" xfId="12915"/>
    <cellStyle name="Normal 9 4 2 3 3 2 2" xfId="27959"/>
    <cellStyle name="Normal 9 4 2 3 3 2 3" xfId="43002"/>
    <cellStyle name="Normal 9 4 2 3 3 3" xfId="20438"/>
    <cellStyle name="Normal 9 4 2 3 3 4" xfId="35481"/>
    <cellStyle name="Normal 9 4 2 3 4" xfId="9166"/>
    <cellStyle name="Normal 9 4 2 3 4 2" xfId="24210"/>
    <cellStyle name="Normal 9 4 2 3 4 3" xfId="39253"/>
    <cellStyle name="Normal 9 4 2 3 5" xfId="16689"/>
    <cellStyle name="Normal 9 4 2 3 6" xfId="31732"/>
    <cellStyle name="Normal 9 4 2 4" xfId="2529"/>
    <cellStyle name="Normal 9 4 2 4 2" xfId="6325"/>
    <cellStyle name="Normal 9 4 2 4 2 2" xfId="13848"/>
    <cellStyle name="Normal 9 4 2 4 2 2 2" xfId="28892"/>
    <cellStyle name="Normal 9 4 2 4 2 2 3" xfId="43935"/>
    <cellStyle name="Normal 9 4 2 4 2 3" xfId="21371"/>
    <cellStyle name="Normal 9 4 2 4 2 4" xfId="36414"/>
    <cellStyle name="Normal 9 4 2 4 3" xfId="10099"/>
    <cellStyle name="Normal 9 4 2 4 3 2" xfId="25143"/>
    <cellStyle name="Normal 9 4 2 4 3 3" xfId="40186"/>
    <cellStyle name="Normal 9 4 2 4 4" xfId="17622"/>
    <cellStyle name="Normal 9 4 2 4 5" xfId="32665"/>
    <cellStyle name="Normal 9 4 2 5" xfId="4457"/>
    <cellStyle name="Normal 9 4 2 5 2" xfId="11981"/>
    <cellStyle name="Normal 9 4 2 5 2 2" xfId="27025"/>
    <cellStyle name="Normal 9 4 2 5 2 3" xfId="42068"/>
    <cellStyle name="Normal 9 4 2 5 3" xfId="19504"/>
    <cellStyle name="Normal 9 4 2 5 4" xfId="34547"/>
    <cellStyle name="Normal 9 4 2 6" xfId="8220"/>
    <cellStyle name="Normal 9 4 2 6 2" xfId="23264"/>
    <cellStyle name="Normal 9 4 2 6 3" xfId="38307"/>
    <cellStyle name="Normal 9 4 2 7" xfId="15743"/>
    <cellStyle name="Normal 9 4 2 8" xfId="30786"/>
    <cellStyle name="Normal 9 4 3" xfId="1083"/>
    <cellStyle name="Normal 9 4 3 2" xfId="2042"/>
    <cellStyle name="Normal 9 4 3 2 2" xfId="3913"/>
    <cellStyle name="Normal 9 4 3 2 2 2" xfId="7708"/>
    <cellStyle name="Normal 9 4 3 2 2 2 2" xfId="15231"/>
    <cellStyle name="Normal 9 4 3 2 2 2 2 2" xfId="30275"/>
    <cellStyle name="Normal 9 4 3 2 2 2 2 3" xfId="45318"/>
    <cellStyle name="Normal 9 4 3 2 2 2 3" xfId="22754"/>
    <cellStyle name="Normal 9 4 3 2 2 2 4" xfId="37797"/>
    <cellStyle name="Normal 9 4 3 2 2 3" xfId="11482"/>
    <cellStyle name="Normal 9 4 3 2 2 3 2" xfId="26526"/>
    <cellStyle name="Normal 9 4 3 2 2 3 3" xfId="41569"/>
    <cellStyle name="Normal 9 4 3 2 2 4" xfId="19005"/>
    <cellStyle name="Normal 9 4 3 2 2 5" xfId="34048"/>
    <cellStyle name="Normal 9 4 3 2 3" xfId="5843"/>
    <cellStyle name="Normal 9 4 3 2 3 2" xfId="13366"/>
    <cellStyle name="Normal 9 4 3 2 3 2 2" xfId="28410"/>
    <cellStyle name="Normal 9 4 3 2 3 2 3" xfId="43453"/>
    <cellStyle name="Normal 9 4 3 2 3 3" xfId="20889"/>
    <cellStyle name="Normal 9 4 3 2 3 4" xfId="35932"/>
    <cellStyle name="Normal 9 4 3 2 4" xfId="9617"/>
    <cellStyle name="Normal 9 4 3 2 4 2" xfId="24661"/>
    <cellStyle name="Normal 9 4 3 2 4 3" xfId="39704"/>
    <cellStyle name="Normal 9 4 3 2 5" xfId="17140"/>
    <cellStyle name="Normal 9 4 3 2 6" xfId="32183"/>
    <cellStyle name="Normal 9 4 3 3" xfId="2981"/>
    <cellStyle name="Normal 9 4 3 3 2" xfId="6776"/>
    <cellStyle name="Normal 9 4 3 3 2 2" xfId="14299"/>
    <cellStyle name="Normal 9 4 3 3 2 2 2" xfId="29343"/>
    <cellStyle name="Normal 9 4 3 3 2 2 3" xfId="44386"/>
    <cellStyle name="Normal 9 4 3 3 2 3" xfId="21822"/>
    <cellStyle name="Normal 9 4 3 3 2 4" xfId="36865"/>
    <cellStyle name="Normal 9 4 3 3 3" xfId="10550"/>
    <cellStyle name="Normal 9 4 3 3 3 2" xfId="25594"/>
    <cellStyle name="Normal 9 4 3 3 3 3" xfId="40637"/>
    <cellStyle name="Normal 9 4 3 3 4" xfId="18073"/>
    <cellStyle name="Normal 9 4 3 3 5" xfId="33116"/>
    <cellStyle name="Normal 9 4 3 4" xfId="4911"/>
    <cellStyle name="Normal 9 4 3 4 2" xfId="12434"/>
    <cellStyle name="Normal 9 4 3 4 2 2" xfId="27478"/>
    <cellStyle name="Normal 9 4 3 4 2 3" xfId="42521"/>
    <cellStyle name="Normal 9 4 3 4 3" xfId="19957"/>
    <cellStyle name="Normal 9 4 3 4 4" xfId="35000"/>
    <cellStyle name="Normal 9 4 3 5" xfId="8685"/>
    <cellStyle name="Normal 9 4 3 5 2" xfId="23729"/>
    <cellStyle name="Normal 9 4 3 5 3" xfId="38772"/>
    <cellStyle name="Normal 9 4 3 6" xfId="16208"/>
    <cellStyle name="Normal 9 4 3 7" xfId="31251"/>
    <cellStyle name="Normal 9 4 4" xfId="1590"/>
    <cellStyle name="Normal 9 4 4 2" xfId="3461"/>
    <cellStyle name="Normal 9 4 4 2 2" xfId="7256"/>
    <cellStyle name="Normal 9 4 4 2 2 2" xfId="14779"/>
    <cellStyle name="Normal 9 4 4 2 2 2 2" xfId="29823"/>
    <cellStyle name="Normal 9 4 4 2 2 2 3" xfId="44866"/>
    <cellStyle name="Normal 9 4 4 2 2 3" xfId="22302"/>
    <cellStyle name="Normal 9 4 4 2 2 4" xfId="37345"/>
    <cellStyle name="Normal 9 4 4 2 3" xfId="11030"/>
    <cellStyle name="Normal 9 4 4 2 3 2" xfId="26074"/>
    <cellStyle name="Normal 9 4 4 2 3 3" xfId="41117"/>
    <cellStyle name="Normal 9 4 4 2 4" xfId="18553"/>
    <cellStyle name="Normal 9 4 4 2 5" xfId="33596"/>
    <cellStyle name="Normal 9 4 4 3" xfId="5391"/>
    <cellStyle name="Normal 9 4 4 3 2" xfId="12914"/>
    <cellStyle name="Normal 9 4 4 3 2 2" xfId="27958"/>
    <cellStyle name="Normal 9 4 4 3 2 3" xfId="43001"/>
    <cellStyle name="Normal 9 4 4 3 3" xfId="20437"/>
    <cellStyle name="Normal 9 4 4 3 4" xfId="35480"/>
    <cellStyle name="Normal 9 4 4 4" xfId="9165"/>
    <cellStyle name="Normal 9 4 4 4 2" xfId="24209"/>
    <cellStyle name="Normal 9 4 4 4 3" xfId="39252"/>
    <cellStyle name="Normal 9 4 4 5" xfId="16688"/>
    <cellStyle name="Normal 9 4 4 6" xfId="31731"/>
    <cellStyle name="Normal 9 4 5" xfId="2528"/>
    <cellStyle name="Normal 9 4 5 2" xfId="6324"/>
    <cellStyle name="Normal 9 4 5 2 2" xfId="13847"/>
    <cellStyle name="Normal 9 4 5 2 2 2" xfId="28891"/>
    <cellStyle name="Normal 9 4 5 2 2 3" xfId="43934"/>
    <cellStyle name="Normal 9 4 5 2 3" xfId="21370"/>
    <cellStyle name="Normal 9 4 5 2 4" xfId="36413"/>
    <cellStyle name="Normal 9 4 5 3" xfId="10098"/>
    <cellStyle name="Normal 9 4 5 3 2" xfId="25142"/>
    <cellStyle name="Normal 9 4 5 3 3" xfId="40185"/>
    <cellStyle name="Normal 9 4 5 4" xfId="17621"/>
    <cellStyle name="Normal 9 4 5 5" xfId="32664"/>
    <cellStyle name="Normal 9 4 6" xfId="4456"/>
    <cellStyle name="Normal 9 4 6 2" xfId="11980"/>
    <cellStyle name="Normal 9 4 6 2 2" xfId="27024"/>
    <cellStyle name="Normal 9 4 6 2 3" xfId="42067"/>
    <cellStyle name="Normal 9 4 6 3" xfId="19503"/>
    <cellStyle name="Normal 9 4 6 4" xfId="34546"/>
    <cellStyle name="Normal 9 4 7" xfId="8219"/>
    <cellStyle name="Normal 9 4 7 2" xfId="23263"/>
    <cellStyle name="Normal 9 4 7 3" xfId="38306"/>
    <cellStyle name="Normal 9 4 8" xfId="15742"/>
    <cellStyle name="Normal 9 4 9" xfId="30785"/>
    <cellStyle name="Normal 9 5" xfId="569"/>
    <cellStyle name="Normal 9 5 2" xfId="570"/>
    <cellStyle name="Normal 9 5 2 2" xfId="1086"/>
    <cellStyle name="Normal 9 5 2 2 2" xfId="2045"/>
    <cellStyle name="Normal 9 5 2 2 2 2" xfId="3916"/>
    <cellStyle name="Normal 9 5 2 2 2 2 2" xfId="7711"/>
    <cellStyle name="Normal 9 5 2 2 2 2 2 2" xfId="15234"/>
    <cellStyle name="Normal 9 5 2 2 2 2 2 2 2" xfId="30278"/>
    <cellStyle name="Normal 9 5 2 2 2 2 2 2 3" xfId="45321"/>
    <cellStyle name="Normal 9 5 2 2 2 2 2 3" xfId="22757"/>
    <cellStyle name="Normal 9 5 2 2 2 2 2 4" xfId="37800"/>
    <cellStyle name="Normal 9 5 2 2 2 2 3" xfId="11485"/>
    <cellStyle name="Normal 9 5 2 2 2 2 3 2" xfId="26529"/>
    <cellStyle name="Normal 9 5 2 2 2 2 3 3" xfId="41572"/>
    <cellStyle name="Normal 9 5 2 2 2 2 4" xfId="19008"/>
    <cellStyle name="Normal 9 5 2 2 2 2 5" xfId="34051"/>
    <cellStyle name="Normal 9 5 2 2 2 3" xfId="5846"/>
    <cellStyle name="Normal 9 5 2 2 2 3 2" xfId="13369"/>
    <cellStyle name="Normal 9 5 2 2 2 3 2 2" xfId="28413"/>
    <cellStyle name="Normal 9 5 2 2 2 3 2 3" xfId="43456"/>
    <cellStyle name="Normal 9 5 2 2 2 3 3" xfId="20892"/>
    <cellStyle name="Normal 9 5 2 2 2 3 4" xfId="35935"/>
    <cellStyle name="Normal 9 5 2 2 2 4" xfId="9620"/>
    <cellStyle name="Normal 9 5 2 2 2 4 2" xfId="24664"/>
    <cellStyle name="Normal 9 5 2 2 2 4 3" xfId="39707"/>
    <cellStyle name="Normal 9 5 2 2 2 5" xfId="17143"/>
    <cellStyle name="Normal 9 5 2 2 2 6" xfId="32186"/>
    <cellStyle name="Normal 9 5 2 2 3" xfId="2984"/>
    <cellStyle name="Normal 9 5 2 2 3 2" xfId="6779"/>
    <cellStyle name="Normal 9 5 2 2 3 2 2" xfId="14302"/>
    <cellStyle name="Normal 9 5 2 2 3 2 2 2" xfId="29346"/>
    <cellStyle name="Normal 9 5 2 2 3 2 2 3" xfId="44389"/>
    <cellStyle name="Normal 9 5 2 2 3 2 3" xfId="21825"/>
    <cellStyle name="Normal 9 5 2 2 3 2 4" xfId="36868"/>
    <cellStyle name="Normal 9 5 2 2 3 3" xfId="10553"/>
    <cellStyle name="Normal 9 5 2 2 3 3 2" xfId="25597"/>
    <cellStyle name="Normal 9 5 2 2 3 3 3" xfId="40640"/>
    <cellStyle name="Normal 9 5 2 2 3 4" xfId="18076"/>
    <cellStyle name="Normal 9 5 2 2 3 5" xfId="33119"/>
    <cellStyle name="Normal 9 5 2 2 4" xfId="4914"/>
    <cellStyle name="Normal 9 5 2 2 4 2" xfId="12437"/>
    <cellStyle name="Normal 9 5 2 2 4 2 2" xfId="27481"/>
    <cellStyle name="Normal 9 5 2 2 4 2 3" xfId="42524"/>
    <cellStyle name="Normal 9 5 2 2 4 3" xfId="19960"/>
    <cellStyle name="Normal 9 5 2 2 4 4" xfId="35003"/>
    <cellStyle name="Normal 9 5 2 2 5" xfId="8688"/>
    <cellStyle name="Normal 9 5 2 2 5 2" xfId="23732"/>
    <cellStyle name="Normal 9 5 2 2 5 3" xfId="38775"/>
    <cellStyle name="Normal 9 5 2 2 6" xfId="16211"/>
    <cellStyle name="Normal 9 5 2 2 7" xfId="31254"/>
    <cellStyle name="Normal 9 5 2 3" xfId="1593"/>
    <cellStyle name="Normal 9 5 2 3 2" xfId="3464"/>
    <cellStyle name="Normal 9 5 2 3 2 2" xfId="7259"/>
    <cellStyle name="Normal 9 5 2 3 2 2 2" xfId="14782"/>
    <cellStyle name="Normal 9 5 2 3 2 2 2 2" xfId="29826"/>
    <cellStyle name="Normal 9 5 2 3 2 2 2 3" xfId="44869"/>
    <cellStyle name="Normal 9 5 2 3 2 2 3" xfId="22305"/>
    <cellStyle name="Normal 9 5 2 3 2 2 4" xfId="37348"/>
    <cellStyle name="Normal 9 5 2 3 2 3" xfId="11033"/>
    <cellStyle name="Normal 9 5 2 3 2 3 2" xfId="26077"/>
    <cellStyle name="Normal 9 5 2 3 2 3 3" xfId="41120"/>
    <cellStyle name="Normal 9 5 2 3 2 4" xfId="18556"/>
    <cellStyle name="Normal 9 5 2 3 2 5" xfId="33599"/>
    <cellStyle name="Normal 9 5 2 3 3" xfId="5394"/>
    <cellStyle name="Normal 9 5 2 3 3 2" xfId="12917"/>
    <cellStyle name="Normal 9 5 2 3 3 2 2" xfId="27961"/>
    <cellStyle name="Normal 9 5 2 3 3 2 3" xfId="43004"/>
    <cellStyle name="Normal 9 5 2 3 3 3" xfId="20440"/>
    <cellStyle name="Normal 9 5 2 3 3 4" xfId="35483"/>
    <cellStyle name="Normal 9 5 2 3 4" xfId="9168"/>
    <cellStyle name="Normal 9 5 2 3 4 2" xfId="24212"/>
    <cellStyle name="Normal 9 5 2 3 4 3" xfId="39255"/>
    <cellStyle name="Normal 9 5 2 3 5" xfId="16691"/>
    <cellStyle name="Normal 9 5 2 3 6" xfId="31734"/>
    <cellStyle name="Normal 9 5 2 4" xfId="2531"/>
    <cellStyle name="Normal 9 5 2 4 2" xfId="6327"/>
    <cellStyle name="Normal 9 5 2 4 2 2" xfId="13850"/>
    <cellStyle name="Normal 9 5 2 4 2 2 2" xfId="28894"/>
    <cellStyle name="Normal 9 5 2 4 2 2 3" xfId="43937"/>
    <cellStyle name="Normal 9 5 2 4 2 3" xfId="21373"/>
    <cellStyle name="Normal 9 5 2 4 2 4" xfId="36416"/>
    <cellStyle name="Normal 9 5 2 4 3" xfId="10101"/>
    <cellStyle name="Normal 9 5 2 4 3 2" xfId="25145"/>
    <cellStyle name="Normal 9 5 2 4 3 3" xfId="40188"/>
    <cellStyle name="Normal 9 5 2 4 4" xfId="17624"/>
    <cellStyle name="Normal 9 5 2 4 5" xfId="32667"/>
    <cellStyle name="Normal 9 5 2 5" xfId="4459"/>
    <cellStyle name="Normal 9 5 2 5 2" xfId="11983"/>
    <cellStyle name="Normal 9 5 2 5 2 2" xfId="27027"/>
    <cellStyle name="Normal 9 5 2 5 2 3" xfId="42070"/>
    <cellStyle name="Normal 9 5 2 5 3" xfId="19506"/>
    <cellStyle name="Normal 9 5 2 5 4" xfId="34549"/>
    <cellStyle name="Normal 9 5 2 6" xfId="8222"/>
    <cellStyle name="Normal 9 5 2 6 2" xfId="23266"/>
    <cellStyle name="Normal 9 5 2 6 3" xfId="38309"/>
    <cellStyle name="Normal 9 5 2 7" xfId="15745"/>
    <cellStyle name="Normal 9 5 2 8" xfId="30788"/>
    <cellStyle name="Normal 9 5 3" xfId="1085"/>
    <cellStyle name="Normal 9 5 3 2" xfId="2044"/>
    <cellStyle name="Normal 9 5 3 2 2" xfId="3915"/>
    <cellStyle name="Normal 9 5 3 2 2 2" xfId="7710"/>
    <cellStyle name="Normal 9 5 3 2 2 2 2" xfId="15233"/>
    <cellStyle name="Normal 9 5 3 2 2 2 2 2" xfId="30277"/>
    <cellStyle name="Normal 9 5 3 2 2 2 2 3" xfId="45320"/>
    <cellStyle name="Normal 9 5 3 2 2 2 3" xfId="22756"/>
    <cellStyle name="Normal 9 5 3 2 2 2 4" xfId="37799"/>
    <cellStyle name="Normal 9 5 3 2 2 3" xfId="11484"/>
    <cellStyle name="Normal 9 5 3 2 2 3 2" xfId="26528"/>
    <cellStyle name="Normal 9 5 3 2 2 3 3" xfId="41571"/>
    <cellStyle name="Normal 9 5 3 2 2 4" xfId="19007"/>
    <cellStyle name="Normal 9 5 3 2 2 5" xfId="34050"/>
    <cellStyle name="Normal 9 5 3 2 3" xfId="5845"/>
    <cellStyle name="Normal 9 5 3 2 3 2" xfId="13368"/>
    <cellStyle name="Normal 9 5 3 2 3 2 2" xfId="28412"/>
    <cellStyle name="Normal 9 5 3 2 3 2 3" xfId="43455"/>
    <cellStyle name="Normal 9 5 3 2 3 3" xfId="20891"/>
    <cellStyle name="Normal 9 5 3 2 3 4" xfId="35934"/>
    <cellStyle name="Normal 9 5 3 2 4" xfId="9619"/>
    <cellStyle name="Normal 9 5 3 2 4 2" xfId="24663"/>
    <cellStyle name="Normal 9 5 3 2 4 3" xfId="39706"/>
    <cellStyle name="Normal 9 5 3 2 5" xfId="17142"/>
    <cellStyle name="Normal 9 5 3 2 6" xfId="32185"/>
    <cellStyle name="Normal 9 5 3 3" xfId="2983"/>
    <cellStyle name="Normal 9 5 3 3 2" xfId="6778"/>
    <cellStyle name="Normal 9 5 3 3 2 2" xfId="14301"/>
    <cellStyle name="Normal 9 5 3 3 2 2 2" xfId="29345"/>
    <cellStyle name="Normal 9 5 3 3 2 2 3" xfId="44388"/>
    <cellStyle name="Normal 9 5 3 3 2 3" xfId="21824"/>
    <cellStyle name="Normal 9 5 3 3 2 4" xfId="36867"/>
    <cellStyle name="Normal 9 5 3 3 3" xfId="10552"/>
    <cellStyle name="Normal 9 5 3 3 3 2" xfId="25596"/>
    <cellStyle name="Normal 9 5 3 3 3 3" xfId="40639"/>
    <cellStyle name="Normal 9 5 3 3 4" xfId="18075"/>
    <cellStyle name="Normal 9 5 3 3 5" xfId="33118"/>
    <cellStyle name="Normal 9 5 3 4" xfId="4913"/>
    <cellStyle name="Normal 9 5 3 4 2" xfId="12436"/>
    <cellStyle name="Normal 9 5 3 4 2 2" xfId="27480"/>
    <cellStyle name="Normal 9 5 3 4 2 3" xfId="42523"/>
    <cellStyle name="Normal 9 5 3 4 3" xfId="19959"/>
    <cellStyle name="Normal 9 5 3 4 4" xfId="35002"/>
    <cellStyle name="Normal 9 5 3 5" xfId="8687"/>
    <cellStyle name="Normal 9 5 3 5 2" xfId="23731"/>
    <cellStyle name="Normal 9 5 3 5 3" xfId="38774"/>
    <cellStyle name="Normal 9 5 3 6" xfId="16210"/>
    <cellStyle name="Normal 9 5 3 7" xfId="31253"/>
    <cellStyle name="Normal 9 5 4" xfId="1592"/>
    <cellStyle name="Normal 9 5 4 2" xfId="3463"/>
    <cellStyle name="Normal 9 5 4 2 2" xfId="7258"/>
    <cellStyle name="Normal 9 5 4 2 2 2" xfId="14781"/>
    <cellStyle name="Normal 9 5 4 2 2 2 2" xfId="29825"/>
    <cellStyle name="Normal 9 5 4 2 2 2 3" xfId="44868"/>
    <cellStyle name="Normal 9 5 4 2 2 3" xfId="22304"/>
    <cellStyle name="Normal 9 5 4 2 2 4" xfId="37347"/>
    <cellStyle name="Normal 9 5 4 2 3" xfId="11032"/>
    <cellStyle name="Normal 9 5 4 2 3 2" xfId="26076"/>
    <cellStyle name="Normal 9 5 4 2 3 3" xfId="41119"/>
    <cellStyle name="Normal 9 5 4 2 4" xfId="18555"/>
    <cellStyle name="Normal 9 5 4 2 5" xfId="33598"/>
    <cellStyle name="Normal 9 5 4 3" xfId="5393"/>
    <cellStyle name="Normal 9 5 4 3 2" xfId="12916"/>
    <cellStyle name="Normal 9 5 4 3 2 2" xfId="27960"/>
    <cellStyle name="Normal 9 5 4 3 2 3" xfId="43003"/>
    <cellStyle name="Normal 9 5 4 3 3" xfId="20439"/>
    <cellStyle name="Normal 9 5 4 3 4" xfId="35482"/>
    <cellStyle name="Normal 9 5 4 4" xfId="9167"/>
    <cellStyle name="Normal 9 5 4 4 2" xfId="24211"/>
    <cellStyle name="Normal 9 5 4 4 3" xfId="39254"/>
    <cellStyle name="Normal 9 5 4 5" xfId="16690"/>
    <cellStyle name="Normal 9 5 4 6" xfId="31733"/>
    <cellStyle name="Normal 9 5 5" xfId="2530"/>
    <cellStyle name="Normal 9 5 5 2" xfId="6326"/>
    <cellStyle name="Normal 9 5 5 2 2" xfId="13849"/>
    <cellStyle name="Normal 9 5 5 2 2 2" xfId="28893"/>
    <cellStyle name="Normal 9 5 5 2 2 3" xfId="43936"/>
    <cellStyle name="Normal 9 5 5 2 3" xfId="21372"/>
    <cellStyle name="Normal 9 5 5 2 4" xfId="36415"/>
    <cellStyle name="Normal 9 5 5 3" xfId="10100"/>
    <cellStyle name="Normal 9 5 5 3 2" xfId="25144"/>
    <cellStyle name="Normal 9 5 5 3 3" xfId="40187"/>
    <cellStyle name="Normal 9 5 5 4" xfId="17623"/>
    <cellStyle name="Normal 9 5 5 5" xfId="32666"/>
    <cellStyle name="Normal 9 5 6" xfId="4458"/>
    <cellStyle name="Normal 9 5 6 2" xfId="11982"/>
    <cellStyle name="Normal 9 5 6 2 2" xfId="27026"/>
    <cellStyle name="Normal 9 5 6 2 3" xfId="42069"/>
    <cellStyle name="Normal 9 5 6 3" xfId="19505"/>
    <cellStyle name="Normal 9 5 6 4" xfId="34548"/>
    <cellStyle name="Normal 9 5 7" xfId="8221"/>
    <cellStyle name="Normal 9 5 7 2" xfId="23265"/>
    <cellStyle name="Normal 9 5 7 3" xfId="38308"/>
    <cellStyle name="Normal 9 5 8" xfId="15744"/>
    <cellStyle name="Normal 9 5 9" xfId="30787"/>
    <cellStyle name="Normal 9 6" xfId="571"/>
    <cellStyle name="Normal 9 6 2" xfId="1087"/>
    <cellStyle name="Normal 9 6 2 2" xfId="2046"/>
    <cellStyle name="Normal 9 6 2 2 2" xfId="3917"/>
    <cellStyle name="Normal 9 6 2 2 2 2" xfId="7712"/>
    <cellStyle name="Normal 9 6 2 2 2 2 2" xfId="15235"/>
    <cellStyle name="Normal 9 6 2 2 2 2 2 2" xfId="30279"/>
    <cellStyle name="Normal 9 6 2 2 2 2 2 3" xfId="45322"/>
    <cellStyle name="Normal 9 6 2 2 2 2 3" xfId="22758"/>
    <cellStyle name="Normal 9 6 2 2 2 2 4" xfId="37801"/>
    <cellStyle name="Normal 9 6 2 2 2 3" xfId="11486"/>
    <cellStyle name="Normal 9 6 2 2 2 3 2" xfId="26530"/>
    <cellStyle name="Normal 9 6 2 2 2 3 3" xfId="41573"/>
    <cellStyle name="Normal 9 6 2 2 2 4" xfId="19009"/>
    <cellStyle name="Normal 9 6 2 2 2 5" xfId="34052"/>
    <cellStyle name="Normal 9 6 2 2 3" xfId="5847"/>
    <cellStyle name="Normal 9 6 2 2 3 2" xfId="13370"/>
    <cellStyle name="Normal 9 6 2 2 3 2 2" xfId="28414"/>
    <cellStyle name="Normal 9 6 2 2 3 2 3" xfId="43457"/>
    <cellStyle name="Normal 9 6 2 2 3 3" xfId="20893"/>
    <cellStyle name="Normal 9 6 2 2 3 4" xfId="35936"/>
    <cellStyle name="Normal 9 6 2 2 4" xfId="9621"/>
    <cellStyle name="Normal 9 6 2 2 4 2" xfId="24665"/>
    <cellStyle name="Normal 9 6 2 2 4 3" xfId="39708"/>
    <cellStyle name="Normal 9 6 2 2 5" xfId="17144"/>
    <cellStyle name="Normal 9 6 2 2 6" xfId="32187"/>
    <cellStyle name="Normal 9 6 2 3" xfId="2985"/>
    <cellStyle name="Normal 9 6 2 3 2" xfId="6780"/>
    <cellStyle name="Normal 9 6 2 3 2 2" xfId="14303"/>
    <cellStyle name="Normal 9 6 2 3 2 2 2" xfId="29347"/>
    <cellStyle name="Normal 9 6 2 3 2 2 3" xfId="44390"/>
    <cellStyle name="Normal 9 6 2 3 2 3" xfId="21826"/>
    <cellStyle name="Normal 9 6 2 3 2 4" xfId="36869"/>
    <cellStyle name="Normal 9 6 2 3 3" xfId="10554"/>
    <cellStyle name="Normal 9 6 2 3 3 2" xfId="25598"/>
    <cellStyle name="Normal 9 6 2 3 3 3" xfId="40641"/>
    <cellStyle name="Normal 9 6 2 3 4" xfId="18077"/>
    <cellStyle name="Normal 9 6 2 3 5" xfId="33120"/>
    <cellStyle name="Normal 9 6 2 4" xfId="4915"/>
    <cellStyle name="Normal 9 6 2 4 2" xfId="12438"/>
    <cellStyle name="Normal 9 6 2 4 2 2" xfId="27482"/>
    <cellStyle name="Normal 9 6 2 4 2 3" xfId="42525"/>
    <cellStyle name="Normal 9 6 2 4 3" xfId="19961"/>
    <cellStyle name="Normal 9 6 2 4 4" xfId="35004"/>
    <cellStyle name="Normal 9 6 2 5" xfId="8689"/>
    <cellStyle name="Normal 9 6 2 5 2" xfId="23733"/>
    <cellStyle name="Normal 9 6 2 5 3" xfId="38776"/>
    <cellStyle name="Normal 9 6 2 6" xfId="16212"/>
    <cellStyle name="Normal 9 6 2 7" xfId="31255"/>
    <cellStyle name="Normal 9 6 3" xfId="1594"/>
    <cellStyle name="Normal 9 6 3 2" xfId="3465"/>
    <cellStyle name="Normal 9 6 3 2 2" xfId="7260"/>
    <cellStyle name="Normal 9 6 3 2 2 2" xfId="14783"/>
    <cellStyle name="Normal 9 6 3 2 2 2 2" xfId="29827"/>
    <cellStyle name="Normal 9 6 3 2 2 2 3" xfId="44870"/>
    <cellStyle name="Normal 9 6 3 2 2 3" xfId="22306"/>
    <cellStyle name="Normal 9 6 3 2 2 4" xfId="37349"/>
    <cellStyle name="Normal 9 6 3 2 3" xfId="11034"/>
    <cellStyle name="Normal 9 6 3 2 3 2" xfId="26078"/>
    <cellStyle name="Normal 9 6 3 2 3 3" xfId="41121"/>
    <cellStyle name="Normal 9 6 3 2 4" xfId="18557"/>
    <cellStyle name="Normal 9 6 3 2 5" xfId="33600"/>
    <cellStyle name="Normal 9 6 3 3" xfId="5395"/>
    <cellStyle name="Normal 9 6 3 3 2" xfId="12918"/>
    <cellStyle name="Normal 9 6 3 3 2 2" xfId="27962"/>
    <cellStyle name="Normal 9 6 3 3 2 3" xfId="43005"/>
    <cellStyle name="Normal 9 6 3 3 3" xfId="20441"/>
    <cellStyle name="Normal 9 6 3 3 4" xfId="35484"/>
    <cellStyle name="Normal 9 6 3 4" xfId="9169"/>
    <cellStyle name="Normal 9 6 3 4 2" xfId="24213"/>
    <cellStyle name="Normal 9 6 3 4 3" xfId="39256"/>
    <cellStyle name="Normal 9 6 3 5" xfId="16692"/>
    <cellStyle name="Normal 9 6 3 6" xfId="31735"/>
    <cellStyle name="Normal 9 6 4" xfId="2532"/>
    <cellStyle name="Normal 9 6 4 2" xfId="6328"/>
    <cellStyle name="Normal 9 6 4 2 2" xfId="13851"/>
    <cellStyle name="Normal 9 6 4 2 2 2" xfId="28895"/>
    <cellStyle name="Normal 9 6 4 2 2 3" xfId="43938"/>
    <cellStyle name="Normal 9 6 4 2 3" xfId="21374"/>
    <cellStyle name="Normal 9 6 4 2 4" xfId="36417"/>
    <cellStyle name="Normal 9 6 4 3" xfId="10102"/>
    <cellStyle name="Normal 9 6 4 3 2" xfId="25146"/>
    <cellStyle name="Normal 9 6 4 3 3" xfId="40189"/>
    <cellStyle name="Normal 9 6 4 4" xfId="17625"/>
    <cellStyle name="Normal 9 6 4 5" xfId="32668"/>
    <cellStyle name="Normal 9 6 5" xfId="4460"/>
    <cellStyle name="Normal 9 6 5 2" xfId="11984"/>
    <cellStyle name="Normal 9 6 5 2 2" xfId="27028"/>
    <cellStyle name="Normal 9 6 5 2 3" xfId="42071"/>
    <cellStyle name="Normal 9 6 5 3" xfId="19507"/>
    <cellStyle name="Normal 9 6 5 4" xfId="34550"/>
    <cellStyle name="Normal 9 6 6" xfId="8223"/>
    <cellStyle name="Normal 9 6 6 2" xfId="23267"/>
    <cellStyle name="Normal 9 6 6 3" xfId="38310"/>
    <cellStyle name="Normal 9 6 7" xfId="15746"/>
    <cellStyle name="Normal 9 6 8" xfId="30789"/>
    <cellStyle name="Normal 9 7" xfId="1064"/>
    <cellStyle name="Normal 9 7 2" xfId="2023"/>
    <cellStyle name="Normal 9 7 2 2" xfId="3894"/>
    <cellStyle name="Normal 9 7 2 2 2" xfId="7689"/>
    <cellStyle name="Normal 9 7 2 2 2 2" xfId="15212"/>
    <cellStyle name="Normal 9 7 2 2 2 2 2" xfId="30256"/>
    <cellStyle name="Normal 9 7 2 2 2 2 3" xfId="45299"/>
    <cellStyle name="Normal 9 7 2 2 2 3" xfId="22735"/>
    <cellStyle name="Normal 9 7 2 2 2 4" xfId="37778"/>
    <cellStyle name="Normal 9 7 2 2 3" xfId="11463"/>
    <cellStyle name="Normal 9 7 2 2 3 2" xfId="26507"/>
    <cellStyle name="Normal 9 7 2 2 3 3" xfId="41550"/>
    <cellStyle name="Normal 9 7 2 2 4" xfId="18986"/>
    <cellStyle name="Normal 9 7 2 2 5" xfId="34029"/>
    <cellStyle name="Normal 9 7 2 3" xfId="5824"/>
    <cellStyle name="Normal 9 7 2 3 2" xfId="13347"/>
    <cellStyle name="Normal 9 7 2 3 2 2" xfId="28391"/>
    <cellStyle name="Normal 9 7 2 3 2 3" xfId="43434"/>
    <cellStyle name="Normal 9 7 2 3 3" xfId="20870"/>
    <cellStyle name="Normal 9 7 2 3 4" xfId="35913"/>
    <cellStyle name="Normal 9 7 2 4" xfId="9598"/>
    <cellStyle name="Normal 9 7 2 4 2" xfId="24642"/>
    <cellStyle name="Normal 9 7 2 4 3" xfId="39685"/>
    <cellStyle name="Normal 9 7 2 5" xfId="17121"/>
    <cellStyle name="Normal 9 7 2 6" xfId="32164"/>
    <cellStyle name="Normal 9 7 3" xfId="2962"/>
    <cellStyle name="Normal 9 7 3 2" xfId="6757"/>
    <cellStyle name="Normal 9 7 3 2 2" xfId="14280"/>
    <cellStyle name="Normal 9 7 3 2 2 2" xfId="29324"/>
    <cellStyle name="Normal 9 7 3 2 2 3" xfId="44367"/>
    <cellStyle name="Normal 9 7 3 2 3" xfId="21803"/>
    <cellStyle name="Normal 9 7 3 2 4" xfId="36846"/>
    <cellStyle name="Normal 9 7 3 3" xfId="10531"/>
    <cellStyle name="Normal 9 7 3 3 2" xfId="25575"/>
    <cellStyle name="Normal 9 7 3 3 3" xfId="40618"/>
    <cellStyle name="Normal 9 7 3 4" xfId="18054"/>
    <cellStyle name="Normal 9 7 3 5" xfId="33097"/>
    <cellStyle name="Normal 9 7 4" xfId="4892"/>
    <cellStyle name="Normal 9 7 4 2" xfId="12415"/>
    <cellStyle name="Normal 9 7 4 2 2" xfId="27459"/>
    <cellStyle name="Normal 9 7 4 2 3" xfId="42502"/>
    <cellStyle name="Normal 9 7 4 3" xfId="19938"/>
    <cellStyle name="Normal 9 7 4 4" xfId="34981"/>
    <cellStyle name="Normal 9 7 5" xfId="8666"/>
    <cellStyle name="Normal 9 7 5 2" xfId="23710"/>
    <cellStyle name="Normal 9 7 5 3" xfId="38753"/>
    <cellStyle name="Normal 9 7 6" xfId="16189"/>
    <cellStyle name="Normal 9 7 7" xfId="31232"/>
    <cellStyle name="Normal 9 8" xfId="1571"/>
    <cellStyle name="Normal 9 8 2" xfId="3442"/>
    <cellStyle name="Normal 9 8 2 2" xfId="7237"/>
    <cellStyle name="Normal 9 8 2 2 2" xfId="14760"/>
    <cellStyle name="Normal 9 8 2 2 2 2" xfId="29804"/>
    <cellStyle name="Normal 9 8 2 2 2 3" xfId="44847"/>
    <cellStyle name="Normal 9 8 2 2 3" xfId="22283"/>
    <cellStyle name="Normal 9 8 2 2 4" xfId="37326"/>
    <cellStyle name="Normal 9 8 2 3" xfId="11011"/>
    <cellStyle name="Normal 9 8 2 3 2" xfId="26055"/>
    <cellStyle name="Normal 9 8 2 3 3" xfId="41098"/>
    <cellStyle name="Normal 9 8 2 4" xfId="18534"/>
    <cellStyle name="Normal 9 8 2 5" xfId="33577"/>
    <cellStyle name="Normal 9 8 3" xfId="5372"/>
    <cellStyle name="Normal 9 8 3 2" xfId="12895"/>
    <cellStyle name="Normal 9 8 3 2 2" xfId="27939"/>
    <cellStyle name="Normal 9 8 3 2 3" xfId="42982"/>
    <cellStyle name="Normal 9 8 3 3" xfId="20418"/>
    <cellStyle name="Normal 9 8 3 4" xfId="35461"/>
    <cellStyle name="Normal 9 8 4" xfId="9146"/>
    <cellStyle name="Normal 9 8 4 2" xfId="24190"/>
    <cellStyle name="Normal 9 8 4 3" xfId="39233"/>
    <cellStyle name="Normal 9 8 5" xfId="16669"/>
    <cellStyle name="Normal 9 8 6" xfId="31712"/>
    <cellStyle name="Normal 9 9" xfId="2509"/>
    <cellStyle name="Normal 9 9 2" xfId="6305"/>
    <cellStyle name="Normal 9 9 2 2" xfId="13828"/>
    <cellStyle name="Normal 9 9 2 2 2" xfId="28872"/>
    <cellStyle name="Normal 9 9 2 2 3" xfId="43915"/>
    <cellStyle name="Normal 9 9 2 3" xfId="21351"/>
    <cellStyle name="Normal 9 9 2 4" xfId="36394"/>
    <cellStyle name="Normal 9 9 3" xfId="10079"/>
    <cellStyle name="Normal 9 9 3 2" xfId="25123"/>
    <cellStyle name="Normal 9 9 3 3" xfId="40166"/>
    <cellStyle name="Normal 9 9 4" xfId="17602"/>
    <cellStyle name="Normal 9 9 5" xfId="32645"/>
    <cellStyle name="Normalny 2" xfId="1140"/>
    <cellStyle name="Normalny 2 2" xfId="2073"/>
    <cellStyle name="Normalny_Arkusz1" xfId="572"/>
    <cellStyle name="Note 2" xfId="573"/>
    <cellStyle name="Note 3" xfId="645"/>
    <cellStyle name="Note 3 2" xfId="1137"/>
    <cellStyle name="Note 3 2 2" xfId="2071"/>
    <cellStyle name="Note 3 2 2 2" xfId="3942"/>
    <cellStyle name="Note 3 2 2 2 2" xfId="7737"/>
    <cellStyle name="Note 3 2 2 2 2 2" xfId="15260"/>
    <cellStyle name="Note 3 2 2 2 2 2 2" xfId="30304"/>
    <cellStyle name="Note 3 2 2 2 2 2 3" xfId="45347"/>
    <cellStyle name="Note 3 2 2 2 2 3" xfId="22783"/>
    <cellStyle name="Note 3 2 2 2 2 4" xfId="37826"/>
    <cellStyle name="Note 3 2 2 2 3" xfId="11511"/>
    <cellStyle name="Note 3 2 2 2 3 2" xfId="26555"/>
    <cellStyle name="Note 3 2 2 2 3 3" xfId="41598"/>
    <cellStyle name="Note 3 2 2 2 4" xfId="19034"/>
    <cellStyle name="Note 3 2 2 2 5" xfId="34077"/>
    <cellStyle name="Note 3 2 2 3" xfId="5872"/>
    <cellStyle name="Note 3 2 2 3 2" xfId="13395"/>
    <cellStyle name="Note 3 2 2 3 2 2" xfId="28439"/>
    <cellStyle name="Note 3 2 2 3 2 3" xfId="43482"/>
    <cellStyle name="Note 3 2 2 3 3" xfId="20918"/>
    <cellStyle name="Note 3 2 2 3 4" xfId="35961"/>
    <cellStyle name="Note 3 2 2 4" xfId="9646"/>
    <cellStyle name="Note 3 2 2 4 2" xfId="24690"/>
    <cellStyle name="Note 3 2 2 4 3" xfId="39733"/>
    <cellStyle name="Note 3 2 2 5" xfId="17169"/>
    <cellStyle name="Note 3 2 2 6" xfId="32212"/>
    <cellStyle name="Note 3 2 3" xfId="3010"/>
    <cellStyle name="Note 3 2 3 2" xfId="6805"/>
    <cellStyle name="Note 3 2 3 2 2" xfId="14328"/>
    <cellStyle name="Note 3 2 3 2 2 2" xfId="29372"/>
    <cellStyle name="Note 3 2 3 2 2 3" xfId="44415"/>
    <cellStyle name="Note 3 2 3 2 3" xfId="21851"/>
    <cellStyle name="Note 3 2 3 2 4" xfId="36894"/>
    <cellStyle name="Note 3 2 3 3" xfId="10579"/>
    <cellStyle name="Note 3 2 3 3 2" xfId="25623"/>
    <cellStyle name="Note 3 2 3 3 3" xfId="40666"/>
    <cellStyle name="Note 3 2 3 4" xfId="18102"/>
    <cellStyle name="Note 3 2 3 5" xfId="33145"/>
    <cellStyle name="Note 3 2 4" xfId="4940"/>
    <cellStyle name="Note 3 2 4 2" xfId="12463"/>
    <cellStyle name="Note 3 2 4 2 2" xfId="27507"/>
    <cellStyle name="Note 3 2 4 2 3" xfId="42550"/>
    <cellStyle name="Note 3 2 4 3" xfId="19986"/>
    <cellStyle name="Note 3 2 4 4" xfId="35029"/>
    <cellStyle name="Note 3 2 5" xfId="8714"/>
    <cellStyle name="Note 3 2 5 2" xfId="23758"/>
    <cellStyle name="Note 3 2 5 3" xfId="38801"/>
    <cellStyle name="Note 3 2 6" xfId="16237"/>
    <cellStyle name="Note 3 2 7" xfId="31280"/>
    <cellStyle name="Note 3 3" xfId="1607"/>
    <cellStyle name="Note 3 3 2" xfId="3478"/>
    <cellStyle name="Note 3 3 2 2" xfId="7273"/>
    <cellStyle name="Note 3 3 2 2 2" xfId="14796"/>
    <cellStyle name="Note 3 3 2 2 2 2" xfId="29840"/>
    <cellStyle name="Note 3 3 2 2 2 3" xfId="44883"/>
    <cellStyle name="Note 3 3 2 2 3" xfId="22319"/>
    <cellStyle name="Note 3 3 2 2 4" xfId="37362"/>
    <cellStyle name="Note 3 3 2 3" xfId="11047"/>
    <cellStyle name="Note 3 3 2 3 2" xfId="26091"/>
    <cellStyle name="Note 3 3 2 3 3" xfId="41134"/>
    <cellStyle name="Note 3 3 2 4" xfId="18570"/>
    <cellStyle name="Note 3 3 2 5" xfId="33613"/>
    <cellStyle name="Note 3 3 3" xfId="5408"/>
    <cellStyle name="Note 3 3 3 2" xfId="12931"/>
    <cellStyle name="Note 3 3 3 2 2" xfId="27975"/>
    <cellStyle name="Note 3 3 3 2 3" xfId="43018"/>
    <cellStyle name="Note 3 3 3 3" xfId="20454"/>
    <cellStyle name="Note 3 3 3 4" xfId="35497"/>
    <cellStyle name="Note 3 3 4" xfId="9182"/>
    <cellStyle name="Note 3 3 4 2" xfId="24226"/>
    <cellStyle name="Note 3 3 4 3" xfId="39269"/>
    <cellStyle name="Note 3 3 5" xfId="16705"/>
    <cellStyle name="Note 3 3 6" xfId="31748"/>
    <cellStyle name="Note 3 4" xfId="2546"/>
    <cellStyle name="Note 3 4 2" xfId="6341"/>
    <cellStyle name="Note 3 4 2 2" xfId="13864"/>
    <cellStyle name="Note 3 4 2 2 2" xfId="28908"/>
    <cellStyle name="Note 3 4 2 2 3" xfId="43951"/>
    <cellStyle name="Note 3 4 2 3" xfId="21387"/>
    <cellStyle name="Note 3 4 2 4" xfId="36430"/>
    <cellStyle name="Note 3 4 3" xfId="10115"/>
    <cellStyle name="Note 3 4 3 2" xfId="25159"/>
    <cellStyle name="Note 3 4 3 3" xfId="40202"/>
    <cellStyle name="Note 3 4 4" xfId="17638"/>
    <cellStyle name="Note 3 4 5" xfId="32681"/>
    <cellStyle name="Note 3 5" xfId="4476"/>
    <cellStyle name="Note 3 5 2" xfId="11999"/>
    <cellStyle name="Note 3 5 2 2" xfId="27043"/>
    <cellStyle name="Note 3 5 2 3" xfId="42086"/>
    <cellStyle name="Note 3 5 3" xfId="19522"/>
    <cellStyle name="Note 3 5 4" xfId="34565"/>
    <cellStyle name="Note 3 6" xfId="8250"/>
    <cellStyle name="Note 3 6 2" xfId="23294"/>
    <cellStyle name="Note 3 6 3" xfId="38337"/>
    <cellStyle name="Note 3 7" xfId="15773"/>
    <cellStyle name="Note 3 8" xfId="30816"/>
    <cellStyle name="Note 4" xfId="3963"/>
    <cellStyle name="Note 5" xfId="3992"/>
    <cellStyle name="Note 5 2" xfId="7745"/>
    <cellStyle name="Note 5 2 2" xfId="15268"/>
    <cellStyle name="Note 5 2 2 2" xfId="30312"/>
    <cellStyle name="Note 5 2 2 3" xfId="45355"/>
    <cellStyle name="Note 5 2 3" xfId="22791"/>
    <cellStyle name="Note 5 2 4" xfId="37834"/>
    <cellStyle name="Note 5 3" xfId="11519"/>
    <cellStyle name="Note 5 3 2" xfId="26563"/>
    <cellStyle name="Note 5 3 3" xfId="41606"/>
    <cellStyle name="Note 5 4" xfId="19042"/>
    <cellStyle name="Note 5 5" xfId="34085"/>
    <cellStyle name="Note 6" xfId="7759"/>
    <cellStyle name="Note 6 2" xfId="15282"/>
    <cellStyle name="Note 6 2 2" xfId="30326"/>
    <cellStyle name="Note 6 2 3" xfId="45369"/>
    <cellStyle name="Note 6 3" xfId="22805"/>
    <cellStyle name="Note 6 4" xfId="37848"/>
    <cellStyle name="Obliczenia" xfId="574"/>
    <cellStyle name="Output" xfId="613" builtinId="21" customBuiltin="1"/>
    <cellStyle name="Output 2" xfId="575"/>
    <cellStyle name="Output 3" xfId="576"/>
    <cellStyle name="Output 4" xfId="1106"/>
    <cellStyle name="Output 5" xfId="3958"/>
    <cellStyle name="Percent 2" xfId="577"/>
    <cellStyle name="Percent 3" xfId="578"/>
    <cellStyle name="Suma" xfId="579"/>
    <cellStyle name="Tekst objaśnienia" xfId="580"/>
    <cellStyle name="Tekst ostrzeżenia" xfId="581"/>
    <cellStyle name="Title" xfId="607" builtinId="15" customBuiltin="1"/>
    <cellStyle name="Title 2" xfId="582"/>
    <cellStyle name="Title 3" xfId="1100"/>
    <cellStyle name="Title 4" xfId="2545"/>
    <cellStyle name="Title 5" xfId="3991"/>
    <cellStyle name="Title 6" xfId="4475"/>
    <cellStyle name="Total" xfId="619" builtinId="25" customBuiltin="1"/>
    <cellStyle name="Total 2" xfId="583"/>
    <cellStyle name="Total 3" xfId="584"/>
    <cellStyle name="Total 4" xfId="1112"/>
    <cellStyle name="Total 5" xfId="3965"/>
    <cellStyle name="Tytuł" xfId="585"/>
    <cellStyle name="Uwaga" xfId="586"/>
    <cellStyle name="Warning Text" xfId="617" builtinId="11" customBuiltin="1"/>
    <cellStyle name="Warning Text 2" xfId="587"/>
    <cellStyle name="Warning Text 3" xfId="588"/>
    <cellStyle name="Warning Text 4" xfId="1110"/>
    <cellStyle name="Warning Text 5" xfId="3962"/>
    <cellStyle name="Złe" xfId="589"/>
  </cellStyles>
  <dxfs count="137">
    <dxf>
      <numFmt numFmtId="0" formatCode="General"/>
    </dxf>
    <dxf>
      <numFmt numFmtId="0" formatCode="General"/>
    </dxf>
    <dxf>
      <numFmt numFmtId="0" formatCode="General"/>
    </dxf>
    <dxf>
      <numFmt numFmtId="0" formatCode="General"/>
    </dxf>
    <dxf>
      <numFmt numFmtId="0" formatCode="Genera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general" vertical="top"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Arial"/>
        <scheme val="minor"/>
      </font>
      <fill>
        <patternFill patternType="none">
          <fgColor indexed="64"/>
          <bgColor indexed="65"/>
        </patternFill>
      </fill>
      <alignment horizontal="left" vertical="bottom" textRotation="0" wrapText="0" indent="0" justifyLastLine="0" shrinkToFit="0" readingOrder="0"/>
      <border diagonalUp="0" diagonalDown="0">
        <left/>
        <right style="thin">
          <color theme="6"/>
        </right>
        <top style="thin">
          <color theme="6"/>
        </top>
        <bottom/>
        <vertical/>
        <horizontal/>
      </border>
    </dxf>
    <dxf>
      <font>
        <b val="0"/>
        <i val="0"/>
        <strike val="0"/>
        <condense val="0"/>
        <extend val="0"/>
        <outline val="0"/>
        <shadow val="0"/>
        <u val="none"/>
        <vertAlign val="baseline"/>
        <sz val="11"/>
        <color theme="1"/>
        <name val="Arial"/>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left/>
        <right/>
        <top style="thin">
          <color theme="6"/>
        </top>
        <bottom/>
        <vertical/>
        <horizontal/>
      </border>
    </dxf>
    <dxf>
      <font>
        <b/>
        <i/>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right/>
        <top style="thin">
          <color theme="6"/>
        </top>
        <bottom/>
        <vertical/>
        <horizontal/>
      </border>
    </dxf>
    <dxf>
      <font>
        <b val="0"/>
        <i val="0"/>
        <strike val="0"/>
        <condense val="0"/>
        <extend val="0"/>
        <outline val="0"/>
        <shadow val="0"/>
        <u val="none"/>
        <vertAlign val="baseline"/>
        <sz val="10"/>
        <color theme="1"/>
        <name val="Arial"/>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1"/>
        <name val="Arial"/>
        <scheme val="minor"/>
      </font>
      <numFmt numFmtId="0" formatCode="General"/>
      <alignment horizontal="general" vertical="top" textRotation="0" wrapText="0" indent="0" justifyLastLine="0" shrinkToFit="0" readingOrder="0"/>
      <border diagonalUp="0" diagonalDown="0" outline="0">
        <left/>
        <right/>
        <top style="thin">
          <color theme="8"/>
        </top>
        <bottom/>
      </border>
    </dxf>
    <dxf>
      <alignment horizontal="general" vertical="top" textRotation="0" wrapText="0" indent="0" justifyLastLine="0" shrinkToFit="0" readingOrder="0"/>
    </dxf>
    <dxf>
      <font>
        <b val="0"/>
        <i val="0"/>
        <strike val="0"/>
        <condense val="0"/>
        <extend val="0"/>
        <outline val="0"/>
        <shadow val="0"/>
        <u val="none"/>
        <vertAlign val="baseline"/>
        <sz val="11"/>
        <color theme="1"/>
        <name val="Arial"/>
        <scheme val="minor"/>
      </font>
      <border diagonalUp="0" diagonalDown="0">
        <left/>
        <right/>
        <top style="thin">
          <color theme="1"/>
        </top>
        <bottom/>
        <vertical/>
        <horizontal/>
      </border>
    </dxf>
    <dxf>
      <font>
        <sz val="8"/>
      </font>
      <fill>
        <patternFill patternType="none">
          <fgColor indexed="64"/>
          <bgColor indexed="65"/>
        </patternFill>
      </fill>
      <alignment horizontal="general"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indexed="8"/>
        <name val="Calibri"/>
        <scheme val="none"/>
      </font>
      <numFmt numFmtId="0" formatCode="General"/>
      <fill>
        <patternFill patternType="none">
          <fgColor indexed="64"/>
          <bgColor indexed="65"/>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Arial"/>
        <scheme val="minor"/>
      </font>
      <border diagonalUp="0" diagonalDown="0">
        <left/>
        <right/>
        <top style="thin">
          <color theme="1"/>
        </top>
        <bottom style="thin">
          <color theme="1"/>
        </bottom>
        <vertical/>
        <horizontal/>
      </border>
    </dxf>
    <dxf>
      <font>
        <b val="0"/>
        <i val="0"/>
        <strike val="0"/>
        <condense val="0"/>
        <extend val="0"/>
        <outline val="0"/>
        <shadow val="0"/>
        <u val="none"/>
        <vertAlign val="baseline"/>
        <sz val="11"/>
        <color theme="1"/>
        <name val="Arial"/>
        <scheme val="minor"/>
      </font>
      <border diagonalUp="0" diagonalDown="0">
        <left/>
        <right/>
        <top style="thin">
          <color theme="1"/>
        </top>
        <bottom style="thin">
          <color theme="1"/>
        </bottom>
        <vertical/>
        <horizontal/>
      </border>
    </dxf>
    <dxf>
      <font>
        <b val="0"/>
        <i val="0"/>
        <strike val="0"/>
        <condense val="0"/>
        <extend val="0"/>
        <outline val="0"/>
        <shadow val="0"/>
        <u val="none"/>
        <vertAlign val="baseline"/>
        <sz val="11"/>
        <color theme="1"/>
        <name val="Arial"/>
        <scheme val="minor"/>
      </font>
      <border diagonalUp="0" diagonalDown="0">
        <left/>
        <right/>
        <top style="thin">
          <color theme="1"/>
        </top>
        <bottom style="thin">
          <color theme="1"/>
        </bottom>
        <vertical/>
        <horizontal/>
      </border>
    </dxf>
    <dxf>
      <font>
        <b val="0"/>
        <i val="0"/>
        <strike val="0"/>
        <condense val="0"/>
        <extend val="0"/>
        <outline val="0"/>
        <shadow val="0"/>
        <u val="none"/>
        <vertAlign val="baseline"/>
        <sz val="8"/>
        <color auto="1"/>
        <name val="Arial"/>
        <scheme val="none"/>
      </font>
      <numFmt numFmtId="30" formatCode="@"/>
      <fill>
        <patternFill patternType="solid">
          <fgColor indexed="64"/>
          <bgColor theme="9" tint="0.59999389629810485"/>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9" tint="0.59999389629810485"/>
        </patternFill>
      </fill>
      <alignment horizontal="general"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Arial"/>
        <scheme val="minor"/>
      </font>
      <numFmt numFmtId="30" formatCode="@"/>
      <alignment horizontal="general" vertical="top" textRotation="0" wrapText="0" indent="0" justifyLastLine="0" shrinkToFit="0" readingOrder="0"/>
      <border diagonalUp="0" diagonalDown="0" outline="0">
        <left/>
        <right/>
        <top style="thin">
          <color theme="6"/>
        </top>
        <bottom/>
      </border>
      <protection locked="1" hidden="1"/>
    </dxf>
    <dxf>
      <protection locked="1" hidden="1"/>
    </dxf>
    <dxf>
      <font>
        <b val="0"/>
        <i val="0"/>
        <strike val="0"/>
        <condense val="0"/>
        <extend val="0"/>
        <outline val="0"/>
        <shadow val="0"/>
        <u val="none"/>
        <vertAlign val="baseline"/>
        <sz val="10"/>
        <color rgb="FF4A4A4A"/>
        <name val="Calibri"/>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style="thin">
          <color rgb="FF000000"/>
        </top>
        <bottom/>
      </border>
      <protection locked="1" hidden="0"/>
    </dxf>
    <dxf>
      <font>
        <b val="0"/>
        <i val="0"/>
        <strike val="0"/>
        <condense val="0"/>
        <extend val="0"/>
        <outline val="0"/>
        <shadow val="0"/>
        <u val="none"/>
        <vertAlign val="baseline"/>
        <sz val="11"/>
        <color theme="1"/>
        <name val="Arial"/>
        <scheme val="minor"/>
      </font>
      <border diagonalUp="0" diagonalDown="0">
        <left/>
        <right/>
        <top style="thin">
          <color theme="6"/>
        </top>
        <bottom style="thin">
          <color theme="6"/>
        </bottom>
        <vertical/>
        <horizontal/>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133350</xdr:colOff>
          <xdr:row>2</xdr:row>
          <xdr:rowOff>19050</xdr:rowOff>
        </xdr:from>
        <xdr:to>
          <xdr:col>7</xdr:col>
          <xdr:colOff>257175</xdr:colOff>
          <xdr:row>4</xdr:row>
          <xdr:rowOff>104775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Clear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285750</xdr:colOff>
          <xdr:row>2</xdr:row>
          <xdr:rowOff>19050</xdr:rowOff>
        </xdr:from>
        <xdr:to>
          <xdr:col>5</xdr:col>
          <xdr:colOff>228600</xdr:colOff>
          <xdr:row>4</xdr:row>
          <xdr:rowOff>104775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2</xdr:row>
          <xdr:rowOff>19050</xdr:rowOff>
        </xdr:from>
        <xdr:to>
          <xdr:col>8</xdr:col>
          <xdr:colOff>704850</xdr:colOff>
          <xdr:row>4</xdr:row>
          <xdr:rowOff>104775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Clear Results</a:t>
              </a:r>
            </a:p>
          </xdr:txBody>
        </xdr:sp>
        <xdr:clientData fPrintsWithSheet="0"/>
      </xdr:twoCellAnchor>
    </mc:Choice>
    <mc:Fallback/>
  </mc:AlternateContent>
  <xdr:oneCellAnchor>
    <xdr:from>
      <xdr:col>6</xdr:col>
      <xdr:colOff>0</xdr:colOff>
      <xdr:row>12</xdr:row>
      <xdr:rowOff>0</xdr:rowOff>
    </xdr:from>
    <xdr:ext cx="9525" cy="9525"/>
    <xdr:pic>
      <xdr:nvPicPr>
        <xdr:cNvPr id="5" name="Picture 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238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 name="Picture 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238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 name="Picture 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238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 name="Picture 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 name="Picture 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 name="Picture 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 name="Picture 1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 name="Picture 1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 name="Picture 1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 name="Picture 1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 name="Picture 1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 name="Picture 1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 name="Picture 1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 name="Picture 1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 name="Picture 1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 name="Picture 1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 name="Picture 2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 name="Picture 2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 name="Picture 2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 name="Picture 2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 name="Picture 2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 name="Picture 2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 name="Picture 2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 name="Picture 2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 name="Picture 2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 name="Picture 2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 name="Picture 3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 name="Picture 3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 name="Picture 3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 name="Picture 3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 name="Picture 3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 name="Picture 3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 name="Picture 3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8" name="Picture 3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9" name="Picture 3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0" name="Picture 3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1" name="Picture 4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2" name="Picture 4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3" name="Picture 4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4" name="Picture 4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5" name="Picture 4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6" name="Picture 4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7" name="Picture 4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8" name="Picture 4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49" name="Picture 4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0" name="Picture 4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1" name="Picture 5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2" name="Picture 5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3" name="Picture 5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4" name="Picture 5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5" name="Picture 5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6" name="Picture 5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7" name="Picture 5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8" name="Picture 5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59" name="Picture 5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0" name="Picture 5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1" name="Picture 6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2" name="Picture 6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3" name="Picture 6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4" name="Picture 6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5" name="Picture 6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6" name="Picture 6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7" name="Picture 6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8" name="Picture 6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69" name="Picture 6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0" name="Picture 6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1" name="Picture 7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2" name="Picture 7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3" name="Picture 7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4" name="Picture 7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5" name="Picture 7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6" name="Picture 7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7" name="Picture 7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8" name="Picture 7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79" name="Picture 7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0" name="Picture 7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1" name="Picture 8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2" name="Picture 8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3" name="Picture 8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4" name="Picture 8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5" name="Picture 8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6" name="Picture 8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7" name="Picture 8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8" name="Picture 8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89" name="Picture 8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0" name="Picture 8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1" name="Picture 9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2" name="Picture 9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3" name="Picture 9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4" name="Picture 9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5" name="Picture 9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6" name="Picture 9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7" name="Picture 9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8" name="Picture 9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99" name="Picture 9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0" name="Picture 9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1" name="Picture 10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2" name="Picture 10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3" name="Picture 10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4" name="Picture 10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5" name="Picture 10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6" name="Picture 10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7" name="Picture 10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8" name="Picture 10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09" name="Picture 10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0" name="Picture 10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1" name="Picture 11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2" name="Picture 11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3" name="Picture 11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4" name="Picture 11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5" name="Picture 11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6" name="Picture 11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7" name="Picture 11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8" name="Picture 11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19" name="Picture 11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0" name="Picture 11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1" name="Picture 12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2" name="Picture 12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3" name="Picture 12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4" name="Picture 12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5" name="Picture 12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6" name="Picture 12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7" name="Picture 12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8" name="Picture 12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29" name="Picture 12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0" name="Picture 12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1" name="Picture 13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2" name="Picture 13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3" name="Picture 13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4" name="Picture 13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5" name="Picture 13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6" name="Picture 13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7" name="Picture 13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8" name="Picture 13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39" name="Picture 13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0" name="Picture 13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1" name="Picture 14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2" name="Picture 14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3" name="Picture 14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4" name="Picture 14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5" name="Picture 14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6" name="Picture 14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7" name="Picture 14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8" name="Picture 14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49" name="Picture 14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0" name="Picture 14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1" name="Picture 15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2" name="Picture 15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3" name="Picture 15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4" name="Picture 15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5" name="Picture 15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6" name="Picture 15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7" name="Picture 15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8" name="Picture 15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59" name="Picture 15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0" name="Picture 15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1" name="Picture 16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2" name="Picture 16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3" name="Picture 16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4" name="Picture 16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5" name="Picture 16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6" name="Picture 16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7" name="Picture 16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8" name="Picture 16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69" name="Picture 16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0" name="Picture 16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1" name="Picture 17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2" name="Picture 17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3" name="Picture 17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4" name="Picture 17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5" name="Picture 17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6" name="Picture 17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7" name="Picture 17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8" name="Picture 17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79" name="Picture 17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0" name="Picture 17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1" name="Picture 18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2" name="Picture 18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3" name="Picture 18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4" name="Picture 18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5" name="Picture 18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6" name="Picture 18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7" name="Picture 18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8" name="Picture 18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89" name="Picture 18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0" name="Picture 18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1" name="Picture 19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2" name="Picture 19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3" name="Picture 19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4" name="Picture 19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5" name="Picture 19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6" name="Picture 19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7" name="Picture 19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8" name="Picture 19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199" name="Picture 19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0" name="Picture 19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1" name="Picture 20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2" name="Picture 20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3" name="Picture 20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4" name="Picture 20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5" name="Picture 20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6" name="Picture 20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7" name="Picture 20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8" name="Picture 20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09" name="Picture 20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0" name="Picture 20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1" name="Picture 21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2" name="Picture 21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3" name="Picture 21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4" name="Picture 21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5" name="Picture 21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6" name="Picture 21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7" name="Picture 21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8" name="Picture 21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19" name="Picture 21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0" name="Picture 21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1" name="Picture 22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2" name="Picture 22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3" name="Picture 22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4" name="Picture 22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5" name="Picture 22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6" name="Picture 22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7" name="Picture 22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8" name="Picture 22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29" name="Picture 22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0" name="Picture 22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1" name="Picture 23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2" name="Picture 23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3" name="Picture 23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4" name="Picture 23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5" name="Picture 23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6" name="Picture 23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7" name="Picture 23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8" name="Picture 23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39" name="Picture 23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0" name="Picture 23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1" name="Picture 24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2" name="Picture 24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3" name="Picture 24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4" name="Picture 24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5" name="Picture 24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6" name="Picture 24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7" name="Picture 24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8" name="Picture 24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49" name="Picture 24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0" name="Picture 24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1" name="Picture 25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2" name="Picture 25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3" name="Picture 25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4" name="Picture 25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5" name="Picture 25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6" name="Picture 25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7" name="Picture 25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8" name="Picture 25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59" name="Picture 25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0" name="Picture 25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1" name="Picture 26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2" name="Picture 26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3" name="Picture 26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4" name="Picture 26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5" name="Picture 26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6" name="Picture 26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7" name="Picture 26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8" name="Picture 26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69" name="Picture 26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0" name="Picture 26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1" name="Picture 27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2" name="Picture 27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3" name="Picture 27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4" name="Picture 27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5" name="Picture 27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6" name="Picture 27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7" name="Picture 27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8" name="Picture 27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79" name="Picture 27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0" name="Picture 27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1" name="Picture 28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2" name="Picture 28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3" name="Picture 28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4" name="Picture 28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5" name="Picture 28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6" name="Picture 28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7" name="Picture 28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8" name="Picture 28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89" name="Picture 28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0" name="Picture 28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1" name="Picture 29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2" name="Picture 29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3" name="Picture 29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4" name="Picture 29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5" name="Picture 29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6" name="Picture 29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7" name="Picture 29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8" name="Picture 29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299" name="Picture 29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0" name="Picture 29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1" name="Picture 30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2" name="Picture 30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3" name="Picture 30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4" name="Picture 30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5" name="Picture 30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6" name="Picture 30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7" name="Picture 30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8" name="Picture 30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09" name="Picture 30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0" name="Picture 30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1" name="Picture 31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2" name="Picture 31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3" name="Picture 31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4" name="Picture 31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5" name="Picture 31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6" name="Picture 31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7" name="Picture 31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8" name="Picture 31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19" name="Picture 31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0" name="Picture 31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1" name="Picture 32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2" name="Picture 32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3" name="Picture 32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4" name="Picture 32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5" name="Picture 32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6" name="Picture 32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7" name="Picture 32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8" name="Picture 32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29" name="Picture 32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0" name="Picture 32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1" name="Picture 33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2" name="Picture 33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3" name="Picture 33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4" name="Picture 33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5" name="Picture 33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6" name="Picture 33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7" name="Picture 33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8" name="Picture 33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39" name="Picture 33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0" name="Picture 33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1" name="Picture 34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2" name="Picture 34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3" name="Picture 34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4" name="Picture 34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5" name="Picture 34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6" name="Picture 34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7" name="Picture 34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8" name="Picture 34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49" name="Picture 34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0" name="Picture 34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1" name="Picture 35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2" name="Picture 35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3" name="Picture 35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4" name="Picture 35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5" name="Picture 35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6" name="Picture 35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7" name="Picture 35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8" name="Picture 35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59" name="Picture 35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0" name="Picture 35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1" name="Picture 36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2" name="Picture 36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3" name="Picture 36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4" name="Picture 36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5" name="Picture 36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6" name="Picture 36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7" name="Picture 36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8" name="Picture 36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69" name="Picture 36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0" name="Picture 36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1" name="Picture 37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2" name="Picture 37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3" name="Picture 37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4" name="Picture 37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5" name="Picture 37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6" name="Picture 37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7" name="Picture 37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8" name="Picture 37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79" name="Picture 37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80" name="Picture 37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81" name="Picture 38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6</xdr:col>
      <xdr:colOff>0</xdr:colOff>
      <xdr:row>12</xdr:row>
      <xdr:rowOff>0</xdr:rowOff>
    </xdr:from>
    <xdr:ext cx="9525" cy="9525"/>
    <xdr:pic>
      <xdr:nvPicPr>
        <xdr:cNvPr id="382" name="Picture 38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83" name="Picture 38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84" name="Picture 38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85" name="Picture 38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86" name="Picture 38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87" name="Picture 38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88" name="Picture 38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89" name="Picture 38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0" name="Picture 38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1" name="Picture 39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2" name="Picture 39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3" name="Picture 39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4" name="Picture 39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5" name="Picture 39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6" name="Picture 39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7" name="Picture 39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8" name="Picture 39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399" name="Picture 39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0" name="Picture 39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1" name="Picture 40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2" name="Picture 40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3" name="Picture 40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4" name="Picture 40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5" name="Picture 40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6" name="Picture 40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7" name="Picture 40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8" name="Picture 40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09" name="Picture 40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0" name="Picture 40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1" name="Picture 41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2" name="Picture 41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3" name="Picture 41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4" name="Picture 41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5" name="Picture 41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6" name="Picture 41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7" name="Picture 41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8" name="Picture 41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19" name="Picture 41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0" name="Picture 41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1" name="Picture 42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2" name="Picture 42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3" name="Picture 42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4" name="Picture 42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5" name="Picture 42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6" name="Picture 42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7" name="Picture 42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8" name="Picture 42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29" name="Picture 42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0" name="Picture 42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1" name="Picture 43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2" name="Picture 43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3" name="Picture 43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4" name="Picture 43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5" name="Picture 43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6" name="Picture 43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7" name="Picture 43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8" name="Picture 43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39" name="Picture 43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0" name="Picture 43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1" name="Picture 44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2" name="Picture 44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3" name="Picture 44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4" name="Picture 44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5" name="Picture 44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6" name="Picture 44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7" name="Picture 44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8" name="Picture 44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49" name="Picture 44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0" name="Picture 44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1" name="Picture 45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2" name="Picture 45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3" name="Picture 45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4" name="Picture 45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5" name="Picture 45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6" name="Picture 45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7" name="Picture 45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8" name="Picture 45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59" name="Picture 45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0" name="Picture 45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1" name="Picture 46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2" name="Picture 46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3" name="Picture 46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4" name="Picture 46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5" name="Picture 46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6" name="Picture 46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7" name="Picture 46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8" name="Picture 46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69" name="Picture 46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0" name="Picture 46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1" name="Picture 47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2" name="Picture 47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3" name="Picture 47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4" name="Picture 47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5" name="Picture 47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6" name="Picture 47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7" name="Picture 47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8" name="Picture 47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79" name="Picture 47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0" name="Picture 47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1" name="Picture 48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2" name="Picture 48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3" name="Picture 48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4" name="Picture 48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5" name="Picture 48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6" name="Picture 48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7" name="Picture 48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8" name="Picture 48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89" name="Picture 48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0" name="Picture 48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1" name="Picture 49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2" name="Picture 49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3" name="Picture 49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4" name="Picture 49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5" name="Picture 49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6" name="Picture 49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7" name="Picture 49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8" name="Picture 49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499" name="Picture 49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0" name="Picture 49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1" name="Picture 50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2" name="Picture 50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3" name="Picture 50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4" name="Picture 50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5" name="Picture 50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6" name="Picture 50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7" name="Picture 50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8" name="Picture 50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09" name="Picture 50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0" name="Picture 50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1" name="Picture 51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2" name="Picture 51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3" name="Picture 51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4" name="Picture 51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5" name="Picture 51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6" name="Picture 51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7" name="Picture 51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8" name="Picture 51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19" name="Picture 51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0" name="Picture 51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1" name="Picture 52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2" name="Picture 52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3" name="Picture 52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4" name="Picture 52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5" name="Picture 52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6" name="Picture 52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7" name="Picture 52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8" name="Picture 52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29" name="Picture 52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0" name="Picture 52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1" name="Picture 53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2" name="Picture 53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3" name="Picture 53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4" name="Picture 53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5" name="Picture 53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6" name="Picture 53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7" name="Picture 53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8" name="Picture 53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39" name="Picture 53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0" name="Picture 53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1" name="Picture 54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2" name="Picture 54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3" name="Picture 54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4" name="Picture 54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5" name="Picture 54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6" name="Picture 54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7" name="Picture 54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8" name="Picture 54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49" name="Picture 54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0" name="Picture 54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1" name="Picture 55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2" name="Picture 55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3" name="Picture 55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4" name="Picture 55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5" name="Picture 55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6" name="Picture 55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7" name="Picture 55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8" name="Picture 55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59" name="Picture 55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0" name="Picture 55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1" name="Picture 56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2" name="Picture 56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3" name="Picture 56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4" name="Picture 56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5" name="Picture 56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6" name="Picture 56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7" name="Picture 56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8" name="Picture 56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69" name="Picture 56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0" name="Picture 56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1" name="Picture 57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2" name="Picture 57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3" name="Picture 57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4" name="Picture 57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5" name="Picture 57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6" name="Picture 57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7" name="Picture 57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8" name="Picture 57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79" name="Picture 57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0" name="Picture 57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1" name="Picture 58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2" name="Picture 58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3" name="Picture 58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4" name="Picture 58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5" name="Picture 58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6" name="Picture 58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7" name="Picture 58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8" name="Picture 58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89" name="Picture 58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0" name="Picture 58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1" name="Picture 59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2" name="Picture 59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3" name="Picture 59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4" name="Picture 59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5" name="Picture 59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6" name="Picture 59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7" name="Picture 59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8" name="Picture 59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599" name="Picture 59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0" name="Picture 59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1" name="Picture 60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2" name="Picture 60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3" name="Picture 60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4" name="Picture 60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5" name="Picture 60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6" name="Picture 60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7" name="Picture 60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8" name="Picture 60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09" name="Picture 60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0" name="Picture 60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1" name="Picture 61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2" name="Picture 61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3" name="Picture 61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4" name="Picture 61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5" name="Picture 61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6" name="Picture 61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7" name="Picture 61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8" name="Picture 61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19" name="Picture 61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0" name="Picture 61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1" name="Picture 62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2" name="Picture 62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3" name="Picture 62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4" name="Picture 62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5" name="Picture 62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6" name="Picture 62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7" name="Picture 62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8" name="Picture 62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29" name="Picture 62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0" name="Picture 62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1" name="Picture 63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2" name="Picture 63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3" name="Picture 63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4" name="Picture 63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5" name="Picture 63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6" name="Picture 63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7" name="Picture 63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8" name="Picture 63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39" name="Picture 63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0" name="Picture 63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1" name="Picture 64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2" name="Picture 64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3" name="Picture 64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4" name="Picture 64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5" name="Picture 64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6" name="Picture 64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7" name="Picture 64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8" name="Picture 64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49" name="Picture 64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0" name="Picture 64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1" name="Picture 65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2" name="Picture 65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3" name="Picture 65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4" name="Picture 65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5" name="Picture 65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6" name="Picture 65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7" name="Picture 65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8" name="Picture 65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59" name="Picture 65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0" name="Picture 65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1" name="Picture 66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2" name="Picture 66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3" name="Picture 66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4" name="Picture 66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5" name="Picture 66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6" name="Picture 66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7" name="Picture 66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8" name="Picture 66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69" name="Picture 66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0" name="Picture 66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1" name="Picture 67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2" name="Picture 67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3" name="Picture 67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4" name="Picture 67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5" name="Picture 67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6" name="Picture 67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7" name="Picture 67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8" name="Picture 67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79" name="Picture 67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0" name="Picture 67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1" name="Picture 68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2" name="Picture 68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3" name="Picture 68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4" name="Picture 68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5" name="Picture 68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6" name="Picture 68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7" name="Picture 68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8" name="Picture 68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89" name="Picture 68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0" name="Picture 68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1" name="Picture 69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2" name="Picture 69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3" name="Picture 69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4" name="Picture 69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5" name="Picture 69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6" name="Picture 69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7" name="Picture 69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8" name="Picture 69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699" name="Picture 69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0" name="Picture 69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1" name="Picture 70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2" name="Picture 70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3" name="Picture 70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4" name="Picture 70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5" name="Picture 70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6" name="Picture 70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7" name="Picture 70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8" name="Picture 70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09" name="Picture 70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0" name="Picture 70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1" name="Picture 71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2" name="Picture 71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3" name="Picture 71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4" name="Picture 71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5" name="Picture 71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6" name="Picture 71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7" name="Picture 71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8" name="Picture 71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19" name="Picture 71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0" name="Picture 71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1" name="Picture 72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2" name="Picture 72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3" name="Picture 72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4" name="Picture 72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5" name="Picture 72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6" name="Picture 72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7" name="Picture 72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8" name="Picture 72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29" name="Picture 72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0" name="Picture 72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1" name="Picture 73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2" name="Picture 73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3" name="Picture 73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4" name="Picture 73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5" name="Picture 73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6" name="Picture 73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7" name="Picture 73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8" name="Picture 73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39" name="Picture 73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0" name="Picture 73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1" name="Picture 74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2" name="Picture 74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3" name="Picture 74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4" name="Picture 74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5" name="Picture 74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6" name="Picture 74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7" name="Picture 74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8" name="Picture 74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49" name="Picture 74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0" name="Picture 74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1" name="Picture 75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2" name="Picture 75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3" name="Picture 75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4" name="Picture 75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5" name="Picture 75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6" name="Picture 75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7" name="Picture 75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8" name="Picture 75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59" name="Picture 75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0" name="Picture 75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1" name="Picture 76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2" name="Picture 76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3" name="Picture 76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4" name="Picture 76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5" name="Picture 76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6" name="Picture 76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7" name="Picture 76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8" name="Picture 76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69" name="Picture 76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0" name="Picture 76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1" name="Picture 77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2" name="Picture 77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3" name="Picture 77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4" name="Picture 77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5" name="Picture 77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6" name="Picture 77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7" name="Picture 77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8" name="Picture 77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79" name="Picture 77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0" name="Picture 77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1" name="Picture 78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2" name="Picture 78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3" name="Picture 78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4" name="Picture 78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5" name="Picture 78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6" name="Picture 785"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7" name="Picture 786"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8" name="Picture 787"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89" name="Picture 788"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90" name="Picture 789"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91" name="Picture 790"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92" name="Picture 79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20</xdr:col>
      <xdr:colOff>0</xdr:colOff>
      <xdr:row>8</xdr:row>
      <xdr:rowOff>0</xdr:rowOff>
    </xdr:from>
    <xdr:ext cx="9525" cy="9525"/>
    <xdr:pic>
      <xdr:nvPicPr>
        <xdr:cNvPr id="793" name="Picture 79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459075" y="22574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9525</xdr:colOff>
      <xdr:row>2</xdr:row>
      <xdr:rowOff>0</xdr:rowOff>
    </xdr:to>
    <xdr:pic>
      <xdr:nvPicPr>
        <xdr:cNvPr id="2" name="Picture 1"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09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2</xdr:row>
      <xdr:rowOff>0</xdr:rowOff>
    </xdr:from>
    <xdr:ext cx="9525" cy="9525"/>
    <xdr:pic>
      <xdr:nvPicPr>
        <xdr:cNvPr id="3" name="Picture 2"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247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9525" cy="9525"/>
    <xdr:pic>
      <xdr:nvPicPr>
        <xdr:cNvPr id="4" name="Picture 3"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247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xdr:row>
      <xdr:rowOff>0</xdr:rowOff>
    </xdr:from>
    <xdr:ext cx="9525" cy="9525"/>
    <xdr:pic>
      <xdr:nvPicPr>
        <xdr:cNvPr id="5" name="Picture 4" descr="http://pl-lex002/WKPLOnline/img/empty.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2476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0</xdr:rowOff>
    </xdr:from>
    <xdr:to>
      <xdr:col>5</xdr:col>
      <xdr:colOff>381000</xdr:colOff>
      <xdr:row>14</xdr:row>
      <xdr:rowOff>19050</xdr:rowOff>
    </xdr:to>
    <xdr:sp macro="" textlink="">
      <xdr:nvSpPr>
        <xdr:cNvPr id="2" name="TheJack"/>
        <xdr:cNvSpPr txBox="1"/>
      </xdr:nvSpPr>
      <xdr:spPr>
        <a:xfrm>
          <a:off x="66675" y="1085850"/>
          <a:ext cx="9010650" cy="1466850"/>
        </a:xfrm>
        <a:prstGeom prst="rect">
          <a:avLst/>
        </a:prstGeom>
        <a:noFill/>
      </xdr:spPr>
      <xdr:txBody>
        <a:bodyPr vertOverflow="clip" horzOverflow="clip" wrap="square" lIns="0" tIns="0" rIns="0" bIns="0" rtlCol="0" anchor="t">
          <a:noAutofit/>
        </a:bodyPr>
        <a:lstStyle/>
        <a:p>
          <a:pPr indent="-274320">
            <a:spcAft>
              <a:spcPts val="900"/>
            </a:spcAft>
          </a:pPr>
          <a:r>
            <a:rPr lang="en-US" sz="800" dirty="0" err="1" smtClean="0">
              <a:latin typeface="+mn-lt"/>
            </a:rPr>
            <a:t># 2015/08/18 -- code description</a:t>
          </a:r>
        </a:p>
        <a:p>
          <a:pPr indent="-274320">
            <a:spcAft>
              <a:spcPts val="900"/>
            </a:spcAft>
          </a:pPr>
          <a:r>
            <a:rPr lang="en-US" sz="800" dirty="0" err="1" smtClean="0">
              <a:latin typeface="+mn-lt"/>
            </a:rPr>
            <a:t># 2015/08/18 -- add progress description</a:t>
          </a:r>
        </a:p>
        <a:p>
          <a:pPr indent="-274320">
            <a:spcAft>
              <a:spcPts val="900"/>
            </a:spcAft>
          </a:pPr>
          <a:r>
            <a:rPr lang="en-US" sz="800" dirty="0" err="1" smtClean="0">
              <a:latin typeface="+mn-lt"/>
            </a:rPr>
            <a:t># 2015/08/18 -- add results description</a:t>
          </a:r>
        </a:p>
        <a:p>
          <a:pPr indent="-274320">
            <a:spcAft>
              <a:spcPts val="900"/>
            </a:spcAft>
          </a:pPr>
          <a:r>
            <a:rPr lang="en-US" sz="800" dirty="0" err="1" smtClean="0">
              <a:latin typeface="+mn-lt"/>
            </a:rPr>
            <a:t># 2015/08/18 -- add ipg_history</a:t>
          </a:r>
        </a:p>
        <a:p>
          <a:pPr indent="-274320">
            <a:spcAft>
              <a:spcPts val="900"/>
            </a:spcAft>
          </a:pPr>
          <a:r>
            <a:rPr lang="en-US" sz="800" dirty="0" err="1" smtClean="0">
              <a:latin typeface="+mn-lt"/>
            </a:rPr>
            <a:t># 2015/08/17 -- code consolidation</a:t>
          </a:r>
        </a:p>
        <a:p>
          <a:pPr indent="-274320">
            <a:spcAft>
              <a:spcPts val="900"/>
            </a:spcAft>
          </a:pPr>
          <a:r>
            <a:rPr lang="en-US" sz="800" dirty="0" err="1" smtClean="0">
              <a:latin typeface="+mn-lt"/>
            </a:rPr>
            <a:t># 2015/08/10 -- do okreslonych kolumn</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2015/06/18 -- dodano check na niepoprawny</a:t>
          </a:r>
        </a:p>
        <a:p>
          <a:pPr indent="-274320">
            <a:spcAft>
              <a:spcPts val="900"/>
            </a:spcAft>
          </a:pPr>
          <a:r>
            <a:rPr lang="en-US" sz="800" dirty="0" err="1" smtClean="0">
              <a:latin typeface="+mn-lt"/>
            </a:rPr>
            <a:t># 2015/06/18 -- czas oczekiwania po wyszukiwaniu zmniejszono do 10 sec</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25.05 -- zaciąganie informacji dt. podmiotu "as is" bez skreślonych rzeczy</a:t>
          </a:r>
        </a:p>
        <a:p>
          <a:pPr indent="-274320">
            <a:spcAft>
              <a:spcPts val="900"/>
            </a:spcAft>
          </a:pPr>
          <a:r>
            <a:rPr lang="en-US" sz="800" dirty="0" err="1" smtClean="0">
              <a:latin typeface="+mn-lt"/>
            </a:rPr>
            <a:t># 25.05 -- optymalizacja silnika</a:t>
          </a:r>
        </a:p>
        <a:p>
          <a:pPr indent="-274320">
            <a:spcAft>
              <a:spcPts val="900"/>
            </a:spcAft>
          </a:pPr>
          <a:r>
            <a:rPr lang="en-US" sz="800" dirty="0" err="1" smtClean="0">
              <a:latin typeface="+mn-lt"/>
            </a:rPr>
            <a:t># 25.05 -- rozbito zaciąganie adresu na ulicę, zip i miasto</a:t>
          </a:r>
        </a:p>
        <a:p>
          <a:pPr indent="-274320">
            <a:spcAft>
              <a:spcPts val="900"/>
            </a:spcAft>
          </a:pPr>
          <a:r>
            <a:rPr lang="en-US" sz="800" dirty="0" err="1" smtClean="0">
              <a:latin typeface="+mn-lt"/>
            </a:rPr>
            <a:t># 25.05 -- kolumny REPREZENTACJA, WSPÓLNICY, NADZÓR i UWAGI zaciągane bezpośrednio</a:t>
          </a:r>
        </a:p>
        <a:p>
          <a:pPr indent="-274320">
            <a:spcAft>
              <a:spcPts val="900"/>
            </a:spcAft>
          </a:pPr>
          <a:r>
            <a:rPr lang="en-US" sz="800" dirty="0" err="1" smtClean="0">
              <a:latin typeface="+mn-lt"/>
            </a:rPr>
            <a:t># 19.05 -- dodano kolumnę skreślone pozycje</a:t>
          </a:r>
        </a:p>
        <a:p>
          <a:pPr indent="-274320">
            <a:spcAft>
              <a:spcPts val="900"/>
            </a:spcAft>
          </a:pPr>
          <a:r>
            <a:rPr lang="en-US" sz="800" dirty="0" err="1" smtClean="0">
              <a:latin typeface="+mn-lt"/>
            </a:rPr>
            <a:t># 15.05 -- dodano "testowe" wyszukiwanie</a:t>
          </a:r>
        </a:p>
        <a:p>
          <a:pPr indent="-274320">
            <a:spcAft>
              <a:spcPts val="900"/>
            </a:spcAft>
          </a:pPr>
          <a:r>
            <a:rPr lang="en-US" sz="800" dirty="0" err="1" smtClean="0">
              <a:latin typeface="+mn-lt"/>
            </a:rPr>
            <a:t># 04.05 -- optymalizacja silnika; dodano informacje o wyniku</a:t>
          </a:r>
        </a:p>
        <a:p>
          <a:pPr indent="-274320">
            <a:spcAft>
              <a:spcPts val="900"/>
            </a:spcAft>
          </a:pPr>
          <a:r>
            <a:rPr lang="en-US" sz="800" dirty="0" err="1" smtClean="0">
              <a:latin typeface="+mn-lt"/>
            </a:rPr>
            <a:t># 28.04 -- zaciąga wszystkie pola! yipikaye</a:t>
          </a:r>
        </a:p>
        <a:p>
          <a:pPr indent="-274320">
            <a:spcAft>
              <a:spcPts val="900"/>
            </a:spcAft>
          </a:pPr>
          <a:r>
            <a:rPr lang="en-US" sz="800" dirty="0" err="1" smtClean="0">
              <a:latin typeface="+mn-lt"/>
            </a:rPr>
            <a:t># 28.04 -- zaciąga cale pole z nazwą</a:t>
          </a:r>
        </a:p>
        <a:p>
          <a:pPr indent="-274320">
            <a:spcAft>
              <a:spcPts val="900"/>
            </a:spcAft>
          </a:pPr>
          <a:r>
            <a:rPr lang="en-US" sz="800" dirty="0" err="1" smtClean="0">
              <a:latin typeface="+mn-lt"/>
            </a:rPr>
            <a:t># 28.04 -- jeżeli wystepuje błąd na stronie wyszukiwarka maksymalnie się zatrzumuje na 2 min</a:t>
          </a:r>
        </a:p>
        <a:p>
          <a:pPr indent="-274320">
            <a:spcAft>
              <a:spcPts val="900"/>
            </a:spcAft>
          </a:pPr>
          <a:r>
            <a:rPr lang="en-US" sz="800" dirty="0" err="1" smtClean="0">
              <a:latin typeface="+mn-lt"/>
            </a:rPr>
            <a:t># 28.04 -- error handler zamieniono na czas oczekiwania przed/po kopiowaniu danych i przed/po wyszukiwaniem</a:t>
          </a:r>
        </a:p>
        <a:p>
          <a:pPr indent="-274320">
            <a:spcAft>
              <a:spcPts val="900"/>
            </a:spcAft>
          </a:pPr>
          <a:r>
            <a:rPr lang="en-US" sz="800" dirty="0" err="1" smtClean="0">
              <a:latin typeface="+mn-lt"/>
            </a:rPr>
            <a:t># 27.04 -- dodano error handler na "Błąd przetwarzania" - :id okno_l_c_r</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require_gems: start #################################################</a:t>
          </a:r>
        </a:p>
        <a:p>
          <a:pPr indent="-274320">
            <a:spcAft>
              <a:spcPts val="900"/>
            </a:spcAft>
          </a:pPr>
          <a:r>
            <a:rPr lang="en-US" sz="800" dirty="0" err="1" smtClean="0">
              <a:latin typeface="+mn-lt"/>
            </a:rPr>
            <a:t>require 'watir'</a:t>
          </a:r>
        </a:p>
        <a:p>
          <a:pPr indent="-274320">
            <a:spcAft>
              <a:spcPts val="900"/>
            </a:spcAft>
          </a:pPr>
          <a:r>
            <a:rPr lang="en-US" sz="800" dirty="0" err="1" smtClean="0">
              <a:latin typeface="+mn-lt"/>
            </a:rPr>
            <a:t>require 'win32ole'</a:t>
          </a:r>
        </a:p>
        <a:p>
          <a:pPr indent="-274320">
            <a:spcAft>
              <a:spcPts val="900"/>
            </a:spcAft>
          </a:pPr>
          <a:r>
            <a:rPr lang="en-US" sz="800" dirty="0" err="1" smtClean="0">
              <a:latin typeface="+mn-lt"/>
            </a:rPr>
            <a:t>################################################### require_gems: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launch_browser: start ################################################</a:t>
          </a:r>
        </a:p>
        <a:p>
          <a:pPr indent="-274320">
            <a:spcAft>
              <a:spcPts val="900"/>
            </a:spcAft>
          </a:pPr>
          <a:r>
            <a:rPr lang="en-US" sz="800" dirty="0" err="1" smtClean="0">
              <a:latin typeface="+mn-lt"/>
            </a:rPr>
            <a:t>system('taskkill /IM iexplore.exe /F')</a:t>
          </a:r>
        </a:p>
        <a:p>
          <a:pPr indent="-274320">
            <a:spcAft>
              <a:spcPts val="900"/>
            </a:spcAft>
          </a:pPr>
          <a:r>
            <a:rPr lang="en-US" sz="800" dirty="0" err="1" smtClean="0">
              <a:latin typeface="+mn-lt"/>
            </a:rPr>
            <a:t>$b = Watir::Browser.new</a:t>
          </a:r>
        </a:p>
        <a:p>
          <a:pPr indent="-274320">
            <a:spcAft>
              <a:spcPts val="900"/>
            </a:spcAft>
          </a:pPr>
          <a:r>
            <a:rPr lang="en-US" sz="800" dirty="0" err="1" smtClean="0">
              <a:latin typeface="+mn-lt"/>
            </a:rPr>
            <a:t>$f = $b.frame(:id =&gt; 'contentFrameRT')</a:t>
          </a:r>
        </a:p>
        <a:p>
          <a:pPr indent="-274320">
            <a:spcAft>
              <a:spcPts val="900"/>
            </a:spcAft>
          </a:pPr>
          <a:r>
            <a:rPr lang="en-US" sz="800" dirty="0" err="1" smtClean="0">
              <a:latin typeface="+mn-lt"/>
            </a:rPr>
            <a:t>$b.goto 'http://logowanie.wolterskluwer.pl'</a:t>
          </a:r>
        </a:p>
        <a:p>
          <a:pPr indent="-274320">
            <a:spcAft>
              <a:spcPts val="900"/>
            </a:spcAft>
          </a:pPr>
          <a:r>
            <a:rPr lang="en-US" sz="800" dirty="0" err="1" smtClean="0">
              <a:latin typeface="+mn-lt"/>
            </a:rPr>
            <a:t>################################################## launch_browser: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login_wolterskluwer: start #############################################</a:t>
          </a:r>
        </a:p>
        <a:p>
          <a:pPr indent="-274320">
            <a:spcAft>
              <a:spcPts val="900"/>
            </a:spcAft>
          </a:pPr>
          <a:r>
            <a:rPr lang="en-US" sz="800" dirty="0" err="1" smtClean="0">
              <a:latin typeface="+mn-lt"/>
            </a:rPr>
            <a:t>if $b.img(:alt,'ON-LINE IPG GOLD').exist? then</a:t>
          </a:r>
        </a:p>
        <a:p>
          <a:pPr indent="-274320">
            <a:spcAft>
              <a:spcPts val="900"/>
            </a:spcAft>
          </a:pPr>
          <a:r>
            <a:rPr lang="en-US" sz="800" dirty="0" err="1" smtClean="0">
              <a:latin typeface="+mn-lt"/>
            </a:rPr>
            <a:t>$b.img(:alt =&gt; 'ON-LINE IPG GOLD').when_present.click else</a:t>
          </a:r>
        </a:p>
        <a:p>
          <a:pPr indent="-274320">
            <a:spcAft>
              <a:spcPts val="900"/>
            </a:spcAft>
          </a:pPr>
          <a:r>
            <a:rPr lang="en-US" sz="800" dirty="0" err="1" smtClean="0">
              <a:latin typeface="+mn-lt"/>
            </a:rPr>
            <a:t>$b.text_field(:id,'login').when_present.set 'jakub.kur@pl.pwc.com'</a:t>
          </a:r>
        </a:p>
        <a:p>
          <a:pPr indent="-274320">
            <a:spcAft>
              <a:spcPts val="900"/>
            </a:spcAft>
          </a:pPr>
          <a:r>
            <a:rPr lang="en-US" sz="800" dirty="0" err="1" smtClean="0">
              <a:latin typeface="+mn-lt"/>
            </a:rPr>
            <a:t>$b.text_field(:id,'password').when_present.set '1qaz@WSX'</a:t>
          </a:r>
        </a:p>
        <a:p>
          <a:pPr indent="-274320">
            <a:spcAft>
              <a:spcPts val="900"/>
            </a:spcAft>
          </a:pPr>
          <a:r>
            <a:rPr lang="en-US" sz="800" dirty="0" err="1" smtClean="0">
              <a:latin typeface="+mn-lt"/>
            </a:rPr>
            <a:t>$b.button(:id =&gt; 'login_btn').when_present.click</a:t>
          </a:r>
        </a:p>
        <a:p>
          <a:pPr indent="-274320">
            <a:spcAft>
              <a:spcPts val="900"/>
            </a:spcAft>
          </a:pPr>
          <a:r>
            <a:rPr lang="en-US" sz="800" dirty="0" err="1" smtClean="0">
              <a:latin typeface="+mn-lt"/>
            </a:rPr>
            <a:t>$b.img(:alt =&gt; 'ON-LINE IPG GOLD').when_present.click end</a:t>
          </a:r>
        </a:p>
        <a:p>
          <a:pPr indent="-274320">
            <a:spcAft>
              <a:spcPts val="900"/>
            </a:spcAft>
          </a:pPr>
          <a:r>
            <a:rPr lang="en-US" sz="800" dirty="0" err="1" smtClean="0">
              <a:latin typeface="+mn-lt"/>
            </a:rPr>
            <a:t>$b.close</a:t>
          </a:r>
        </a:p>
        <a:p>
          <a:pPr indent="-274320">
            <a:spcAft>
              <a:spcPts val="900"/>
            </a:spcAft>
          </a:pPr>
          <a:r>
            <a:rPr lang="en-US" sz="800" dirty="0" err="1" smtClean="0">
              <a:latin typeface="+mn-lt"/>
            </a:rPr>
            <a:t>$b.window.use</a:t>
          </a:r>
        </a:p>
        <a:p>
          <a:pPr indent="-274320">
            <a:spcAft>
              <a:spcPts val="900"/>
            </a:spcAft>
          </a:pPr>
          <a:r>
            <a:rPr lang="en-US" sz="800" dirty="0" err="1" smtClean="0">
              <a:latin typeface="+mn-lt"/>
            </a:rPr>
            <a:t>################################################ login_wolterskluwer: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close_popup: start #################################################</a:t>
          </a:r>
        </a:p>
        <a:p>
          <a:pPr indent="-274320">
            <a:spcAft>
              <a:spcPts val="900"/>
            </a:spcAft>
          </a:pPr>
          <a:r>
            <a:rPr lang="en-US" sz="800" dirty="0" err="1" smtClean="0">
              <a:latin typeface="+mn-lt"/>
            </a:rPr>
            <a:t>begin</a:t>
          </a:r>
        </a:p>
        <a:p>
          <a:pPr indent="-274320">
            <a:spcAft>
              <a:spcPts val="900"/>
            </a:spcAft>
          </a:pPr>
          <a:r>
            <a:rPr lang="en-US" sz="800" dirty="0" err="1" smtClean="0">
              <a:latin typeface="+mn-lt"/>
            </a:rPr>
            <a:t>$b.div(:class,'close').when_present(10).click</a:t>
          </a:r>
        </a:p>
        <a:p>
          <a:pPr indent="-274320">
            <a:spcAft>
              <a:spcPts val="900"/>
            </a:spcAft>
          </a:pPr>
          <a:r>
            <a:rPr lang="en-US" sz="800" dirty="0" err="1" smtClean="0">
              <a:latin typeface="+mn-lt"/>
            </a:rPr>
            <a:t>rescue</a:t>
          </a:r>
        </a:p>
        <a:p>
          <a:pPr indent="-274320">
            <a:spcAft>
              <a:spcPts val="900"/>
            </a:spcAft>
          </a:pPr>
          <a:r>
            <a:rPr lang="en-US" sz="800" dirty="0" err="1" smtClean="0">
              <a:latin typeface="+mn-lt"/>
            </a:rPr>
            <a:t>end</a:t>
          </a:r>
        </a:p>
        <a:p>
          <a:pPr indent="-274320">
            <a:spcAft>
              <a:spcPts val="900"/>
            </a:spcAft>
          </a:pPr>
          <a:r>
            <a:rPr lang="en-US" sz="800" dirty="0" err="1" smtClean="0">
              <a:latin typeface="+mn-lt"/>
            </a:rPr>
            <a:t>$b.window.use</a:t>
          </a:r>
        </a:p>
        <a:p>
          <a:pPr indent="-274320">
            <a:spcAft>
              <a:spcPts val="900"/>
            </a:spcAft>
          </a:pPr>
          <a:r>
            <a:rPr lang="en-US" sz="800" dirty="0" err="1" smtClean="0">
              <a:latin typeface="+mn-lt"/>
            </a:rPr>
            <a:t>#################################################### close_popup: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excel_connect: start ################################################</a:t>
          </a:r>
        </a:p>
        <a:p>
          <a:pPr indent="-274320">
            <a:spcAft>
              <a:spcPts val="900"/>
            </a:spcAft>
          </a:pPr>
          <a:r>
            <a:rPr lang="en-US" sz="800" dirty="0" err="1" smtClean="0">
              <a:latin typeface="+mn-lt"/>
            </a:rPr>
            <a:t>excel = WIN32OLE.connect('Excel.Application')</a:t>
          </a:r>
        </a:p>
        <a:p>
          <a:pPr indent="-274320">
            <a:spcAft>
              <a:spcPts val="900"/>
            </a:spcAft>
          </a:pPr>
          <a:r>
            <a:rPr lang="en-US" sz="800" dirty="0" err="1" smtClean="0">
              <a:latin typeface="+mn-lt"/>
            </a:rPr>
            <a:t>$t_input = excel.ActiveWorkbook.WorkSheets("input").ListObjects("input")</a:t>
          </a:r>
        </a:p>
        <a:p>
          <a:pPr indent="-274320">
            <a:spcAft>
              <a:spcPts val="900"/>
            </a:spcAft>
          </a:pPr>
          <a:r>
            <a:rPr lang="en-US" sz="800" dirty="0" err="1" smtClean="0">
              <a:latin typeface="+mn-lt"/>
            </a:rPr>
            <a:t>$t_input2 = excel.ActiveWorkbook.WorkSheets("input").ListObjects("input2")</a:t>
          </a:r>
        </a:p>
        <a:p>
          <a:pPr indent="-274320">
            <a:spcAft>
              <a:spcPts val="900"/>
            </a:spcAft>
          </a:pPr>
          <a:r>
            <a:rPr lang="en-US" sz="800" dirty="0" err="1" smtClean="0">
              <a:latin typeface="+mn-lt"/>
            </a:rPr>
            <a:t>$e_input = excel.ActiveWorkbook.WorkSheets("input")</a:t>
          </a:r>
        </a:p>
        <a:p>
          <a:pPr indent="-274320">
            <a:spcAft>
              <a:spcPts val="900"/>
            </a:spcAft>
          </a:pPr>
          <a:r>
            <a:rPr lang="en-US" sz="800" dirty="0" err="1" smtClean="0">
              <a:latin typeface="+mn-lt"/>
            </a:rPr>
            <a:t>$t_output = excel.ActiveWorkbook.WorkSheets("results").ListObjects("clear_result")</a:t>
          </a:r>
        </a:p>
        <a:p>
          <a:pPr indent="-274320">
            <a:spcAft>
              <a:spcPts val="900"/>
            </a:spcAft>
          </a:pPr>
          <a:r>
            <a:rPr lang="en-US" sz="800" dirty="0" err="1" smtClean="0">
              <a:latin typeface="+mn-lt"/>
            </a:rPr>
            <a:t>################################################### excel_connect: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excel_input_parameters: start ############################################</a:t>
          </a:r>
        </a:p>
        <a:p>
          <a:pPr indent="-274320">
            <a:spcAft>
              <a:spcPts val="900"/>
            </a:spcAft>
          </a:pPr>
          <a:r>
            <a:rPr lang="en-US" sz="800" dirty="0" err="1" smtClean="0">
              <a:latin typeface="+mn-lt"/>
            </a:rPr>
            <a:t>######################################### excel_input_parameters_podmioty: start #######################################</a:t>
          </a:r>
        </a:p>
        <a:p>
          <a:pPr indent="-274320">
            <a:spcAft>
              <a:spcPts val="900"/>
            </a:spcAft>
          </a:pPr>
          <a:r>
            <a:rPr lang="en-US" sz="800" dirty="0" err="1" smtClean="0">
              <a:latin typeface="+mn-lt"/>
            </a:rPr>
            <a:t>if $t_input.Listrows.count &gt; 1 then</a:t>
          </a:r>
        </a:p>
        <a:p>
          <a:pPr indent="-274320">
            <a:spcAft>
              <a:spcPts val="900"/>
            </a:spcAft>
          </a:pPr>
          <a:r>
            <a:rPr lang="en-US" sz="800" dirty="0" err="1" smtClean="0">
              <a:latin typeface="+mn-lt"/>
            </a:rPr>
            <a:t>###################################### excel_input_parameters_podmioty_array: start ####################################</a:t>
          </a:r>
        </a:p>
        <a:p>
          <a:pPr indent="-274320">
            <a:spcAft>
              <a:spcPts val="900"/>
            </a:spcAft>
          </a:pPr>
          <a:r>
            <a:rPr lang="en-US" sz="800" dirty="0" err="1" smtClean="0">
              <a:latin typeface="+mn-lt"/>
            </a:rPr>
            <a:t>$Test = $t_input.ListColumns("Test").DataBodyRange.value.to_a</a:t>
          </a:r>
        </a:p>
        <a:p>
          <a:pPr indent="-274320">
            <a:spcAft>
              <a:spcPts val="900"/>
            </a:spcAft>
          </a:pPr>
          <a:r>
            <a:rPr lang="en-US" sz="800" dirty="0" err="1" smtClean="0">
              <a:latin typeface="+mn-lt"/>
            </a:rPr>
            <a:t>$History = $t_input.ListColumns("History").DataBodyRange.value.to_a</a:t>
          </a:r>
        </a:p>
        <a:p>
          <a:pPr indent="-274320">
            <a:spcAft>
              <a:spcPts val="900"/>
            </a:spcAft>
          </a:pPr>
          <a:r>
            <a:rPr lang="en-US" sz="800" dirty="0" err="1" smtClean="0">
              <a:latin typeface="+mn-lt"/>
            </a:rPr>
            <a:t>$Nazwa = $t_input.ListColumns("Nazwa").DataBodyRange.value.to_a</a:t>
          </a:r>
        </a:p>
        <a:p>
          <a:pPr indent="-274320">
            <a:spcAft>
              <a:spcPts val="900"/>
            </a:spcAft>
          </a:pPr>
          <a:r>
            <a:rPr lang="en-US" sz="800" dirty="0" err="1" smtClean="0">
              <a:latin typeface="+mn-lt"/>
            </a:rPr>
            <a:t>$KRS = $t_input.ListColumns("KRS").DataBodyRange.value.to_a</a:t>
          </a:r>
        </a:p>
        <a:p>
          <a:pPr indent="-274320">
            <a:spcAft>
              <a:spcPts val="900"/>
            </a:spcAft>
          </a:pPr>
          <a:r>
            <a:rPr lang="en-US" sz="800" dirty="0" err="1" smtClean="0">
              <a:latin typeface="+mn-lt"/>
            </a:rPr>
            <a:t>$REGON = $t_input.ListColumns("REGON").DataBodyRange.value.to_a</a:t>
          </a:r>
        </a:p>
        <a:p>
          <a:pPr indent="-274320">
            <a:spcAft>
              <a:spcPts val="900"/>
            </a:spcAft>
          </a:pPr>
          <a:r>
            <a:rPr lang="en-US" sz="800" dirty="0" err="1" smtClean="0">
              <a:latin typeface="+mn-lt"/>
            </a:rPr>
            <a:t>$NIP = $t_input.ListColumns("NIP").DataBodyRange.value.to_a</a:t>
          </a:r>
        </a:p>
        <a:p>
          <a:pPr indent="-274320">
            <a:spcAft>
              <a:spcPts val="900"/>
            </a:spcAft>
          </a:pPr>
          <a:r>
            <a:rPr lang="en-US" sz="800" dirty="0" err="1" smtClean="0">
              <a:latin typeface="+mn-lt"/>
            </a:rPr>
            <a:t>$Miejscowosc = $t_input.ListColumns("Miejscowosc").DataBodyRange.value.to_a</a:t>
          </a:r>
        </a:p>
        <a:p>
          <a:pPr indent="-274320">
            <a:spcAft>
              <a:spcPts val="900"/>
            </a:spcAft>
          </a:pPr>
          <a:r>
            <a:rPr lang="en-US" sz="800" dirty="0" err="1" smtClean="0">
              <a:latin typeface="+mn-lt"/>
            </a:rPr>
            <a:t>$Ulica = $t_input.ListColumns("Ulica").DataBodyRange.value.to_a</a:t>
          </a:r>
        </a:p>
        <a:p>
          <a:pPr indent="-274320">
            <a:spcAft>
              <a:spcPts val="900"/>
            </a:spcAft>
          </a:pPr>
          <a:r>
            <a:rPr lang="en-US" sz="800" dirty="0" err="1" smtClean="0">
              <a:latin typeface="+mn-lt"/>
            </a:rPr>
            <a:t>$Kod_Pocztowy = $t_input.ListColumns("ZIP").DataBodyRange.value.to_a</a:t>
          </a:r>
        </a:p>
        <a:p>
          <a:pPr indent="-274320">
            <a:spcAft>
              <a:spcPts val="900"/>
            </a:spcAft>
          </a:pPr>
          <a:r>
            <a:rPr lang="en-US" sz="800" dirty="0" err="1" smtClean="0">
              <a:latin typeface="+mn-lt"/>
            </a:rPr>
            <a:t>####################################### excel_input_parameters_podmioty_array: end #####################################</a:t>
          </a:r>
        </a:p>
        <a:p>
          <a:pPr indent="-274320">
            <a:spcAft>
              <a:spcPts val="900"/>
            </a:spcAft>
          </a:pPr>
          <a:r>
            <a:rPr lang="en-US" sz="800" dirty="0" err="1" smtClean="0">
              <a:latin typeface="+mn-lt"/>
            </a:rPr>
            <a:t>elsif $t_input.Listrows.count == 1 then</a:t>
          </a:r>
        </a:p>
        <a:p>
          <a:pPr indent="-274320">
            <a:spcAft>
              <a:spcPts val="900"/>
            </a:spcAft>
          </a:pPr>
          <a:r>
            <a:rPr lang="en-US" sz="800" dirty="0" err="1" smtClean="0">
              <a:latin typeface="+mn-lt"/>
            </a:rPr>
            <a:t>###################################### excel_input_parameters_podmioty_line: start #####################################</a:t>
          </a:r>
        </a:p>
        <a:p>
          <a:pPr indent="-274320">
            <a:spcAft>
              <a:spcPts val="900"/>
            </a:spcAft>
          </a:pPr>
          <a:r>
            <a:rPr lang="en-US" sz="800" dirty="0" err="1" smtClean="0">
              <a:latin typeface="+mn-lt"/>
            </a:rPr>
            <a:t>$Test = $t_input.ListColumns("Test").DataBodyRange.value</a:t>
          </a:r>
        </a:p>
        <a:p>
          <a:pPr indent="-274320">
            <a:spcAft>
              <a:spcPts val="900"/>
            </a:spcAft>
          </a:pPr>
          <a:r>
            <a:rPr lang="en-US" sz="800" dirty="0" err="1" smtClean="0">
              <a:latin typeface="+mn-lt"/>
            </a:rPr>
            <a:t>$History = $t_input.ListColumns("History").DataBodyRange.value</a:t>
          </a:r>
        </a:p>
        <a:p>
          <a:pPr indent="-274320">
            <a:spcAft>
              <a:spcPts val="900"/>
            </a:spcAft>
          </a:pPr>
          <a:r>
            <a:rPr lang="en-US" sz="800" dirty="0" err="1" smtClean="0">
              <a:latin typeface="+mn-lt"/>
            </a:rPr>
            <a:t>$Nazwa = $t_input.ListColumns("Nazwa").DataBodyRange.value</a:t>
          </a:r>
        </a:p>
        <a:p>
          <a:pPr indent="-274320">
            <a:spcAft>
              <a:spcPts val="900"/>
            </a:spcAft>
          </a:pPr>
          <a:r>
            <a:rPr lang="en-US" sz="800" dirty="0" err="1" smtClean="0">
              <a:latin typeface="+mn-lt"/>
            </a:rPr>
            <a:t>$KRS = $t_input.ListColumns("KRS").DataBodyRange.value</a:t>
          </a:r>
        </a:p>
        <a:p>
          <a:pPr indent="-274320">
            <a:spcAft>
              <a:spcPts val="900"/>
            </a:spcAft>
          </a:pPr>
          <a:r>
            <a:rPr lang="en-US" sz="800" dirty="0" err="1" smtClean="0">
              <a:latin typeface="+mn-lt"/>
            </a:rPr>
            <a:t>$REGON = $t_input.ListColumns("REGON").DataBodyRange.value</a:t>
          </a:r>
        </a:p>
        <a:p>
          <a:pPr indent="-274320">
            <a:spcAft>
              <a:spcPts val="900"/>
            </a:spcAft>
          </a:pPr>
          <a:r>
            <a:rPr lang="en-US" sz="800" dirty="0" err="1" smtClean="0">
              <a:latin typeface="+mn-lt"/>
            </a:rPr>
            <a:t>$NIP = $t_input.ListColumns("NIP").DataBodyRange.value</a:t>
          </a:r>
        </a:p>
        <a:p>
          <a:pPr indent="-274320">
            <a:spcAft>
              <a:spcPts val="900"/>
            </a:spcAft>
          </a:pPr>
          <a:r>
            <a:rPr lang="en-US" sz="800" dirty="0" err="1" smtClean="0">
              <a:latin typeface="+mn-lt"/>
            </a:rPr>
            <a:t>$Miejscowosc = $t_input.ListColumns("Miejscowosc").DataBodyRange.value</a:t>
          </a:r>
        </a:p>
        <a:p>
          <a:pPr indent="-274320">
            <a:spcAft>
              <a:spcPts val="900"/>
            </a:spcAft>
          </a:pPr>
          <a:r>
            <a:rPr lang="en-US" sz="800" dirty="0" err="1" smtClean="0">
              <a:latin typeface="+mn-lt"/>
            </a:rPr>
            <a:t>$Ulica = $t_input.ListColumns("Ulica").DataBodyRange.value</a:t>
          </a:r>
        </a:p>
        <a:p>
          <a:pPr indent="-274320">
            <a:spcAft>
              <a:spcPts val="900"/>
            </a:spcAft>
          </a:pPr>
          <a:r>
            <a:rPr lang="en-US" sz="800" dirty="0" err="1" smtClean="0">
              <a:latin typeface="+mn-lt"/>
            </a:rPr>
            <a:t>$Kod_Pocztowy = $t_input.ListColumns("ZIP").DataBodyRange.value</a:t>
          </a:r>
        </a:p>
        <a:p>
          <a:pPr indent="-274320">
            <a:spcAft>
              <a:spcPts val="900"/>
            </a:spcAft>
          </a:pPr>
          <a:r>
            <a:rPr lang="en-US" sz="800" dirty="0" err="1" smtClean="0">
              <a:latin typeface="+mn-lt"/>
            </a:rPr>
            <a:t>####################################### excel_input_parameters_podmioty_line: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excel_input_parameters_podmioty: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excel_input_parameters_powiazania: start ######################################</a:t>
          </a:r>
        </a:p>
        <a:p>
          <a:pPr indent="-274320">
            <a:spcAft>
              <a:spcPts val="900"/>
            </a:spcAft>
          </a:pPr>
          <a:r>
            <a:rPr lang="en-US" sz="800" dirty="0" err="1" smtClean="0">
              <a:latin typeface="+mn-lt"/>
            </a:rPr>
            <a:t>if $t_input2.Listrows.count &gt; 1 then</a:t>
          </a:r>
        </a:p>
        <a:p>
          <a:pPr indent="-274320">
            <a:spcAft>
              <a:spcPts val="900"/>
            </a:spcAft>
          </a:pPr>
          <a:r>
            <a:rPr lang="en-US" sz="800" dirty="0" err="1" smtClean="0">
              <a:latin typeface="+mn-lt"/>
            </a:rPr>
            <a:t>##################################### excel_input_parameters_powiazania_array: start ###################################</a:t>
          </a:r>
        </a:p>
        <a:p>
          <a:pPr indent="-274320">
            <a:spcAft>
              <a:spcPts val="900"/>
            </a:spcAft>
          </a:pPr>
          <a:r>
            <a:rPr lang="en-US" sz="800" dirty="0" err="1" smtClean="0">
              <a:latin typeface="+mn-lt"/>
            </a:rPr>
            <a:t>$Test2 = $t_input2.ListColumns("Test").DataBodyRange.value.to_a</a:t>
          </a:r>
        </a:p>
        <a:p>
          <a:pPr indent="-274320">
            <a:spcAft>
              <a:spcPts val="900"/>
            </a:spcAft>
          </a:pPr>
          <a:r>
            <a:rPr lang="en-US" sz="800" dirty="0" err="1" smtClean="0">
              <a:latin typeface="+mn-lt"/>
            </a:rPr>
            <a:t>$History2 = $t_input2.ListColumns("History").DataBodyRange.value.to_a</a:t>
          </a:r>
        </a:p>
        <a:p>
          <a:pPr indent="-274320">
            <a:spcAft>
              <a:spcPts val="900"/>
            </a:spcAft>
          </a:pPr>
          <a:r>
            <a:rPr lang="en-US" sz="800" dirty="0" err="1" smtClean="0">
              <a:latin typeface="+mn-lt"/>
            </a:rPr>
            <a:t>$Nazwa2 = $t_input2.ListColumns("Podmiot_Osoba").DataBodyRange.value.to_a</a:t>
          </a:r>
        </a:p>
        <a:p>
          <a:pPr indent="-274320">
            <a:spcAft>
              <a:spcPts val="900"/>
            </a:spcAft>
          </a:pPr>
          <a:r>
            <a:rPr lang="en-US" sz="800" dirty="0" err="1" smtClean="0">
              <a:latin typeface="+mn-lt"/>
            </a:rPr>
            <a:t>$Imie2 = $t_input2.ListColumns("Imie").DataBodyRange.value.to_a</a:t>
          </a:r>
        </a:p>
        <a:p>
          <a:pPr indent="-274320">
            <a:spcAft>
              <a:spcPts val="900"/>
            </a:spcAft>
          </a:pPr>
          <a:r>
            <a:rPr lang="en-US" sz="800" dirty="0" err="1" smtClean="0">
              <a:latin typeface="+mn-lt"/>
            </a:rPr>
            <a:t>$PESEL2 = $t_input2.ListColumns("PESEL").DataBodyRange.value.to_a</a:t>
          </a:r>
        </a:p>
        <a:p>
          <a:pPr indent="-274320">
            <a:spcAft>
              <a:spcPts val="900"/>
            </a:spcAft>
          </a:pPr>
          <a:r>
            <a:rPr lang="en-US" sz="800" dirty="0" err="1" smtClean="0">
              <a:latin typeface="+mn-lt"/>
            </a:rPr>
            <a:t>$KRS2 = $t_input2.ListColumns("KRS").DataBodyRange.value.to_a</a:t>
          </a:r>
        </a:p>
        <a:p>
          <a:pPr indent="-274320">
            <a:spcAft>
              <a:spcPts val="900"/>
            </a:spcAft>
          </a:pPr>
          <a:r>
            <a:rPr lang="en-US" sz="800" dirty="0" err="1" smtClean="0">
              <a:latin typeface="+mn-lt"/>
            </a:rPr>
            <a:t>$REGON2 = $t_input2.ListColumns("REGON").DataBodyRange.value.to_a</a:t>
          </a:r>
        </a:p>
        <a:p>
          <a:pPr indent="-274320">
            <a:spcAft>
              <a:spcPts val="900"/>
            </a:spcAft>
          </a:pPr>
          <a:r>
            <a:rPr lang="en-US" sz="800" dirty="0" err="1" smtClean="0">
              <a:latin typeface="+mn-lt"/>
            </a:rPr>
            <a:t>$PODMIOT2 = $t_input2.ListColumns("Nazwa_podmiotu").DataBodyRange.value.to_a</a:t>
          </a:r>
        </a:p>
        <a:p>
          <a:pPr indent="-274320">
            <a:spcAft>
              <a:spcPts val="900"/>
            </a:spcAft>
          </a:pPr>
          <a:r>
            <a:rPr lang="en-US" sz="800" dirty="0" err="1" smtClean="0">
              <a:latin typeface="+mn-lt"/>
            </a:rPr>
            <a:t>$Miejscowosc2 = $t_input2.ListColumns("Miejscowosc").DataBodyRange.value.to_a</a:t>
          </a:r>
        </a:p>
        <a:p>
          <a:pPr indent="-274320">
            <a:spcAft>
              <a:spcPts val="900"/>
            </a:spcAft>
          </a:pPr>
          <a:r>
            <a:rPr lang="en-US" sz="800" dirty="0" err="1" smtClean="0">
              <a:latin typeface="+mn-lt"/>
            </a:rPr>
            <a:t>$Ulica2 = $t_input2.ListColumns("Ulica").DataBodyRange.value.to_a</a:t>
          </a:r>
        </a:p>
        <a:p>
          <a:pPr indent="-274320">
            <a:spcAft>
              <a:spcPts val="900"/>
            </a:spcAft>
          </a:pPr>
          <a:r>
            <a:rPr lang="en-US" sz="800" dirty="0" err="1" smtClean="0">
              <a:latin typeface="+mn-lt"/>
            </a:rPr>
            <a:t>$Kod_Pocztowy2 = $t_input2.ListColumns("ZIP").DataBodyRange.value.to_a</a:t>
          </a:r>
        </a:p>
        <a:p>
          <a:pPr indent="-274320">
            <a:spcAft>
              <a:spcPts val="900"/>
            </a:spcAft>
          </a:pPr>
          <a:r>
            <a:rPr lang="en-US" sz="800" dirty="0" err="1" smtClean="0">
              <a:latin typeface="+mn-lt"/>
            </a:rPr>
            <a:t>###################################### excel_input_parameters_powiazania_array: end ####################################</a:t>
          </a:r>
        </a:p>
        <a:p>
          <a:pPr indent="-274320">
            <a:spcAft>
              <a:spcPts val="900"/>
            </a:spcAft>
          </a:pPr>
          <a:r>
            <a:rPr lang="en-US" sz="800" dirty="0" err="1" smtClean="0">
              <a:latin typeface="+mn-lt"/>
            </a:rPr>
            <a:t>elsif $t_input2.Listrows.count == 1 then</a:t>
          </a:r>
        </a:p>
        <a:p>
          <a:pPr indent="-274320">
            <a:spcAft>
              <a:spcPts val="900"/>
            </a:spcAft>
          </a:pPr>
          <a:r>
            <a:rPr lang="en-US" sz="800" dirty="0" err="1" smtClean="0">
              <a:latin typeface="+mn-lt"/>
            </a:rPr>
            <a:t>##################################### excel_input_parameters_powiazania_line: start ####################################</a:t>
          </a:r>
        </a:p>
        <a:p>
          <a:pPr indent="-274320">
            <a:spcAft>
              <a:spcPts val="900"/>
            </a:spcAft>
          </a:pPr>
          <a:r>
            <a:rPr lang="en-US" sz="800" dirty="0" err="1" smtClean="0">
              <a:latin typeface="+mn-lt"/>
            </a:rPr>
            <a:t>$Test2 = $t_input2.ListColumns("Test").DataBodyRange.value</a:t>
          </a:r>
        </a:p>
        <a:p>
          <a:pPr indent="-274320">
            <a:spcAft>
              <a:spcPts val="900"/>
            </a:spcAft>
          </a:pPr>
          <a:r>
            <a:rPr lang="en-US" sz="800" dirty="0" err="1" smtClean="0">
              <a:latin typeface="+mn-lt"/>
            </a:rPr>
            <a:t>$History2 = $t_input2.ListColumns("History").DataBodyRange.value</a:t>
          </a:r>
        </a:p>
        <a:p>
          <a:pPr indent="-274320">
            <a:spcAft>
              <a:spcPts val="900"/>
            </a:spcAft>
          </a:pPr>
          <a:r>
            <a:rPr lang="en-US" sz="800" dirty="0" err="1" smtClean="0">
              <a:latin typeface="+mn-lt"/>
            </a:rPr>
            <a:t>$Nazwa2 = $t_input2.ListColumns("Podmiot_Osoba").DataBodyRange.value</a:t>
          </a:r>
        </a:p>
        <a:p>
          <a:pPr indent="-274320">
            <a:spcAft>
              <a:spcPts val="900"/>
            </a:spcAft>
          </a:pPr>
          <a:r>
            <a:rPr lang="en-US" sz="800" dirty="0" err="1" smtClean="0">
              <a:latin typeface="+mn-lt"/>
            </a:rPr>
            <a:t>$Imie2 = $t_input2.ListColumns("Imie").DataBodyRange.value</a:t>
          </a:r>
        </a:p>
        <a:p>
          <a:pPr indent="-274320">
            <a:spcAft>
              <a:spcPts val="900"/>
            </a:spcAft>
          </a:pPr>
          <a:r>
            <a:rPr lang="en-US" sz="800" dirty="0" err="1" smtClean="0">
              <a:latin typeface="+mn-lt"/>
            </a:rPr>
            <a:t>$PESEL2 = $t_input2.ListColumns("PESEL").DataBodyRange.value</a:t>
          </a:r>
        </a:p>
        <a:p>
          <a:pPr indent="-274320">
            <a:spcAft>
              <a:spcPts val="900"/>
            </a:spcAft>
          </a:pPr>
          <a:r>
            <a:rPr lang="en-US" sz="800" dirty="0" err="1" smtClean="0">
              <a:latin typeface="+mn-lt"/>
            </a:rPr>
            <a:t>$KRS2 = $t_input2.ListColumns("KRS").DataBodyRange.value</a:t>
          </a:r>
        </a:p>
        <a:p>
          <a:pPr indent="-274320">
            <a:spcAft>
              <a:spcPts val="900"/>
            </a:spcAft>
          </a:pPr>
          <a:r>
            <a:rPr lang="en-US" sz="800" dirty="0" err="1" smtClean="0">
              <a:latin typeface="+mn-lt"/>
            </a:rPr>
            <a:t>$REGON2 = $t_input2.ListColumns("REGON").DataBodyRange.value</a:t>
          </a:r>
        </a:p>
        <a:p>
          <a:pPr indent="-274320">
            <a:spcAft>
              <a:spcPts val="900"/>
            </a:spcAft>
          </a:pPr>
          <a:r>
            <a:rPr lang="en-US" sz="800" dirty="0" err="1" smtClean="0">
              <a:latin typeface="+mn-lt"/>
            </a:rPr>
            <a:t>$PODMIOT2 = $t_input2.ListColumns("Nazwa_podmiotu").DataBodyRange.value</a:t>
          </a:r>
        </a:p>
        <a:p>
          <a:pPr indent="-274320">
            <a:spcAft>
              <a:spcPts val="900"/>
            </a:spcAft>
          </a:pPr>
          <a:r>
            <a:rPr lang="en-US" sz="800" dirty="0" err="1" smtClean="0">
              <a:latin typeface="+mn-lt"/>
            </a:rPr>
            <a:t>$Miejscowosc2 = $t_input2.ListColumns("Miejscowosc").DataBodyRange.value</a:t>
          </a:r>
        </a:p>
        <a:p>
          <a:pPr indent="-274320">
            <a:spcAft>
              <a:spcPts val="900"/>
            </a:spcAft>
          </a:pPr>
          <a:r>
            <a:rPr lang="en-US" sz="800" dirty="0" err="1" smtClean="0">
              <a:latin typeface="+mn-lt"/>
            </a:rPr>
            <a:t>$Ulica2 = $t_input2.ListColumns("Ulica").DataBodyRange.value</a:t>
          </a:r>
        </a:p>
        <a:p>
          <a:pPr indent="-274320">
            <a:spcAft>
              <a:spcPts val="900"/>
            </a:spcAft>
          </a:pPr>
          <a:r>
            <a:rPr lang="en-US" sz="800" dirty="0" err="1" smtClean="0">
              <a:latin typeface="+mn-lt"/>
            </a:rPr>
            <a:t>$Kod_Pocztowy2 = $t_input2.ListColumns("ZIP").DataBodyRange.value</a:t>
          </a:r>
        </a:p>
        <a:p>
          <a:pPr indent="-274320">
            <a:spcAft>
              <a:spcPts val="900"/>
            </a:spcAft>
          </a:pPr>
          <a:r>
            <a:rPr lang="en-US" sz="800" dirty="0" err="1" smtClean="0">
              <a:latin typeface="+mn-lt"/>
            </a:rPr>
            <a:t>###################################### excel_input_parameters_powiazania_line: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excel_input_parameters_powiazania: end #######################################</a:t>
          </a:r>
        </a:p>
        <a:p>
          <a:pPr indent="-274320">
            <a:spcAft>
              <a:spcPts val="900"/>
            </a:spcAft>
          </a:pPr>
          <a:r>
            <a:rPr lang="en-US" sz="800" dirty="0" err="1" smtClean="0">
              <a:latin typeface="+mn-lt"/>
            </a:rPr>
            <a:t>############################################## excel_input_parameters: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create_key: start ##################################################</a:t>
          </a:r>
        </a:p>
        <a:p>
          <a:pPr indent="-274320">
            <a:spcAft>
              <a:spcPts val="900"/>
            </a:spcAft>
          </a:pPr>
          <a:r>
            <a:rPr lang="en-US" sz="800" dirty="0" err="1" smtClean="0">
              <a:latin typeface="+mn-lt"/>
            </a:rPr>
            <a:t>########################################## create_key_set_column_number: start #########################################</a:t>
          </a:r>
        </a:p>
        <a:p>
          <a:pPr indent="-274320">
            <a:spcAft>
              <a:spcPts val="900"/>
            </a:spcAft>
          </a:pPr>
          <a:r>
            <a:rPr lang="en-US" sz="800" dirty="0" err="1" smtClean="0">
              <a:latin typeface="+mn-lt"/>
            </a:rPr>
            <a:t>$c_input = 0</a:t>
          </a:r>
        </a:p>
        <a:p>
          <a:pPr indent="-274320">
            <a:spcAft>
              <a:spcPts val="900"/>
            </a:spcAft>
          </a:pPr>
          <a:r>
            <a:rPr lang="en-US" sz="800" dirty="0" err="1" smtClean="0">
              <a:latin typeface="+mn-lt"/>
            </a:rPr>
            <a:t>$c_test = $c_input + 1</a:t>
          </a:r>
        </a:p>
        <a:p>
          <a:pPr indent="-274320">
            <a:spcAft>
              <a:spcPts val="900"/>
            </a:spcAft>
          </a:pPr>
          <a:r>
            <a:rPr lang="en-US" sz="800" dirty="0" err="1" smtClean="0">
              <a:latin typeface="+mn-lt"/>
            </a:rPr>
            <a:t>$c_history = $c_test + 1</a:t>
          </a:r>
        </a:p>
        <a:p>
          <a:pPr indent="-274320">
            <a:spcAft>
              <a:spcPts val="900"/>
            </a:spcAft>
          </a:pPr>
          <a:r>
            <a:rPr lang="en-US" sz="800" dirty="0" err="1" smtClean="0">
              <a:latin typeface="+mn-lt"/>
            </a:rPr>
            <a:t>$c_nazwa = $c_history + 1</a:t>
          </a:r>
        </a:p>
        <a:p>
          <a:pPr indent="-274320">
            <a:spcAft>
              <a:spcPts val="900"/>
            </a:spcAft>
          </a:pPr>
          <a:r>
            <a:rPr lang="en-US" sz="800" dirty="0" err="1" smtClean="0">
              <a:latin typeface="+mn-lt"/>
            </a:rPr>
            <a:t>$c_krs = $c_nazwa + 1</a:t>
          </a:r>
        </a:p>
        <a:p>
          <a:pPr indent="-274320">
            <a:spcAft>
              <a:spcPts val="900"/>
            </a:spcAft>
          </a:pPr>
          <a:r>
            <a:rPr lang="en-US" sz="800" dirty="0" err="1" smtClean="0">
              <a:latin typeface="+mn-lt"/>
            </a:rPr>
            <a:t>$c_regon = $c_krs + 1</a:t>
          </a:r>
        </a:p>
        <a:p>
          <a:pPr indent="-274320">
            <a:spcAft>
              <a:spcPts val="900"/>
            </a:spcAft>
          </a:pPr>
          <a:r>
            <a:rPr lang="en-US" sz="800" dirty="0" err="1" smtClean="0">
              <a:latin typeface="+mn-lt"/>
            </a:rPr>
            <a:t>$c_nip = $c_regon + 1</a:t>
          </a:r>
        </a:p>
        <a:p>
          <a:pPr indent="-274320">
            <a:spcAft>
              <a:spcPts val="900"/>
            </a:spcAft>
          </a:pPr>
          <a:r>
            <a:rPr lang="en-US" sz="800" dirty="0" err="1" smtClean="0">
              <a:latin typeface="+mn-lt"/>
            </a:rPr>
            <a:t>$c_pesel = $c_nip</a:t>
          </a:r>
        </a:p>
        <a:p>
          <a:pPr indent="-274320">
            <a:spcAft>
              <a:spcPts val="900"/>
            </a:spcAft>
          </a:pPr>
          <a:r>
            <a:rPr lang="en-US" sz="800" dirty="0" err="1" smtClean="0">
              <a:latin typeface="+mn-lt"/>
            </a:rPr>
            <a:t>$c_miejscowosc = $c_nip + 1</a:t>
          </a:r>
        </a:p>
        <a:p>
          <a:pPr indent="-274320">
            <a:spcAft>
              <a:spcPts val="900"/>
            </a:spcAft>
          </a:pPr>
          <a:r>
            <a:rPr lang="en-US" sz="800" dirty="0" err="1" smtClean="0">
              <a:latin typeface="+mn-lt"/>
            </a:rPr>
            <a:t>$c_ulica = $c_miejscowosc + 1</a:t>
          </a:r>
        </a:p>
        <a:p>
          <a:pPr indent="-274320">
            <a:spcAft>
              <a:spcPts val="900"/>
            </a:spcAft>
          </a:pPr>
          <a:r>
            <a:rPr lang="en-US" sz="800" dirty="0" err="1" smtClean="0">
              <a:latin typeface="+mn-lt"/>
            </a:rPr>
            <a:t>$c_kod = $c_ulica + 1</a:t>
          </a:r>
        </a:p>
        <a:p>
          <a:pPr indent="-274320">
            <a:spcAft>
              <a:spcPts val="900"/>
            </a:spcAft>
          </a:pPr>
          <a:r>
            <a:rPr lang="en-US" sz="800" dirty="0" err="1" smtClean="0">
              <a:latin typeface="+mn-lt"/>
            </a:rPr>
            <a:t>$c_imie = $c_kod + 1</a:t>
          </a:r>
        </a:p>
        <a:p>
          <a:pPr indent="-274320">
            <a:spcAft>
              <a:spcPts val="900"/>
            </a:spcAft>
          </a:pPr>
          <a:r>
            <a:rPr lang="en-US" sz="800" dirty="0" err="1" smtClean="0">
              <a:latin typeface="+mn-lt"/>
            </a:rPr>
            <a:t>$c_podmiot = $c_imie + 1</a:t>
          </a:r>
        </a:p>
        <a:p>
          <a:pPr indent="-274320">
            <a:spcAft>
              <a:spcPts val="900"/>
            </a:spcAft>
          </a:pPr>
          <a:r>
            <a:rPr lang="en-US" sz="800" dirty="0" err="1" smtClean="0">
              <a:latin typeface="+mn-lt"/>
            </a:rPr>
            <a:t>########################################### create_key_set_column_number: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create_key_set_input_marker: start #########################################</a:t>
          </a:r>
        </a:p>
        <a:p>
          <a:pPr indent="-274320">
            <a:spcAft>
              <a:spcPts val="900"/>
            </a:spcAft>
          </a:pPr>
          <a:r>
            <a:rPr lang="en-US" sz="800" dirty="0" err="1" smtClean="0">
              <a:latin typeface="+mn-lt"/>
            </a:rPr>
            <a:t>$podmiot = [0]</a:t>
          </a:r>
        </a:p>
        <a:p>
          <a:pPr indent="-274320">
            <a:spcAft>
              <a:spcPts val="900"/>
            </a:spcAft>
          </a:pPr>
          <a:r>
            <a:rPr lang="en-US" sz="800" dirty="0" err="1" smtClean="0">
              <a:latin typeface="+mn-lt"/>
            </a:rPr>
            <a:t>$powiazanie = [1]</a:t>
          </a:r>
        </a:p>
        <a:p>
          <a:pPr indent="-274320">
            <a:spcAft>
              <a:spcPts val="900"/>
            </a:spcAft>
          </a:pPr>
          <a:r>
            <a:rPr lang="en-US" sz="800" dirty="0" err="1" smtClean="0">
              <a:latin typeface="+mn-lt"/>
            </a:rPr>
            <a:t>############################################ create_key_set_input_marker: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create_key_array: start ###############################################</a:t>
          </a:r>
        </a:p>
        <a:p>
          <a:pPr indent="-274320">
            <a:spcAft>
              <a:spcPts val="900"/>
            </a:spcAft>
          </a:pPr>
          <a:r>
            <a:rPr lang="en-US" sz="800" dirty="0" err="1" smtClean="0">
              <a:latin typeface="+mn-lt"/>
            </a:rPr>
            <a:t>############################################ create_key_array_podmioty: start ##########################################</a:t>
          </a:r>
        </a:p>
        <a:p>
          <a:pPr indent="-274320">
            <a:spcAft>
              <a:spcPts val="900"/>
            </a:spcAft>
          </a:pPr>
          <a:r>
            <a:rPr lang="en-US" sz="800" dirty="0" err="1" smtClean="0">
              <a:latin typeface="+mn-lt"/>
            </a:rPr>
            <a:t>case</a:t>
          </a:r>
        </a:p>
        <a:p>
          <a:pPr indent="-274320">
            <a:spcAft>
              <a:spcPts val="900"/>
            </a:spcAft>
          </a:pPr>
          <a:r>
            <a:rPr lang="en-US" sz="800" dirty="0" err="1" smtClean="0">
              <a:latin typeface="+mn-lt"/>
            </a:rPr>
            <a:t>when $t_input.Listrows.count &gt; 1 then $key = ($podmiot * $Test.length).zip($Test,$History,$Nazwa,$KRS,$REGON,$NIP,$Miejscowosc,$Ulica,$Kod_Pocztowy).map{|element| element.flatten}</a:t>
          </a:r>
        </a:p>
        <a:p>
          <a:pPr indent="-274320">
            <a:spcAft>
              <a:spcPts val="900"/>
            </a:spcAft>
          </a:pPr>
          <a:r>
            <a:rPr lang="en-US" sz="800" dirty="0" err="1" smtClean="0">
              <a:latin typeface="+mn-lt"/>
            </a:rPr>
            <a:t>when $t_input.Listrows.count == 1 then $key = [$podmiot.zip([$Test],[$History],[$Nazwa],[$KRS],[$REGON],[$NIP],[$Miejscowosc],[$Ulica],[$Kod_Pocztowy]).flatten]</a:t>
          </a:r>
        </a:p>
        <a:p>
          <a:pPr indent="-274320">
            <a:spcAft>
              <a:spcPts val="900"/>
            </a:spcAft>
          </a:pPr>
          <a:r>
            <a:rPr lang="en-US" sz="800" dirty="0" err="1" smtClean="0">
              <a:latin typeface="+mn-lt"/>
            </a:rPr>
            <a:t>else $key = [] end</a:t>
          </a:r>
        </a:p>
        <a:p>
          <a:pPr indent="-274320">
            <a:spcAft>
              <a:spcPts val="900"/>
            </a:spcAft>
          </a:pPr>
          <a:r>
            <a:rPr lang="en-US" sz="800" dirty="0" err="1" smtClean="0">
              <a:latin typeface="+mn-lt"/>
            </a:rPr>
            <a:t>############################################# create_key_array_podmioty: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create_key_array_powiazania: start #########################################</a:t>
          </a:r>
        </a:p>
        <a:p>
          <a:pPr indent="-274320">
            <a:spcAft>
              <a:spcPts val="900"/>
            </a:spcAft>
          </a:pPr>
          <a:r>
            <a:rPr lang="en-US" sz="800" dirty="0" err="1" smtClean="0">
              <a:latin typeface="+mn-lt"/>
            </a:rPr>
            <a:t>case</a:t>
          </a:r>
        </a:p>
        <a:p>
          <a:pPr indent="-274320">
            <a:spcAft>
              <a:spcPts val="900"/>
            </a:spcAft>
          </a:pPr>
          <a:r>
            <a:rPr lang="en-US" sz="800" dirty="0" err="1" smtClean="0">
              <a:latin typeface="+mn-lt"/>
            </a:rPr>
            <a:t>when $t_input2.Listrows.count &gt; 1 then $key += ($powiazanie * $Test2.length).zip($Test2,$History2,$Nazwa2,$KRS2,$REGON2,$PESEL2,$Miejscowosc2,$Ulica2,$Kod_Pocztowy2,$Imie2,$PODMIOT2).map{|element| element.flatten}</a:t>
          </a:r>
        </a:p>
        <a:p>
          <a:pPr indent="-274320">
            <a:spcAft>
              <a:spcPts val="900"/>
            </a:spcAft>
          </a:pPr>
          <a:r>
            <a:rPr lang="en-US" sz="800" dirty="0" err="1" smtClean="0">
              <a:latin typeface="+mn-lt"/>
            </a:rPr>
            <a:t>when $t_input2.Listrows.count == 1 then $key += [$powiazanie.zip([$Test2],[$History2],[$Nazwa2],[$KRS2],[$REGON2],[$PESEL2],[$Miejscowosc2],[$Ulica2],[$Kod_Pocztowy2],[$Imie2],[$PODMIOT2]).flatten]</a:t>
          </a:r>
        </a:p>
        <a:p>
          <a:pPr indent="-274320">
            <a:spcAft>
              <a:spcPts val="900"/>
            </a:spcAft>
          </a:pPr>
          <a:r>
            <a:rPr lang="en-US" sz="800" dirty="0" err="1" smtClean="0">
              <a:latin typeface="+mn-lt"/>
            </a:rPr>
            <a:t>else end</a:t>
          </a:r>
        </a:p>
        <a:p>
          <a:pPr indent="-274320">
            <a:spcAft>
              <a:spcPts val="900"/>
            </a:spcAft>
          </a:pPr>
          <a:r>
            <a:rPr lang="en-US" sz="800" dirty="0" err="1" smtClean="0">
              <a:latin typeface="+mn-lt"/>
            </a:rPr>
            <a:t>############################################ create_key_array_powiazania: end ##########################################</a:t>
          </a:r>
        </a:p>
        <a:p>
          <a:pPr indent="-274320">
            <a:spcAft>
              <a:spcPts val="900"/>
            </a:spcAft>
          </a:pPr>
          <a:r>
            <a:rPr lang="en-US" sz="800" dirty="0" err="1" smtClean="0">
              <a:latin typeface="+mn-lt"/>
            </a:rPr>
            <a:t>################################################# create_key_array: end ################################################</a:t>
          </a:r>
        </a:p>
        <a:p>
          <a:pPr indent="-274320">
            <a:spcAft>
              <a:spcPts val="900"/>
            </a:spcAft>
          </a:pPr>
          <a:r>
            <a:rPr lang="en-US" sz="800" dirty="0" err="1" smtClean="0">
              <a:latin typeface="+mn-lt"/>
            </a:rPr>
            <a:t>#################################################### create_key: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method_search: start ################################################</a:t>
          </a:r>
        </a:p>
        <a:p>
          <a:pPr indent="-274320">
            <a:spcAft>
              <a:spcPts val="900"/>
            </a:spcAft>
          </a:pPr>
          <a:r>
            <a:rPr lang="en-US" sz="800" dirty="0" err="1" smtClean="0">
              <a:latin typeface="+mn-lt"/>
            </a:rPr>
            <a:t>############################################# method_search_podmioty: start ############################################</a:t>
          </a:r>
        </a:p>
        <a:p>
          <a:pPr indent="-274320">
            <a:spcAft>
              <a:spcPts val="900"/>
            </a:spcAft>
          </a:pPr>
          <a:r>
            <a:rPr lang="en-US" sz="800" dirty="0" err="1" smtClean="0">
              <a:latin typeface="+mn-lt"/>
            </a:rPr>
            <a:t>def method_search_podmioty</a:t>
          </a:r>
        </a:p>
        <a:p>
          <a:pPr indent="-274320">
            <a:spcAft>
              <a:spcPts val="900"/>
            </a:spcAft>
          </a:pPr>
          <a:r>
            <a:rPr lang="en-US" sz="800" dirty="0" err="1" smtClean="0">
              <a:latin typeface="+mn-lt"/>
            </a:rPr>
            <a:t>$b.goto 'http://lex.online.wolterskluwer.pl/WKPLOnline/index.rpc?leftNodeId=lmtree-item-219810&amp;lmId=lm_baza'</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$b.a(:id,'filtrMniejHref').when_present.click</a:t>
          </a:r>
        </a:p>
        <a:p>
          <a:pPr indent="-274320">
            <a:spcAft>
              <a:spcPts val="900"/>
            </a:spcAft>
          </a:pPr>
          <a:r>
            <a:rPr lang="en-US" sz="800" dirty="0" err="1" smtClean="0">
              <a:latin typeface="+mn-lt"/>
            </a:rPr>
            <a:t>$b.radio(:id,'wraperCzyCaleWyr1').when_present.clear</a:t>
          </a:r>
        </a:p>
        <a:p>
          <a:pPr indent="-274320">
            <a:spcAft>
              <a:spcPts val="900"/>
            </a:spcAft>
          </a:pPr>
          <a:r>
            <a:rPr lang="en-US" sz="800" dirty="0" err="1" smtClean="0">
              <a:latin typeface="+mn-lt"/>
            </a:rPr>
            <a:t>$b.radio(:id,'wraperCzyCaleWyr2').when_present.set</a:t>
          </a:r>
        </a:p>
        <a:p>
          <a:pPr indent="-274320">
            <a:spcAft>
              <a:spcPts val="900"/>
            </a:spcAft>
          </a:pPr>
          <a:r>
            <a:rPr lang="en-US" sz="800" dirty="0" err="1" smtClean="0">
              <a:latin typeface="+mn-lt"/>
            </a:rPr>
            <a:t>$b.radio(:id,'wyborKrsRegonNip1').when_present.clear</a:t>
          </a:r>
        </a:p>
        <a:p>
          <a:pPr indent="-274320">
            <a:spcAft>
              <a:spcPts val="900"/>
            </a:spcAft>
          </a:pPr>
          <a:r>
            <a:rPr lang="en-US" sz="800" dirty="0" err="1" smtClean="0">
              <a:latin typeface="+mn-lt"/>
            </a:rPr>
            <a:t>$b.radio(:id,'wyborKrsRegonNip2').when_present.clear</a:t>
          </a:r>
        </a:p>
        <a:p>
          <a:pPr indent="-274320">
            <a:spcAft>
              <a:spcPts val="900"/>
            </a:spcAft>
          </a:pPr>
          <a:r>
            <a:rPr lang="en-US" sz="800" dirty="0" err="1" smtClean="0">
              <a:latin typeface="+mn-lt"/>
            </a:rPr>
            <a:t>$b.radio(:id,'wyborKrsRegonNip3').when_present.clear</a:t>
          </a:r>
        </a:p>
        <a:p>
          <a:pPr indent="-274320">
            <a:spcAft>
              <a:spcPts val="900"/>
            </a:spcAft>
          </a:pPr>
          <a:r>
            <a:rPr lang="en-US" sz="800" dirty="0" err="1" smtClean="0">
              <a:latin typeface="+mn-lt"/>
            </a:rPr>
            <a:t>############################################### search_by_key_input: start #############################################</a:t>
          </a:r>
        </a:p>
        <a:p>
          <a:pPr indent="-274320">
            <a:spcAft>
              <a:spcPts val="900"/>
            </a:spcAft>
          </a:pPr>
          <a:r>
            <a:rPr lang="en-US" sz="800" dirty="0" err="1" smtClean="0">
              <a:latin typeface="+mn-lt"/>
            </a:rPr>
            <a:t>if $key[$i][$c_nazwa] != nil then $b.text_field(:id,'nazwa').when_present.set $key[$i][$c_nazwa].to_s end</a:t>
          </a:r>
        </a:p>
        <a:p>
          <a:pPr indent="-274320">
            <a:spcAft>
              <a:spcPts val="900"/>
            </a:spcAft>
          </a:pPr>
          <a:r>
            <a:rPr lang="en-US" sz="800" dirty="0" err="1" smtClean="0">
              <a:latin typeface="+mn-lt"/>
            </a:rPr>
            <a:t>if $key[$i][$c_krs] != nil then $b.radio(:id,'wyborKrsRegonNip1').when_present.set; $b.text_field(:id,'wraperKrsRegonNip').when_present.set $key[$i][$c_krs].to_i.to_s end</a:t>
          </a:r>
        </a:p>
        <a:p>
          <a:pPr indent="-274320">
            <a:spcAft>
              <a:spcPts val="900"/>
            </a:spcAft>
          </a:pPr>
          <a:r>
            <a:rPr lang="en-US" sz="800" dirty="0" err="1" smtClean="0">
              <a:latin typeface="+mn-lt"/>
            </a:rPr>
            <a:t>if $key[$i][$c_regon] != nil then $b.radio(:id,'wyborKrsRegonNip2').when_present.set; $b.text_field(:id,'wraperKrsRegonNip').when_present.set '%09d'% $key[$i][$c_regon].to_i.to_s end</a:t>
          </a:r>
        </a:p>
        <a:p>
          <a:pPr indent="-274320">
            <a:spcAft>
              <a:spcPts val="900"/>
            </a:spcAft>
          </a:pPr>
          <a:r>
            <a:rPr lang="en-US" sz="800" dirty="0" err="1" smtClean="0">
              <a:latin typeface="+mn-lt"/>
            </a:rPr>
            <a:t>if $key[$i][$c_nip] != nil then $b.radio(:id,'wyborKrsRegonNip3').when_present.set; $b.text_field(:id,'wraperKrsRegonNip').when_present.set '%010d'% $key[$i][$c_nip].to_i.to_s end</a:t>
          </a:r>
        </a:p>
        <a:p>
          <a:pPr indent="-274320">
            <a:spcAft>
              <a:spcPts val="900"/>
            </a:spcAft>
          </a:pPr>
          <a:r>
            <a:rPr lang="en-US" sz="800" dirty="0" err="1" smtClean="0">
              <a:latin typeface="+mn-lt"/>
            </a:rPr>
            <a:t>if $key[$i][$c_miejscowosc] != nil then $b.text_field(:id,'siedziba').when_present.set $key[$i][$c_miejscowosc].to_s end</a:t>
          </a:r>
        </a:p>
        <a:p>
          <a:pPr indent="-274320">
            <a:spcAft>
              <a:spcPts val="900"/>
            </a:spcAft>
          </a:pPr>
          <a:r>
            <a:rPr lang="en-US" sz="800" dirty="0" err="1" smtClean="0">
              <a:latin typeface="+mn-lt"/>
            </a:rPr>
            <a:t>if $key[$i][$c_ulica] != nil then $b.text_field(:id,'ulica').when_present.set $key[$i][$c_ulica].to_s end</a:t>
          </a:r>
        </a:p>
        <a:p>
          <a:pPr indent="-274320">
            <a:spcAft>
              <a:spcPts val="900"/>
            </a:spcAft>
          </a:pPr>
          <a:r>
            <a:rPr lang="en-US" sz="800" dirty="0" err="1" smtClean="0">
              <a:latin typeface="+mn-lt"/>
            </a:rPr>
            <a:t>if $key[$i][$c_kod] != nil then</a:t>
          </a:r>
        </a:p>
        <a:p>
          <a:pPr indent="-274320">
            <a:spcAft>
              <a:spcPts val="900"/>
            </a:spcAft>
          </a:pPr>
          <a:r>
            <a:rPr lang="en-US" sz="800" dirty="0" err="1" smtClean="0">
              <a:latin typeface="+mn-lt"/>
            </a:rPr>
            <a:t>$b.text_field(:id,'kodPocztowy1').when_present.set ('%05d'% $key[$i][$c_kod].to_i.to_s)[0..1]</a:t>
          </a:r>
        </a:p>
        <a:p>
          <a:pPr indent="-274320">
            <a:spcAft>
              <a:spcPts val="900"/>
            </a:spcAft>
          </a:pPr>
          <a:r>
            <a:rPr lang="en-US" sz="800" dirty="0" err="1" smtClean="0">
              <a:latin typeface="+mn-lt"/>
            </a:rPr>
            <a:t>$b.text_field(:id,'kodPocztowy2').when_present.set ('%05d'% $key[$i][$c_kod].to_i.to_s)[2..4] end</a:t>
          </a:r>
        </a:p>
        <a:p>
          <a:pPr indent="-274320">
            <a:spcAft>
              <a:spcPts val="900"/>
            </a:spcAft>
          </a:pPr>
          <a:r>
            <a:rPr lang="en-US" sz="800" dirty="0" err="1" smtClean="0">
              <a:latin typeface="+mn-lt"/>
            </a:rPr>
            <a:t>################################################ search_by_key_input: end ##############################################</a:t>
          </a:r>
        </a:p>
        <a:p>
          <a:pPr indent="-274320">
            <a:spcAft>
              <a:spcPts val="900"/>
            </a:spcAft>
          </a:pPr>
          <a:r>
            <a:rPr lang="en-US" sz="800" dirty="0" err="1" smtClean="0">
              <a:latin typeface="+mn-lt"/>
            </a:rPr>
            <a:t>$b.form(:id,'filtr').when_present.submit</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method_search_podmioty: end #############################################</a:t>
          </a:r>
        </a:p>
        <a:p>
          <a:pPr indent="-274320">
            <a:spcAft>
              <a:spcPts val="900"/>
            </a:spcAft>
          </a:pPr>
          <a:r>
            <a:rPr lang="en-US" sz="800" dirty="0" err="1" smtClean="0">
              <a:latin typeface="+mn-lt"/>
            </a:rPr>
            <a:t>############################################ method_search_powiazania: start ###########################################</a:t>
          </a:r>
        </a:p>
        <a:p>
          <a:pPr indent="-274320">
            <a:spcAft>
              <a:spcPts val="900"/>
            </a:spcAft>
          </a:pPr>
          <a:r>
            <a:rPr lang="en-US" sz="800" dirty="0" err="1" smtClean="0">
              <a:latin typeface="+mn-lt"/>
            </a:rPr>
            <a:t>def method_search_powiazania</a:t>
          </a:r>
        </a:p>
        <a:p>
          <a:pPr indent="-274320">
            <a:spcAft>
              <a:spcPts val="900"/>
            </a:spcAft>
          </a:pPr>
          <a:r>
            <a:rPr lang="en-US" sz="800" dirty="0" err="1" smtClean="0">
              <a:latin typeface="+mn-lt"/>
            </a:rPr>
            <a:t>$b.goto 'http://lex.online.wolterskluwer.pl/WKPLOnline/index.rpc?leftNodeId=lmtree-item-219813&amp;lmId=lm_baza'</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$b.radio(:id,'wraperCzyCaleWyr1').when_present.clear</a:t>
          </a:r>
        </a:p>
        <a:p>
          <a:pPr indent="-274320">
            <a:spcAft>
              <a:spcPts val="900"/>
            </a:spcAft>
          </a:pPr>
          <a:r>
            <a:rPr lang="en-US" sz="800" dirty="0" err="1" smtClean="0">
              <a:latin typeface="+mn-lt"/>
            </a:rPr>
            <a:t>$b.radio(:id,'wraperCzyCaleWyr2').when_present.set</a:t>
          </a:r>
        </a:p>
        <a:p>
          <a:pPr indent="-274320">
            <a:spcAft>
              <a:spcPts val="900"/>
            </a:spcAft>
          </a:pPr>
          <a:r>
            <a:rPr lang="en-US" sz="800" dirty="0" err="1" smtClean="0">
              <a:latin typeface="+mn-lt"/>
            </a:rPr>
            <a:t>$b.radio(:id,'z1').when_present.clear</a:t>
          </a:r>
        </a:p>
        <a:p>
          <a:pPr indent="-274320">
            <a:spcAft>
              <a:spcPts val="900"/>
            </a:spcAft>
          </a:pPr>
          <a:r>
            <a:rPr lang="en-US" sz="800" dirty="0" err="1" smtClean="0">
              <a:latin typeface="+mn-lt"/>
            </a:rPr>
            <a:t>$b.radio(:id,'z2').when_present.clear</a:t>
          </a:r>
        </a:p>
        <a:p>
          <a:pPr indent="-274320">
            <a:spcAft>
              <a:spcPts val="900"/>
            </a:spcAft>
          </a:pPr>
          <a:r>
            <a:rPr lang="en-US" sz="800" dirty="0" err="1" smtClean="0">
              <a:latin typeface="+mn-lt"/>
            </a:rPr>
            <a:t>$b.radio(:id,'z3').when_present.clear</a:t>
          </a:r>
        </a:p>
        <a:p>
          <a:pPr indent="-274320">
            <a:spcAft>
              <a:spcPts val="900"/>
            </a:spcAft>
          </a:pPr>
          <a:r>
            <a:rPr lang="en-US" sz="800" dirty="0" err="1" smtClean="0">
              <a:latin typeface="+mn-lt"/>
            </a:rPr>
            <a:t>############################################### search_by_key_input: start #############################################</a:t>
          </a:r>
        </a:p>
        <a:p>
          <a:pPr indent="-274320">
            <a:spcAft>
              <a:spcPts val="900"/>
            </a:spcAft>
          </a:pPr>
          <a:r>
            <a:rPr lang="en-US" sz="800" dirty="0" err="1" smtClean="0">
              <a:latin typeface="+mn-lt"/>
            </a:rPr>
            <a:t>if $key[$i][$c_nazwa] != nil then $b.text_field(:id,'powNazwa').when_present.set $key[$i][$c_nazwa].to_s end</a:t>
          </a:r>
        </a:p>
        <a:p>
          <a:pPr indent="-274320">
            <a:spcAft>
              <a:spcPts val="900"/>
            </a:spcAft>
          </a:pPr>
          <a:r>
            <a:rPr lang="en-US" sz="800" dirty="0" err="1" smtClean="0">
              <a:latin typeface="+mn-lt"/>
            </a:rPr>
            <a:t>if $key[$i][$c_imie] != nil then $b.text_field(:id,'powImie').when_present.set $key[$i][$c_imie].to_s end</a:t>
          </a:r>
        </a:p>
        <a:p>
          <a:pPr indent="-274320">
            <a:spcAft>
              <a:spcPts val="900"/>
            </a:spcAft>
          </a:pPr>
          <a:r>
            <a:rPr lang="en-US" sz="800" dirty="0" err="1" smtClean="0">
              <a:latin typeface="+mn-lt"/>
            </a:rPr>
            <a:t>if $key[$i][$c_pesel] != nil then $b.radio(:id,'z1').when_present.set; $b.text_field(:id,'wraperPeselKrsRegon').when_present.set $key[$i][$c_pesel].to_i.to_s end</a:t>
          </a:r>
        </a:p>
        <a:p>
          <a:pPr indent="-274320">
            <a:spcAft>
              <a:spcPts val="900"/>
            </a:spcAft>
          </a:pPr>
          <a:r>
            <a:rPr lang="en-US" sz="800" dirty="0" err="1" smtClean="0">
              <a:latin typeface="+mn-lt"/>
            </a:rPr>
            <a:t>if $key[$i][$c_krs] != nil then $b.radio(:id,'z2').when_present.set; $b.text_field(:id,'wraperPeselKrsRegon').when_present.set $key[$i][$c_krs].to_i.to_s end</a:t>
          </a:r>
        </a:p>
        <a:p>
          <a:pPr indent="-274320">
            <a:spcAft>
              <a:spcPts val="900"/>
            </a:spcAft>
          </a:pPr>
          <a:r>
            <a:rPr lang="en-US" sz="800" dirty="0" err="1" smtClean="0">
              <a:latin typeface="+mn-lt"/>
            </a:rPr>
            <a:t>if $key[$i][$c_regon] != nil then $b.radio(:id,'z3').when_present.set; $b.text_field(:id,'wraperPeselKrsRegon').when_present.set '%09d'% $key[$i][$c_regon].to_i.to_s end</a:t>
          </a:r>
        </a:p>
        <a:p>
          <a:pPr indent="-274320">
            <a:spcAft>
              <a:spcPts val="900"/>
            </a:spcAft>
          </a:pPr>
          <a:r>
            <a:rPr lang="en-US" sz="800" dirty="0" err="1" smtClean="0">
              <a:latin typeface="+mn-lt"/>
            </a:rPr>
            <a:t>if $key[$i][$c_podmiot] != nil then $b.text_field(:id,'nazwa').when_present.set $key[$i][$c_podmiot].to_s end</a:t>
          </a:r>
        </a:p>
        <a:p>
          <a:pPr indent="-274320">
            <a:spcAft>
              <a:spcPts val="900"/>
            </a:spcAft>
          </a:pPr>
          <a:r>
            <a:rPr lang="en-US" sz="800" dirty="0" err="1" smtClean="0">
              <a:latin typeface="+mn-lt"/>
            </a:rPr>
            <a:t>if $key[$i][$c_miejscowosc] != nil then $b.text_field(:id,'siedziba').when_present.set $key[$i][$c_miejscowosc].to_s end</a:t>
          </a:r>
        </a:p>
        <a:p>
          <a:pPr indent="-274320">
            <a:spcAft>
              <a:spcPts val="900"/>
            </a:spcAft>
          </a:pPr>
          <a:r>
            <a:rPr lang="en-US" sz="800" dirty="0" err="1" smtClean="0">
              <a:latin typeface="+mn-lt"/>
            </a:rPr>
            <a:t>if $key[$i][$c_ulica] != nil then $b.text_field(:id,'ulica').when_present.set $key[$i][$c_ulica].to_s end</a:t>
          </a:r>
        </a:p>
        <a:p>
          <a:pPr indent="-274320">
            <a:spcAft>
              <a:spcPts val="900"/>
            </a:spcAft>
          </a:pPr>
          <a:r>
            <a:rPr lang="en-US" sz="800" dirty="0" err="1" smtClean="0">
              <a:latin typeface="+mn-lt"/>
            </a:rPr>
            <a:t>if $key[$i][$c_kod] != nil then</a:t>
          </a:r>
        </a:p>
        <a:p>
          <a:pPr indent="-274320">
            <a:spcAft>
              <a:spcPts val="900"/>
            </a:spcAft>
          </a:pPr>
          <a:r>
            <a:rPr lang="en-US" sz="800" dirty="0" err="1" smtClean="0">
              <a:latin typeface="+mn-lt"/>
            </a:rPr>
            <a:t>$b.text_field(:id,'kodPocztowy1').when_present.set ('%05d'% $key[$i][$c_kod].to_i.to_s)[0..1]</a:t>
          </a:r>
        </a:p>
        <a:p>
          <a:pPr indent="-274320">
            <a:spcAft>
              <a:spcPts val="900"/>
            </a:spcAft>
          </a:pPr>
          <a:r>
            <a:rPr lang="en-US" sz="800" dirty="0" err="1" smtClean="0">
              <a:latin typeface="+mn-lt"/>
            </a:rPr>
            <a:t>$b.text_field(:id,'kodPocztowy2').when_present.set ('%05d'% $key[$i][$c_kod].to_i.to_s)[2..4] end</a:t>
          </a:r>
        </a:p>
        <a:p>
          <a:pPr indent="-274320">
            <a:spcAft>
              <a:spcPts val="900"/>
            </a:spcAft>
          </a:pPr>
          <a:r>
            <a:rPr lang="en-US" sz="800" dirty="0" err="1" smtClean="0">
              <a:latin typeface="+mn-lt"/>
            </a:rPr>
            <a:t>################################################ search_by_key_input: end ##############################################</a:t>
          </a:r>
        </a:p>
        <a:p>
          <a:pPr indent="-274320">
            <a:spcAft>
              <a:spcPts val="900"/>
            </a:spcAft>
          </a:pPr>
          <a:r>
            <a:rPr lang="en-US" sz="800" dirty="0" err="1" smtClean="0">
              <a:latin typeface="+mn-lt"/>
            </a:rPr>
            <a:t>$b.button(:id,'btnIpgSubmit').when_present.click</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method_search_powiazania: end ############################################</a:t>
          </a:r>
        </a:p>
        <a:p>
          <a:pPr indent="-274320">
            <a:spcAft>
              <a:spcPts val="900"/>
            </a:spcAft>
          </a:pPr>
          <a:r>
            <a:rPr lang="en-US" sz="800" dirty="0" err="1" smtClean="0">
              <a:latin typeface="+mn-lt"/>
            </a:rPr>
            <a:t>################################################### method_search: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page_refreshed_and_ready: start ###########################################</a:t>
          </a:r>
        </a:p>
        <a:p>
          <a:pPr indent="-274320">
            <a:spcAft>
              <a:spcPts val="900"/>
            </a:spcAft>
          </a:pPr>
          <a:r>
            <a:rPr lang="en-US" sz="800" dirty="0" err="1" smtClean="0">
              <a:latin typeface="+mn-lt"/>
            </a:rPr>
            <a:t>############################################## method_page_is_ready: start #############################################</a:t>
          </a:r>
        </a:p>
        <a:p>
          <a:pPr indent="-274320">
            <a:spcAft>
              <a:spcPts val="900"/>
            </a:spcAft>
          </a:pPr>
          <a:r>
            <a:rPr lang="en-US" sz="800" dirty="0" err="1" smtClean="0">
              <a:latin typeface="+mn-lt"/>
            </a:rPr>
            <a:t>def method_page_is_ready</a:t>
          </a:r>
        </a:p>
        <a:p>
          <a:pPr indent="-274320">
            <a:spcAft>
              <a:spcPts val="900"/>
            </a:spcAft>
          </a:pPr>
          <a:r>
            <a:rPr lang="en-US" sz="800" dirty="0" err="1" smtClean="0">
              <a:latin typeface="+mn-lt"/>
            </a:rPr>
            <a:t>kil = 0</a:t>
          </a:r>
        </a:p>
        <a:p>
          <a:pPr indent="-274320">
            <a:spcAft>
              <a:spcPts val="900"/>
            </a:spcAft>
          </a:pPr>
          <a:r>
            <a:rPr lang="en-US" sz="800" dirty="0" err="1" smtClean="0">
              <a:latin typeface="+mn-lt"/>
            </a:rPr>
            <a:t>until $b.tr(:class,'tr-elem-wersja').exist? or $b.td(:id,'allResults').exist? or $b.text.include? 'Brak dokumen' or $b.text.include? 'Niepoprawny'</a:t>
          </a:r>
        </a:p>
        <a:p>
          <a:pPr indent="-274320">
            <a:spcAft>
              <a:spcPts val="900"/>
            </a:spcAft>
          </a:pPr>
          <a:r>
            <a:rPr lang="en-US" sz="800" dirty="0" err="1" smtClean="0">
              <a:latin typeface="+mn-lt"/>
            </a:rPr>
            <a:t>sleep(2)</a:t>
          </a:r>
        </a:p>
        <a:p>
          <a:pPr indent="-274320">
            <a:spcAft>
              <a:spcPts val="900"/>
            </a:spcAft>
          </a:pPr>
          <a:r>
            <a:rPr lang="en-US" sz="800" dirty="0" err="1" smtClean="0">
              <a:latin typeface="+mn-lt"/>
            </a:rPr>
            <a:t>kil = kil + 1</a:t>
          </a:r>
        </a:p>
        <a:p>
          <a:pPr indent="-274320">
            <a:spcAft>
              <a:spcPts val="900"/>
            </a:spcAft>
          </a:pPr>
          <a:r>
            <a:rPr lang="en-US" sz="800" dirty="0" err="1" smtClean="0">
              <a:latin typeface="+mn-lt"/>
            </a:rPr>
            <a:t>break if kil == 5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method_page_is_ready: end ##############################################</a:t>
          </a:r>
        </a:p>
        <a:p>
          <a:pPr indent="-274320">
            <a:spcAft>
              <a:spcPts val="900"/>
            </a:spcAft>
          </a:pPr>
          <a:r>
            <a:rPr lang="en-US" sz="800" dirty="0" err="1" smtClean="0">
              <a:latin typeface="+mn-lt"/>
            </a:rPr>
            <a:t>########################################### method_distinct_page_ready: start ##########################################</a:t>
          </a:r>
        </a:p>
        <a:p>
          <a:pPr indent="-274320">
            <a:spcAft>
              <a:spcPts val="900"/>
            </a:spcAft>
          </a:pPr>
          <a:r>
            <a:rPr lang="en-US" sz="800" dirty="0" err="1" smtClean="0">
              <a:latin typeface="+mn-lt"/>
            </a:rPr>
            <a:t>def method_distinct_page_ready</a:t>
          </a:r>
        </a:p>
        <a:p>
          <a:pPr indent="-274320">
            <a:spcAft>
              <a:spcPts val="900"/>
            </a:spcAft>
          </a:pPr>
          <a:r>
            <a:rPr lang="en-US" sz="800" dirty="0" err="1" smtClean="0">
              <a:latin typeface="+mn-lt"/>
            </a:rPr>
            <a:t>until $b.tr(:class,'tr-elem-wersja').exist?</a:t>
          </a:r>
        </a:p>
        <a:p>
          <a:pPr indent="-274320">
            <a:spcAft>
              <a:spcPts val="900"/>
            </a:spcAft>
          </a:pPr>
          <a:r>
            <a:rPr lang="en-US" sz="800" dirty="0" err="1" smtClean="0">
              <a:latin typeface="+mn-lt"/>
            </a:rPr>
            <a:t>kil = 0</a:t>
          </a:r>
        </a:p>
        <a:p>
          <a:pPr indent="-274320">
            <a:spcAft>
              <a:spcPts val="900"/>
            </a:spcAft>
          </a:pPr>
          <a:r>
            <a:rPr lang="en-US" sz="800" dirty="0" err="1" smtClean="0">
              <a:latin typeface="+mn-lt"/>
            </a:rPr>
            <a:t>until $b.tr(:class,'tr-elem-wersja').exist? and $f.when_present.divs(:class =&gt; /entityBox./).map(&amp;:text).join =~ /RAPORTY HANDLOWE INFOCREDIT/ ; sleep(1); kil = kil + 1; break if kil == 10 end</a:t>
          </a:r>
        </a:p>
        <a:p>
          <a:pPr indent="-274320">
            <a:spcAft>
              <a:spcPts val="900"/>
            </a:spcAft>
          </a:pPr>
          <a:r>
            <a:rPr lang="en-US" sz="800" dirty="0" err="1" smtClean="0">
              <a:latin typeface="+mn-lt"/>
            </a:rPr>
            <a:t>if $b.tr(:class,'tr-elem-wersja').exist? == false then $b.refresh;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method_distinct_page_ready: end ###########################################</a:t>
          </a:r>
        </a:p>
        <a:p>
          <a:pPr indent="-274320">
            <a:spcAft>
              <a:spcPts val="900"/>
            </a:spcAft>
          </a:pPr>
          <a:r>
            <a:rPr lang="en-US" sz="800" dirty="0" err="1" smtClean="0">
              <a:latin typeface="+mn-lt"/>
            </a:rPr>
            <a:t>############################################# page_refreshed_and_ready: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method_output_to_input_table: start #########################################</a:t>
          </a:r>
        </a:p>
        <a:p>
          <a:pPr indent="-274320">
            <a:spcAft>
              <a:spcPts val="900"/>
            </a:spcAft>
          </a:pPr>
          <a:r>
            <a:rPr lang="en-US" sz="800" dirty="0" err="1" smtClean="0">
              <a:latin typeface="+mn-lt"/>
            </a:rPr>
            <a:t>def method_output_to_input_table</a:t>
          </a:r>
        </a:p>
        <a:p>
          <a:pPr indent="-274320">
            <a:spcAft>
              <a:spcPts val="900"/>
            </a:spcAft>
          </a:pPr>
          <a:r>
            <a:rPr lang="en-US" sz="800" dirty="0" err="1" smtClean="0">
              <a:latin typeface="+mn-lt"/>
            </a:rPr>
            <a:t>if	$key[$i][$c_input] == 0 then $output_string = $t_input.ListColumns("Wynik").DataBodyRange; $input_i = $i + 1</a:t>
          </a:r>
        </a:p>
        <a:p>
          <a:pPr indent="-274320">
            <a:spcAft>
              <a:spcPts val="900"/>
            </a:spcAft>
          </a:pPr>
          <a:r>
            <a:rPr lang="en-US" sz="800" dirty="0" err="1" smtClean="0">
              <a:latin typeface="+mn-lt"/>
            </a:rPr>
            <a:t>elsif	$key[$i][$c_input] == 1 then $output_string = $t_input2.ListColumns("Wynik").DataBodyRange; $input_i = $i - $t_input.listrows.count + 1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method_output_to_input_table: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method_lack_of_result: start ############################################</a:t>
          </a:r>
        </a:p>
        <a:p>
          <a:pPr indent="-274320">
            <a:spcAft>
              <a:spcPts val="900"/>
            </a:spcAft>
          </a:pPr>
          <a:r>
            <a:rPr lang="en-US" sz="800" dirty="0" err="1" smtClean="0">
              <a:latin typeface="+mn-lt"/>
            </a:rPr>
            <a:t>def method_lack_of_result</a:t>
          </a:r>
        </a:p>
        <a:p>
          <a:pPr indent="-274320">
            <a:spcAft>
              <a:spcPts val="900"/>
            </a:spcAft>
          </a:pPr>
          <a:r>
            <a:rPr lang="en-US" sz="800" dirty="0" err="1" smtClean="0">
              <a:latin typeface="+mn-lt"/>
            </a:rPr>
            <a:t>method_output_to_input_table</a:t>
          </a:r>
        </a:p>
        <a:p>
          <a:pPr indent="-274320">
            <a:spcAft>
              <a:spcPts val="900"/>
            </a:spcAft>
          </a:pPr>
          <a:r>
            <a:rPr lang="en-US" sz="800" dirty="0" err="1" smtClean="0">
              <a:latin typeface="+mn-lt"/>
            </a:rPr>
            <a:t>if $b.text.include? 'Niepoprawny' then $output_string.Cells($input_i,1).value = 'Niepoprawny numer'</a:t>
          </a:r>
        </a:p>
        <a:p>
          <a:pPr indent="-274320">
            <a:spcAft>
              <a:spcPts val="900"/>
            </a:spcAft>
          </a:pPr>
          <a:r>
            <a:rPr lang="en-US" sz="800" dirty="0" err="1" smtClean="0">
              <a:latin typeface="+mn-lt"/>
            </a:rPr>
            <a:t>elsif $b.text.include? 'Brak dokumen' then $output_string.Cells($input_i,1).value = 'Brak dokumentów spełniających kryteria zapytania.'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method_lack_of_result: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entity_description: start ##############################################</a:t>
          </a:r>
        </a:p>
        <a:p>
          <a:pPr indent="-274320">
            <a:spcAft>
              <a:spcPts val="900"/>
            </a:spcAft>
          </a:pPr>
          <a:r>
            <a:rPr lang="en-US" sz="800" dirty="0" err="1" smtClean="0">
              <a:latin typeface="+mn-lt"/>
            </a:rPr>
            <a:t>############################################## method_key_basic_info: start ############################################</a:t>
          </a:r>
        </a:p>
        <a:p>
          <a:pPr indent="-274320">
            <a:spcAft>
              <a:spcPts val="900"/>
            </a:spcAft>
          </a:pPr>
          <a:r>
            <a:rPr lang="en-US" sz="800" dirty="0" err="1" smtClean="0">
              <a:latin typeface="+mn-lt"/>
            </a:rPr>
            <a:t>def method_key_basic_info</a:t>
          </a:r>
        </a:p>
        <a:p>
          <a:pPr indent="-274320">
            <a:spcAft>
              <a:spcPts val="900"/>
            </a:spcAft>
          </a:pPr>
          <a:r>
            <a:rPr lang="en-US" sz="800" dirty="0" err="1" smtClean="0">
              <a:latin typeface="+mn-lt"/>
            </a:rPr>
            <a:t>$t_output.listcolumns("key").Range.Cells($cel_count,1).Value = $key[$i][$c_nazwa..-1].join</a:t>
          </a:r>
        </a:p>
        <a:p>
          <a:pPr indent="-274320">
            <a:spcAft>
              <a:spcPts val="900"/>
            </a:spcAft>
          </a:pPr>
          <a:r>
            <a:rPr lang="en-US" sz="800" dirty="0" err="1" smtClean="0">
              <a:latin typeface="+mn-lt"/>
            </a:rPr>
            <a:t>$t_output.listcolumns("hit").Range.Cells($cel_count,1).Value = $hit_info</a:t>
          </a:r>
        </a:p>
        <a:p>
          <a:pPr indent="-274320">
            <a:spcAft>
              <a:spcPts val="900"/>
            </a:spcAft>
          </a:pPr>
          <a:r>
            <a:rPr lang="en-US" sz="800" dirty="0" err="1" smtClean="0">
              <a:latin typeface="+mn-lt"/>
            </a:rPr>
            <a:t>nro = $b.iframe(:id,'contentFrameRT').when_present.url.split("nro=")[1].split("&amp;")[0]</a:t>
          </a:r>
        </a:p>
        <a:p>
          <a:pPr indent="-274320">
            <a:spcAft>
              <a:spcPts val="900"/>
            </a:spcAft>
          </a:pPr>
          <a:r>
            <a:rPr lang="en-US" sz="800" dirty="0" err="1" smtClean="0">
              <a:latin typeface="+mn-lt"/>
            </a:rPr>
            <a:t>li = ('http://lex.online.wolterskluwer.pl/WKPLOnline/index.rpc?#content.rpc?nro='+nro)</a:t>
          </a:r>
        </a:p>
        <a:p>
          <a:pPr indent="-274320">
            <a:spcAft>
              <a:spcPts val="900"/>
            </a:spcAft>
          </a:pPr>
          <a:r>
            <a:rPr lang="en-US" sz="800" dirty="0" err="1" smtClean="0">
              <a:latin typeface="+mn-lt"/>
            </a:rPr>
            <a:t>$t_output.listcolumns("link").Range.Cells($cel_count,1).Value = li</a:t>
          </a:r>
        </a:p>
        <a:p>
          <a:pPr indent="-274320">
            <a:spcAft>
              <a:spcPts val="900"/>
            </a:spcAft>
          </a:pPr>
          <a:r>
            <a:rPr lang="en-US" sz="800" dirty="0" err="1" smtClean="0">
              <a:latin typeface="+mn-lt"/>
            </a:rPr>
            <a:t>$t_output.listcolumns("MSiG").Range.Cells($cel_count,1).Value = $f.when_present.span(:class,'regSgt').text #add to basic info</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method_key_basic_info: end #############################################</a:t>
          </a:r>
        </a:p>
        <a:p>
          <a:pPr indent="-274320">
            <a:spcAft>
              <a:spcPts val="900"/>
            </a:spcAft>
          </a:pPr>
          <a:r>
            <a:rPr lang="en-US" sz="800" dirty="0" err="1" smtClean="0">
              <a:latin typeface="+mn-lt"/>
            </a:rPr>
            <a:t>############################################# method_entity_main_info: start ###########################################</a:t>
          </a:r>
        </a:p>
        <a:p>
          <a:pPr indent="-274320">
            <a:spcAft>
              <a:spcPts val="900"/>
            </a:spcAft>
          </a:pPr>
          <a:r>
            <a:rPr lang="en-US" sz="800" dirty="0" err="1" smtClean="0">
              <a:latin typeface="+mn-lt"/>
            </a:rPr>
            <a:t>def method_entity_main_info</a:t>
          </a:r>
        </a:p>
        <a:p>
          <a:pPr indent="-274320">
            <a:spcAft>
              <a:spcPts val="900"/>
            </a:spcAft>
          </a:pPr>
          <a:r>
            <a:rPr lang="en-US" sz="800" dirty="0" err="1" smtClean="0">
              <a:latin typeface="+mn-lt"/>
            </a:rPr>
            <a:t>begin; $t_output.listcolumns("nazwa").Range.Cells($cel_count,1).Value = $f.when_present.table(:class,'tb-firm-name').when_present.spans.collect(&amp;:text).reject(&amp;:empty? ).uniq.join("\r\n"); rescue; end</a:t>
          </a:r>
        </a:p>
        <a:p>
          <a:pPr indent="-274320">
            <a:spcAft>
              <a:spcPts val="900"/>
            </a:spcAft>
          </a:pPr>
          <a:r>
            <a:rPr lang="en-US" sz="800" dirty="0" err="1" smtClean="0">
              <a:latin typeface="+mn-lt"/>
            </a:rPr>
            <a:t>begin; $t_output.listcolumns("typ").Range.Cells($cel_count,1).Value = $f.when_present.table(:class =&gt; 'tb-first-line').when_present.spans.collect(&amp;:text).reject(&amp;:empty? )[0]; rescue; end</a:t>
          </a:r>
        </a:p>
        <a:p>
          <a:pPr indent="-274320">
            <a:spcAft>
              <a:spcPts val="900"/>
            </a:spcAft>
          </a:pPr>
          <a:r>
            <a:rPr lang="en-US" sz="800" dirty="0" err="1" smtClean="0">
              <a:latin typeface="+mn-lt"/>
            </a:rPr>
            <a:t>begin; $t_output.listcolumns("KRS").Range.Cells($cel_count,1).Value = $f.when_present.table(:class =&gt; 'tb-first-line').when_present.spans.map(&amp;:text).select{|element| element =~/KRS/}[0].split(":")[1].strip; rescue; end</a:t>
          </a:r>
        </a:p>
        <a:p>
          <a:pPr indent="-274320">
            <a:spcAft>
              <a:spcPts val="900"/>
            </a:spcAft>
          </a:pPr>
          <a:r>
            <a:rPr lang="en-US" sz="800" dirty="0" err="1" smtClean="0">
              <a:latin typeface="+mn-lt"/>
            </a:rPr>
            <a:t>begin; $t_output.listcolumns("NIP").Range.Cells($cel_count,1).Value = $f.when_present.table(:class =&gt; 'tb-first-line').when_present.spans.map(&amp;:text).select{|element| element =~/NIP/}[0].split(":")[1].strip; rescue; end</a:t>
          </a:r>
        </a:p>
        <a:p>
          <a:pPr indent="-274320">
            <a:spcAft>
              <a:spcPts val="900"/>
            </a:spcAft>
          </a:pPr>
          <a:r>
            <a:rPr lang="en-US" sz="800" dirty="0" err="1" smtClean="0">
              <a:latin typeface="+mn-lt"/>
            </a:rPr>
            <a:t>begin; $t_output.listcolumns("REGON").Range.Cells($cel_count,1).Value = $f.when_present.table(:class =&gt; 'tb-first-line').when_present.spans.map(&amp;:text).select{|element| element =~/REGON/}[0].split(":")[1].strip; rescue; end</a:t>
          </a:r>
        </a:p>
        <a:p>
          <a:pPr indent="-274320">
            <a:spcAft>
              <a:spcPts val="900"/>
            </a:spcAft>
          </a:pPr>
          <a:r>
            <a:rPr lang="en-US" sz="800" dirty="0" err="1" smtClean="0">
              <a:latin typeface="+mn-lt"/>
            </a:rPr>
            <a:t>begin; $t_output.listcolumns("KAPITAL").Range.Cells($cel_count,1).Value = $f.when_present.table(:class =&gt; 'tb-first-line').when_present.spans.map(&amp;:text).select{|element| element =~/KAPITA/}[0].split(":")[1].strip; rescue; end</a:t>
          </a:r>
        </a:p>
        <a:p>
          <a:pPr indent="-274320">
            <a:spcAft>
              <a:spcPts val="900"/>
            </a:spcAft>
          </a:pPr>
          <a:r>
            <a:rPr lang="en-US" sz="800" dirty="0" err="1" smtClean="0">
              <a:latin typeface="+mn-lt"/>
            </a:rPr>
            <a:t>begin; $t_output.listcolumns("data_wpisu_do_rejestru").Range.Cells($cel_count,1).Value = $f.when_present.table(:class =&gt; 'tb-first-line').when_present.text.split(":")[-1].strip; rescue;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method_entity_main_info: end ############################################</a:t>
          </a:r>
        </a:p>
        <a:p>
          <a:pPr indent="-274320">
            <a:spcAft>
              <a:spcPts val="900"/>
            </a:spcAft>
          </a:pPr>
          <a:r>
            <a:rPr lang="en-US" sz="800" dirty="0" err="1" smtClean="0">
              <a:latin typeface="+mn-lt"/>
            </a:rPr>
            <a:t>############################################## method_entity_address: start ############################################</a:t>
          </a:r>
        </a:p>
        <a:p>
          <a:pPr indent="-274320">
            <a:spcAft>
              <a:spcPts val="900"/>
            </a:spcAft>
          </a:pPr>
          <a:r>
            <a:rPr lang="en-US" sz="800" dirty="0" err="1" smtClean="0">
              <a:latin typeface="+mn-lt"/>
            </a:rPr>
            <a:t>def method_entity_address</a:t>
          </a:r>
        </a:p>
        <a:p>
          <a:pPr indent="-274320">
            <a:spcAft>
              <a:spcPts val="900"/>
            </a:spcAft>
          </a:pPr>
          <a:r>
            <a:rPr lang="en-US" sz="800" dirty="0" err="1" smtClean="0">
              <a:latin typeface="+mn-lt"/>
            </a:rPr>
            <a:t>begin; $t_output.listcolumns("adres").Range.Cells($cel_count,1).Value = $f.when_present.table(:class =&gt; 'tb-second-line').when_present.spans.collect(&amp;:text).reject(&amp;:empty? )[0]; rescue; end</a:t>
          </a:r>
        </a:p>
        <a:p>
          <a:pPr indent="-274320">
            <a:spcAft>
              <a:spcPts val="900"/>
            </a:spcAft>
          </a:pPr>
          <a:r>
            <a:rPr lang="en-US" sz="800" dirty="0" err="1" smtClean="0">
              <a:latin typeface="+mn-lt"/>
            </a:rPr>
            <a:t>begin; $t_output.listcolumns("wojewodztwo").Range.Cells($cel_count,1).Value = $f.when_present.table(:class =&gt; 'tb-second-line').when_present.spans.collect(&amp;:text).select{|element| element =~ /Wojew/}[0].split(":")[1].strip; rescue; end</a:t>
          </a:r>
        </a:p>
        <a:p>
          <a:pPr indent="-274320">
            <a:spcAft>
              <a:spcPts val="900"/>
            </a:spcAft>
          </a:pPr>
          <a:r>
            <a:rPr lang="en-US" sz="800" dirty="0" err="1" smtClean="0">
              <a:latin typeface="+mn-lt"/>
            </a:rPr>
            <a:t>begin; $t_output.listcolumns("powiat").Range.Cells($cel_count,1).Value = $f.when_present.table(:class =&gt; 'tb-second-line').when_present.spans.collect(&amp;:text).select{|element| element =~ /Powiat/}[0].split(":")[1].strip; rescue; end</a:t>
          </a:r>
        </a:p>
        <a:p>
          <a:pPr indent="-274320">
            <a:spcAft>
              <a:spcPts val="900"/>
            </a:spcAft>
          </a:pPr>
          <a:r>
            <a:rPr lang="en-US" sz="800" dirty="0" err="1" smtClean="0">
              <a:latin typeface="+mn-lt"/>
            </a:rPr>
            <a:t>begin; $t_output.listcolumns("gmina").Range.Cells($cel_count,1).Value = $f.when_present.table(:class =&gt; 'tb-second-line').when_present.spans.collect(&amp;:text).select{|element| element =~ /Gmina/}[0].split(":")[1].strip; rescue; end</a:t>
          </a:r>
        </a:p>
        <a:p>
          <a:pPr indent="-274320">
            <a:spcAft>
              <a:spcPts val="900"/>
            </a:spcAft>
          </a:pPr>
          <a:r>
            <a:rPr lang="en-US" sz="800" dirty="0" err="1" smtClean="0">
              <a:latin typeface="+mn-lt"/>
            </a:rPr>
            <a:t>begin; $t_output.listcolumns("miejsowosc").Range.Cells($cel_count,1).Value = $f.when_present.table(:class =&gt; 'tb-second-line').when_present.spans.collect(&amp;:text).select{|element| element =~ /Miejscowo/}[0].split(":")[1].strip; rescue; end</a:t>
          </a:r>
        </a:p>
        <a:p>
          <a:pPr indent="-274320">
            <a:spcAft>
              <a:spcPts val="900"/>
            </a:spcAft>
          </a:pPr>
          <a:r>
            <a:rPr lang="en-US" sz="800" dirty="0" err="1" smtClean="0">
              <a:latin typeface="+mn-lt"/>
            </a:rPr>
            <a:t>begin; $t_output.listcolumns("www").Range.Cells($cel_count,1).Value = $f.when_present.table(:class =&gt; 'tb-second-line').when_present.spans.collect(&amp;:text).select{|element| element =~ /WWW/}[0].split(":")[1].strip; rescue; end</a:t>
          </a:r>
        </a:p>
        <a:p>
          <a:pPr indent="-274320">
            <a:spcAft>
              <a:spcPts val="900"/>
            </a:spcAft>
          </a:pPr>
          <a:r>
            <a:rPr lang="en-US" sz="800" dirty="0" err="1" smtClean="0">
              <a:latin typeface="+mn-lt"/>
            </a:rPr>
            <a:t>begin; $t_output.listcolumns("email").Range.Cells($cel_count,1).Value = $f.when_present.table(:class =&gt; 'tb-second-line').when_present.spans.collect(&amp;:text).select{|element| element =~ /EMAIL/}[0].split(":")[1].strip; rescue; 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method_entity_address: end #############################################</a:t>
          </a:r>
        </a:p>
        <a:p>
          <a:pPr indent="-274320">
            <a:spcAft>
              <a:spcPts val="900"/>
            </a:spcAft>
          </a:pPr>
          <a:r>
            <a:rPr lang="en-US" sz="800" dirty="0" err="1" smtClean="0">
              <a:latin typeface="+mn-lt"/>
            </a:rPr>
            <a:t>############################################## method_entityBox_data: start ############################################</a:t>
          </a:r>
        </a:p>
        <a:p>
          <a:pPr indent="-274320">
            <a:spcAft>
              <a:spcPts val="900"/>
            </a:spcAft>
          </a:pPr>
          <a:r>
            <a:rPr lang="en-US" sz="800" dirty="0" err="1" smtClean="0">
              <a:latin typeface="+mn-lt"/>
            </a:rPr>
            <a:t>def method_entityBox_data</a:t>
          </a:r>
        </a:p>
        <a:p>
          <a:pPr indent="-274320">
            <a:spcAft>
              <a:spcPts val="900"/>
            </a:spcAft>
          </a:pPr>
          <a:r>
            <a:rPr lang="en-US" sz="800" dirty="0" err="1" smtClean="0">
              <a:latin typeface="+mn-lt"/>
            </a:rPr>
            <a:t>begin; $t_output.listcolumns("reprezentacja").Range($cel_count,1).Value = $f.when_present.divs(:class =&gt; 'entityBox').map(&amp;:text).select{|element| element.split("\r\n")[0] =~ /REPREZENTACJA/}.join.split("\r\n").map{|i| i.strip}.reject(&amp;:empty? ).join("\r\n"); rescue;end</a:t>
          </a:r>
        </a:p>
        <a:p>
          <a:pPr indent="-274320">
            <a:spcAft>
              <a:spcPts val="900"/>
            </a:spcAft>
          </a:pPr>
          <a:r>
            <a:rPr lang="en-US" sz="800" dirty="0" err="1" smtClean="0">
              <a:latin typeface="+mn-lt"/>
            </a:rPr>
            <a:t>begin; $t_output.listcolumns("wspolnicy").Range($cel_count,1).Value = $f.when_present.divs(:class =&gt; 'entityBox').map(&amp;:text).select{|element| element.split("\r\n")[0] =~ /WSP.LNICY/}.join.split("\r\n").map{|i| i.strip}.reject(&amp;:empty? ).join("\r\n"); rescue;end</a:t>
          </a:r>
        </a:p>
        <a:p>
          <a:pPr indent="-274320">
            <a:spcAft>
              <a:spcPts val="900"/>
            </a:spcAft>
          </a:pPr>
          <a:r>
            <a:rPr lang="en-US" sz="800" dirty="0" err="1" smtClean="0">
              <a:latin typeface="+mn-lt"/>
            </a:rPr>
            <a:t>begin; $t_output.listcolumns("nadzor").Range($cel_count,1).Value = $f.when_present.divs(:class =&gt; 'entityBox').map(&amp;:text).select{|element| element.split("\r\n")[0] =~ /NADZ.R/}.join.split("\r\n").map{|i| i.strip}.reject(&amp;:empty? ).join("\r\n"); rescue;end</a:t>
          </a:r>
        </a:p>
        <a:p>
          <a:pPr indent="-274320">
            <a:spcAft>
              <a:spcPts val="900"/>
            </a:spcAft>
          </a:pPr>
          <a:r>
            <a:rPr lang="en-US" sz="800" dirty="0" err="1" smtClean="0">
              <a:latin typeface="+mn-lt"/>
            </a:rPr>
            <a:t>begin; $t_output.listcolumns("kurator").Range($cel_count,1).Value = $f.when_present.divs(:class =&gt; 'entityBox').map(&amp;:text).select{|element| element.split("\r\n")[0] =~ /KURATOR/}.join.split("\r\n").map{|i| i.strip}.reject(&amp;:empty? ).join("\r\n"); rescue;end</a:t>
          </a:r>
        </a:p>
        <a:p>
          <a:pPr indent="-274320">
            <a:spcAft>
              <a:spcPts val="900"/>
            </a:spcAft>
          </a:pPr>
          <a:r>
            <a:rPr lang="en-US" sz="800" dirty="0" err="1" smtClean="0">
              <a:latin typeface="+mn-lt"/>
            </a:rPr>
            <a:t>begin; $t_output.listcolumns("jedyny_akcjonariusz").Range($cel_count,1).Value = $f.when_present.divs(:class =&gt; 'entityBox').map(&amp;:text).select{|element| element.split("\r\n")[0] =~ /JEDYNY AKCJONARIUSZ/}.join.split("\r\n").map{|i| i.strip}.reject(&amp;:empty? ).join("\r\n"); rescue;end</a:t>
          </a:r>
        </a:p>
        <a:p>
          <a:pPr indent="-274320">
            <a:spcAft>
              <a:spcPts val="900"/>
            </a:spcAft>
          </a:pPr>
          <a:r>
            <a:rPr lang="en-US" sz="800" dirty="0" err="1" smtClean="0">
              <a:latin typeface="+mn-lt"/>
            </a:rPr>
            <a:t>begin; $t_output.listcolumns("partnerzy").Range($cel_count,1).Value = $f.when_present.divs(:class =&gt; 'entityBox').map(&amp;:text).select{|element| element.split("\r\n")[0] =~ /PARTNERZY/}.join.split("\r\n").map{|i| i.strip}.reject(&amp;:empty? ).join("\r\n"); rescue;end</a:t>
          </a:r>
        </a:p>
        <a:p>
          <a:pPr indent="-274320">
            <a:spcAft>
              <a:spcPts val="900"/>
            </a:spcAft>
          </a:pPr>
          <a:r>
            <a:rPr lang="en-US" sz="800" dirty="0" err="1" smtClean="0">
              <a:latin typeface="+mn-lt"/>
            </a:rPr>
            <a:t>begin; $t_output.listcolumns("osoba_powolana").Range($cel_count,1).Value = $f.when_present.divs(:class =&gt; 'entityBox').map(&amp;:text).select{|element| element.split("\r\n")[0] =~ /OSOBA POWO.ANA/}.join.split("\r\n").map{|i| i.strip}.reject(&amp;:empty? ).join("\r\n"); rescue;end</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begin; $t_output.listcolumns("organ_zalozycielski_podmiot_tworzacy").Range($cel_count,1).Value = $f.when_present.divs(:class =&gt; 'entityBox').map(&amp;:text).select{|element| element.split("\r\n")[0] =~ /ORGAN ZA.O.YCIELSKI|PODMIOT TWORZ.CY/}.join.split("\r\n").map{|i| i.strip}.reject(&amp;:empty? ).join("\r\n"); rescue;end</a:t>
          </a:r>
        </a:p>
        <a:p>
          <a:pPr indent="-274320">
            <a:spcAft>
              <a:spcPts val="900"/>
            </a:spcAft>
          </a:pPr>
          <a:r>
            <a:rPr lang="en-US" sz="800" dirty="0" err="1" smtClean="0">
              <a:latin typeface="+mn-lt"/>
            </a:rPr>
            <a:t>begin; $t_output.listcolumns("powstanie").Range($cel_count,1).Value = $f.when_present.divs(:class =&gt; 'entityBox').map(&amp;:text).select{|element| element.split("\r\n")[0] =~ /POWSTANIE/}.join.split("\r\n").map{|i| i.strip}.reject(&amp;:empty? ).join("\r\n"); rescue;end</a:t>
          </a:r>
        </a:p>
        <a:p>
          <a:pPr indent="-274320">
            <a:spcAft>
              <a:spcPts val="900"/>
            </a:spcAft>
          </a:pPr>
          <a:r>
            <a:rPr lang="en-US" sz="800" dirty="0" err="1" smtClean="0">
              <a:latin typeface="+mn-lt"/>
            </a:rPr>
            <a:t>begin; $t_output.listcolumns("przeksztalcenie").Range($cel_count,1).Value = $f.when_present.divs(:class =&gt; 'entityBox').map(&amp;:text).select{|element| element.split("\r\n")[0] =~ /PRZEKSZTA.CENIE/}.join.split("\r\n").map{|i| i.strip}.reject(&amp;:empty? ).join("\r\n"); rescue;end</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begin; $t_output.listcolumns("likwidacja").Range($cel_count,1).Value = $f.when_present.divs(:class =&gt; 'entityBox').map(&amp;:text).select{|element| element.split("\r\n")[0] =~ /LIKWIDACJA/}.join.split("\r\n").map{|i| i.strip}.reject(&amp;:empty? ).join("\r\n"); rescue;end</a:t>
          </a:r>
        </a:p>
        <a:p>
          <a:pPr indent="-274320">
            <a:spcAft>
              <a:spcPts val="900"/>
            </a:spcAft>
          </a:pPr>
          <a:r>
            <a:rPr lang="en-US" sz="800" dirty="0" err="1" smtClean="0">
              <a:latin typeface="+mn-lt"/>
            </a:rPr>
            <a:t>begin; $t_output.listcolumns("oddzialy").Range($cel_count,1).Value = $f.when_present.divs(:class =&gt; 'entityBox').map(&amp;:text).select{|element| element.split("\r\n")[0] =~ /ODDZIA.Y/}.join.split("\r\n").map{|i| i.strip}.reject(&amp;:empty? ).join("\r\n"); rescue;end</a:t>
          </a:r>
        </a:p>
        <a:p>
          <a:pPr indent="-274320">
            <a:spcAft>
              <a:spcPts val="900"/>
            </a:spcAft>
          </a:pPr>
          <a:r>
            <a:rPr lang="en-US" sz="800" dirty="0" err="1" smtClean="0">
              <a:latin typeface="+mn-lt"/>
            </a:rPr>
            <a:t>begin; $t_output.listcolumns("podmioty_przejete").Range($cel_count,1).Value = $f.when_present.divs(:class =&gt; 'entityBox').map(&amp;:text).select{|element| element.split("\r\n")[0] =~ /PODMIOTY PRZEJ.TE/}.join.split("\r\n").map{|i| i.strip}.reject(&amp;:empty? ).join("\r\n"); rescue;end</a:t>
          </a:r>
        </a:p>
        <a:p>
          <a:pPr indent="-274320">
            <a:spcAft>
              <a:spcPts val="900"/>
            </a:spcAft>
          </a:pPr>
          <a:r>
            <a:rPr lang="en-US" sz="800" dirty="0" err="1" smtClean="0">
              <a:latin typeface="+mn-lt"/>
            </a:rPr>
            <a:t>begin; $t_output.listcolumns("postepowanie_upadlosciowe").Range($cel_count,1).Value = $f.when_present.divs(:class =&gt; 'entityBox').map(&amp;:text).select{|element| element.split("\r\n")[0] =~ /POST.POWANIE UPAD.O.CIOWE/}.join.split("\r\n").map{|i| i.strip}.reject(&amp;:empty? ).join("\r\n"); rescue;end</a:t>
          </a:r>
        </a:p>
        <a:p>
          <a:pPr indent="-274320">
            <a:spcAft>
              <a:spcPts val="900"/>
            </a:spcAft>
          </a:pPr>
          <a:r>
            <a:rPr lang="en-US" sz="800" dirty="0" err="1" smtClean="0">
              <a:latin typeface="+mn-lt"/>
            </a:rPr>
            <a:t>begin; $t_output.listcolumns("rozwiazanie_uniewaznienie").Range($cel_count,1).Value = $f.when_present.divs(:class =&gt; 'entityBox').map(&amp;:text).select{|element| element.split("\r\n")[0] =~ /ROZWI.ZANIE|UNIEWA.NIENIE/}.join.split("\r\n").map{|i| i.strip}.reject(&amp;:empty? ).join("\r\n"); rescue;end</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begin; $t_output.listcolumns("cel_dzialania_organizacji").Range($cel_count,1).Value = $f.when_present.divs(:class =&gt; 'entityBox').map(&amp;:text).select{|element| element.split("\r\n")[0] =~ /CEL DZIA.ANIA ORGANIZACJI/}.join.split("\r\n").map{|i| i.strip}.reject(&amp;:empty? ).join("\r\n"); rescue;end</a:t>
          </a:r>
        </a:p>
        <a:p>
          <a:pPr indent="-274320">
            <a:spcAft>
              <a:spcPts val="900"/>
            </a:spcAft>
          </a:pPr>
          <a:r>
            <a:rPr lang="en-US" sz="800" dirty="0" err="1" smtClean="0">
              <a:latin typeface="+mn-lt"/>
            </a:rPr>
            <a:t>begin; $t_output.listcolumns("przedmiot_dzialalnosci").Range($cel_count,1).Value = $f.when_present.divs(:class =&gt; 'entityBox').map(&amp;:text).select{|element| element.split("\r\n")[0] =~ /PRZEDMIOT DZIA.ALNO.CI/}.join.split("\r\n").map{|i| i.strip}.reject(&amp;:empty? ).join("\r\n"); rescue;end</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begin; $t_output.listcolumns("ogloszenia").Range($cel_count,1).Value = $f.when_present.divs(:class =&gt; 'entityBox').map(&amp;:text).select{|element| element.split("\r\n")[0] =~ /OG.OSZENIA/}.join.split("\r\n").map{|i| i.strip}.reject(&amp;:empty? ).join("\r\n"); rescue;end</a:t>
          </a:r>
        </a:p>
        <a:p>
          <a:pPr indent="-274320">
            <a:spcAft>
              <a:spcPts val="900"/>
            </a:spcAft>
          </a:pPr>
          <a:r>
            <a:rPr lang="en-US" sz="800" dirty="0" err="1" smtClean="0">
              <a:latin typeface="+mn-lt"/>
            </a:rPr>
            <a:t>begin; $t_output.listcolumns("informacje_o_zlozonych_sprawozdaniach").Range($cel_count,1).Value = $f.when_present.divs(:class =&gt; 'entityBox').map(&amp;:text).select{|element| element.split("\r\n")[0] =~ /INFORMACJE O Z.O.ONYCH SPRAWOZDANIACH/}.join.split("\r\n").map{|i| i.strip}.reject(&amp;:empty? ).join("\r\n"); rescue;end</a:t>
          </a:r>
        </a:p>
        <a:p>
          <a:pPr indent="-274320">
            <a:spcAft>
              <a:spcPts val="900"/>
            </a:spcAft>
          </a:pPr>
          <a:r>
            <a:rPr lang="en-US" sz="800" dirty="0" err="1" smtClean="0">
              <a:latin typeface="+mn-lt"/>
            </a:rPr>
            <a:t>begin; $t_output.listcolumns("raporty_handlowe_infocredit").Range($cel_count,1).Value = $f.when_present.divs(:class =&gt; 'entityBox').map(&amp;:text).select{|element| element.split("\r\n")[0] =~ /RAPORTY HANDLOWE INFOCREDIT/}.join.split("\r\n").map{|i| i.strip}.reject(&amp;:empty? ).join("\r\n"); rescue;end</a:t>
          </a:r>
        </a:p>
        <a:p>
          <a:pPr indent="-274320">
            <a:spcAft>
              <a:spcPts val="900"/>
            </a:spcAft>
          </a:pPr>
          <a:r>
            <a:rPr lang="en-US" sz="800" dirty="0" err="1" smtClean="0">
              <a:latin typeface="+mn-lt"/>
            </a:rPr>
            <a:t>begin; $t_output.listcolumns("sprawozdania_finansowe").Range($cel_count,1).Value = $f.when_present.divs(:class =&gt; 'entityBox').map(&amp;:text).select{|element| element.split("\r\n")[0] =~ /SPRAWOZDAN.. FINANSOWE/}.join.split("\r\n").map{|i| i.strip}.reject(&amp;:empty? ).join("\r\n"); rescue;end</a:t>
          </a:r>
        </a:p>
        <a:p>
          <a:pPr indent="-274320">
            <a:spcAft>
              <a:spcPts val="900"/>
            </a:spcAft>
          </a:pPr>
          <a:r>
            <a:rPr lang="en-US" sz="800" dirty="0" err="1" smtClean="0">
              <a:latin typeface="+mn-lt"/>
            </a:rPr>
            <a:t>begin; $t_output.listcolumns("uwagi").Range($cel_count,1).Value = $f.when_present.divs(:class =&gt; 'entityBox').map(&amp;:text).select{|element| element.split("\r\n")[0] =~ /UWAGI/}.join.split("\r\n").map{|i| i.strip}.reject(&amp;:empty? ).join("\r\n"); rescue;end</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begin; $t_output.listcolumns("data_wykreslenia_z_KRS").Range($cel_count,1).Value = $f.when_present.divs(:class =&gt; 'entityBox').map(&amp;:text).map{|element| element.split("\r\n")}.flatten.select{|element| element =~ /Data.+wykre.lenia z /}.join[-10..-1]; rescue;end</a:t>
          </a:r>
        </a:p>
        <a:p>
          <a:pPr indent="-274320">
            <a:spcAft>
              <a:spcPts val="900"/>
            </a:spcAft>
          </a:pPr>
          <a:r>
            <a:rPr lang="en-US" sz="800" dirty="0" err="1" smtClean="0">
              <a:latin typeface="+mn-lt"/>
            </a:rPr>
            <a:t>begin; $t_output.listcolumns("ulica").Range($cel_count,1).Value = $f.when_present.table(:class =&gt; 'tb-second-line').when_present.spans.collect(&amp;:text).reject(&amp;:empty? )[0].split(/[0-9]{2}.[0-9]{3}/)[0];rescue;end</a:t>
          </a:r>
        </a:p>
        <a:p>
          <a:pPr indent="-274320">
            <a:spcAft>
              <a:spcPts val="900"/>
            </a:spcAft>
          </a:pPr>
          <a:r>
            <a:rPr lang="en-US" sz="800" dirty="0" err="1" smtClean="0">
              <a:latin typeface="+mn-lt"/>
            </a:rPr>
            <a:t>begin; $t_output.listcolumns("ZIP").Range($cel_count,1).Value = $f.when_present.table(:class =&gt; 'tb-second-line').when_present.spans.collect(&amp;:text).reject(&amp;:empty? )[0].split.select{|element| element =~ /[0-9]{2}.[0-9]{3}/};rescue;end</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method_entityBox_data: end #############################################</a:t>
          </a:r>
        </a:p>
        <a:p>
          <a:pPr indent="-274320">
            <a:spcAft>
              <a:spcPts val="900"/>
            </a:spcAft>
          </a:pPr>
          <a:r>
            <a:rPr lang="en-US" sz="800" dirty="0" err="1" smtClean="0">
              <a:latin typeface="+mn-lt"/>
            </a:rPr>
            <a:t>################################################ entity_description: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method_direct_page_excel_output: start #######################################</a:t>
          </a:r>
        </a:p>
        <a:p>
          <a:pPr indent="-274320">
            <a:spcAft>
              <a:spcPts val="900"/>
            </a:spcAft>
          </a:pPr>
          <a:r>
            <a:rPr lang="en-US" sz="800" dirty="0" err="1" smtClean="0">
              <a:latin typeface="+mn-lt"/>
            </a:rPr>
            <a:t>def method_direct_page_excel_output</a:t>
          </a:r>
        </a:p>
        <a:p>
          <a:pPr indent="-274320">
            <a:spcAft>
              <a:spcPts val="900"/>
            </a:spcAft>
          </a:pPr>
          <a:r>
            <a:rPr lang="en-US" sz="800" dirty="0" err="1" smtClean="0">
              <a:latin typeface="+mn-lt"/>
            </a:rPr>
            <a:t>########################################### check_if_direct_page_loaded: start #########################################</a:t>
          </a:r>
        </a:p>
        <a:p>
          <a:pPr indent="-274320">
            <a:spcAft>
              <a:spcPts val="900"/>
            </a:spcAft>
          </a:pPr>
          <a:r>
            <a:rPr lang="en-US" sz="800" dirty="0" err="1" smtClean="0">
              <a:latin typeface="+mn-lt"/>
            </a:rPr>
            <a:t>if $b.tr(:class,'tr-elem-wersja').exist? then</a:t>
          </a:r>
        </a:p>
        <a:p>
          <a:pPr indent="-274320">
            <a:spcAft>
              <a:spcPts val="900"/>
            </a:spcAft>
          </a:pPr>
          <a:r>
            <a:rPr lang="en-US" sz="800" dirty="0" err="1" smtClean="0">
              <a:latin typeface="+mn-lt"/>
            </a:rPr>
            <a:t>############################################ direct_page_excel_output: start ###########################################</a:t>
          </a:r>
        </a:p>
        <a:p>
          <a:pPr indent="-274320">
            <a:spcAft>
              <a:spcPts val="900"/>
            </a:spcAft>
          </a:pPr>
          <a:r>
            <a:rPr lang="en-US" sz="800" dirty="0" err="1" smtClean="0">
              <a:latin typeface="+mn-lt"/>
            </a:rPr>
            <a:t>############################################## check_if_test_search: start #############################################</a:t>
          </a:r>
        </a:p>
        <a:p>
          <a:pPr indent="-274320">
            <a:spcAft>
              <a:spcPts val="900"/>
            </a:spcAft>
          </a:pPr>
          <a:r>
            <a:rPr lang="en-US" sz="800" dirty="0" err="1" smtClean="0">
              <a:latin typeface="+mn-lt"/>
            </a:rPr>
            <a:t>if $key[$i][$c_test] != 1 then</a:t>
          </a:r>
        </a:p>
        <a:p>
          <a:pPr indent="-274320">
            <a:spcAft>
              <a:spcPts val="900"/>
            </a:spcAft>
          </a:pPr>
          <a:r>
            <a:rPr lang="en-US" sz="800" dirty="0" err="1" smtClean="0">
              <a:latin typeface="+mn-lt"/>
            </a:rPr>
            <a:t>######################################### check_if_entity_history_needed: start ########################################</a:t>
          </a:r>
        </a:p>
        <a:p>
          <a:pPr indent="-274320">
            <a:spcAft>
              <a:spcPts val="900"/>
            </a:spcAft>
          </a:pPr>
          <a:r>
            <a:rPr lang="en-US" sz="800" dirty="0" err="1" smtClean="0">
              <a:latin typeface="+mn-lt"/>
            </a:rPr>
            <a:t>if	$key[$i][$c_history] != 1 then</a:t>
          </a:r>
        </a:p>
        <a:p>
          <a:pPr indent="-274320">
            <a:spcAft>
              <a:spcPts val="900"/>
            </a:spcAft>
          </a:pPr>
          <a:r>
            <a:rPr lang="en-US" sz="800" dirty="0" err="1" smtClean="0">
              <a:latin typeface="+mn-lt"/>
            </a:rPr>
            <a:t>$cel_count = $t_output.listrows.count + 2</a:t>
          </a:r>
        </a:p>
        <a:p>
          <a:pPr indent="-274320">
            <a:spcAft>
              <a:spcPts val="900"/>
            </a:spcAft>
          </a:pPr>
          <a:endParaRPr lang="en-US" sz="800" dirty="0" err="1" smtClean="0">
            <a:latin typeface="+mn-lt"/>
          </a:endParaRPr>
        </a:p>
        <a:p>
          <a:pPr indent="-274320">
            <a:spcAft>
              <a:spcPts val="900"/>
            </a:spcAft>
          </a:pPr>
          <a:r>
            <a:rPr lang="en-US" sz="800" dirty="0" err="1" smtClean="0">
              <a:latin typeface="+mn-lt"/>
            </a:rPr>
            <a:t>$f = $b.frame(:id =&gt; 'contentFrameRT')</a:t>
          </a:r>
        </a:p>
        <a:p>
          <a:pPr indent="-274320">
            <a:spcAft>
              <a:spcPts val="900"/>
            </a:spcAft>
          </a:pPr>
          <a:r>
            <a:rPr lang="en-US" sz="800" dirty="0" err="1" smtClean="0">
              <a:latin typeface="+mn-lt"/>
            </a:rPr>
            <a:t>method_distinct_page_ready</a:t>
          </a:r>
        </a:p>
        <a:p>
          <a:pPr indent="-274320">
            <a:spcAft>
              <a:spcPts val="900"/>
            </a:spcAft>
          </a:pPr>
          <a:r>
            <a:rPr lang="en-US" sz="800" dirty="0" err="1" smtClean="0">
              <a:latin typeface="+mn-lt"/>
            </a:rPr>
            <a:t>############################################ output_entity_description: start ##########################################</a:t>
          </a:r>
        </a:p>
        <a:p>
          <a:pPr indent="-274320">
            <a:spcAft>
              <a:spcPts val="900"/>
            </a:spcAft>
          </a:pPr>
          <a:r>
            <a:rPr lang="en-US" sz="800" dirty="0" err="1" smtClean="0">
              <a:latin typeface="+mn-lt"/>
            </a:rPr>
            <a:t>method_key_basic_info</a:t>
          </a:r>
        </a:p>
        <a:p>
          <a:pPr indent="-274320">
            <a:spcAft>
              <a:spcPts val="900"/>
            </a:spcAft>
          </a:pPr>
          <a:r>
            <a:rPr lang="en-US" sz="800" dirty="0" err="1" smtClean="0">
              <a:latin typeface="+mn-lt"/>
            </a:rPr>
            <a:t>method_entity_main_info</a:t>
          </a:r>
        </a:p>
        <a:p>
          <a:pPr indent="-274320">
            <a:spcAft>
              <a:spcPts val="900"/>
            </a:spcAft>
          </a:pPr>
          <a:r>
            <a:rPr lang="en-US" sz="800" dirty="0" err="1" smtClean="0">
              <a:latin typeface="+mn-lt"/>
            </a:rPr>
            <a:t>method_entity_address</a:t>
          </a:r>
        </a:p>
        <a:p>
          <a:pPr indent="-274320">
            <a:spcAft>
              <a:spcPts val="900"/>
            </a:spcAft>
          </a:pPr>
          <a:r>
            <a:rPr lang="en-US" sz="800" dirty="0" err="1" smtClean="0">
              <a:latin typeface="+mn-lt"/>
            </a:rPr>
            <a:t>method_entityBox_data</a:t>
          </a:r>
        </a:p>
        <a:p>
          <a:pPr indent="-274320">
            <a:spcAft>
              <a:spcPts val="900"/>
            </a:spcAft>
          </a:pPr>
          <a:r>
            <a:rPr lang="en-US" sz="800" dirty="0" err="1" smtClean="0">
              <a:latin typeface="+mn-lt"/>
            </a:rPr>
            <a:t>############################################# output_entity_description: end ###########################################</a:t>
          </a:r>
        </a:p>
        <a:p>
          <a:pPr indent="-274320">
            <a:spcAft>
              <a:spcPts val="900"/>
            </a:spcAft>
          </a:pPr>
          <a:r>
            <a:rPr lang="en-US" sz="800" dirty="0" err="1" smtClean="0">
              <a:latin typeface="+mn-lt"/>
            </a:rPr>
            <a:t>elsif $key[$i][$c_history] == 1 then</a:t>
          </a:r>
        </a:p>
        <a:p>
          <a:pPr indent="-274320">
            <a:spcAft>
              <a:spcPts val="900"/>
            </a:spcAft>
          </a:pPr>
          <a:r>
            <a:rPr lang="en-US" sz="800" dirty="0" err="1" smtClean="0">
              <a:latin typeface="+mn-lt"/>
            </a:rPr>
            <a:t>##################################### output_entity_description_with_history: start ####################################</a:t>
          </a:r>
        </a:p>
        <a:p>
          <a:pPr indent="-274320">
            <a:spcAft>
              <a:spcPts val="900"/>
            </a:spcAft>
          </a:pPr>
          <a:r>
            <a:rPr lang="en-US" sz="800" dirty="0" err="1" smtClean="0">
              <a:latin typeface="+mn-lt"/>
            </a:rPr>
            <a:t>$f = $b.frame(:id =&gt; 'contentFrameRB')</a:t>
          </a:r>
        </a:p>
        <a:p>
          <a:pPr indent="-274320">
            <a:spcAft>
              <a:spcPts val="900"/>
            </a:spcAft>
          </a:pPr>
          <a:r>
            <a:rPr lang="en-US" sz="800" dirty="0" err="1" smtClean="0">
              <a:latin typeface="+mn-lt"/>
            </a:rPr>
            <a:t>$history_count = $b.trs(:class,'wersje-tr-podmiot').count</a:t>
          </a:r>
        </a:p>
        <a:p>
          <a:pPr indent="-274320">
            <a:spcAft>
              <a:spcPts val="900"/>
            </a:spcAft>
          </a:pPr>
          <a:r>
            <a:rPr lang="en-US" sz="800" dirty="0" err="1" smtClean="0">
              <a:latin typeface="+mn-lt"/>
            </a:rPr>
            <a:t>################################# output_entity_description_for_each_from_history: start ###############################</a:t>
          </a:r>
        </a:p>
        <a:p>
          <a:pPr indent="-274320">
            <a:spcAft>
              <a:spcPts val="900"/>
            </a:spcAft>
          </a:pPr>
          <a:r>
            <a:rPr lang="en-US" sz="800" dirty="0" err="1" smtClean="0">
              <a:latin typeface="+mn-lt"/>
            </a:rPr>
            <a:t>for msig_num in 0..($history_count - 1)</a:t>
          </a:r>
        </a:p>
        <a:p>
          <a:pPr indent="-274320">
            <a:spcAft>
              <a:spcPts val="900"/>
            </a:spcAft>
          </a:pPr>
          <a:r>
            <a:rPr lang="en-US" sz="800" dirty="0" err="1" smtClean="0">
              <a:latin typeface="+mn-lt"/>
            </a:rPr>
            <a:t>$cel_count = $t_output.listrows.count + 2</a:t>
          </a:r>
        </a:p>
        <a:p>
          <a:pPr indent="-274320">
            <a:spcAft>
              <a:spcPts val="900"/>
            </a:spcAft>
          </a:pPr>
          <a:endParaRPr lang="en-US" sz="800" dirty="0" err="1" smtClean="0">
            <a:latin typeface="+mn-lt"/>
          </a:endParaRPr>
        </a:p>
        <a:p>
          <a:pPr indent="-274320">
            <a:spcAft>
              <a:spcPts val="900"/>
            </a:spcAft>
          </a:pPr>
          <a:r>
            <a:rPr lang="en-US" sz="800" dirty="0" err="1" smtClean="0">
              <a:latin typeface="+mn-lt"/>
            </a:rPr>
            <a:t>$b.tr(:class =&gt; 'wersje-tr-podmiot',:index =&gt; msig_num).click</a:t>
          </a:r>
        </a:p>
        <a:p>
          <a:pPr indent="-274320">
            <a:spcAft>
              <a:spcPts val="900"/>
            </a:spcAft>
          </a:pPr>
          <a:r>
            <a:rPr lang="en-US" sz="800" dirty="0" err="1" smtClean="0">
              <a:latin typeface="+mn-lt"/>
            </a:rPr>
            <a:t>method_distinct_page_ready</a:t>
          </a:r>
        </a:p>
        <a:p>
          <a:pPr indent="-274320">
            <a:spcAft>
              <a:spcPts val="900"/>
            </a:spcAft>
          </a:pPr>
          <a:r>
            <a:rPr lang="en-US" sz="800" dirty="0" err="1" smtClean="0">
              <a:latin typeface="+mn-lt"/>
            </a:rPr>
            <a:t>until $f.when_present.span(:class,'regSgt').text == $b.tr(:class =&gt; 'wersje-tr-podmiot',:index =&gt; msig_num).when_present.text.split[-1]; sleep(1) end</a:t>
          </a:r>
        </a:p>
        <a:p>
          <a:pPr indent="-274320">
            <a:spcAft>
              <a:spcPts val="900"/>
            </a:spcAft>
          </a:pPr>
          <a:r>
            <a:rPr lang="en-US" sz="800" dirty="0" err="1" smtClean="0">
              <a:latin typeface="+mn-lt"/>
            </a:rPr>
            <a:t>$t_output.listcolumns("history_hit").Range.Cells($cel_count,1).Value = (msig_num + 1).to_s + ' of ' + $history_count.to_s</a:t>
          </a:r>
        </a:p>
        <a:p>
          <a:pPr indent="-274320">
            <a:spcAft>
              <a:spcPts val="900"/>
            </a:spcAft>
          </a:pPr>
          <a:r>
            <a:rPr lang="en-US" sz="800" dirty="0" err="1" smtClean="0">
              <a:latin typeface="+mn-lt"/>
            </a:rPr>
            <a:t>############################################ output_entity_description: start ##########################################</a:t>
          </a:r>
        </a:p>
        <a:p>
          <a:pPr indent="-274320">
            <a:spcAft>
              <a:spcPts val="900"/>
            </a:spcAft>
          </a:pPr>
          <a:r>
            <a:rPr lang="en-US" sz="800" dirty="0" err="1" smtClean="0">
              <a:latin typeface="+mn-lt"/>
            </a:rPr>
            <a:t>method_key_basic_info</a:t>
          </a:r>
        </a:p>
        <a:p>
          <a:pPr indent="-274320">
            <a:spcAft>
              <a:spcPts val="900"/>
            </a:spcAft>
          </a:pPr>
          <a:r>
            <a:rPr lang="en-US" sz="800" dirty="0" err="1" smtClean="0">
              <a:latin typeface="+mn-lt"/>
            </a:rPr>
            <a:t>method_entity_main_info</a:t>
          </a:r>
        </a:p>
        <a:p>
          <a:pPr indent="-274320">
            <a:spcAft>
              <a:spcPts val="900"/>
            </a:spcAft>
          </a:pPr>
          <a:r>
            <a:rPr lang="en-US" sz="800" dirty="0" err="1" smtClean="0">
              <a:latin typeface="+mn-lt"/>
            </a:rPr>
            <a:t>method_entity_address</a:t>
          </a:r>
        </a:p>
        <a:p>
          <a:pPr indent="-274320">
            <a:spcAft>
              <a:spcPts val="900"/>
            </a:spcAft>
          </a:pPr>
          <a:r>
            <a:rPr lang="en-US" sz="800" dirty="0" err="1" smtClean="0">
              <a:latin typeface="+mn-lt"/>
            </a:rPr>
            <a:t>method_entityBox_data</a:t>
          </a:r>
        </a:p>
        <a:p>
          <a:pPr indent="-274320">
            <a:spcAft>
              <a:spcPts val="900"/>
            </a:spcAft>
          </a:pPr>
          <a:r>
            <a:rPr lang="en-US" sz="800" dirty="0" err="1" smtClean="0">
              <a:latin typeface="+mn-lt"/>
            </a:rPr>
            <a:t>############################################# output_entity_description: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output_entity_description_for_each_from_history: end ################################</a:t>
          </a:r>
        </a:p>
        <a:p>
          <a:pPr indent="-274320">
            <a:spcAft>
              <a:spcPts val="900"/>
            </a:spcAft>
          </a:pPr>
          <a:r>
            <a:rPr lang="en-US" sz="800" dirty="0" err="1" smtClean="0">
              <a:latin typeface="+mn-lt"/>
            </a:rPr>
            <a:t>$f = $b.frame(:id =&gt; 'contentFrameRT')</a:t>
          </a:r>
        </a:p>
        <a:p>
          <a:pPr indent="-274320">
            <a:spcAft>
              <a:spcPts val="900"/>
            </a:spcAft>
          </a:pPr>
          <a:r>
            <a:rPr lang="en-US" sz="800" dirty="0" err="1" smtClean="0">
              <a:latin typeface="+mn-lt"/>
            </a:rPr>
            <a:t>###################################### output_entity_description_with_history: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check_if_entity_history_needed: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check_if_test_search: end ##############################################</a:t>
          </a:r>
        </a:p>
        <a:p>
          <a:pPr indent="-274320">
            <a:spcAft>
              <a:spcPts val="900"/>
            </a:spcAft>
          </a:pPr>
          <a:r>
            <a:rPr lang="en-US" sz="800" dirty="0" err="1" smtClean="0">
              <a:latin typeface="+mn-lt"/>
            </a:rPr>
            <a:t>##################################### output_performance_data_to_input_table: start ####################################</a:t>
          </a:r>
        </a:p>
        <a:p>
          <a:pPr indent="-274320">
            <a:spcAft>
              <a:spcPts val="900"/>
            </a:spcAft>
          </a:pPr>
          <a:r>
            <a:rPr lang="en-US" sz="800" dirty="0" err="1" smtClean="0">
              <a:latin typeface="+mn-lt"/>
            </a:rPr>
            <a:t>method_output_to_input_table</a:t>
          </a:r>
        </a:p>
        <a:p>
          <a:pPr indent="-274320">
            <a:spcAft>
              <a:spcPts val="900"/>
            </a:spcAft>
          </a:pPr>
          <a:r>
            <a:rPr lang="en-US" sz="800" dirty="0" err="1" smtClean="0">
              <a:latin typeface="+mn-lt"/>
            </a:rPr>
            <a:t>$output_string.Cells($input_i,1).Value = 1</a:t>
          </a:r>
        </a:p>
        <a:p>
          <a:pPr indent="-274320">
            <a:spcAft>
              <a:spcPts val="900"/>
            </a:spcAft>
          </a:pPr>
          <a:r>
            <a:rPr lang="en-US" sz="800" dirty="0" err="1" smtClean="0">
              <a:latin typeface="+mn-lt"/>
            </a:rPr>
            <a:t>###################################### output_performance_data_to_input_table: end #####################################</a:t>
          </a:r>
        </a:p>
        <a:p>
          <a:pPr indent="-274320">
            <a:spcAft>
              <a:spcPts val="900"/>
            </a:spcAft>
          </a:pPr>
          <a:r>
            <a:rPr lang="en-US" sz="800" dirty="0" err="1" smtClean="0">
              <a:latin typeface="+mn-lt"/>
            </a:rPr>
            <a:t>############################################# direct_page_excel_output: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check_if_direct_page_loaded: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method_direct_page_excel_output: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method_collect_links: start #############################################</a:t>
          </a:r>
        </a:p>
        <a:p>
          <a:pPr indent="-274320">
            <a:spcAft>
              <a:spcPts val="900"/>
            </a:spcAft>
          </a:pPr>
          <a:r>
            <a:rPr lang="en-US" sz="800" dirty="0" err="1" smtClean="0">
              <a:latin typeface="+mn-lt"/>
            </a:rPr>
            <a:t>def method_collect_links</a:t>
          </a:r>
        </a:p>
        <a:p>
          <a:pPr indent="-274320">
            <a:spcAft>
              <a:spcPts val="900"/>
            </a:spcAft>
          </a:pPr>
          <a:r>
            <a:rPr lang="en-US" sz="800" dirty="0" err="1" smtClean="0">
              <a:latin typeface="+mn-lt"/>
            </a:rPr>
            <a:t>$d_allresults = $b.td(:id,'allResults').when_present.text.to_i</a:t>
          </a:r>
        </a:p>
        <a:p>
          <a:pPr indent="-274320">
            <a:spcAft>
              <a:spcPts val="900"/>
            </a:spcAft>
          </a:pPr>
          <a:r>
            <a:rPr lang="en-US" sz="800" dirty="0" err="1" smtClean="0">
              <a:latin typeface="+mn-lt"/>
            </a:rPr>
            <a:t>d_lastresult = $b.td(:id,'lastResult').when_present.text.to_i</a:t>
          </a:r>
        </a:p>
        <a:p>
          <a:pPr indent="-274320">
            <a:spcAft>
              <a:spcPts val="900"/>
            </a:spcAft>
          </a:pPr>
          <a:r>
            <a:rPr lang="en-US" sz="800" dirty="0" err="1" smtClean="0">
              <a:latin typeface="+mn-lt"/>
            </a:rPr>
            <a:t>########################################### collect_links_from_1st_page: start #########################################</a:t>
          </a:r>
        </a:p>
        <a:p>
          <a:pPr indent="-274320">
            <a:spcAft>
              <a:spcPts val="900"/>
            </a:spcAft>
          </a:pPr>
          <a:r>
            <a:rPr lang="en-US" sz="800" dirty="0" err="1" smtClean="0">
              <a:latin typeface="+mn-lt"/>
            </a:rPr>
            <a:t>$li = $b.links(:class =&gt; 'lexTitle').collect(&amp;:href).to_a</a:t>
          </a:r>
        </a:p>
        <a:p>
          <a:pPr indent="-274320">
            <a:spcAft>
              <a:spcPts val="900"/>
            </a:spcAft>
          </a:pPr>
          <a:r>
            <a:rPr lang="en-US" sz="800" dirty="0" err="1" smtClean="0">
              <a:latin typeface="+mn-lt"/>
            </a:rPr>
            <a:t>############################################ collect_links_from_1st_page: end ##########################################</a:t>
          </a:r>
        </a:p>
        <a:p>
          <a:pPr indent="-274320">
            <a:spcAft>
              <a:spcPts val="900"/>
            </a:spcAft>
          </a:pPr>
          <a:r>
            <a:rPr lang="en-US" sz="800" dirty="0" err="1" smtClean="0">
              <a:latin typeface="+mn-lt"/>
            </a:rPr>
            <a:t>########################################### check_if_other_pages_exists: start #########################################</a:t>
          </a:r>
        </a:p>
        <a:p>
          <a:pPr indent="-274320">
            <a:spcAft>
              <a:spcPts val="900"/>
            </a:spcAft>
          </a:pPr>
          <a:r>
            <a:rPr lang="en-US" sz="800" dirty="0" err="1" smtClean="0">
              <a:latin typeface="+mn-lt"/>
            </a:rPr>
            <a:t>if $d_allresults != d_lastresult then</a:t>
          </a:r>
        </a:p>
        <a:p>
          <a:pPr indent="-274320">
            <a:spcAft>
              <a:spcPts val="900"/>
            </a:spcAft>
          </a:pPr>
          <a:r>
            <a:rPr lang="en-US" sz="800" dirty="0" err="1" smtClean="0">
              <a:latin typeface="+mn-lt"/>
            </a:rPr>
            <a:t>######################################### collect_links_from_other_pages: start ########################################</a:t>
          </a:r>
        </a:p>
        <a:p>
          <a:pPr indent="-274320">
            <a:spcAft>
              <a:spcPts val="900"/>
            </a:spcAft>
          </a:pPr>
          <a:r>
            <a:rPr lang="en-US" sz="800" dirty="0" err="1" smtClean="0">
              <a:latin typeface="+mn-lt"/>
            </a:rPr>
            <a:t>($d_allresults/d_lastresult).times do</a:t>
          </a:r>
        </a:p>
        <a:p>
          <a:pPr indent="-274320">
            <a:spcAft>
              <a:spcPts val="900"/>
            </a:spcAft>
          </a:pPr>
          <a:r>
            <a:rPr lang="en-US" sz="800" dirty="0" err="1" smtClean="0">
              <a:latin typeface="+mn-lt"/>
            </a:rPr>
            <a:t>$b.img(:src =&gt; 'http://lex.online.wolterskluwer.pl/WKPLOnline/icons/toolbars/navigation/nastepny.png').when_present.click</a:t>
          </a:r>
        </a:p>
        <a:p>
          <a:pPr indent="-274320">
            <a:spcAft>
              <a:spcPts val="900"/>
            </a:spcAft>
          </a:pPr>
          <a:r>
            <a:rPr lang="en-US" sz="800" dirty="0" err="1" smtClean="0">
              <a:latin typeface="+mn-lt"/>
            </a:rPr>
            <a:t>until $b.links(:class =&gt; 'lexTitle').count == $b.td(:id,'lastResult').when_present.text.to_i - $b.td(:id,'firstResult').when_present.text.to_i + 1</a:t>
          </a:r>
        </a:p>
        <a:p>
          <a:pPr indent="-274320">
            <a:spcAft>
              <a:spcPts val="900"/>
            </a:spcAft>
          </a:pPr>
          <a:r>
            <a:rPr lang="en-US" sz="800" dirty="0" err="1" smtClean="0">
              <a:latin typeface="+mn-lt"/>
            </a:rPr>
            <a:t>sleep(2) end</a:t>
          </a:r>
        </a:p>
        <a:p>
          <a:pPr indent="-274320">
            <a:spcAft>
              <a:spcPts val="900"/>
            </a:spcAft>
          </a:pPr>
          <a:r>
            <a:rPr lang="en-US" sz="800" dirty="0" err="1" smtClean="0">
              <a:latin typeface="+mn-lt"/>
            </a:rPr>
            <a:t>$li += $b.links(:class =&gt; 'lexTitle').collect(&amp;:href).to_a</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collect_links_from_other_pages: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check_if_other_pages_exists: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method_collect_links: end ##############################################</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CRAWLER: start ###################################################</a:t>
          </a:r>
        </a:p>
        <a:p>
          <a:pPr indent="-274320">
            <a:spcAft>
              <a:spcPts val="900"/>
            </a:spcAft>
          </a:pPr>
          <a:r>
            <a:rPr lang="en-US" sz="800" dirty="0" err="1" smtClean="0">
              <a:latin typeface="+mn-lt"/>
            </a:rPr>
            <a:t>for $i in 0..($key.length-1)</a:t>
          </a:r>
        </a:p>
        <a:p>
          <a:pPr indent="-274320">
            <a:spcAft>
              <a:spcPts val="900"/>
            </a:spcAft>
          </a:pPr>
          <a:r>
            <a:rPr lang="en-US" sz="800" dirty="0" err="1" smtClean="0">
              <a:latin typeface="+mn-lt"/>
            </a:rPr>
            <a:t>##################################################### search: start ####################################################</a:t>
          </a:r>
        </a:p>
        <a:p>
          <a:pPr indent="-274320">
            <a:spcAft>
              <a:spcPts val="900"/>
            </a:spcAft>
          </a:pPr>
          <a:r>
            <a:rPr lang="en-US" sz="800" dirty="0" err="1" smtClean="0">
              <a:latin typeface="+mn-lt"/>
            </a:rPr>
            <a:t>if $key[$i][$c_input] == 0 then method_search_podmioty</a:t>
          </a:r>
        </a:p>
        <a:p>
          <a:pPr indent="-274320">
            <a:spcAft>
              <a:spcPts val="900"/>
            </a:spcAft>
          </a:pPr>
          <a:r>
            <a:rPr lang="en-US" sz="800" dirty="0" err="1" smtClean="0">
              <a:latin typeface="+mn-lt"/>
            </a:rPr>
            <a:t>elsif $key[$i][$c_input] == 1 then method_search_powiazania end</a:t>
          </a:r>
        </a:p>
        <a:p>
          <a:pPr indent="-274320">
            <a:spcAft>
              <a:spcPts val="900"/>
            </a:spcAft>
          </a:pPr>
          <a:r>
            <a:rPr lang="en-US" sz="800" dirty="0" err="1" smtClean="0">
              <a:latin typeface="+mn-lt"/>
            </a:rPr>
            <a:t>method_page_is_ready</a:t>
          </a:r>
        </a:p>
        <a:p>
          <a:pPr indent="-274320">
            <a:spcAft>
              <a:spcPts val="900"/>
            </a:spcAft>
          </a:pPr>
          <a:r>
            <a:rPr lang="en-US" sz="800" dirty="0" err="1" smtClean="0">
              <a:latin typeface="+mn-lt"/>
            </a:rPr>
            <a:t>$hit_info = '1 of 1'</a:t>
          </a:r>
        </a:p>
        <a:p>
          <a:pPr indent="-274320">
            <a:spcAft>
              <a:spcPts val="900"/>
            </a:spcAft>
          </a:pPr>
          <a:r>
            <a:rPr lang="en-US" sz="800" dirty="0" err="1" smtClean="0">
              <a:latin typeface="+mn-lt"/>
            </a:rPr>
            <a:t>###################################################### search: end #####################################################</a:t>
          </a:r>
        </a:p>
        <a:p>
          <a:pPr indent="-274320">
            <a:spcAft>
              <a:spcPts val="900"/>
            </a:spcAft>
          </a:pPr>
          <a:r>
            <a:rPr lang="en-US" sz="800" dirty="0" err="1" smtClean="0">
              <a:latin typeface="+mn-lt"/>
            </a:rPr>
            <a:t>method_lack_of_result</a:t>
          </a:r>
        </a:p>
        <a:p>
          <a:pPr indent="-274320">
            <a:spcAft>
              <a:spcPts val="900"/>
            </a:spcAft>
          </a:pPr>
          <a:r>
            <a:rPr lang="en-US" sz="800" dirty="0" err="1" smtClean="0">
              <a:latin typeface="+mn-lt"/>
            </a:rPr>
            <a:t>################################################### direct_page: start #################################################</a:t>
          </a:r>
        </a:p>
        <a:p>
          <a:pPr indent="-274320">
            <a:spcAft>
              <a:spcPts val="900"/>
            </a:spcAft>
          </a:pPr>
          <a:r>
            <a:rPr lang="en-US" sz="800" dirty="0" err="1" smtClean="0">
              <a:latin typeface="+mn-lt"/>
            </a:rPr>
            <a:t>method_direct_page_excel_output</a:t>
          </a:r>
        </a:p>
        <a:p>
          <a:pPr indent="-274320">
            <a:spcAft>
              <a:spcPts val="900"/>
            </a:spcAft>
          </a:pPr>
          <a:r>
            <a:rPr lang="en-US" sz="800" dirty="0" err="1" smtClean="0">
              <a:latin typeface="+mn-lt"/>
            </a:rPr>
            <a:t>#################################################### direct_page: end ##################################################</a:t>
          </a:r>
        </a:p>
        <a:p>
          <a:pPr indent="-274320">
            <a:spcAft>
              <a:spcPts val="900"/>
            </a:spcAft>
          </a:pPr>
          <a:r>
            <a:rPr lang="en-US" sz="800" dirty="0" err="1" smtClean="0">
              <a:latin typeface="+mn-lt"/>
            </a:rPr>
            <a:t>################################################## indirect_page: start ################################################</a:t>
          </a:r>
        </a:p>
        <a:p>
          <a:pPr indent="-274320">
            <a:spcAft>
              <a:spcPts val="900"/>
            </a:spcAft>
          </a:pPr>
          <a:r>
            <a:rPr lang="en-US" sz="800" dirty="0" err="1" smtClean="0">
              <a:latin typeface="+mn-lt"/>
            </a:rPr>
            <a:t>if $b.td(:id,'lastResult').exist? then</a:t>
          </a:r>
        </a:p>
        <a:p>
          <a:pPr indent="-274320">
            <a:spcAft>
              <a:spcPts val="900"/>
            </a:spcAft>
          </a:pPr>
          <a:r>
            <a:rPr lang="en-US" sz="800" dirty="0" err="1" smtClean="0">
              <a:latin typeface="+mn-lt"/>
            </a:rPr>
            <a:t>method_collect_links</a:t>
          </a:r>
        </a:p>
        <a:p>
          <a:pPr indent="-274320">
            <a:spcAft>
              <a:spcPts val="900"/>
            </a:spcAft>
          </a:pPr>
          <a:r>
            <a:rPr lang="en-US" sz="800" dirty="0" err="1" smtClean="0">
              <a:latin typeface="+mn-lt"/>
            </a:rPr>
            <a:t>##################################### output_performance_data_to_input_table: start ####################################</a:t>
          </a:r>
        </a:p>
        <a:p>
          <a:pPr indent="-274320">
            <a:spcAft>
              <a:spcPts val="900"/>
            </a:spcAft>
          </a:pPr>
          <a:r>
            <a:rPr lang="en-US" sz="800" dirty="0" err="1" smtClean="0">
              <a:latin typeface="+mn-lt"/>
            </a:rPr>
            <a:t>method_output_to_input_table</a:t>
          </a:r>
        </a:p>
        <a:p>
          <a:pPr indent="-274320">
            <a:spcAft>
              <a:spcPts val="900"/>
            </a:spcAft>
          </a:pPr>
          <a:r>
            <a:rPr lang="en-US" sz="800" dirty="0" err="1" smtClean="0">
              <a:latin typeface="+mn-lt"/>
            </a:rPr>
            <a:t>$output_string.Cells($input_i,1).Value = $d_allresults</a:t>
          </a:r>
        </a:p>
        <a:p>
          <a:pPr indent="-274320">
            <a:spcAft>
              <a:spcPts val="900"/>
            </a:spcAft>
          </a:pPr>
          <a:r>
            <a:rPr lang="en-US" sz="800" dirty="0" err="1" smtClean="0">
              <a:latin typeface="+mn-lt"/>
            </a:rPr>
            <a:t>###################################### output_performance_data_to_input_table: end #####################################</a:t>
          </a:r>
        </a:p>
        <a:p>
          <a:pPr indent="-274320">
            <a:spcAft>
              <a:spcPts val="900"/>
            </a:spcAft>
          </a:pPr>
          <a:r>
            <a:rPr lang="en-US" sz="800" dirty="0" err="1" smtClean="0">
              <a:latin typeface="+mn-lt"/>
            </a:rPr>
            <a:t>############################################## check_if_test_search: start #############################################</a:t>
          </a:r>
        </a:p>
        <a:p>
          <a:pPr indent="-274320">
            <a:spcAft>
              <a:spcPts val="900"/>
            </a:spcAft>
          </a:pPr>
          <a:r>
            <a:rPr lang="en-US" sz="800" dirty="0" err="1" smtClean="0">
              <a:latin typeface="+mn-lt"/>
            </a:rPr>
            <a:t>if $key[$i][$c_test] != 1 then</a:t>
          </a:r>
        </a:p>
        <a:p>
          <a:pPr indent="-274320">
            <a:spcAft>
              <a:spcPts val="900"/>
            </a:spcAft>
          </a:pPr>
          <a:r>
            <a:rPr lang="en-US" sz="800" dirty="0" err="1" smtClean="0">
              <a:latin typeface="+mn-lt"/>
            </a:rPr>
            <a:t>################################## walk_through_links_get_data_from_direct_page: start #################################</a:t>
          </a:r>
        </a:p>
        <a:p>
          <a:pPr indent="-274320">
            <a:spcAft>
              <a:spcPts val="900"/>
            </a:spcAft>
          </a:pPr>
          <a:r>
            <a:rPr lang="en-US" sz="800" dirty="0" err="1" smtClean="0">
              <a:latin typeface="+mn-lt"/>
            </a:rPr>
            <a:t>for $li_index in 0..($li.count - 1)</a:t>
          </a:r>
        </a:p>
        <a:p>
          <a:pPr indent="-274320">
            <a:spcAft>
              <a:spcPts val="900"/>
            </a:spcAft>
          </a:pPr>
          <a:r>
            <a:rPr lang="en-US" sz="800" dirty="0" err="1" smtClean="0">
              <a:latin typeface="+mn-lt"/>
            </a:rPr>
            <a:t>$b.goto $li[$li_index]</a:t>
          </a:r>
        </a:p>
        <a:p>
          <a:pPr indent="-274320">
            <a:spcAft>
              <a:spcPts val="900"/>
            </a:spcAft>
          </a:pPr>
          <a:r>
            <a:rPr lang="en-US" sz="800" dirty="0" err="1" smtClean="0">
              <a:latin typeface="+mn-lt"/>
            </a:rPr>
            <a:t>method_distinct_page_ready</a:t>
          </a:r>
        </a:p>
        <a:p>
          <a:pPr indent="-274320">
            <a:spcAft>
              <a:spcPts val="900"/>
            </a:spcAft>
          </a:pPr>
          <a:r>
            <a:rPr lang="en-US" sz="800" dirty="0" err="1" smtClean="0">
              <a:latin typeface="+mn-lt"/>
            </a:rPr>
            <a:t>until $f.when_present.text.include? $li[$li_index].split("nro=")[1].split("&amp;")[0]; sleep(1) end</a:t>
          </a:r>
        </a:p>
        <a:p>
          <a:pPr indent="-274320">
            <a:spcAft>
              <a:spcPts val="900"/>
            </a:spcAft>
          </a:pPr>
          <a:r>
            <a:rPr lang="en-US" sz="800" dirty="0" err="1" smtClean="0">
              <a:latin typeface="+mn-lt"/>
            </a:rPr>
            <a:t>$hit_info = (1 + $li_index).to_s + ' of ' + $d_allresults.to_s</a:t>
          </a:r>
        </a:p>
        <a:p>
          <a:pPr indent="-274320">
            <a:spcAft>
              <a:spcPts val="900"/>
            </a:spcAft>
          </a:pPr>
          <a:r>
            <a:rPr lang="en-US" sz="800" dirty="0" err="1" smtClean="0">
              <a:latin typeface="+mn-lt"/>
            </a:rPr>
            <a:t>method_direct_page_excel_output</a:t>
          </a:r>
        </a:p>
        <a:p>
          <a:pPr indent="-274320">
            <a:spcAft>
              <a:spcPts val="900"/>
            </a:spcAft>
          </a:pPr>
          <a:r>
            <a:rPr lang="en-US" sz="800" dirty="0" err="1" smtClean="0">
              <a:latin typeface="+mn-lt"/>
            </a:rPr>
            <a:t>##################################### output_performance_data_to_input_table: start ####################################</a:t>
          </a:r>
        </a:p>
        <a:p>
          <a:pPr indent="-274320">
            <a:spcAft>
              <a:spcPts val="900"/>
            </a:spcAft>
          </a:pPr>
          <a:r>
            <a:rPr lang="en-US" sz="800" dirty="0" err="1" smtClean="0">
              <a:latin typeface="+mn-lt"/>
            </a:rPr>
            <a:t>method_output_to_input_table</a:t>
          </a:r>
        </a:p>
        <a:p>
          <a:pPr indent="-274320">
            <a:spcAft>
              <a:spcPts val="900"/>
            </a:spcAft>
          </a:pPr>
          <a:r>
            <a:rPr lang="en-US" sz="800" dirty="0" err="1" smtClean="0">
              <a:latin typeface="+mn-lt"/>
            </a:rPr>
            <a:t>$output_string.Cells($input_i,1).Value = (1 + $li_index).to_s + ' of ' + $d_allresults.to_s</a:t>
          </a:r>
        </a:p>
        <a:p>
          <a:pPr indent="-274320">
            <a:spcAft>
              <a:spcPts val="900"/>
            </a:spcAft>
          </a:pPr>
          <a:r>
            <a:rPr lang="en-US" sz="800" dirty="0" err="1" smtClean="0">
              <a:latin typeface="+mn-lt"/>
            </a:rPr>
            <a:t>###################################### output_performance_data_to_input_table: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walk_through_links_get_data_from_direct_page: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check_if_test_search: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indirect_page: end #################################################</a:t>
          </a:r>
        </a:p>
        <a:p>
          <a:pPr indent="-274320">
            <a:spcAft>
              <a:spcPts val="900"/>
            </a:spcAft>
          </a:pPr>
          <a:r>
            <a:rPr lang="en-US" sz="800" dirty="0" err="1" smtClean="0">
              <a:latin typeface="+mn-lt"/>
            </a:rPr>
            <a:t>end</a:t>
          </a:r>
        </a:p>
        <a:p>
          <a:pPr indent="-274320">
            <a:spcAft>
              <a:spcPts val="900"/>
            </a:spcAft>
          </a:pPr>
          <a:r>
            <a:rPr lang="en-US" sz="800" dirty="0" err="1" smtClean="0">
              <a:latin typeface="+mn-lt"/>
            </a:rPr>
            <a:t>###################################################### CRAWLER: end ####################################################</a:t>
          </a:r>
        </a:p>
        <a:p>
          <a:pPr indent="-274320">
            <a:spcAft>
              <a:spcPts val="900"/>
            </a:spcAft>
          </a:pPr>
          <a:r>
            <a:rPr lang="en-US" sz="800" dirty="0" err="1" smtClean="0">
              <a:latin typeface="+mn-lt"/>
            </a:rPr>
            <a:t>$b.close</a:t>
          </a:r>
        </a:p>
        <a:p>
          <a:pPr indent="-274320">
            <a:spcAft>
              <a:spcPts val="900"/>
            </a:spcAft>
          </a:pPr>
          <a:endParaRPr lang="en-US" sz="800" dirty="0" err="1" smtClean="0">
            <a:latin typeface="+mn-lt"/>
          </a:endParaRPr>
        </a:p>
        <a:p>
          <a:pPr indent="-274320">
            <a:spcAft>
              <a:spcPts val="900"/>
            </a:spcAft>
          </a:pPr>
          <a:r>
            <a:rPr lang="en-US" sz="800" dirty="0" err="1" smtClean="0">
              <a:latin typeface="+mn-lt"/>
            </a:rPr>
            <a:t># system('del C:\users\olevchun001\documents\ipg_reader\temp*')</a:t>
          </a:r>
        </a:p>
        <a:p>
          <a:pPr indent="-274320">
            <a:spcAft>
              <a:spcPts val="900"/>
            </a:spcAft>
          </a:pPr>
          <a:r>
            <a:rPr lang="en-US" sz="800" dirty="0" err="1" smtClean="0">
              <a:latin typeface="+mn-lt"/>
            </a:rPr>
            <a:t># filename='C:\users\olevchun001\documents\ipg_reader\temp_frame.html'; File.open(filename, 'w') {|file| file.puts $f.txt}</a:t>
          </a:r>
        </a:p>
      </xdr:txBody>
    </xdr:sp>
    <xdr:clientData/>
  </xdr:twoCellAnchor>
</xdr:wsDr>
</file>

<file path=xl/tables/table1.xml><?xml version="1.0" encoding="utf-8"?>
<table xmlns="http://schemas.openxmlformats.org/spreadsheetml/2006/main" id="1" name="input" displayName="input" ref="B12:L13" insertRow="1" totalsRowShown="0">
  <autoFilter ref="B12:L13"/>
  <tableColumns count="11">
    <tableColumn id="7" name="Comment"/>
    <tableColumn id="8" name="Wynik"/>
    <tableColumn id="13" name="Test"/>
    <tableColumn id="9" name="History"/>
    <tableColumn id="1" name="Nazwa" dataDxfId="134"/>
    <tableColumn id="2" name="KRS" dataDxfId="133"/>
    <tableColumn id="3" name="REGON" dataDxfId="132"/>
    <tableColumn id="4" name="NIP" dataDxfId="131"/>
    <tableColumn id="5" name="Miejscowosc" dataDxfId="130" dataCellStyle="Normal 71"/>
    <tableColumn id="12" name="Ulica" dataDxfId="129" dataCellStyle="Normal 71"/>
    <tableColumn id="6" name="ZIP" dataDxfId="128" dataCellStyle="Normal 71"/>
  </tableColumns>
  <tableStyleInfo name="TableStyleLight11" showFirstColumn="0" showLastColumn="0" showRowStripes="1" showColumnStripes="0"/>
</table>
</file>

<file path=xl/tables/table2.xml><?xml version="1.0" encoding="utf-8"?>
<table xmlns="http://schemas.openxmlformats.org/spreadsheetml/2006/main" id="3" name="input2" displayName="input2" ref="N12:Z13" totalsRowShown="0">
  <autoFilter ref="N12:Z13"/>
  <tableColumns count="13">
    <tableColumn id="13" name="Comment"/>
    <tableColumn id="10" name="Wynik" dataDxfId="127"/>
    <tableColumn id="11" name="Test" dataDxfId="126"/>
    <tableColumn id="12" name="History" dataDxfId="125"/>
    <tableColumn id="1" name="Podmiot_Osoba" dataDxfId="124"/>
    <tableColumn id="9" name="Imie" dataDxfId="123"/>
    <tableColumn id="2" name="PESEL" dataDxfId="122"/>
    <tableColumn id="3" name="KRS" dataDxfId="121"/>
    <tableColumn id="4" name="REGON" dataDxfId="120"/>
    <tableColumn id="7" name="Nazwa_podmiotu" dataDxfId="119"/>
    <tableColumn id="5" name="Miejscowosc" dataDxfId="118" dataCellStyle="Normal 2"/>
    <tableColumn id="6" name="Ulica" dataDxfId="117" dataCellStyle="Normal 2"/>
    <tableColumn id="8" name="ZIP" dataDxfId="116"/>
  </tableColumns>
  <tableStyleInfo name="TableStyleLight8" showFirstColumn="0" showLastColumn="0" showRowStripes="1" showColumnStripes="0"/>
</table>
</file>

<file path=xl/tables/table3.xml><?xml version="1.0" encoding="utf-8"?>
<table xmlns="http://schemas.openxmlformats.org/spreadsheetml/2006/main" id="2" name="oexLinks" displayName="oexLinks" ref="AB12:AC13" insertRow="1" totalsRowShown="0">
  <autoFilter ref="AB12:AC13"/>
  <tableColumns count="2">
    <tableColumn id="1" name="key" dataDxfId="115"/>
    <tableColumn id="2" name="links" dataDxfId="114"/>
  </tableColumns>
  <tableStyleInfo name="TableStyleLight2" showFirstColumn="0" showLastColumn="0" showRowStripes="1" showColumnStripes="0"/>
</table>
</file>

<file path=xl/tables/table4.xml><?xml version="1.0" encoding="utf-8"?>
<table xmlns="http://schemas.openxmlformats.org/spreadsheetml/2006/main" id="4" name="clear_result" displayName="clear_result" ref="B2:AZ26" totalsRowShown="0" headerRowDxfId="108" dataDxfId="107">
  <autoFilter ref="B2:AZ26"/>
  <tableColumns count="51">
    <tableColumn id="1" name="key" dataDxfId="106" totalsRowDxfId="105"/>
    <tableColumn id="2" name="hit" dataDxfId="104" totalsRowDxfId="103"/>
    <tableColumn id="44" name="history_hit" dataDxfId="102" totalsRowDxfId="101"/>
    <tableColumn id="47" name="QC_entityBox" dataDxfId="100" totalsRowDxfId="99"/>
    <tableColumn id="45" name="MSiG" dataDxfId="98" totalsRowDxfId="97"/>
    <tableColumn id="51" name="MSiG_nr_wpisu" dataDxfId="96" totalsRowDxfId="95"/>
    <tableColumn id="50" name="MSiG_data" dataDxfId="94" totalsRowDxfId="93"/>
    <tableColumn id="3" name="link" dataDxfId="92" totalsRowDxfId="91"/>
    <tableColumn id="4" name="nazwa" dataDxfId="90" totalsRowDxfId="89"/>
    <tableColumn id="5" name="typ" dataDxfId="88" totalsRowDxfId="87"/>
    <tableColumn id="6" name="KRS" dataDxfId="86" totalsRowDxfId="85"/>
    <tableColumn id="7" name="NIP" dataDxfId="84" totalsRowDxfId="83"/>
    <tableColumn id="8" name="REGON" dataDxfId="82" totalsRowDxfId="81"/>
    <tableColumn id="9" name="KAPITAL" dataDxfId="80" totalsRowDxfId="79"/>
    <tableColumn id="10" name="data_wpisu_do_rejestru" dataDxfId="78" totalsRowDxfId="77"/>
    <tableColumn id="40" name="data_wykreslenia_z_KRS" dataDxfId="76" totalsRowDxfId="75"/>
    <tableColumn id="11" name="adres" dataDxfId="74" totalsRowDxfId="73"/>
    <tableColumn id="42" name="ulica" dataDxfId="72" totalsRowDxfId="71"/>
    <tableColumn id="43" name="ZIP" dataDxfId="70" totalsRowDxfId="69"/>
    <tableColumn id="12" name="wojewodztwo" dataDxfId="68" totalsRowDxfId="67"/>
    <tableColumn id="13" name="powiat" dataDxfId="66" totalsRowDxfId="65"/>
    <tableColumn id="14" name="gmina" dataDxfId="64" totalsRowDxfId="63"/>
    <tableColumn id="15" name="miejsowosc" dataDxfId="62" totalsRowDxfId="61"/>
    <tableColumn id="16" name="www" dataDxfId="60" totalsRowDxfId="59"/>
    <tableColumn id="17" name="email" dataDxfId="58" totalsRowDxfId="57"/>
    <tableColumn id="18" name="reprezentacja" dataDxfId="56" totalsRowDxfId="55"/>
    <tableColumn id="19" name="wspolnicy" dataDxfId="54" totalsRowDxfId="53"/>
    <tableColumn id="20" name="nadzor" dataDxfId="52" totalsRowDxfId="51"/>
    <tableColumn id="21" name="cel_dzialania_organizacji" dataDxfId="50" totalsRowDxfId="49"/>
    <tableColumn id="22" name="informacje_o_zlozonych_sprawozdaniach" dataDxfId="48" totalsRowDxfId="47"/>
    <tableColumn id="23" name="jedyny_akcjonariusz" dataDxfId="46" totalsRowDxfId="45"/>
    <tableColumn id="24" name="kurator" dataDxfId="44" totalsRowDxfId="43"/>
    <tableColumn id="25" name="likwidacja" dataDxfId="42" totalsRowDxfId="41"/>
    <tableColumn id="26" name="oddzialy" dataDxfId="40" totalsRowDxfId="39"/>
    <tableColumn id="27" name="ogloszenia" dataDxfId="38" totalsRowDxfId="37"/>
    <tableColumn id="28" name="organ_zalozycielski_podmiot_tworzacy" dataDxfId="36" totalsRowDxfId="35"/>
    <tableColumn id="29" name="osoba_powolana" dataDxfId="34" totalsRowDxfId="33"/>
    <tableColumn id="30" name="partnerzy" dataDxfId="32" totalsRowDxfId="31"/>
    <tableColumn id="46" name="zarzad_komisaryczny" dataDxfId="30" totalsRowDxfId="29"/>
    <tableColumn id="31" name="podmioty_przejete" dataDxfId="28" totalsRowDxfId="27"/>
    <tableColumn id="32" name="postepowanie_upadlosciowe" dataDxfId="26" totalsRowDxfId="25"/>
    <tableColumn id="41" name="postepowanie_ukladowe" dataDxfId="24" totalsRowDxfId="23"/>
    <tableColumn id="48" name="postepowanie_naprawcze" dataDxfId="22" totalsRowDxfId="21"/>
    <tableColumn id="33" name="powstanie" dataDxfId="20" totalsRowDxfId="19"/>
    <tableColumn id="52" name="zawieszenie/wznowienie_wykonywanej_dzialalnosci" dataDxfId="18" totalsRowDxfId="17"/>
    <tableColumn id="34" name="przedmiot_dzialalnosci" dataDxfId="16" totalsRowDxfId="15"/>
    <tableColumn id="35" name="przeksztalcenie" dataDxfId="14" totalsRowDxfId="13"/>
    <tableColumn id="36" name="raporty_handlowe_infocredit" dataDxfId="12" totalsRowDxfId="11"/>
    <tableColumn id="37" name="rozwiazanie_uniewaznienie" dataDxfId="10" totalsRowDxfId="9"/>
    <tableColumn id="38" name="sprawozdania_finansowe" dataDxfId="8" totalsRowDxfId="7"/>
    <tableColumn id="39" name="uwagi" dataDxfId="6" totalsRowDxfId="5"/>
  </tableColumns>
  <tableStyleInfo name="TableStyleLight13" showFirstColumn="0" showLastColumn="0" showRowStripes="1" showColumnStripes="0"/>
</table>
</file>

<file path=xl/tables/table5.xml><?xml version="1.0" encoding="utf-8"?>
<table xmlns="http://schemas.openxmlformats.org/spreadsheetml/2006/main" id="5" name="Table4" displayName="Table4" ref="B3:F5" totalsRowShown="0">
  <autoFilter ref="B3:F5"/>
  <tableColumns count="5">
    <tableColumn id="5" name="in" dataDxfId="4"/>
    <tableColumn id="1" name="In2" dataDxfId="3">
      <calculatedColumnFormula>IF(ISBLANK(Table4[[#This Row],[in]]),OFFSET(Table4[[#This Row],[in]],-1,0)&amp;": end",Table4[[#This Row],[in]]&amp;": start")</calculatedColumnFormula>
    </tableColumn>
    <tableColumn id="2" name="transform" dataDxfId="2">
      <calculatedColumnFormula>fi.len-LEN(Table4[[#This Row],[In2]])/2</calculatedColumnFormula>
    </tableColumn>
    <tableColumn id="3" name="Out" dataDxfId="1">
      <calculatedColumnFormula>REPT(c.char,Table4[[#This Row],[transform]])&amp;" "&amp;Table4[[#This Row],[In2]]&amp;" "&amp;REPT(c.char,fi.len*2-INT(Table4[[#This Row],[transform]])-LEN(Table4[[#This Row],[In2]])-2)</calculatedColumnFormula>
    </tableColumn>
    <tableColumn id="4" name="len" dataDxfId="0">
      <calculatedColumnFormula>LEN(Table4[[#This Row],[Out]])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PwC">
  <a:themeElements>
    <a:clrScheme name="PwC Orange">
      <a:dk1>
        <a:srgbClr val="000000"/>
      </a:dk1>
      <a:lt1>
        <a:srgbClr val="FFFFFF"/>
      </a:lt1>
      <a:dk2>
        <a:srgbClr val="DC6900"/>
      </a:dk2>
      <a:lt2>
        <a:srgbClr val="FFFFFF"/>
      </a:lt2>
      <a:accent1>
        <a:srgbClr val="DC6900"/>
      </a:accent1>
      <a:accent2>
        <a:srgbClr val="FFB600"/>
      </a:accent2>
      <a:accent3>
        <a:srgbClr val="602320"/>
      </a:accent3>
      <a:accent4>
        <a:srgbClr val="E27588"/>
      </a:accent4>
      <a:accent5>
        <a:srgbClr val="A32020"/>
      </a:accent5>
      <a:accent6>
        <a:srgbClr val="E0301E"/>
      </a:accent6>
      <a:hlink>
        <a:srgbClr val="0000FF"/>
      </a:hlink>
      <a:folHlink>
        <a:srgbClr val="0000FF"/>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C22"/>
  <sheetViews>
    <sheetView zoomScale="70" zoomScaleNormal="70" workbookViewId="0">
      <pane ySplit="12" topLeftCell="A13" activePane="bottomLeft" state="frozen"/>
      <selection activeCell="B2669" sqref="B2669"/>
      <selection pane="bottomLeft"/>
    </sheetView>
  </sheetViews>
  <sheetFormatPr defaultRowHeight="14.25"/>
  <cols>
    <col min="1" max="1" width="1.875" style="11" customWidth="1"/>
    <col min="2" max="2" width="16.25" style="29" customWidth="1"/>
    <col min="3" max="3" width="18.625" bestFit="1" customWidth="1"/>
    <col min="4" max="4" width="6.875" customWidth="1"/>
    <col min="5" max="5" width="9.125" customWidth="1"/>
    <col min="6" max="6" width="11.875" customWidth="1"/>
    <col min="7" max="7" width="6.875" style="7" customWidth="1"/>
    <col min="8" max="8" width="9.875" style="7" customWidth="1"/>
    <col min="9" max="9" width="21.625" style="7" customWidth="1"/>
    <col min="10" max="11" width="15.625" customWidth="1"/>
    <col min="12" max="12" width="5.625" customWidth="1"/>
    <col min="13" max="13" width="1.875" customWidth="1"/>
    <col min="14" max="14" width="12.5" style="5" customWidth="1"/>
    <col min="15" max="15" width="8" customWidth="1"/>
    <col min="16" max="16" width="6.875" customWidth="1"/>
    <col min="17" max="17" width="9.125" customWidth="1"/>
    <col min="18" max="18" width="17" customWidth="1"/>
    <col min="19" max="19" width="6.5" customWidth="1"/>
    <col min="20" max="20" width="13" bestFit="1" customWidth="1"/>
    <col min="21" max="21" width="6.875" customWidth="1"/>
    <col min="22" max="22" width="15" bestFit="1" customWidth="1"/>
    <col min="23" max="23" width="18" customWidth="1"/>
    <col min="24" max="24" width="14.25" customWidth="1"/>
    <col min="25" max="25" width="7.25" customWidth="1"/>
    <col min="26" max="26" width="5.625" customWidth="1"/>
    <col min="28" max="28" width="11.875" bestFit="1" customWidth="1"/>
    <col min="29" max="29" width="7" customWidth="1"/>
  </cols>
  <sheetData>
    <row r="1" spans="1:29" s="2" customFormat="1" ht="15"/>
    <row r="2" spans="1:29">
      <c r="B2" s="27" t="s">
        <v>103</v>
      </c>
    </row>
    <row r="3" spans="1:29" s="11" customFormat="1" ht="15">
      <c r="B3" s="2" t="s">
        <v>87</v>
      </c>
      <c r="C3" s="27" t="s">
        <v>103</v>
      </c>
      <c r="G3" s="7"/>
      <c r="H3" s="7"/>
      <c r="I3" s="7"/>
    </row>
    <row r="4" spans="1:29" ht="15">
      <c r="B4" s="33" t="s">
        <v>81</v>
      </c>
      <c r="C4" s="28">
        <v>43572.420277777775</v>
      </c>
      <c r="G4" s="6"/>
    </row>
    <row r="5" spans="1:29" ht="15">
      <c r="B5" s="2" t="s">
        <v>80</v>
      </c>
      <c r="C5" s="28">
        <v>43361.71</v>
      </c>
      <c r="E5" s="1"/>
    </row>
    <row r="6" spans="1:29" s="29" customFormat="1" ht="15">
      <c r="A6" s="11"/>
      <c r="B6" s="2" t="s">
        <v>85</v>
      </c>
      <c r="C6" s="32">
        <f>C5-C4</f>
        <v>-210.71027777777635</v>
      </c>
      <c r="D6" s="31"/>
      <c r="E6" s="1"/>
      <c r="G6" s="30"/>
      <c r="H6" s="30"/>
      <c r="I6" s="30"/>
    </row>
    <row r="7" spans="1:29" s="29" customFormat="1" ht="15">
      <c r="A7" s="11"/>
      <c r="B7" s="2" t="s">
        <v>84</v>
      </c>
      <c r="C7" s="43" t="s">
        <v>102</v>
      </c>
      <c r="D7" s="31"/>
      <c r="E7" s="1"/>
      <c r="G7" s="30"/>
      <c r="H7" s="30"/>
      <c r="I7" s="30"/>
    </row>
    <row r="8" spans="1:29" ht="15">
      <c r="B8" s="2" t="s">
        <v>86</v>
      </c>
      <c r="C8" s="35">
        <v>0</v>
      </c>
      <c r="H8" s="30"/>
    </row>
    <row r="9" spans="1:29" s="29" customFormat="1" ht="15">
      <c r="A9" s="11"/>
      <c r="D9" s="36"/>
      <c r="G9" s="30"/>
      <c r="H9" s="30"/>
    </row>
    <row r="10" spans="1:29" s="38" customFormat="1" ht="15">
      <c r="A10" s="11"/>
      <c r="D10" s="36"/>
      <c r="G10" s="30"/>
      <c r="H10" s="30"/>
      <c r="I10" s="30"/>
    </row>
    <row r="11" spans="1:29" s="38" customFormat="1">
      <c r="A11" s="11"/>
      <c r="B11" s="40" t="s">
        <v>93</v>
      </c>
      <c r="C11" s="38" t="s">
        <v>94</v>
      </c>
      <c r="D11" s="38" t="s">
        <v>95</v>
      </c>
      <c r="E11" s="38" t="s">
        <v>95</v>
      </c>
      <c r="F11" s="38" t="s">
        <v>90</v>
      </c>
      <c r="G11" s="30">
        <v>12345</v>
      </c>
      <c r="H11" s="30">
        <v>123456789</v>
      </c>
      <c r="I11" s="30">
        <v>123456789</v>
      </c>
      <c r="J11" s="38" t="s">
        <v>82</v>
      </c>
      <c r="K11" s="38" t="s">
        <v>92</v>
      </c>
      <c r="L11" s="30">
        <v>1234</v>
      </c>
      <c r="N11" s="38" t="str">
        <f>B11</f>
        <v>Use this field anyway you like</v>
      </c>
      <c r="O11" s="38" t="str">
        <f t="shared" ref="O11:Q11" si="0">C11</f>
        <v>Leave this field empty</v>
      </c>
      <c r="P11" s="38" t="str">
        <f t="shared" si="0"/>
        <v>See the manual</v>
      </c>
      <c r="Q11" s="38" t="str">
        <f t="shared" si="0"/>
        <v>See the manual</v>
      </c>
      <c r="R11" s="38" t="s">
        <v>91</v>
      </c>
      <c r="S11" s="38" t="s">
        <v>101</v>
      </c>
      <c r="T11">
        <v>91000000000</v>
      </c>
      <c r="U11" s="30">
        <v>12345</v>
      </c>
      <c r="V11" s="30">
        <v>1234567</v>
      </c>
      <c r="W11" s="38" t="s">
        <v>90</v>
      </c>
      <c r="X11" s="38" t="s">
        <v>82</v>
      </c>
      <c r="Y11" s="38" t="s">
        <v>92</v>
      </c>
      <c r="Z11" s="30">
        <v>1234</v>
      </c>
    </row>
    <row r="12" spans="1:29">
      <c r="B12" t="s">
        <v>77</v>
      </c>
      <c r="C12" s="4" t="s">
        <v>12</v>
      </c>
      <c r="D12" s="3" t="s">
        <v>13</v>
      </c>
      <c r="E12" s="3" t="s">
        <v>67</v>
      </c>
      <c r="F12" t="s">
        <v>0</v>
      </c>
      <c r="G12" s="7" t="s">
        <v>1</v>
      </c>
      <c r="H12" s="7" t="s">
        <v>2</v>
      </c>
      <c r="I12" s="7" t="s">
        <v>3</v>
      </c>
      <c r="J12" t="s">
        <v>5</v>
      </c>
      <c r="K12" t="s">
        <v>4</v>
      </c>
      <c r="L12" t="s">
        <v>16</v>
      </c>
      <c r="N12" t="s">
        <v>77</v>
      </c>
      <c r="O12" s="4" t="s">
        <v>12</v>
      </c>
      <c r="P12" s="3" t="s">
        <v>13</v>
      </c>
      <c r="Q12" s="3" t="s">
        <v>67</v>
      </c>
      <c r="R12" t="s">
        <v>66</v>
      </c>
      <c r="S12" t="s">
        <v>7</v>
      </c>
      <c r="T12" t="s">
        <v>104</v>
      </c>
      <c r="U12" t="s">
        <v>1</v>
      </c>
      <c r="V12" t="s">
        <v>2</v>
      </c>
      <c r="W12" t="s">
        <v>6</v>
      </c>
      <c r="X12" t="s">
        <v>5</v>
      </c>
      <c r="Y12" t="s">
        <v>4</v>
      </c>
      <c r="Z12" t="s">
        <v>16</v>
      </c>
      <c r="AB12" t="s">
        <v>9</v>
      </c>
      <c r="AC12" t="s">
        <v>83</v>
      </c>
    </row>
    <row r="13" spans="1:29" ht="15">
      <c r="D13" s="38"/>
      <c r="F13" s="58"/>
      <c r="G13" s="55"/>
      <c r="H13" s="30"/>
      <c r="I13" s="38"/>
      <c r="J13" s="56"/>
      <c r="K13" s="59"/>
      <c r="L13" s="57"/>
      <c r="O13" s="50" t="s">
        <v>446</v>
      </c>
      <c r="P13" s="50"/>
      <c r="Q13" s="50"/>
      <c r="R13" s="45"/>
      <c r="S13" s="44"/>
      <c r="T13" s="51"/>
      <c r="U13" s="39"/>
      <c r="V13" s="52">
        <v>144058</v>
      </c>
      <c r="W13" s="46"/>
      <c r="X13" s="47"/>
      <c r="Y13" s="53"/>
      <c r="Z13" s="54"/>
      <c r="AB13" s="39"/>
      <c r="AC13" s="39"/>
    </row>
    <row r="14" spans="1:29">
      <c r="R14" s="38"/>
    </row>
    <row r="15" spans="1:29">
      <c r="R15" s="38"/>
    </row>
    <row r="16" spans="1:29">
      <c r="R16" s="38"/>
    </row>
    <row r="17" spans="18:18">
      <c r="R17" s="38"/>
    </row>
    <row r="18" spans="18:18">
      <c r="R18" s="38"/>
    </row>
    <row r="19" spans="18:18">
      <c r="R19" s="38"/>
    </row>
    <row r="20" spans="18:18">
      <c r="R20" s="38"/>
    </row>
    <row r="21" spans="18:18">
      <c r="R21" s="38"/>
    </row>
    <row r="22" spans="18:18">
      <c r="R22" s="38"/>
    </row>
  </sheetData>
  <sheetProtection selectLockedCells="1" selectUnlockedCells="1"/>
  <conditionalFormatting sqref="U13">
    <cfRule type="duplicateValues" dxfId="136" priority="164"/>
  </conditionalFormatting>
  <conditionalFormatting sqref="I13">
    <cfRule type="duplicateValues" dxfId="135" priority="29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clear_input">
                <anchor moveWithCells="1" sizeWithCells="1">
                  <from>
                    <xdr:col>6</xdr:col>
                    <xdr:colOff>133350</xdr:colOff>
                    <xdr:row>2</xdr:row>
                    <xdr:rowOff>19050</xdr:rowOff>
                  </from>
                  <to>
                    <xdr:col>7</xdr:col>
                    <xdr:colOff>257175</xdr:colOff>
                    <xdr:row>4</xdr:row>
                    <xdr:rowOff>104775</xdr:rowOff>
                  </to>
                </anchor>
              </controlPr>
            </control>
          </mc:Choice>
        </mc:AlternateContent>
        <mc:AlternateContent xmlns:mc="http://schemas.openxmlformats.org/markup-compatibility/2006">
          <mc:Choice Requires="x14">
            <control shapeId="1032" r:id="rId5" name="Button 8">
              <controlPr defaultSize="0" print="0" autoFill="0" autoPict="0" macro="[0]!start_ruby">
                <anchor moveWithCells="1" sizeWithCells="1">
                  <from>
                    <xdr:col>4</xdr:col>
                    <xdr:colOff>285750</xdr:colOff>
                    <xdr:row>2</xdr:row>
                    <xdr:rowOff>19050</xdr:rowOff>
                  </from>
                  <to>
                    <xdr:col>5</xdr:col>
                    <xdr:colOff>228600</xdr:colOff>
                    <xdr:row>4</xdr:row>
                    <xdr:rowOff>104775</xdr:rowOff>
                  </to>
                </anchor>
              </controlPr>
            </control>
          </mc:Choice>
        </mc:AlternateContent>
        <mc:AlternateContent xmlns:mc="http://schemas.openxmlformats.org/markup-compatibility/2006">
          <mc:Choice Requires="x14">
            <control shapeId="1033" r:id="rId6" name="Button 9">
              <controlPr defaultSize="0" print="0" autoFill="0" autoPict="0" macro="[0]!clear_results">
                <anchor moveWithCells="1" sizeWithCells="1">
                  <from>
                    <xdr:col>8</xdr:col>
                    <xdr:colOff>66675</xdr:colOff>
                    <xdr:row>2</xdr:row>
                    <xdr:rowOff>19050</xdr:rowOff>
                  </from>
                  <to>
                    <xdr:col>8</xdr:col>
                    <xdr:colOff>704850</xdr:colOff>
                    <xdr:row>4</xdr:row>
                    <xdr:rowOff>104775</xdr:rowOff>
                  </to>
                </anchor>
              </controlPr>
            </control>
          </mc:Choice>
        </mc:AlternateContent>
      </controls>
    </mc:Choice>
  </mc:AlternateContent>
  <tableParts count="3">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tint="0.79998168889431442"/>
  </sheetPr>
  <dimension ref="B1:AZ26"/>
  <sheetViews>
    <sheetView tabSelected="1" topLeftCell="H1" zoomScaleNormal="100" workbookViewId="0">
      <pane ySplit="2" topLeftCell="A3" activePane="bottomLeft" state="frozen"/>
      <selection activeCell="B2669" sqref="B2669"/>
      <selection pane="bottomLeft" activeCell="N2" sqref="N2"/>
    </sheetView>
  </sheetViews>
  <sheetFormatPr defaultColWidth="9" defaultRowHeight="15" customHeight="1"/>
  <cols>
    <col min="1" max="1" width="0.875" style="13" customWidth="1"/>
    <col min="2" max="2" width="16" style="37" customWidth="1"/>
    <col min="3" max="3" width="13.5" style="13" customWidth="1"/>
    <col min="4" max="4" width="13.25" style="13" bestFit="1" customWidth="1"/>
    <col min="5" max="5" width="12.125" style="13" bestFit="1" customWidth="1"/>
    <col min="6" max="6" width="15.25" style="13" customWidth="1"/>
    <col min="7" max="7" width="16.875" style="13" customWidth="1"/>
    <col min="8" max="8" width="14.875" style="13" customWidth="1"/>
    <col min="9" max="9" width="10.5" style="13" customWidth="1"/>
    <col min="10" max="10" width="69.625" style="13" customWidth="1"/>
    <col min="11" max="11" width="51" style="13" customWidth="1"/>
    <col min="12" max="12" width="7.625" style="13" bestFit="1" customWidth="1"/>
    <col min="13" max="13" width="12" style="13" bestFit="1" customWidth="1"/>
    <col min="14" max="14" width="10.875" style="13" bestFit="1" customWidth="1"/>
    <col min="15" max="15" width="9.875" style="13" customWidth="1"/>
    <col min="16" max="16" width="8" style="13" bestFit="1" customWidth="1"/>
    <col min="17" max="18" width="10.625" style="13" customWidth="1"/>
    <col min="19" max="19" width="16.875" style="13" bestFit="1" customWidth="1"/>
    <col min="20" max="20" width="7" style="13" customWidth="1"/>
    <col min="21" max="21" width="16.125" style="13" bestFit="1" customWidth="1"/>
    <col min="22" max="22" width="8.625" style="13" bestFit="1" customWidth="1"/>
    <col min="23" max="23" width="8.375" style="13" customWidth="1"/>
    <col min="24" max="24" width="13.125" style="13" customWidth="1"/>
    <col min="25" max="25" width="7" style="13" customWidth="1"/>
    <col min="26" max="26" width="7.5" style="13" customWidth="1"/>
    <col min="27" max="44" width="35.625" style="13" customWidth="1"/>
    <col min="45" max="45" width="35.625" style="37" customWidth="1"/>
    <col min="46" max="46" width="35.625" style="13" customWidth="1"/>
    <col min="47" max="47" width="35.625" style="37" customWidth="1"/>
    <col min="48" max="53" width="35.625" style="13" customWidth="1"/>
    <col min="54" max="16384" width="9" style="13"/>
  </cols>
  <sheetData>
    <row r="1" spans="2:52" ht="3.75" customHeight="1">
      <c r="B1" s="13"/>
      <c r="AS1" s="13"/>
      <c r="AU1" s="13"/>
    </row>
    <row r="2" spans="2:52" ht="15" customHeight="1">
      <c r="B2" s="13" t="s">
        <v>9</v>
      </c>
      <c r="C2" s="13" t="s">
        <v>10</v>
      </c>
      <c r="D2" s="13" t="s">
        <v>68</v>
      </c>
      <c r="E2" s="13" t="s">
        <v>74</v>
      </c>
      <c r="F2" s="13" t="s">
        <v>69</v>
      </c>
      <c r="G2" s="13" t="s">
        <v>79</v>
      </c>
      <c r="H2" s="13" t="s">
        <v>78</v>
      </c>
      <c r="I2" s="13" t="s">
        <v>14</v>
      </c>
      <c r="J2" s="13" t="s">
        <v>11</v>
      </c>
      <c r="K2" s="13" t="s">
        <v>8</v>
      </c>
      <c r="L2" s="13" t="s">
        <v>1</v>
      </c>
      <c r="M2" s="13" t="s">
        <v>3</v>
      </c>
      <c r="N2" s="13" t="s">
        <v>2</v>
      </c>
      <c r="O2" s="13" t="s">
        <v>33</v>
      </c>
      <c r="P2" s="13" t="s">
        <v>34</v>
      </c>
      <c r="Q2" s="13" t="s">
        <v>64</v>
      </c>
      <c r="R2" s="13" t="s">
        <v>35</v>
      </c>
      <c r="S2" s="13" t="s">
        <v>65</v>
      </c>
      <c r="T2" s="13" t="s">
        <v>16</v>
      </c>
      <c r="U2" s="13" t="s">
        <v>36</v>
      </c>
      <c r="V2" s="13" t="s">
        <v>37</v>
      </c>
      <c r="W2" s="13" t="s">
        <v>38</v>
      </c>
      <c r="X2" s="13" t="s">
        <v>39</v>
      </c>
      <c r="Y2" s="13" t="s">
        <v>40</v>
      </c>
      <c r="Z2" s="13" t="s">
        <v>41</v>
      </c>
      <c r="AA2" s="13" t="s">
        <v>42</v>
      </c>
      <c r="AB2" s="13" t="s">
        <v>43</v>
      </c>
      <c r="AC2" s="13" t="s">
        <v>44</v>
      </c>
      <c r="AD2" s="13" t="s">
        <v>45</v>
      </c>
      <c r="AE2" s="13" t="s">
        <v>46</v>
      </c>
      <c r="AF2" s="13" t="s">
        <v>47</v>
      </c>
      <c r="AG2" s="13" t="s">
        <v>48</v>
      </c>
      <c r="AH2" s="13" t="s">
        <v>49</v>
      </c>
      <c r="AI2" s="13" t="s">
        <v>50</v>
      </c>
      <c r="AJ2" s="13" t="s">
        <v>51</v>
      </c>
      <c r="AK2" s="13" t="s">
        <v>52</v>
      </c>
      <c r="AL2" s="13" t="s">
        <v>53</v>
      </c>
      <c r="AM2" s="13" t="s">
        <v>54</v>
      </c>
      <c r="AN2" s="13" t="s">
        <v>76</v>
      </c>
      <c r="AO2" s="13" t="s">
        <v>55</v>
      </c>
      <c r="AP2" s="13" t="s">
        <v>56</v>
      </c>
      <c r="AQ2" s="13" t="s">
        <v>75</v>
      </c>
      <c r="AR2" s="37" t="s">
        <v>88</v>
      </c>
      <c r="AS2" s="13" t="s">
        <v>57</v>
      </c>
      <c r="AT2" s="37" t="s">
        <v>89</v>
      </c>
      <c r="AU2" s="13" t="s">
        <v>58</v>
      </c>
      <c r="AV2" s="13" t="s">
        <v>59</v>
      </c>
      <c r="AW2" s="13" t="s">
        <v>60</v>
      </c>
      <c r="AX2" s="13" t="s">
        <v>61</v>
      </c>
      <c r="AY2" s="13" t="s">
        <v>62</v>
      </c>
      <c r="AZ2" s="13" t="s">
        <v>63</v>
      </c>
    </row>
    <row r="3" spans="2:52" ht="15" customHeight="1">
      <c r="B3" s="39">
        <v>144058</v>
      </c>
      <c r="C3" s="39" t="s">
        <v>105</v>
      </c>
      <c r="D3" s="34"/>
      <c r="E3" s="39" t="s">
        <v>125</v>
      </c>
      <c r="F3" s="39" t="s">
        <v>107</v>
      </c>
      <c r="G3" s="39">
        <v>12</v>
      </c>
      <c r="H3" s="48">
        <v>39514</v>
      </c>
      <c r="I3" s="39" t="s">
        <v>106</v>
      </c>
      <c r="J3" s="39" t="s">
        <v>108</v>
      </c>
      <c r="K3" s="39" t="s">
        <v>109</v>
      </c>
      <c r="L3" s="39">
        <v>6200</v>
      </c>
      <c r="M3" s="39"/>
      <c r="N3" s="39">
        <v>510609255</v>
      </c>
      <c r="O3" s="39" t="s">
        <v>110</v>
      </c>
      <c r="P3" s="48">
        <v>36985</v>
      </c>
      <c r="Q3" s="48">
        <v>39541</v>
      </c>
      <c r="R3" s="39" t="s">
        <v>111</v>
      </c>
      <c r="S3" s="39" t="s">
        <v>114</v>
      </c>
      <c r="T3" s="39" t="s">
        <v>115</v>
      </c>
      <c r="U3" s="39" t="s">
        <v>112</v>
      </c>
      <c r="V3" s="39" t="s">
        <v>113</v>
      </c>
      <c r="W3" s="39" t="s">
        <v>113</v>
      </c>
      <c r="X3" s="39" t="s">
        <v>113</v>
      </c>
      <c r="Y3" s="39"/>
      <c r="Z3" s="39"/>
      <c r="AA3" s="42" t="s">
        <v>116</v>
      </c>
      <c r="AB3" s="49" t="s">
        <v>117</v>
      </c>
      <c r="AC3" s="42"/>
      <c r="AD3" s="34"/>
      <c r="AE3" s="42" t="s">
        <v>121</v>
      </c>
      <c r="AF3" s="49"/>
      <c r="AG3" s="34"/>
      <c r="AH3" s="39"/>
      <c r="AI3" s="39"/>
      <c r="AJ3" s="42" t="s">
        <v>120</v>
      </c>
      <c r="AK3" s="39"/>
      <c r="AL3" s="39"/>
      <c r="AM3" s="39"/>
      <c r="AN3" s="39"/>
      <c r="AO3" s="39"/>
      <c r="AP3" s="42" t="s">
        <v>118</v>
      </c>
      <c r="AQ3" s="39"/>
      <c r="AR3" s="39"/>
      <c r="AS3" s="39"/>
      <c r="AT3" s="39"/>
      <c r="AU3" s="39" t="s">
        <v>119</v>
      </c>
      <c r="AV3" s="39"/>
      <c r="AW3" s="42" t="s">
        <v>122</v>
      </c>
      <c r="AX3" s="39"/>
      <c r="AY3" s="42" t="s">
        <v>123</v>
      </c>
      <c r="AZ3" s="42" t="s">
        <v>124</v>
      </c>
    </row>
    <row r="4" spans="2:52" ht="15" customHeight="1">
      <c r="B4" s="39">
        <v>144058</v>
      </c>
      <c r="C4" s="39" t="s">
        <v>126</v>
      </c>
      <c r="D4" s="34"/>
      <c r="E4" s="39" t="s">
        <v>141</v>
      </c>
      <c r="F4" s="39" t="s">
        <v>128</v>
      </c>
      <c r="G4" s="39">
        <v>45</v>
      </c>
      <c r="H4" s="48">
        <v>43241</v>
      </c>
      <c r="I4" s="39" t="s">
        <v>127</v>
      </c>
      <c r="J4" s="39" t="s">
        <v>129</v>
      </c>
      <c r="K4" s="39" t="s">
        <v>109</v>
      </c>
      <c r="L4" s="39">
        <v>40318</v>
      </c>
      <c r="M4" s="39">
        <v>5262153144</v>
      </c>
      <c r="N4" s="39">
        <v>12935359</v>
      </c>
      <c r="O4" s="39" t="s">
        <v>130</v>
      </c>
      <c r="P4" s="48">
        <v>37134</v>
      </c>
      <c r="Q4" s="39"/>
      <c r="R4" s="39" t="s">
        <v>131</v>
      </c>
      <c r="S4" s="39" t="s">
        <v>133</v>
      </c>
      <c r="T4" s="39" t="s">
        <v>134</v>
      </c>
      <c r="U4" s="39" t="s">
        <v>132</v>
      </c>
      <c r="V4" s="39" t="s">
        <v>82</v>
      </c>
      <c r="W4" s="39" t="s">
        <v>82</v>
      </c>
      <c r="X4" s="39" t="s">
        <v>82</v>
      </c>
      <c r="Y4" s="39"/>
      <c r="Z4" s="39"/>
      <c r="AA4" s="42" t="s">
        <v>135</v>
      </c>
      <c r="AB4" s="49" t="s">
        <v>136</v>
      </c>
      <c r="AC4" s="42" t="s">
        <v>137</v>
      </c>
      <c r="AD4" s="34"/>
      <c r="AE4" s="42" t="s">
        <v>138</v>
      </c>
      <c r="AF4" s="34"/>
      <c r="AG4" s="34"/>
      <c r="AH4" s="39"/>
      <c r="AI4" s="39"/>
      <c r="AJ4" s="39"/>
      <c r="AK4" s="39"/>
      <c r="AL4" s="39"/>
      <c r="AM4" s="39"/>
      <c r="AN4" s="39"/>
      <c r="AO4" s="39"/>
      <c r="AP4" s="39"/>
      <c r="AQ4" s="39"/>
      <c r="AR4" s="39"/>
      <c r="AS4" s="39"/>
      <c r="AT4" s="39"/>
      <c r="AU4" s="39" t="s">
        <v>119</v>
      </c>
      <c r="AV4" s="39"/>
      <c r="AW4" s="42" t="s">
        <v>139</v>
      </c>
      <c r="AX4" s="39"/>
      <c r="AY4" s="42" t="s">
        <v>140</v>
      </c>
      <c r="AZ4" s="39"/>
    </row>
    <row r="5" spans="2:52" ht="15" customHeight="1">
      <c r="B5" s="39">
        <v>144058</v>
      </c>
      <c r="C5" s="39" t="s">
        <v>142</v>
      </c>
      <c r="D5" s="34"/>
      <c r="E5" s="39" t="s">
        <v>141</v>
      </c>
      <c r="F5" s="39" t="s">
        <v>144</v>
      </c>
      <c r="G5" s="39">
        <v>34</v>
      </c>
      <c r="H5" s="48">
        <v>43287</v>
      </c>
      <c r="I5" s="39" t="s">
        <v>143</v>
      </c>
      <c r="J5" s="39" t="s">
        <v>145</v>
      </c>
      <c r="K5" s="39" t="s">
        <v>109</v>
      </c>
      <c r="L5" s="39">
        <v>21118</v>
      </c>
      <c r="M5" s="39">
        <v>1131667225</v>
      </c>
      <c r="N5" s="39">
        <v>12302111</v>
      </c>
      <c r="O5" s="39" t="s">
        <v>146</v>
      </c>
      <c r="P5" s="48">
        <v>37064</v>
      </c>
      <c r="Q5" s="39"/>
      <c r="R5" s="39" t="s">
        <v>147</v>
      </c>
      <c r="S5" s="39" t="s">
        <v>148</v>
      </c>
      <c r="T5" s="39" t="s">
        <v>149</v>
      </c>
      <c r="U5" s="39" t="s">
        <v>132</v>
      </c>
      <c r="V5" s="39" t="s">
        <v>82</v>
      </c>
      <c r="W5" s="39" t="s">
        <v>82</v>
      </c>
      <c r="X5" s="39" t="s">
        <v>82</v>
      </c>
      <c r="Y5" s="39"/>
      <c r="Z5" s="39"/>
      <c r="AA5" s="42" t="s">
        <v>150</v>
      </c>
      <c r="AB5" s="49" t="s">
        <v>151</v>
      </c>
      <c r="AC5" s="42" t="s">
        <v>152</v>
      </c>
      <c r="AD5" s="34"/>
      <c r="AE5" s="42" t="s">
        <v>153</v>
      </c>
      <c r="AF5" s="34"/>
      <c r="AG5" s="34"/>
      <c r="AH5" s="39"/>
      <c r="AI5" s="39"/>
      <c r="AJ5" s="39"/>
      <c r="AK5" s="39"/>
      <c r="AL5" s="39"/>
      <c r="AM5" s="39"/>
      <c r="AN5" s="39"/>
      <c r="AO5" s="39"/>
      <c r="AP5" s="39"/>
      <c r="AQ5" s="39"/>
      <c r="AR5" s="39"/>
      <c r="AS5" s="39"/>
      <c r="AT5" s="39"/>
      <c r="AU5" s="39" t="s">
        <v>119</v>
      </c>
      <c r="AV5" s="39"/>
      <c r="AW5" s="42" t="s">
        <v>154</v>
      </c>
      <c r="AX5" s="39"/>
      <c r="AY5" s="42" t="s">
        <v>155</v>
      </c>
      <c r="AZ5" s="39"/>
    </row>
    <row r="6" spans="2:52" ht="15" customHeight="1">
      <c r="B6" s="39">
        <v>144058</v>
      </c>
      <c r="C6" s="39" t="s">
        <v>156</v>
      </c>
      <c r="D6" s="34"/>
      <c r="E6" s="39" t="s">
        <v>141</v>
      </c>
      <c r="F6" s="39" t="s">
        <v>158</v>
      </c>
      <c r="G6" s="39">
        <v>47</v>
      </c>
      <c r="H6" s="48">
        <v>43343</v>
      </c>
      <c r="I6" s="39" t="s">
        <v>157</v>
      </c>
      <c r="J6" s="39" t="s">
        <v>159</v>
      </c>
      <c r="K6" s="39" t="s">
        <v>109</v>
      </c>
      <c r="L6" s="39">
        <v>53678</v>
      </c>
      <c r="M6" s="39">
        <v>5272264566</v>
      </c>
      <c r="N6" s="39">
        <v>16017726</v>
      </c>
      <c r="O6" s="39" t="s">
        <v>160</v>
      </c>
      <c r="P6" s="48">
        <v>37182</v>
      </c>
      <c r="Q6" s="39"/>
      <c r="R6" s="39" t="s">
        <v>161</v>
      </c>
      <c r="S6" s="39" t="s">
        <v>162</v>
      </c>
      <c r="T6" s="39" t="s">
        <v>163</v>
      </c>
      <c r="U6" s="39" t="s">
        <v>132</v>
      </c>
      <c r="V6" s="39" t="s">
        <v>82</v>
      </c>
      <c r="W6" s="39" t="s">
        <v>82</v>
      </c>
      <c r="X6" s="39" t="s">
        <v>82</v>
      </c>
      <c r="Y6" s="39"/>
      <c r="Z6" s="39"/>
      <c r="AA6" s="42" t="s">
        <v>164</v>
      </c>
      <c r="AB6" s="49" t="s">
        <v>165</v>
      </c>
      <c r="AC6" s="42" t="s">
        <v>152</v>
      </c>
      <c r="AD6" s="34"/>
      <c r="AE6" s="42" t="s">
        <v>166</v>
      </c>
      <c r="AF6" s="34"/>
      <c r="AG6" s="34"/>
      <c r="AH6" s="39"/>
      <c r="AI6" s="39"/>
      <c r="AJ6" s="39"/>
      <c r="AK6" s="39"/>
      <c r="AL6" s="39"/>
      <c r="AM6" s="39"/>
      <c r="AN6" s="39"/>
      <c r="AO6" s="39"/>
      <c r="AP6" s="39"/>
      <c r="AQ6" s="39"/>
      <c r="AR6" s="39"/>
      <c r="AS6" s="39"/>
      <c r="AT6" s="39"/>
      <c r="AU6" s="39" t="s">
        <v>119</v>
      </c>
      <c r="AV6" s="39"/>
      <c r="AW6" s="42" t="s">
        <v>167</v>
      </c>
      <c r="AX6" s="39"/>
      <c r="AY6" s="42" t="s">
        <v>168</v>
      </c>
      <c r="AZ6" s="39"/>
    </row>
    <row r="7" spans="2:52" ht="15" customHeight="1">
      <c r="B7" s="39">
        <v>144058</v>
      </c>
      <c r="C7" s="39" t="s">
        <v>169</v>
      </c>
      <c r="D7" s="34"/>
      <c r="E7" s="39" t="s">
        <v>181</v>
      </c>
      <c r="F7" s="39" t="s">
        <v>171</v>
      </c>
      <c r="G7" s="39">
        <v>2</v>
      </c>
      <c r="H7" s="48">
        <v>37278</v>
      </c>
      <c r="I7" s="39" t="s">
        <v>170</v>
      </c>
      <c r="J7" s="39" t="s">
        <v>172</v>
      </c>
      <c r="K7" s="39" t="s">
        <v>109</v>
      </c>
      <c r="L7" s="39">
        <v>22146</v>
      </c>
      <c r="M7" s="39"/>
      <c r="N7" s="39">
        <v>12404780</v>
      </c>
      <c r="O7" s="39" t="s">
        <v>173</v>
      </c>
      <c r="P7" s="48">
        <v>37088</v>
      </c>
      <c r="Q7" s="48">
        <v>37294</v>
      </c>
      <c r="R7" s="39" t="s">
        <v>174</v>
      </c>
      <c r="S7" s="39" t="s">
        <v>175</v>
      </c>
      <c r="T7" s="39" t="s">
        <v>176</v>
      </c>
      <c r="U7" s="39" t="s">
        <v>132</v>
      </c>
      <c r="V7" s="39" t="s">
        <v>82</v>
      </c>
      <c r="W7" s="39" t="s">
        <v>82</v>
      </c>
      <c r="X7" s="39" t="s">
        <v>82</v>
      </c>
      <c r="Y7" s="39"/>
      <c r="Z7" s="39"/>
      <c r="AA7" s="42" t="s">
        <v>177</v>
      </c>
      <c r="AB7" s="49" t="s">
        <v>178</v>
      </c>
      <c r="AC7" s="39"/>
      <c r="AD7" s="34"/>
      <c r="AE7" s="39"/>
      <c r="AF7" s="34"/>
      <c r="AG7" s="34"/>
      <c r="AH7" s="39"/>
      <c r="AI7" s="39"/>
      <c r="AJ7" s="39"/>
      <c r="AK7" s="39"/>
      <c r="AL7" s="39"/>
      <c r="AM7" s="39"/>
      <c r="AN7" s="39"/>
      <c r="AO7" s="39"/>
      <c r="AP7" s="42" t="s">
        <v>179</v>
      </c>
      <c r="AQ7" s="39"/>
      <c r="AR7" s="39"/>
      <c r="AS7" s="39"/>
      <c r="AT7" s="39"/>
      <c r="AU7" s="39" t="s">
        <v>119</v>
      </c>
      <c r="AV7" s="39"/>
      <c r="AW7" s="42" t="s">
        <v>122</v>
      </c>
      <c r="AX7" s="39"/>
      <c r="AY7" s="39"/>
      <c r="AZ7" s="42" t="s">
        <v>180</v>
      </c>
    </row>
    <row r="8" spans="2:52" ht="15" customHeight="1">
      <c r="B8" s="39">
        <v>144058</v>
      </c>
      <c r="C8" s="39" t="s">
        <v>182</v>
      </c>
      <c r="D8" s="34"/>
      <c r="E8" s="39" t="s">
        <v>197</v>
      </c>
      <c r="F8" s="39" t="s">
        <v>184</v>
      </c>
      <c r="G8" s="39">
        <v>19</v>
      </c>
      <c r="H8" s="48">
        <v>40953</v>
      </c>
      <c r="I8" s="39" t="s">
        <v>183</v>
      </c>
      <c r="J8" s="39" t="s">
        <v>185</v>
      </c>
      <c r="K8" s="39" t="s">
        <v>109</v>
      </c>
      <c r="L8" s="39">
        <v>68435</v>
      </c>
      <c r="M8" s="39">
        <v>5270207216</v>
      </c>
      <c r="N8" s="39">
        <v>12084424</v>
      </c>
      <c r="O8" s="39" t="s">
        <v>186</v>
      </c>
      <c r="P8" s="48">
        <v>37240</v>
      </c>
      <c r="Q8" s="48">
        <v>40982</v>
      </c>
      <c r="R8" s="39" t="s">
        <v>187</v>
      </c>
      <c r="S8" s="39" t="s">
        <v>188</v>
      </c>
      <c r="T8" s="39" t="s">
        <v>176</v>
      </c>
      <c r="U8" s="39" t="s">
        <v>132</v>
      </c>
      <c r="V8" s="39" t="s">
        <v>82</v>
      </c>
      <c r="W8" s="39" t="s">
        <v>82</v>
      </c>
      <c r="X8" s="39" t="s">
        <v>82</v>
      </c>
      <c r="Y8" s="39"/>
      <c r="Z8" s="39"/>
      <c r="AA8" s="42" t="s">
        <v>189</v>
      </c>
      <c r="AB8" s="49" t="s">
        <v>190</v>
      </c>
      <c r="AC8" s="39"/>
      <c r="AD8" s="34"/>
      <c r="AE8" s="42" t="s">
        <v>194</v>
      </c>
      <c r="AF8" s="34"/>
      <c r="AG8" s="34"/>
      <c r="AH8" s="42" t="s">
        <v>191</v>
      </c>
      <c r="AI8" s="39"/>
      <c r="AJ8" s="42" t="s">
        <v>193</v>
      </c>
      <c r="AK8" s="39"/>
      <c r="AL8" s="39"/>
      <c r="AM8" s="39"/>
      <c r="AN8" s="39"/>
      <c r="AO8" s="39"/>
      <c r="AP8" s="39"/>
      <c r="AQ8" s="39"/>
      <c r="AR8" s="39"/>
      <c r="AS8" s="39"/>
      <c r="AT8" s="39"/>
      <c r="AU8" s="39" t="s">
        <v>119</v>
      </c>
      <c r="AV8" s="39"/>
      <c r="AW8" s="42" t="s">
        <v>122</v>
      </c>
      <c r="AX8" s="42" t="s">
        <v>192</v>
      </c>
      <c r="AY8" s="42" t="s">
        <v>195</v>
      </c>
      <c r="AZ8" s="42" t="s">
        <v>196</v>
      </c>
    </row>
    <row r="9" spans="2:52" ht="15" customHeight="1">
      <c r="B9" s="39">
        <v>144058</v>
      </c>
      <c r="C9" s="39" t="s">
        <v>198</v>
      </c>
      <c r="D9" s="34"/>
      <c r="E9" s="39" t="s">
        <v>141</v>
      </c>
      <c r="F9" s="39" t="s">
        <v>200</v>
      </c>
      <c r="G9" s="39">
        <v>50</v>
      </c>
      <c r="H9" s="48">
        <v>43503</v>
      </c>
      <c r="I9" s="39" t="s">
        <v>199</v>
      </c>
      <c r="J9" s="39" t="s">
        <v>201</v>
      </c>
      <c r="K9" s="39" t="s">
        <v>202</v>
      </c>
      <c r="L9" s="39">
        <v>21500</v>
      </c>
      <c r="M9" s="39">
        <v>5262083337</v>
      </c>
      <c r="N9" s="39">
        <v>12493217</v>
      </c>
      <c r="O9" s="39" t="s">
        <v>203</v>
      </c>
      <c r="P9" s="48">
        <v>37064</v>
      </c>
      <c r="Q9" s="39"/>
      <c r="R9" s="39" t="s">
        <v>187</v>
      </c>
      <c r="S9" s="39" t="s">
        <v>188</v>
      </c>
      <c r="T9" s="39" t="s">
        <v>176</v>
      </c>
      <c r="U9" s="39" t="s">
        <v>132</v>
      </c>
      <c r="V9" s="39" t="s">
        <v>82</v>
      </c>
      <c r="W9" s="39" t="s">
        <v>82</v>
      </c>
      <c r="X9" s="39" t="s">
        <v>82</v>
      </c>
      <c r="Y9" s="39"/>
      <c r="Z9" s="39"/>
      <c r="AA9" s="42" t="s">
        <v>204</v>
      </c>
      <c r="AB9" s="34"/>
      <c r="AC9" s="42" t="s">
        <v>205</v>
      </c>
      <c r="AD9" s="34"/>
      <c r="AE9" s="42" t="s">
        <v>207</v>
      </c>
      <c r="AF9" s="49" t="s">
        <v>206</v>
      </c>
      <c r="AG9" s="34"/>
      <c r="AH9" s="39"/>
      <c r="AI9" s="39"/>
      <c r="AJ9" s="39"/>
      <c r="AK9" s="39"/>
      <c r="AL9" s="39"/>
      <c r="AM9" s="39"/>
      <c r="AN9" s="39"/>
      <c r="AO9" s="39"/>
      <c r="AP9" s="39"/>
      <c r="AQ9" s="39"/>
      <c r="AR9" s="39"/>
      <c r="AS9" s="39"/>
      <c r="AT9" s="39"/>
      <c r="AU9" s="39" t="s">
        <v>119</v>
      </c>
      <c r="AV9" s="39"/>
      <c r="AW9" s="42" t="s">
        <v>208</v>
      </c>
      <c r="AX9" s="39"/>
      <c r="AY9" s="42" t="s">
        <v>209</v>
      </c>
      <c r="AZ9" s="39"/>
    </row>
    <row r="10" spans="2:52" ht="15" customHeight="1">
      <c r="B10" s="39">
        <v>144058</v>
      </c>
      <c r="C10" s="39" t="s">
        <v>210</v>
      </c>
      <c r="D10" s="34"/>
      <c r="E10" s="39" t="s">
        <v>227</v>
      </c>
      <c r="F10" s="39" t="s">
        <v>212</v>
      </c>
      <c r="G10" s="39">
        <v>36</v>
      </c>
      <c r="H10" s="48">
        <v>43278</v>
      </c>
      <c r="I10" s="39" t="s">
        <v>211</v>
      </c>
      <c r="J10" s="39" t="s">
        <v>213</v>
      </c>
      <c r="K10" s="39" t="s">
        <v>109</v>
      </c>
      <c r="L10" s="39">
        <v>135353</v>
      </c>
      <c r="M10" s="39">
        <v>5860224888</v>
      </c>
      <c r="N10" s="39">
        <v>190365464</v>
      </c>
      <c r="O10" s="39" t="s">
        <v>214</v>
      </c>
      <c r="P10" s="48">
        <v>37544</v>
      </c>
      <c r="Q10" s="39"/>
      <c r="R10" s="39" t="s">
        <v>215</v>
      </c>
      <c r="S10" s="39" t="s">
        <v>218</v>
      </c>
      <c r="T10" s="39" t="s">
        <v>219</v>
      </c>
      <c r="U10" s="39" t="s">
        <v>216</v>
      </c>
      <c r="V10" s="39" t="s">
        <v>217</v>
      </c>
      <c r="W10" s="39" t="s">
        <v>217</v>
      </c>
      <c r="X10" s="39" t="s">
        <v>217</v>
      </c>
      <c r="Y10" s="39"/>
      <c r="Z10" s="39"/>
      <c r="AA10" s="42" t="s">
        <v>220</v>
      </c>
      <c r="AB10" s="49" t="s">
        <v>221</v>
      </c>
      <c r="AC10" s="42" t="s">
        <v>222</v>
      </c>
      <c r="AD10" s="34"/>
      <c r="AE10" s="42" t="s">
        <v>224</v>
      </c>
      <c r="AF10" s="34"/>
      <c r="AG10" s="34"/>
      <c r="AH10" s="39"/>
      <c r="AI10" s="39"/>
      <c r="AJ10" s="42" t="s">
        <v>223</v>
      </c>
      <c r="AK10" s="39"/>
      <c r="AL10" s="39"/>
      <c r="AM10" s="39"/>
      <c r="AN10" s="39"/>
      <c r="AO10" s="39"/>
      <c r="AP10" s="39"/>
      <c r="AQ10" s="39"/>
      <c r="AR10" s="39"/>
      <c r="AS10" s="39"/>
      <c r="AT10" s="39"/>
      <c r="AU10" s="39" t="s">
        <v>119</v>
      </c>
      <c r="AV10" s="39"/>
      <c r="AW10" s="42" t="s">
        <v>225</v>
      </c>
      <c r="AX10" s="39"/>
      <c r="AY10" s="42" t="s">
        <v>226</v>
      </c>
      <c r="AZ10" s="39"/>
    </row>
    <row r="11" spans="2:52" ht="15" customHeight="1">
      <c r="B11" s="39">
        <v>144058</v>
      </c>
      <c r="C11" s="39" t="s">
        <v>228</v>
      </c>
      <c r="D11" s="34"/>
      <c r="E11" s="39" t="s">
        <v>227</v>
      </c>
      <c r="F11" s="39" t="s">
        <v>230</v>
      </c>
      <c r="G11" s="39">
        <v>16</v>
      </c>
      <c r="H11" s="48">
        <v>40906</v>
      </c>
      <c r="I11" s="39" t="s">
        <v>229</v>
      </c>
      <c r="J11" s="39" t="s">
        <v>231</v>
      </c>
      <c r="K11" s="39" t="s">
        <v>109</v>
      </c>
      <c r="L11" s="39">
        <v>222477</v>
      </c>
      <c r="M11" s="39">
        <v>5262805173</v>
      </c>
      <c r="N11" s="39">
        <v>15875557</v>
      </c>
      <c r="O11" s="39" t="s">
        <v>232</v>
      </c>
      <c r="P11" s="48">
        <v>38317</v>
      </c>
      <c r="Q11" s="48">
        <v>40927</v>
      </c>
      <c r="R11" s="39" t="s">
        <v>233</v>
      </c>
      <c r="S11" s="39" t="s">
        <v>234</v>
      </c>
      <c r="T11" s="39" t="s">
        <v>134</v>
      </c>
      <c r="U11" s="39" t="s">
        <v>132</v>
      </c>
      <c r="V11" s="39" t="s">
        <v>82</v>
      </c>
      <c r="W11" s="39" t="s">
        <v>82</v>
      </c>
      <c r="X11" s="39" t="s">
        <v>82</v>
      </c>
      <c r="Y11" s="39"/>
      <c r="Z11" s="39"/>
      <c r="AA11" s="42" t="s">
        <v>235</v>
      </c>
      <c r="AB11" s="49" t="s">
        <v>236</v>
      </c>
      <c r="AC11" s="39"/>
      <c r="AD11" s="34"/>
      <c r="AE11" s="42" t="s">
        <v>239</v>
      </c>
      <c r="AF11" s="34"/>
      <c r="AG11" s="34"/>
      <c r="AH11" s="39"/>
      <c r="AI11" s="39"/>
      <c r="AJ11" s="42" t="s">
        <v>238</v>
      </c>
      <c r="AK11" s="39"/>
      <c r="AL11" s="39"/>
      <c r="AM11" s="39"/>
      <c r="AN11" s="39"/>
      <c r="AO11" s="39"/>
      <c r="AP11" s="39"/>
      <c r="AQ11" s="39"/>
      <c r="AR11" s="39"/>
      <c r="AS11" s="39"/>
      <c r="AT11" s="39"/>
      <c r="AU11" s="39" t="s">
        <v>119</v>
      </c>
      <c r="AV11" s="39" t="s">
        <v>237</v>
      </c>
      <c r="AW11" s="42" t="s">
        <v>122</v>
      </c>
      <c r="AX11" s="39"/>
      <c r="AY11" s="39"/>
      <c r="AZ11" s="42" t="s">
        <v>240</v>
      </c>
    </row>
    <row r="12" spans="2:52" ht="15" customHeight="1">
      <c r="B12" s="39">
        <v>144058</v>
      </c>
      <c r="C12" s="39" t="s">
        <v>241</v>
      </c>
      <c r="D12" s="34"/>
      <c r="E12" s="39" t="s">
        <v>197</v>
      </c>
      <c r="F12" s="39" t="s">
        <v>243</v>
      </c>
      <c r="G12" s="39">
        <v>24</v>
      </c>
      <c r="H12" s="48">
        <v>43165</v>
      </c>
      <c r="I12" s="39" t="s">
        <v>242</v>
      </c>
      <c r="J12" s="39" t="s">
        <v>244</v>
      </c>
      <c r="K12" s="39" t="s">
        <v>109</v>
      </c>
      <c r="L12" s="39">
        <v>52489</v>
      </c>
      <c r="M12" s="39">
        <v>5260203300</v>
      </c>
      <c r="N12" s="39">
        <v>12007079</v>
      </c>
      <c r="O12" s="39" t="s">
        <v>245</v>
      </c>
      <c r="P12" s="48">
        <v>37176</v>
      </c>
      <c r="Q12" s="39"/>
      <c r="R12" s="39" t="s">
        <v>246</v>
      </c>
      <c r="S12" s="39" t="s">
        <v>249</v>
      </c>
      <c r="T12" s="39" t="s">
        <v>250</v>
      </c>
      <c r="U12" s="39" t="s">
        <v>132</v>
      </c>
      <c r="V12" s="39" t="s">
        <v>82</v>
      </c>
      <c r="W12" s="39" t="s">
        <v>82</v>
      </c>
      <c r="X12" s="39" t="s">
        <v>82</v>
      </c>
      <c r="Y12" s="39" t="s">
        <v>247</v>
      </c>
      <c r="Z12" s="39" t="s">
        <v>248</v>
      </c>
      <c r="AA12" s="42" t="s">
        <v>251</v>
      </c>
      <c r="AB12" s="49" t="s">
        <v>252</v>
      </c>
      <c r="AC12" s="42" t="s">
        <v>152</v>
      </c>
      <c r="AD12" s="34"/>
      <c r="AE12" s="42" t="s">
        <v>256</v>
      </c>
      <c r="AF12" s="34"/>
      <c r="AG12" s="34"/>
      <c r="AH12" s="39"/>
      <c r="AI12" s="39" t="s">
        <v>253</v>
      </c>
      <c r="AJ12" s="42" t="s">
        <v>255</v>
      </c>
      <c r="AK12" s="39"/>
      <c r="AL12" s="39"/>
      <c r="AM12" s="39"/>
      <c r="AN12" s="39"/>
      <c r="AO12" s="39"/>
      <c r="AP12" s="39"/>
      <c r="AQ12" s="39"/>
      <c r="AR12" s="42" t="s">
        <v>254</v>
      </c>
      <c r="AS12" s="39"/>
      <c r="AT12" s="39"/>
      <c r="AU12" s="39" t="s">
        <v>119</v>
      </c>
      <c r="AV12" s="39"/>
      <c r="AW12" s="42" t="s">
        <v>257</v>
      </c>
      <c r="AX12" s="39"/>
      <c r="AY12" s="42" t="s">
        <v>258</v>
      </c>
      <c r="AZ12" s="39"/>
    </row>
    <row r="13" spans="2:52" ht="15" customHeight="1">
      <c r="B13" s="39">
        <v>144058</v>
      </c>
      <c r="C13" s="39" t="s">
        <v>259</v>
      </c>
      <c r="D13" s="34"/>
      <c r="E13" s="39" t="s">
        <v>227</v>
      </c>
      <c r="F13" s="39" t="s">
        <v>261</v>
      </c>
      <c r="G13" s="39">
        <v>33</v>
      </c>
      <c r="H13" s="48">
        <v>42886</v>
      </c>
      <c r="I13" s="39" t="s">
        <v>260</v>
      </c>
      <c r="J13" s="39" t="s">
        <v>262</v>
      </c>
      <c r="K13" s="39" t="s">
        <v>109</v>
      </c>
      <c r="L13" s="39">
        <v>165473</v>
      </c>
      <c r="M13" s="39">
        <v>5252195129</v>
      </c>
      <c r="N13" s="39">
        <v>17132346</v>
      </c>
      <c r="O13" s="39" t="s">
        <v>263</v>
      </c>
      <c r="P13" s="48">
        <v>37797</v>
      </c>
      <c r="Q13" s="39"/>
      <c r="R13" s="39" t="s">
        <v>264</v>
      </c>
      <c r="S13" s="39" t="s">
        <v>265</v>
      </c>
      <c r="T13" s="39" t="s">
        <v>266</v>
      </c>
      <c r="U13" s="39" t="s">
        <v>132</v>
      </c>
      <c r="V13" s="39" t="s">
        <v>82</v>
      </c>
      <c r="W13" s="39" t="s">
        <v>82</v>
      </c>
      <c r="X13" s="39" t="s">
        <v>82</v>
      </c>
      <c r="Y13" s="39"/>
      <c r="Z13" s="39"/>
      <c r="AA13" s="42" t="s">
        <v>267</v>
      </c>
      <c r="AB13" s="49" t="s">
        <v>268</v>
      </c>
      <c r="AC13" s="42" t="s">
        <v>152</v>
      </c>
      <c r="AD13" s="34"/>
      <c r="AE13" s="42" t="s">
        <v>269</v>
      </c>
      <c r="AF13" s="34"/>
      <c r="AG13" s="34"/>
      <c r="AH13" s="39"/>
      <c r="AI13" s="39"/>
      <c r="AJ13" s="39"/>
      <c r="AK13" s="39"/>
      <c r="AL13" s="39"/>
      <c r="AM13" s="39"/>
      <c r="AN13" s="39"/>
      <c r="AO13" s="39"/>
      <c r="AP13" s="39"/>
      <c r="AQ13" s="39"/>
      <c r="AR13" s="39"/>
      <c r="AS13" s="39"/>
      <c r="AT13" s="39"/>
      <c r="AU13" s="39" t="s">
        <v>119</v>
      </c>
      <c r="AV13" s="39"/>
      <c r="AW13" s="42" t="s">
        <v>122</v>
      </c>
      <c r="AX13" s="39"/>
      <c r="AY13" s="42" t="s">
        <v>270</v>
      </c>
      <c r="AZ13" s="42" t="s">
        <v>271</v>
      </c>
    </row>
    <row r="14" spans="2:52" ht="15" customHeight="1">
      <c r="B14" s="39">
        <v>144058</v>
      </c>
      <c r="C14" s="39" t="s">
        <v>272</v>
      </c>
      <c r="D14" s="34"/>
      <c r="E14" s="39" t="s">
        <v>288</v>
      </c>
      <c r="F14" s="39" t="s">
        <v>274</v>
      </c>
      <c r="G14" s="39">
        <v>27</v>
      </c>
      <c r="H14" s="48">
        <v>41263</v>
      </c>
      <c r="I14" s="39" t="s">
        <v>273</v>
      </c>
      <c r="J14" s="39" t="s">
        <v>275</v>
      </c>
      <c r="K14" s="39" t="s">
        <v>109</v>
      </c>
      <c r="L14" s="39">
        <v>12097</v>
      </c>
      <c r="M14" s="39">
        <v>5272278048</v>
      </c>
      <c r="N14" s="39">
        <v>16147742</v>
      </c>
      <c r="O14" s="39" t="s">
        <v>276</v>
      </c>
      <c r="P14" s="48">
        <v>37063</v>
      </c>
      <c r="Q14" s="48">
        <v>41283</v>
      </c>
      <c r="R14" s="39" t="s">
        <v>277</v>
      </c>
      <c r="S14" s="39" t="s">
        <v>278</v>
      </c>
      <c r="T14" s="39" t="s">
        <v>279</v>
      </c>
      <c r="U14" s="39" t="s">
        <v>132</v>
      </c>
      <c r="V14" s="39" t="s">
        <v>82</v>
      </c>
      <c r="W14" s="39" t="s">
        <v>82</v>
      </c>
      <c r="X14" s="39" t="s">
        <v>82</v>
      </c>
      <c r="Y14" s="39"/>
      <c r="Z14" s="39"/>
      <c r="AA14" s="42" t="s">
        <v>189</v>
      </c>
      <c r="AB14" s="49" t="s">
        <v>280</v>
      </c>
      <c r="AC14" s="42" t="s">
        <v>152</v>
      </c>
      <c r="AD14" s="34"/>
      <c r="AE14" s="42" t="s">
        <v>284</v>
      </c>
      <c r="AF14" s="34"/>
      <c r="AG14" s="34"/>
      <c r="AH14" s="42" t="s">
        <v>281</v>
      </c>
      <c r="AI14" s="39"/>
      <c r="AJ14" s="42" t="s">
        <v>283</v>
      </c>
      <c r="AK14" s="39"/>
      <c r="AL14" s="39"/>
      <c r="AM14" s="39"/>
      <c r="AN14" s="39"/>
      <c r="AO14" s="39"/>
      <c r="AP14" s="39"/>
      <c r="AQ14" s="39"/>
      <c r="AR14" s="39"/>
      <c r="AS14" s="39"/>
      <c r="AT14" s="39"/>
      <c r="AU14" s="39" t="s">
        <v>119</v>
      </c>
      <c r="AV14" s="39"/>
      <c r="AW14" s="42" t="s">
        <v>285</v>
      </c>
      <c r="AX14" s="42" t="s">
        <v>282</v>
      </c>
      <c r="AY14" s="42" t="s">
        <v>286</v>
      </c>
      <c r="AZ14" s="42" t="s">
        <v>287</v>
      </c>
    </row>
    <row r="15" spans="2:52" ht="15" customHeight="1">
      <c r="B15" s="39">
        <v>144058</v>
      </c>
      <c r="C15" s="39" t="s">
        <v>289</v>
      </c>
      <c r="D15" s="34"/>
      <c r="E15" s="39" t="s">
        <v>197</v>
      </c>
      <c r="F15" s="39" t="s">
        <v>291</v>
      </c>
      <c r="G15" s="39">
        <v>22</v>
      </c>
      <c r="H15" s="48">
        <v>43189</v>
      </c>
      <c r="I15" s="39" t="s">
        <v>290</v>
      </c>
      <c r="J15" s="39" t="s">
        <v>292</v>
      </c>
      <c r="K15" s="39" t="s">
        <v>109</v>
      </c>
      <c r="L15" s="39">
        <v>35064</v>
      </c>
      <c r="M15" s="39">
        <v>5272351733</v>
      </c>
      <c r="N15" s="39">
        <v>17182806</v>
      </c>
      <c r="O15" s="39" t="s">
        <v>293</v>
      </c>
      <c r="P15" s="48">
        <v>37140</v>
      </c>
      <c r="Q15" s="39"/>
      <c r="R15" s="39" t="s">
        <v>294</v>
      </c>
      <c r="S15" s="39" t="s">
        <v>295</v>
      </c>
      <c r="T15" s="39" t="s">
        <v>296</v>
      </c>
      <c r="U15" s="39" t="s">
        <v>132</v>
      </c>
      <c r="V15" s="39" t="s">
        <v>82</v>
      </c>
      <c r="W15" s="39" t="s">
        <v>82</v>
      </c>
      <c r="X15" s="39" t="s">
        <v>82</v>
      </c>
      <c r="Y15" s="39"/>
      <c r="Z15" s="39"/>
      <c r="AA15" s="42" t="s">
        <v>189</v>
      </c>
      <c r="AB15" s="49" t="s">
        <v>297</v>
      </c>
      <c r="AC15" s="42" t="s">
        <v>152</v>
      </c>
      <c r="AD15" s="34"/>
      <c r="AE15" s="42" t="s">
        <v>301</v>
      </c>
      <c r="AF15" s="34"/>
      <c r="AG15" s="34"/>
      <c r="AH15" s="42" t="s">
        <v>298</v>
      </c>
      <c r="AI15" s="39"/>
      <c r="AJ15" s="42" t="s">
        <v>300</v>
      </c>
      <c r="AK15" s="39"/>
      <c r="AL15" s="39"/>
      <c r="AM15" s="39"/>
      <c r="AN15" s="39"/>
      <c r="AO15" s="39"/>
      <c r="AP15" s="39"/>
      <c r="AQ15" s="39"/>
      <c r="AR15" s="39"/>
      <c r="AS15" s="39"/>
      <c r="AT15" s="39"/>
      <c r="AU15" s="39" t="s">
        <v>119</v>
      </c>
      <c r="AV15" s="39"/>
      <c r="AW15" s="42" t="s">
        <v>302</v>
      </c>
      <c r="AX15" s="42" t="s">
        <v>299</v>
      </c>
      <c r="AY15" s="42" t="s">
        <v>303</v>
      </c>
      <c r="AZ15" s="39"/>
    </row>
    <row r="16" spans="2:52" ht="15" customHeight="1">
      <c r="B16" s="39">
        <v>144058</v>
      </c>
      <c r="C16" s="39" t="s">
        <v>304</v>
      </c>
      <c r="D16" s="34"/>
      <c r="E16" s="39" t="s">
        <v>227</v>
      </c>
      <c r="F16" s="39" t="s">
        <v>306</v>
      </c>
      <c r="G16" s="39">
        <v>20</v>
      </c>
      <c r="H16" s="48">
        <v>39219</v>
      </c>
      <c r="I16" s="39" t="s">
        <v>305</v>
      </c>
      <c r="J16" s="39" t="s">
        <v>307</v>
      </c>
      <c r="K16" s="39" t="s">
        <v>109</v>
      </c>
      <c r="L16" s="39">
        <v>14024</v>
      </c>
      <c r="M16" s="39">
        <v>6771069777</v>
      </c>
      <c r="N16" s="39">
        <v>350913880</v>
      </c>
      <c r="O16" s="39" t="s">
        <v>308</v>
      </c>
      <c r="P16" s="48">
        <v>37034</v>
      </c>
      <c r="Q16" s="48">
        <v>39252</v>
      </c>
      <c r="R16" s="39" t="s">
        <v>309</v>
      </c>
      <c r="S16" s="39" t="s">
        <v>312</v>
      </c>
      <c r="T16" s="39" t="s">
        <v>313</v>
      </c>
      <c r="U16" s="39" t="s">
        <v>310</v>
      </c>
      <c r="V16" s="39" t="s">
        <v>311</v>
      </c>
      <c r="W16" s="39" t="s">
        <v>311</v>
      </c>
      <c r="X16" s="39" t="s">
        <v>311</v>
      </c>
      <c r="Y16" s="39"/>
      <c r="Z16" s="39"/>
      <c r="AA16" s="42" t="s">
        <v>314</v>
      </c>
      <c r="AB16" s="49" t="s">
        <v>315</v>
      </c>
      <c r="AC16" s="39"/>
      <c r="AD16" s="34"/>
      <c r="AE16" s="42" t="s">
        <v>317</v>
      </c>
      <c r="AF16" s="34"/>
      <c r="AG16" s="34"/>
      <c r="AH16" s="39"/>
      <c r="AI16" s="39"/>
      <c r="AJ16" s="42" t="s">
        <v>316</v>
      </c>
      <c r="AK16" s="39"/>
      <c r="AL16" s="39"/>
      <c r="AM16" s="39"/>
      <c r="AN16" s="39"/>
      <c r="AO16" s="39"/>
      <c r="AP16" s="39"/>
      <c r="AQ16" s="39"/>
      <c r="AR16" s="39"/>
      <c r="AS16" s="39"/>
      <c r="AT16" s="39"/>
      <c r="AU16" s="39" t="s">
        <v>119</v>
      </c>
      <c r="AV16" s="39"/>
      <c r="AW16" s="42" t="s">
        <v>122</v>
      </c>
      <c r="AX16" s="39"/>
      <c r="AY16" s="42" t="s">
        <v>318</v>
      </c>
      <c r="AZ16" s="42" t="s">
        <v>319</v>
      </c>
    </row>
    <row r="17" spans="2:52" ht="15" customHeight="1">
      <c r="B17" s="39">
        <v>144058</v>
      </c>
      <c r="C17" s="39" t="s">
        <v>320</v>
      </c>
      <c r="D17" s="34"/>
      <c r="E17" s="39" t="s">
        <v>125</v>
      </c>
      <c r="F17" s="39" t="s">
        <v>322</v>
      </c>
      <c r="G17" s="39">
        <v>7</v>
      </c>
      <c r="H17" s="48">
        <v>37888</v>
      </c>
      <c r="I17" s="39" t="s">
        <v>321</v>
      </c>
      <c r="J17" s="39" t="s">
        <v>323</v>
      </c>
      <c r="K17" s="39" t="s">
        <v>109</v>
      </c>
      <c r="L17" s="39">
        <v>4730</v>
      </c>
      <c r="M17" s="39"/>
      <c r="N17" s="39">
        <v>11517944</v>
      </c>
      <c r="O17" s="39" t="s">
        <v>324</v>
      </c>
      <c r="P17" s="48">
        <v>36998</v>
      </c>
      <c r="Q17" s="48">
        <v>37942</v>
      </c>
      <c r="R17" s="39" t="s">
        <v>325</v>
      </c>
      <c r="S17" s="39" t="s">
        <v>326</v>
      </c>
      <c r="T17" s="39" t="s">
        <v>176</v>
      </c>
      <c r="U17" s="39" t="s">
        <v>132</v>
      </c>
      <c r="V17" s="39" t="s">
        <v>82</v>
      </c>
      <c r="W17" s="39" t="s">
        <v>82</v>
      </c>
      <c r="X17" s="39" t="s">
        <v>82</v>
      </c>
      <c r="Y17" s="39"/>
      <c r="Z17" s="39"/>
      <c r="AA17" s="42" t="s">
        <v>327</v>
      </c>
      <c r="AB17" s="49" t="s">
        <v>328</v>
      </c>
      <c r="AC17" s="42" t="s">
        <v>152</v>
      </c>
      <c r="AD17" s="34"/>
      <c r="AE17" s="42" t="s">
        <v>331</v>
      </c>
      <c r="AF17" s="34"/>
      <c r="AG17" s="34"/>
      <c r="AH17" s="39"/>
      <c r="AI17" s="39"/>
      <c r="AJ17" s="42" t="s">
        <v>330</v>
      </c>
      <c r="AK17" s="39"/>
      <c r="AL17" s="39"/>
      <c r="AM17" s="39"/>
      <c r="AN17" s="39"/>
      <c r="AO17" s="39"/>
      <c r="AP17" s="42" t="s">
        <v>329</v>
      </c>
      <c r="AQ17" s="39"/>
      <c r="AR17" s="39"/>
      <c r="AS17" s="39"/>
      <c r="AT17" s="39"/>
      <c r="AU17" s="39" t="s">
        <v>119</v>
      </c>
      <c r="AV17" s="39"/>
      <c r="AW17" s="42" t="s">
        <v>122</v>
      </c>
      <c r="AX17" s="39"/>
      <c r="AY17" s="39"/>
      <c r="AZ17" s="42" t="s">
        <v>332</v>
      </c>
    </row>
    <row r="18" spans="2:52" ht="15" customHeight="1">
      <c r="B18" s="39">
        <v>144058</v>
      </c>
      <c r="C18" s="39" t="s">
        <v>333</v>
      </c>
      <c r="D18" s="34"/>
      <c r="E18" s="39" t="s">
        <v>125</v>
      </c>
      <c r="F18" s="39" t="s">
        <v>335</v>
      </c>
      <c r="G18" s="39">
        <v>38</v>
      </c>
      <c r="H18" s="48">
        <v>40800</v>
      </c>
      <c r="I18" s="39" t="s">
        <v>334</v>
      </c>
      <c r="J18" s="39" t="s">
        <v>336</v>
      </c>
      <c r="K18" s="39" t="s">
        <v>109</v>
      </c>
      <c r="L18" s="39">
        <v>29159</v>
      </c>
      <c r="M18" s="39">
        <v>5261040567</v>
      </c>
      <c r="N18" s="39">
        <v>11417295</v>
      </c>
      <c r="O18" s="39" t="s">
        <v>337</v>
      </c>
      <c r="P18" s="48">
        <v>37091</v>
      </c>
      <c r="Q18" s="48">
        <v>40819</v>
      </c>
      <c r="R18" s="39" t="s">
        <v>338</v>
      </c>
      <c r="S18" s="39" t="s">
        <v>339</v>
      </c>
      <c r="T18" s="39" t="s">
        <v>340</v>
      </c>
      <c r="U18" s="39" t="s">
        <v>132</v>
      </c>
      <c r="V18" s="39" t="s">
        <v>82</v>
      </c>
      <c r="W18" s="39" t="s">
        <v>82</v>
      </c>
      <c r="X18" s="39" t="s">
        <v>82</v>
      </c>
      <c r="Y18" s="39"/>
      <c r="Z18" s="39"/>
      <c r="AA18" s="42" t="s">
        <v>341</v>
      </c>
      <c r="AB18" s="49" t="s">
        <v>342</v>
      </c>
      <c r="AC18" s="42" t="s">
        <v>343</v>
      </c>
      <c r="AD18" s="34"/>
      <c r="AE18" s="42" t="s">
        <v>345</v>
      </c>
      <c r="AF18" s="34"/>
      <c r="AG18" s="34"/>
      <c r="AH18" s="39"/>
      <c r="AI18" s="39"/>
      <c r="AJ18" s="42" t="s">
        <v>344</v>
      </c>
      <c r="AK18" s="39"/>
      <c r="AL18" s="39"/>
      <c r="AM18" s="39"/>
      <c r="AN18" s="39"/>
      <c r="AO18" s="39"/>
      <c r="AP18" s="39"/>
      <c r="AQ18" s="39"/>
      <c r="AR18" s="39"/>
      <c r="AS18" s="39"/>
      <c r="AT18" s="39"/>
      <c r="AU18" s="39" t="s">
        <v>119</v>
      </c>
      <c r="AV18" s="39"/>
      <c r="AW18" s="42" t="s">
        <v>122</v>
      </c>
      <c r="AX18" s="39"/>
      <c r="AY18" s="42" t="s">
        <v>346</v>
      </c>
      <c r="AZ18" s="42" t="s">
        <v>347</v>
      </c>
    </row>
    <row r="19" spans="2:52" ht="15" customHeight="1">
      <c r="B19" s="39">
        <v>144058</v>
      </c>
      <c r="C19" s="39" t="s">
        <v>348</v>
      </c>
      <c r="D19" s="34"/>
      <c r="E19" s="39" t="s">
        <v>141</v>
      </c>
      <c r="F19" s="39" t="s">
        <v>350</v>
      </c>
      <c r="G19" s="39">
        <v>2</v>
      </c>
      <c r="H19" s="48">
        <v>37644</v>
      </c>
      <c r="I19" s="39" t="s">
        <v>349</v>
      </c>
      <c r="J19" s="39" t="s">
        <v>351</v>
      </c>
      <c r="K19" s="39" t="s">
        <v>109</v>
      </c>
      <c r="L19" s="39">
        <v>86664</v>
      </c>
      <c r="M19" s="39"/>
      <c r="N19" s="39">
        <v>10768851</v>
      </c>
      <c r="O19" s="39" t="s">
        <v>352</v>
      </c>
      <c r="P19" s="48">
        <v>37291</v>
      </c>
      <c r="Q19" s="39"/>
      <c r="R19" s="39" t="s">
        <v>353</v>
      </c>
      <c r="S19" s="39" t="s">
        <v>356</v>
      </c>
      <c r="T19" s="39" t="s">
        <v>357</v>
      </c>
      <c r="U19" s="39" t="s">
        <v>132</v>
      </c>
      <c r="V19" s="39" t="s">
        <v>354</v>
      </c>
      <c r="W19" s="39" t="s">
        <v>355</v>
      </c>
      <c r="X19" s="39" t="s">
        <v>355</v>
      </c>
      <c r="Y19" s="39"/>
      <c r="Z19" s="39"/>
      <c r="AA19" s="42" t="s">
        <v>358</v>
      </c>
      <c r="AB19" s="49" t="s">
        <v>359</v>
      </c>
      <c r="AC19" s="42" t="s">
        <v>360</v>
      </c>
      <c r="AD19" s="34"/>
      <c r="AE19" s="39"/>
      <c r="AF19" s="34"/>
      <c r="AG19" s="34"/>
      <c r="AH19" s="39"/>
      <c r="AI19" s="39"/>
      <c r="AJ19" s="42" t="s">
        <v>362</v>
      </c>
      <c r="AK19" s="39"/>
      <c r="AL19" s="39"/>
      <c r="AM19" s="39"/>
      <c r="AN19" s="39"/>
      <c r="AO19" s="39"/>
      <c r="AP19" s="42" t="s">
        <v>361</v>
      </c>
      <c r="AQ19" s="39"/>
      <c r="AR19" s="39"/>
      <c r="AS19" s="39"/>
      <c r="AT19" s="39"/>
      <c r="AU19" s="39" t="s">
        <v>119</v>
      </c>
      <c r="AV19" s="39"/>
      <c r="AW19" s="42" t="s">
        <v>122</v>
      </c>
      <c r="AX19" s="39"/>
      <c r="AY19" s="39"/>
      <c r="AZ19" s="39"/>
    </row>
    <row r="20" spans="2:52" ht="15" customHeight="1">
      <c r="B20" s="39">
        <v>144058</v>
      </c>
      <c r="C20" s="39" t="s">
        <v>363</v>
      </c>
      <c r="D20" s="34"/>
      <c r="E20" s="39" t="s">
        <v>197</v>
      </c>
      <c r="F20" s="39" t="s">
        <v>365</v>
      </c>
      <c r="G20" s="39">
        <v>10</v>
      </c>
      <c r="H20" s="48">
        <v>38341</v>
      </c>
      <c r="I20" s="39" t="s">
        <v>364</v>
      </c>
      <c r="J20" s="39" t="s">
        <v>366</v>
      </c>
      <c r="K20" s="39" t="s">
        <v>109</v>
      </c>
      <c r="L20" s="39">
        <v>72105</v>
      </c>
      <c r="M20" s="39"/>
      <c r="N20" s="39">
        <v>531292282</v>
      </c>
      <c r="O20" s="39" t="s">
        <v>367</v>
      </c>
      <c r="P20" s="48">
        <v>37238</v>
      </c>
      <c r="Q20" s="48">
        <v>38359</v>
      </c>
      <c r="R20" s="39" t="s">
        <v>368</v>
      </c>
      <c r="S20" s="39" t="s">
        <v>372</v>
      </c>
      <c r="T20" s="39" t="s">
        <v>373</v>
      </c>
      <c r="U20" s="39" t="s">
        <v>369</v>
      </c>
      <c r="V20" s="39" t="s">
        <v>370</v>
      </c>
      <c r="W20" s="39" t="s">
        <v>371</v>
      </c>
      <c r="X20" s="39" t="s">
        <v>371</v>
      </c>
      <c r="Y20" s="39"/>
      <c r="Z20" s="39"/>
      <c r="AA20" s="42" t="s">
        <v>189</v>
      </c>
      <c r="AB20" s="49" t="s">
        <v>374</v>
      </c>
      <c r="AC20" s="42" t="s">
        <v>375</v>
      </c>
      <c r="AD20" s="34"/>
      <c r="AE20" s="42" t="s">
        <v>379</v>
      </c>
      <c r="AF20" s="34"/>
      <c r="AG20" s="34"/>
      <c r="AH20" s="42" t="s">
        <v>376</v>
      </c>
      <c r="AI20" s="39"/>
      <c r="AJ20" s="42" t="s">
        <v>378</v>
      </c>
      <c r="AK20" s="39"/>
      <c r="AL20" s="39"/>
      <c r="AM20" s="39"/>
      <c r="AN20" s="39"/>
      <c r="AO20" s="39"/>
      <c r="AP20" s="39"/>
      <c r="AQ20" s="39"/>
      <c r="AR20" s="39"/>
      <c r="AS20" s="39"/>
      <c r="AT20" s="39"/>
      <c r="AU20" s="39" t="s">
        <v>119</v>
      </c>
      <c r="AV20" s="39"/>
      <c r="AW20" s="42" t="s">
        <v>122</v>
      </c>
      <c r="AX20" s="42" t="s">
        <v>377</v>
      </c>
      <c r="AY20" s="39"/>
      <c r="AZ20" s="42" t="s">
        <v>380</v>
      </c>
    </row>
    <row r="21" spans="2:52" ht="15" customHeight="1">
      <c r="B21" s="39">
        <v>144058</v>
      </c>
      <c r="C21" s="39" t="s">
        <v>381</v>
      </c>
      <c r="D21" s="34"/>
      <c r="E21" s="39" t="s">
        <v>197</v>
      </c>
      <c r="F21" s="39" t="s">
        <v>383</v>
      </c>
      <c r="G21" s="39">
        <v>12</v>
      </c>
      <c r="H21" s="48">
        <v>40953</v>
      </c>
      <c r="I21" s="39" t="s">
        <v>382</v>
      </c>
      <c r="J21" s="39" t="s">
        <v>384</v>
      </c>
      <c r="K21" s="39" t="s">
        <v>109</v>
      </c>
      <c r="L21" s="39">
        <v>27431</v>
      </c>
      <c r="M21" s="39">
        <v>7710008026</v>
      </c>
      <c r="N21" s="39">
        <v>590023219</v>
      </c>
      <c r="O21" s="39" t="s">
        <v>385</v>
      </c>
      <c r="P21" s="48">
        <v>37089</v>
      </c>
      <c r="Q21" s="48">
        <v>40969</v>
      </c>
      <c r="R21" s="39" t="s">
        <v>174</v>
      </c>
      <c r="S21" s="39" t="s">
        <v>175</v>
      </c>
      <c r="T21" s="39" t="s">
        <v>176</v>
      </c>
      <c r="U21" s="39" t="s">
        <v>132</v>
      </c>
      <c r="V21" s="39" t="s">
        <v>82</v>
      </c>
      <c r="W21" s="39" t="s">
        <v>82</v>
      </c>
      <c r="X21" s="39" t="s">
        <v>82</v>
      </c>
      <c r="Y21" s="39"/>
      <c r="Z21" s="39"/>
      <c r="AA21" s="42" t="s">
        <v>189</v>
      </c>
      <c r="AB21" s="49" t="s">
        <v>386</v>
      </c>
      <c r="AC21" s="39"/>
      <c r="AD21" s="34"/>
      <c r="AE21" s="42" t="s">
        <v>390</v>
      </c>
      <c r="AF21" s="34"/>
      <c r="AG21" s="34"/>
      <c r="AH21" s="42" t="s">
        <v>387</v>
      </c>
      <c r="AI21" s="39"/>
      <c r="AJ21" s="42" t="s">
        <v>389</v>
      </c>
      <c r="AK21" s="39"/>
      <c r="AL21" s="39"/>
      <c r="AM21" s="39"/>
      <c r="AN21" s="39"/>
      <c r="AO21" s="39"/>
      <c r="AP21" s="39"/>
      <c r="AQ21" s="39"/>
      <c r="AR21" s="39"/>
      <c r="AS21" s="39"/>
      <c r="AT21" s="39"/>
      <c r="AU21" s="39" t="s">
        <v>119</v>
      </c>
      <c r="AV21" s="39"/>
      <c r="AW21" s="42" t="s">
        <v>391</v>
      </c>
      <c r="AX21" s="42" t="s">
        <v>388</v>
      </c>
      <c r="AY21" s="42" t="s">
        <v>392</v>
      </c>
      <c r="AZ21" s="42" t="s">
        <v>393</v>
      </c>
    </row>
    <row r="22" spans="2:52" ht="15" customHeight="1">
      <c r="B22" s="39">
        <v>144058</v>
      </c>
      <c r="C22" s="39" t="s">
        <v>394</v>
      </c>
      <c r="D22" s="34"/>
      <c r="E22" s="39" t="s">
        <v>402</v>
      </c>
      <c r="F22" s="39" t="s">
        <v>396</v>
      </c>
      <c r="G22" s="39">
        <v>7</v>
      </c>
      <c r="H22" s="48">
        <v>37754</v>
      </c>
      <c r="I22" s="39" t="s">
        <v>395</v>
      </c>
      <c r="J22" s="39" t="s">
        <v>397</v>
      </c>
      <c r="K22" s="39" t="s">
        <v>109</v>
      </c>
      <c r="L22" s="39">
        <v>14232</v>
      </c>
      <c r="M22" s="39">
        <v>5272334350</v>
      </c>
      <c r="N22" s="39">
        <v>17187815</v>
      </c>
      <c r="O22" s="39" t="s">
        <v>398</v>
      </c>
      <c r="P22" s="48">
        <v>37097</v>
      </c>
      <c r="Q22" s="39"/>
      <c r="R22" s="39" t="s">
        <v>187</v>
      </c>
      <c r="S22" s="39" t="s">
        <v>188</v>
      </c>
      <c r="T22" s="39" t="s">
        <v>176</v>
      </c>
      <c r="U22" s="39" t="s">
        <v>132</v>
      </c>
      <c r="V22" s="39" t="s">
        <v>82</v>
      </c>
      <c r="W22" s="39" t="s">
        <v>82</v>
      </c>
      <c r="X22" s="39" t="s">
        <v>82</v>
      </c>
      <c r="Y22" s="39"/>
      <c r="Z22" s="39"/>
      <c r="AA22" s="42" t="s">
        <v>399</v>
      </c>
      <c r="AB22" s="49" t="s">
        <v>400</v>
      </c>
      <c r="AC22" s="42" t="s">
        <v>401</v>
      </c>
      <c r="AD22" s="34"/>
      <c r="AE22" s="39"/>
      <c r="AF22" s="34"/>
      <c r="AG22" s="34"/>
      <c r="AH22" s="39"/>
      <c r="AI22" s="39"/>
      <c r="AJ22" s="39"/>
      <c r="AK22" s="39"/>
      <c r="AL22" s="39"/>
      <c r="AM22" s="39"/>
      <c r="AN22" s="39"/>
      <c r="AO22" s="39"/>
      <c r="AP22" s="39"/>
      <c r="AQ22" s="39"/>
      <c r="AR22" s="39"/>
      <c r="AS22" s="39"/>
      <c r="AT22" s="39"/>
      <c r="AU22" s="39" t="s">
        <v>119</v>
      </c>
      <c r="AV22" s="39"/>
      <c r="AW22" s="42" t="s">
        <v>122</v>
      </c>
      <c r="AX22" s="39"/>
      <c r="AY22" s="39"/>
      <c r="AZ22" s="39"/>
    </row>
    <row r="23" spans="2:52" ht="15" customHeight="1">
      <c r="B23" s="39">
        <v>144058</v>
      </c>
      <c r="C23" s="39" t="s">
        <v>403</v>
      </c>
      <c r="D23" s="34"/>
      <c r="E23" s="39" t="s">
        <v>125</v>
      </c>
      <c r="F23" s="39" t="s">
        <v>405</v>
      </c>
      <c r="G23" s="39">
        <v>17</v>
      </c>
      <c r="H23" s="48">
        <v>39090</v>
      </c>
      <c r="I23" s="39" t="s">
        <v>404</v>
      </c>
      <c r="J23" s="39" t="s">
        <v>406</v>
      </c>
      <c r="K23" s="39" t="s">
        <v>109</v>
      </c>
      <c r="L23" s="39">
        <v>23687</v>
      </c>
      <c r="M23" s="39">
        <v>5252201172</v>
      </c>
      <c r="N23" s="39">
        <v>17213843</v>
      </c>
      <c r="O23" s="39" t="s">
        <v>407</v>
      </c>
      <c r="P23" s="48">
        <v>37069</v>
      </c>
      <c r="Q23" s="39"/>
      <c r="R23" s="39" t="s">
        <v>408</v>
      </c>
      <c r="S23" s="39" t="s">
        <v>409</v>
      </c>
      <c r="T23" s="39" t="s">
        <v>410</v>
      </c>
      <c r="U23" s="39" t="s">
        <v>132</v>
      </c>
      <c r="V23" s="39" t="s">
        <v>82</v>
      </c>
      <c r="W23" s="39" t="s">
        <v>82</v>
      </c>
      <c r="X23" s="39" t="s">
        <v>82</v>
      </c>
      <c r="Y23" s="39"/>
      <c r="Z23" s="39"/>
      <c r="AA23" s="42" t="s">
        <v>189</v>
      </c>
      <c r="AB23" s="49" t="s">
        <v>411</v>
      </c>
      <c r="AC23" s="39"/>
      <c r="AD23" s="34"/>
      <c r="AE23" s="42" t="s">
        <v>415</v>
      </c>
      <c r="AF23" s="34"/>
      <c r="AG23" s="34"/>
      <c r="AH23" s="42" t="s">
        <v>412</v>
      </c>
      <c r="AI23" s="39"/>
      <c r="AJ23" s="42" t="s">
        <v>414</v>
      </c>
      <c r="AK23" s="39"/>
      <c r="AL23" s="39"/>
      <c r="AM23" s="39"/>
      <c r="AN23" s="39"/>
      <c r="AO23" s="39"/>
      <c r="AP23" s="39"/>
      <c r="AQ23" s="39"/>
      <c r="AR23" s="39"/>
      <c r="AS23" s="39"/>
      <c r="AT23" s="39"/>
      <c r="AU23" s="39" t="s">
        <v>119</v>
      </c>
      <c r="AV23" s="39"/>
      <c r="AW23" s="42" t="s">
        <v>122</v>
      </c>
      <c r="AX23" s="42" t="s">
        <v>413</v>
      </c>
      <c r="AY23" s="42" t="s">
        <v>416</v>
      </c>
      <c r="AZ23" s="39"/>
    </row>
    <row r="24" spans="2:52" ht="15" customHeight="1">
      <c r="B24" s="39">
        <v>144058</v>
      </c>
      <c r="C24" s="39" t="s">
        <v>417</v>
      </c>
      <c r="D24" s="34"/>
      <c r="E24" s="39" t="s">
        <v>197</v>
      </c>
      <c r="F24" s="39" t="s">
        <v>419</v>
      </c>
      <c r="G24" s="39">
        <v>31</v>
      </c>
      <c r="H24" s="48">
        <v>40913</v>
      </c>
      <c r="I24" s="39" t="s">
        <v>418</v>
      </c>
      <c r="J24" s="39" t="s">
        <v>420</v>
      </c>
      <c r="K24" s="39" t="s">
        <v>109</v>
      </c>
      <c r="L24" s="39">
        <v>55401</v>
      </c>
      <c r="M24" s="39">
        <v>5211011345</v>
      </c>
      <c r="N24" s="39">
        <v>10896075</v>
      </c>
      <c r="O24" s="39" t="s">
        <v>421</v>
      </c>
      <c r="P24" s="48">
        <v>37186</v>
      </c>
      <c r="Q24" s="48">
        <v>40936</v>
      </c>
      <c r="R24" s="39" t="s">
        <v>422</v>
      </c>
      <c r="S24" s="39" t="s">
        <v>423</v>
      </c>
      <c r="T24" s="39" t="s">
        <v>424</v>
      </c>
      <c r="U24" s="39" t="s">
        <v>132</v>
      </c>
      <c r="V24" s="39" t="s">
        <v>82</v>
      </c>
      <c r="W24" s="39" t="s">
        <v>82</v>
      </c>
      <c r="X24" s="39" t="s">
        <v>82</v>
      </c>
      <c r="Y24" s="39"/>
      <c r="Z24" s="39"/>
      <c r="AA24" s="42" t="s">
        <v>425</v>
      </c>
      <c r="AB24" s="49" t="s">
        <v>426</v>
      </c>
      <c r="AC24" s="42" t="s">
        <v>427</v>
      </c>
      <c r="AD24" s="34"/>
      <c r="AE24" s="42" t="s">
        <v>429</v>
      </c>
      <c r="AF24" s="34"/>
      <c r="AG24" s="34"/>
      <c r="AH24" s="39"/>
      <c r="AI24" s="39"/>
      <c r="AJ24" s="42" t="s">
        <v>428</v>
      </c>
      <c r="AK24" s="39"/>
      <c r="AL24" s="39"/>
      <c r="AM24" s="39"/>
      <c r="AN24" s="39"/>
      <c r="AO24" s="39"/>
      <c r="AP24" s="39"/>
      <c r="AQ24" s="39"/>
      <c r="AR24" s="39"/>
      <c r="AS24" s="39"/>
      <c r="AT24" s="39"/>
      <c r="AU24" s="39" t="s">
        <v>119</v>
      </c>
      <c r="AV24" s="39" t="s">
        <v>237</v>
      </c>
      <c r="AW24" s="42" t="s">
        <v>122</v>
      </c>
      <c r="AX24" s="39"/>
      <c r="AY24" s="42" t="s">
        <v>430</v>
      </c>
      <c r="AZ24" s="42" t="s">
        <v>431</v>
      </c>
    </row>
    <row r="25" spans="2:52" ht="15" customHeight="1">
      <c r="B25" s="39">
        <v>144058</v>
      </c>
      <c r="C25" s="39" t="s">
        <v>432</v>
      </c>
      <c r="D25" s="34"/>
      <c r="E25" s="39" t="s">
        <v>141</v>
      </c>
      <c r="F25" s="39" t="s">
        <v>434</v>
      </c>
      <c r="G25" s="39">
        <v>4</v>
      </c>
      <c r="H25" s="48">
        <v>41074</v>
      </c>
      <c r="I25" s="39" t="s">
        <v>433</v>
      </c>
      <c r="J25" s="39" t="s">
        <v>435</v>
      </c>
      <c r="K25" s="39" t="s">
        <v>109</v>
      </c>
      <c r="L25" s="39">
        <v>190486</v>
      </c>
      <c r="M25" s="39">
        <v>5260309458</v>
      </c>
      <c r="N25" s="39">
        <v>11100055</v>
      </c>
      <c r="O25" s="39" t="s">
        <v>436</v>
      </c>
      <c r="P25" s="48">
        <v>38012</v>
      </c>
      <c r="Q25" s="48">
        <v>41090</v>
      </c>
      <c r="R25" s="39" t="s">
        <v>437</v>
      </c>
      <c r="S25" s="39" t="s">
        <v>438</v>
      </c>
      <c r="T25" s="39" t="s">
        <v>439</v>
      </c>
      <c r="U25" s="39" t="s">
        <v>132</v>
      </c>
      <c r="V25" s="39" t="s">
        <v>82</v>
      </c>
      <c r="W25" s="39" t="s">
        <v>82</v>
      </c>
      <c r="X25" s="39" t="s">
        <v>82</v>
      </c>
      <c r="Y25" s="39"/>
      <c r="Z25" s="39"/>
      <c r="AA25" s="39"/>
      <c r="AB25" s="49" t="s">
        <v>440</v>
      </c>
      <c r="AC25" s="39"/>
      <c r="AD25" s="34"/>
      <c r="AE25" s="42" t="s">
        <v>443</v>
      </c>
      <c r="AF25" s="34"/>
      <c r="AG25" s="34"/>
      <c r="AH25" s="42" t="s">
        <v>441</v>
      </c>
      <c r="AI25" s="39"/>
      <c r="AJ25" s="39"/>
      <c r="AK25" s="39"/>
      <c r="AL25" s="39"/>
      <c r="AM25" s="39"/>
      <c r="AN25" s="39"/>
      <c r="AO25" s="39"/>
      <c r="AP25" s="39"/>
      <c r="AQ25" s="39"/>
      <c r="AR25" s="39"/>
      <c r="AS25" s="39"/>
      <c r="AT25" s="39"/>
      <c r="AU25" s="39" t="s">
        <v>119</v>
      </c>
      <c r="AV25" s="39"/>
      <c r="AW25" s="42" t="s">
        <v>444</v>
      </c>
      <c r="AX25" s="42" t="s">
        <v>442</v>
      </c>
      <c r="AY25" s="39"/>
      <c r="AZ25" s="42" t="s">
        <v>445</v>
      </c>
    </row>
    <row r="26" spans="2:52" ht="15" customHeight="1">
      <c r="B26" s="39">
        <v>144058</v>
      </c>
      <c r="C26" s="39" t="s">
        <v>446</v>
      </c>
      <c r="D26" s="34"/>
      <c r="E26" s="39" t="s">
        <v>125</v>
      </c>
      <c r="F26" s="39" t="s">
        <v>448</v>
      </c>
      <c r="G26" s="39">
        <v>25</v>
      </c>
      <c r="H26" s="48">
        <v>41040</v>
      </c>
      <c r="I26" s="39" t="s">
        <v>447</v>
      </c>
      <c r="J26" s="39" t="s">
        <v>449</v>
      </c>
      <c r="K26" s="39" t="s">
        <v>202</v>
      </c>
      <c r="L26" s="39">
        <v>75011</v>
      </c>
      <c r="M26" s="39">
        <v>5470127806</v>
      </c>
      <c r="N26" s="39">
        <v>70707245</v>
      </c>
      <c r="O26" s="39" t="s">
        <v>450</v>
      </c>
      <c r="P26" s="48">
        <v>37245</v>
      </c>
      <c r="Q26" s="48">
        <v>41057</v>
      </c>
      <c r="R26" s="39" t="s">
        <v>187</v>
      </c>
      <c r="S26" s="39" t="s">
        <v>188</v>
      </c>
      <c r="T26" s="39" t="s">
        <v>176</v>
      </c>
      <c r="U26" s="39" t="s">
        <v>132</v>
      </c>
      <c r="V26" s="39" t="s">
        <v>82</v>
      </c>
      <c r="W26" s="39" t="s">
        <v>82</v>
      </c>
      <c r="X26" s="39" t="s">
        <v>82</v>
      </c>
      <c r="Y26" s="39"/>
      <c r="Z26" s="39"/>
      <c r="AA26" s="42" t="s">
        <v>451</v>
      </c>
      <c r="AB26" s="34"/>
      <c r="AC26" s="42" t="s">
        <v>452</v>
      </c>
      <c r="AD26" s="34"/>
      <c r="AE26" s="42" t="s">
        <v>455</v>
      </c>
      <c r="AF26" s="49" t="s">
        <v>453</v>
      </c>
      <c r="AG26" s="34"/>
      <c r="AH26" s="39"/>
      <c r="AI26" s="39"/>
      <c r="AJ26" s="42" t="s">
        <v>454</v>
      </c>
      <c r="AK26" s="39"/>
      <c r="AL26" s="39"/>
      <c r="AM26" s="39"/>
      <c r="AN26" s="39"/>
      <c r="AO26" s="39"/>
      <c r="AP26" s="39"/>
      <c r="AQ26" s="39"/>
      <c r="AR26" s="39"/>
      <c r="AS26" s="39"/>
      <c r="AT26" s="39"/>
      <c r="AU26" s="39" t="s">
        <v>119</v>
      </c>
      <c r="AV26" s="39"/>
      <c r="AW26" s="42" t="s">
        <v>456</v>
      </c>
      <c r="AX26" s="39"/>
      <c r="AY26" s="42" t="s">
        <v>457</v>
      </c>
      <c r="AZ26" s="42" t="s">
        <v>458</v>
      </c>
    </row>
  </sheetData>
  <conditionalFormatting sqref="F2:F1048576">
    <cfRule type="duplicateValues" dxfId="113" priority="158"/>
    <cfRule type="duplicateValues" dxfId="112" priority="159"/>
    <cfRule type="duplicateValues" dxfId="111" priority="160"/>
  </conditionalFormatting>
  <conditionalFormatting sqref="F2:F1048576">
    <cfRule type="duplicateValues" dxfId="110" priority="161"/>
  </conditionalFormatting>
  <conditionalFormatting sqref="L3:L26">
    <cfRule type="duplicateValues" dxfId="109" priority="285"/>
  </conditionalFormatting>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249977111117893"/>
  </sheetPr>
  <dimension ref="A1:D31"/>
  <sheetViews>
    <sheetView showGridLines="0" showRowColHeaders="0" topLeftCell="A7" workbookViewId="0">
      <selection activeCell="C22" sqref="C22"/>
    </sheetView>
  </sheetViews>
  <sheetFormatPr defaultColWidth="0" defaultRowHeight="14.25" zeroHeight="1"/>
  <cols>
    <col min="1" max="1" width="0.875" style="5" customWidth="1"/>
    <col min="2" max="2" width="20.625" style="9" customWidth="1"/>
    <col min="3" max="3" width="50.625" style="10" customWidth="1"/>
    <col min="4" max="4" width="0.875" customWidth="1"/>
    <col min="5" max="16384" width="9" hidden="1"/>
  </cols>
  <sheetData>
    <row r="1" spans="2:3" s="5" customFormat="1" ht="5.0999999999999996" customHeight="1">
      <c r="B1" s="12"/>
      <c r="C1" s="14"/>
    </row>
    <row r="2" spans="2:3" s="5" customFormat="1">
      <c r="B2" s="13" t="s">
        <v>15</v>
      </c>
      <c r="C2" s="14"/>
    </row>
    <row r="3" spans="2:3" s="5" customFormat="1">
      <c r="B3" s="13" t="s">
        <v>97</v>
      </c>
      <c r="C3" s="14"/>
    </row>
    <row r="4" spans="2:3" s="5" customFormat="1">
      <c r="B4" s="13" t="s">
        <v>98</v>
      </c>
      <c r="C4" s="14"/>
    </row>
    <row r="5" spans="2:3" s="5" customFormat="1" ht="5.0999999999999996" customHeight="1">
      <c r="B5" s="13"/>
      <c r="C5" s="14"/>
    </row>
    <row r="6" spans="2:3" s="5" customFormat="1" ht="15">
      <c r="B6" s="12" t="s">
        <v>23</v>
      </c>
      <c r="C6" s="14"/>
    </row>
    <row r="7" spans="2:3" s="5" customFormat="1" ht="15">
      <c r="B7" s="23" t="s">
        <v>24</v>
      </c>
      <c r="C7" s="14"/>
    </row>
    <row r="8" spans="2:3" s="5" customFormat="1" ht="5.0999999999999996" customHeight="1">
      <c r="B8" s="12"/>
      <c r="C8" s="14"/>
    </row>
    <row r="9" spans="2:3" s="5" customFormat="1" ht="15">
      <c r="B9" s="13" t="s">
        <v>19</v>
      </c>
      <c r="C9" s="14"/>
    </row>
    <row r="10" spans="2:3" s="5" customFormat="1">
      <c r="B10" s="12" t="s">
        <v>20</v>
      </c>
      <c r="C10" s="14"/>
    </row>
    <row r="11" spans="2:3" s="5" customFormat="1" ht="5.0999999999999996" customHeight="1">
      <c r="B11" s="12"/>
      <c r="C11" s="14"/>
    </row>
    <row r="12" spans="2:3" s="5" customFormat="1">
      <c r="B12" s="12" t="s">
        <v>21</v>
      </c>
      <c r="C12" s="14"/>
    </row>
    <row r="13" spans="2:3" s="5" customFormat="1">
      <c r="B13" s="12" t="s">
        <v>22</v>
      </c>
      <c r="C13" s="14"/>
    </row>
    <row r="14" spans="2:3" s="5" customFormat="1" ht="5.0999999999999996" customHeight="1" thickBot="1">
      <c r="B14" s="12"/>
      <c r="C14" s="14"/>
    </row>
    <row r="15" spans="2:3" s="38" customFormat="1" ht="15.75" thickBot="1">
      <c r="B15" s="15" t="s">
        <v>13</v>
      </c>
      <c r="C15" s="14"/>
    </row>
    <row r="16" spans="2:3" s="38" customFormat="1" ht="29.25" thickBot="1">
      <c r="B16" s="16">
        <v>1</v>
      </c>
      <c r="C16" s="14" t="s">
        <v>25</v>
      </c>
    </row>
    <row r="17" spans="2:3" s="38" customFormat="1" ht="5.0999999999999996" customHeight="1" thickBot="1"/>
    <row r="18" spans="2:3" s="5" customFormat="1" ht="15.75" thickBot="1">
      <c r="B18" s="15" t="s">
        <v>67</v>
      </c>
      <c r="C18" s="14"/>
    </row>
    <row r="19" spans="2:3" s="5" customFormat="1" ht="29.25" thickBot="1">
      <c r="B19" s="16">
        <v>1</v>
      </c>
      <c r="C19" s="14" t="s">
        <v>96</v>
      </c>
    </row>
    <row r="20" spans="2:3" s="5" customFormat="1" ht="5.0999999999999996" customHeight="1" thickBot="1">
      <c r="B20" s="11"/>
      <c r="C20" s="11"/>
    </row>
    <row r="21" spans="2:3" s="5" customFormat="1" ht="15.75" thickBot="1">
      <c r="B21" s="17" t="s">
        <v>12</v>
      </c>
      <c r="C21" s="18"/>
    </row>
    <row r="22" spans="2:3" ht="28.5">
      <c r="B22" s="20" t="e">
        <v>#N/A</v>
      </c>
      <c r="C22" s="19" t="s">
        <v>18</v>
      </c>
    </row>
    <row r="23" spans="2:3" ht="42.75">
      <c r="B23" s="21" t="s">
        <v>17</v>
      </c>
      <c r="C23" s="41" t="s">
        <v>99</v>
      </c>
    </row>
    <row r="24" spans="2:3" ht="15" thickBot="1">
      <c r="B24" s="22" t="s">
        <v>100</v>
      </c>
      <c r="C24" s="41" t="s">
        <v>99</v>
      </c>
    </row>
    <row r="25" spans="2:3" hidden="1"/>
    <row r="26" spans="2:3" hidden="1"/>
    <row r="27" spans="2:3" hidden="1"/>
    <row r="28" spans="2:3" ht="5.0999999999999996" customHeight="1"/>
    <row r="29" spans="2:3" hidden="1"/>
    <row r="30" spans="2:3" hidden="1"/>
    <row r="31" spans="2:3" hidden="1"/>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27"/>
  <sheetViews>
    <sheetView showGridLines="0" showRowColHeaders="0" topLeftCell="A2" workbookViewId="0">
      <pane ySplit="2" topLeftCell="A4" activePane="bottomLeft" state="frozen"/>
      <selection activeCell="A2" sqref="A2"/>
      <selection pane="bottomLeft" activeCell="A14" sqref="A14"/>
    </sheetView>
  </sheetViews>
  <sheetFormatPr defaultColWidth="0" defaultRowHeight="14.25"/>
  <cols>
    <col min="1" max="1" width="0.875" style="11" customWidth="1"/>
    <col min="2" max="2" width="18.75" style="11" customWidth="1"/>
    <col min="3" max="3" width="10.125" style="11" customWidth="1"/>
    <col min="4" max="4" width="4.875" style="11" customWidth="1"/>
    <col min="5" max="5" width="15.625" style="11" customWidth="1"/>
    <col min="6" max="6" width="5.625" style="11" customWidth="1"/>
    <col min="7" max="7" width="0.875" style="11" customWidth="1"/>
    <col min="8" max="8" width="0" style="11" hidden="1" customWidth="1"/>
    <col min="9" max="16384" width="9" style="11" hidden="1"/>
  </cols>
  <sheetData>
    <row r="1" spans="1:6">
      <c r="B1" s="25" t="s">
        <v>32</v>
      </c>
      <c r="C1" s="11">
        <v>60</v>
      </c>
      <c r="D1" s="24" t="s">
        <v>31</v>
      </c>
    </row>
    <row r="3" spans="1:6">
      <c r="B3" s="11" t="s">
        <v>30</v>
      </c>
      <c r="C3" s="11" t="s">
        <v>29</v>
      </c>
      <c r="D3" s="11" t="s">
        <v>28</v>
      </c>
      <c r="E3" s="11" t="s">
        <v>27</v>
      </c>
      <c r="F3" s="11" t="s">
        <v>26</v>
      </c>
    </row>
    <row r="4" spans="1:6">
      <c r="B4" s="8" t="s">
        <v>73</v>
      </c>
      <c r="C4" s="11" t="str">
        <f ca="1">IF(ISBLANK(Table4[[#This Row],[in]]),OFFSET(Table4[[#This Row],[in]],-1,0)&amp;": end",Table4[[#This Row],[in]]&amp;": start")</f>
        <v>logon: start</v>
      </c>
      <c r="D4" s="11">
        <f ca="1">fi.len-LEN(Table4[[#This Row],[In2]])/2</f>
        <v>54</v>
      </c>
      <c r="E4" s="11" t="str">
        <f ca="1">REPT(c.char,Table4[[#This Row],[transform]])&amp;" "&amp;Table4[[#This Row],[In2]]&amp;" "&amp;REPT(c.char,fi.len*2-INT(Table4[[#This Row],[transform]])-LEN(Table4[[#This Row],[In2]])-2)</f>
        <v>###################################################### logon: start ####################################################</v>
      </c>
      <c r="F4" s="11">
        <f ca="1">LEN(Table4[[#This Row],[Out]])</f>
        <v>120</v>
      </c>
    </row>
    <row r="5" spans="1:6">
      <c r="B5" s="8"/>
      <c r="C5" s="11" t="str">
        <f ca="1">IF(ISBLANK(Table4[[#This Row],[in]]),OFFSET(Table4[[#This Row],[in]],-1,0)&amp;": end",Table4[[#This Row],[in]]&amp;": start")</f>
        <v>logon: end</v>
      </c>
      <c r="D5" s="11">
        <f ca="1">fi.len-LEN(Table4[[#This Row],[In2]])/2</f>
        <v>55</v>
      </c>
      <c r="E5" s="11" t="str">
        <f ca="1">REPT(c.char,Table4[[#This Row],[transform]])&amp;" "&amp;Table4[[#This Row],[In2]]&amp;" "&amp;REPT(c.char,fi.len*2-INT(Table4[[#This Row],[transform]])-LEN(Table4[[#This Row],[In2]])-2)</f>
        <v>####################################################### logon: end #####################################################</v>
      </c>
      <c r="F5" s="11">
        <f ca="1">LEN(Table4[[#This Row],[Out]])</f>
        <v>120</v>
      </c>
    </row>
    <row r="7" spans="1:6">
      <c r="A7" s="11">
        <v>5</v>
      </c>
    </row>
    <row r="18" spans="2:3">
      <c r="B18" s="26"/>
      <c r="C18"/>
    </row>
    <row r="19" spans="2:3">
      <c r="B19" s="26"/>
      <c r="C19"/>
    </row>
    <row r="20" spans="2:3">
      <c r="B20" s="26"/>
      <c r="C20"/>
    </row>
    <row r="21" spans="2:3">
      <c r="B21" s="26"/>
      <c r="C21"/>
    </row>
    <row r="22" spans="2:3">
      <c r="B22" s="26"/>
      <c r="C22"/>
    </row>
    <row r="23" spans="2:3">
      <c r="B23" s="26"/>
      <c r="C23"/>
    </row>
    <row r="24" spans="2:3">
      <c r="B24" s="26"/>
      <c r="C24"/>
    </row>
    <row r="25" spans="2:3">
      <c r="B25" s="26"/>
      <c r="C25"/>
    </row>
    <row r="26" spans="2:3">
      <c r="B26" s="26"/>
      <c r="C26"/>
    </row>
    <row r="27" spans="2:3">
      <c r="B27" s="26"/>
      <c r="C27"/>
    </row>
    <row r="28" spans="2:3">
      <c r="B28" s="26"/>
      <c r="C28"/>
    </row>
    <row r="29" spans="2:3">
      <c r="B29" s="26"/>
      <c r="C29"/>
    </row>
    <row r="30" spans="2:3">
      <c r="B30" s="26"/>
      <c r="C30"/>
    </row>
    <row r="31" spans="2:3">
      <c r="B31" s="26"/>
      <c r="C31"/>
    </row>
    <row r="32" spans="2:3">
      <c r="B32" s="26"/>
      <c r="C32"/>
    </row>
    <row r="33" spans="2:3">
      <c r="B33" s="26"/>
      <c r="C33"/>
    </row>
    <row r="34" spans="2:3">
      <c r="B34" s="26"/>
      <c r="C34"/>
    </row>
    <row r="35" spans="2:3">
      <c r="B35" s="26"/>
      <c r="C35"/>
    </row>
    <row r="36" spans="2:3">
      <c r="B36" s="26"/>
      <c r="C36"/>
    </row>
    <row r="37" spans="2:3">
      <c r="B37" s="26"/>
      <c r="C37"/>
    </row>
    <row r="38" spans="2:3">
      <c r="B38" s="26"/>
      <c r="C38"/>
    </row>
    <row r="39" spans="2:3">
      <c r="B39" s="26"/>
      <c r="C39"/>
    </row>
    <row r="40" spans="2:3">
      <c r="B40" s="26"/>
      <c r="C40"/>
    </row>
    <row r="41" spans="2:3">
      <c r="B41" s="26"/>
      <c r="C41"/>
    </row>
    <row r="42" spans="2:3">
      <c r="B42" s="26"/>
      <c r="C42"/>
    </row>
    <row r="43" spans="2:3">
      <c r="B43" s="26"/>
      <c r="C43"/>
    </row>
    <row r="44" spans="2:3">
      <c r="B44" s="26"/>
      <c r="C44"/>
    </row>
    <row r="45" spans="2:3">
      <c r="B45" s="26"/>
      <c r="C45"/>
    </row>
    <row r="46" spans="2:3">
      <c r="B46" s="26"/>
      <c r="C46"/>
    </row>
    <row r="47" spans="2:3">
      <c r="B47" s="26"/>
      <c r="C47"/>
    </row>
    <row r="48" spans="2:3">
      <c r="B48" s="26"/>
      <c r="C48"/>
    </row>
    <row r="49" spans="2:3">
      <c r="B49" s="26"/>
      <c r="C49"/>
    </row>
    <row r="50" spans="2:3">
      <c r="B50" s="26"/>
      <c r="C50"/>
    </row>
    <row r="51" spans="2:3">
      <c r="B51" s="26"/>
      <c r="C51"/>
    </row>
    <row r="52" spans="2:3">
      <c r="B52" s="26"/>
      <c r="C52"/>
    </row>
    <row r="53" spans="2:3">
      <c r="B53" s="26"/>
      <c r="C53"/>
    </row>
    <row r="54" spans="2:3">
      <c r="B54" s="26"/>
      <c r="C54"/>
    </row>
    <row r="55" spans="2:3">
      <c r="B55" s="26"/>
      <c r="C55"/>
    </row>
    <row r="56" spans="2:3">
      <c r="B56" s="26"/>
      <c r="C56"/>
    </row>
    <row r="57" spans="2:3">
      <c r="B57" s="26"/>
      <c r="C57"/>
    </row>
    <row r="58" spans="2:3">
      <c r="B58" s="26"/>
      <c r="C58"/>
    </row>
    <row r="59" spans="2:3">
      <c r="B59" s="26"/>
      <c r="C59"/>
    </row>
    <row r="60" spans="2:3">
      <c r="B60" s="26"/>
      <c r="C60"/>
    </row>
    <row r="61" spans="2:3">
      <c r="B61" s="26"/>
      <c r="C61"/>
    </row>
    <row r="62" spans="2:3">
      <c r="B62" s="26"/>
      <c r="C62"/>
    </row>
    <row r="63" spans="2:3">
      <c r="B63" s="26"/>
      <c r="C63"/>
    </row>
    <row r="64" spans="2:3">
      <c r="B64" s="26"/>
      <c r="C64"/>
    </row>
    <row r="65" spans="2:3">
      <c r="B65" s="26"/>
      <c r="C65"/>
    </row>
    <row r="66" spans="2:3">
      <c r="B66" s="26"/>
      <c r="C66"/>
    </row>
    <row r="67" spans="2:3">
      <c r="B67" s="26"/>
      <c r="C67"/>
    </row>
    <row r="68" spans="2:3">
      <c r="B68" s="26"/>
      <c r="C68"/>
    </row>
    <row r="69" spans="2:3">
      <c r="B69" s="26"/>
      <c r="C69"/>
    </row>
    <row r="70" spans="2:3">
      <c r="B70" s="26"/>
      <c r="C70"/>
    </row>
    <row r="71" spans="2:3">
      <c r="B71" s="26"/>
      <c r="C71"/>
    </row>
    <row r="72" spans="2:3">
      <c r="B72" s="26"/>
      <c r="C72"/>
    </row>
    <row r="73" spans="2:3">
      <c r="B73" s="26"/>
      <c r="C73"/>
    </row>
    <row r="74" spans="2:3">
      <c r="B74" s="26"/>
      <c r="C74"/>
    </row>
    <row r="75" spans="2:3">
      <c r="B75" s="26"/>
      <c r="C75"/>
    </row>
    <row r="76" spans="2:3">
      <c r="B76" s="26"/>
      <c r="C76"/>
    </row>
    <row r="77" spans="2:3">
      <c r="B77" s="26"/>
      <c r="C77"/>
    </row>
    <row r="78" spans="2:3">
      <c r="B78" s="26"/>
      <c r="C78"/>
    </row>
    <row r="79" spans="2:3">
      <c r="B79" s="26"/>
      <c r="C79"/>
    </row>
    <row r="80" spans="2:3">
      <c r="B80" s="26"/>
      <c r="C80"/>
    </row>
    <row r="81" spans="2:3">
      <c r="B81" s="26"/>
      <c r="C81"/>
    </row>
    <row r="82" spans="2:3">
      <c r="B82" s="26"/>
      <c r="C82"/>
    </row>
    <row r="83" spans="2:3">
      <c r="B83" s="26"/>
      <c r="C83"/>
    </row>
    <row r="84" spans="2:3">
      <c r="B84" s="26"/>
      <c r="C84"/>
    </row>
    <row r="85" spans="2:3">
      <c r="B85" s="26"/>
      <c r="C85"/>
    </row>
    <row r="86" spans="2:3">
      <c r="B86" s="26"/>
      <c r="C86"/>
    </row>
    <row r="87" spans="2:3">
      <c r="B87" s="26"/>
      <c r="C87"/>
    </row>
    <row r="88" spans="2:3">
      <c r="B88" s="26"/>
      <c r="C88"/>
    </row>
    <row r="89" spans="2:3">
      <c r="B89" s="26"/>
      <c r="C89"/>
    </row>
    <row r="90" spans="2:3">
      <c r="B90" s="26"/>
      <c r="C90"/>
    </row>
    <row r="91" spans="2:3">
      <c r="B91" s="26"/>
      <c r="C91"/>
    </row>
    <row r="92" spans="2:3">
      <c r="B92" s="26"/>
      <c r="C92"/>
    </row>
    <row r="93" spans="2:3">
      <c r="B93" s="26"/>
      <c r="C93"/>
    </row>
    <row r="94" spans="2:3">
      <c r="B94" s="26"/>
      <c r="C94"/>
    </row>
    <row r="95" spans="2:3">
      <c r="B95" s="26"/>
      <c r="C95"/>
    </row>
    <row r="96" spans="2:3">
      <c r="B96" s="26"/>
      <c r="C96"/>
    </row>
    <row r="97" spans="2:3">
      <c r="B97" s="26"/>
      <c r="C97"/>
    </row>
    <row r="98" spans="2:3">
      <c r="B98" s="26"/>
      <c r="C98"/>
    </row>
    <row r="99" spans="2:3">
      <c r="B99" s="26"/>
      <c r="C99"/>
    </row>
    <row r="100" spans="2:3">
      <c r="B100" s="26"/>
      <c r="C100"/>
    </row>
    <row r="101" spans="2:3">
      <c r="B101" s="26"/>
      <c r="C101"/>
    </row>
    <row r="102" spans="2:3">
      <c r="B102" s="26"/>
      <c r="C102"/>
    </row>
    <row r="103" spans="2:3">
      <c r="B103" s="26"/>
      <c r="C103"/>
    </row>
    <row r="104" spans="2:3">
      <c r="B104" s="26"/>
      <c r="C104"/>
    </row>
    <row r="105" spans="2:3">
      <c r="B105" s="26"/>
      <c r="C105"/>
    </row>
    <row r="106" spans="2:3">
      <c r="B106" s="26"/>
      <c r="C106"/>
    </row>
    <row r="107" spans="2:3">
      <c r="B107" s="26"/>
      <c r="C107"/>
    </row>
    <row r="108" spans="2:3">
      <c r="B108" s="26"/>
      <c r="C108"/>
    </row>
    <row r="109" spans="2:3">
      <c r="B109" s="26"/>
      <c r="C109"/>
    </row>
    <row r="110" spans="2:3">
      <c r="B110" s="26"/>
      <c r="C110"/>
    </row>
    <row r="111" spans="2:3">
      <c r="B111" s="26"/>
      <c r="C111"/>
    </row>
    <row r="112" spans="2:3">
      <c r="B112" s="26"/>
      <c r="C112"/>
    </row>
    <row r="113" spans="2:3">
      <c r="B113" s="26"/>
      <c r="C113"/>
    </row>
    <row r="114" spans="2:3">
      <c r="B114" s="26"/>
      <c r="C114"/>
    </row>
    <row r="115" spans="2:3">
      <c r="B115" s="26"/>
      <c r="C115"/>
    </row>
    <row r="116" spans="2:3">
      <c r="B116" s="26"/>
      <c r="C116"/>
    </row>
    <row r="117" spans="2:3">
      <c r="B117" s="26"/>
      <c r="C117"/>
    </row>
    <row r="118" spans="2:3">
      <c r="B118" s="26"/>
      <c r="C118"/>
    </row>
    <row r="119" spans="2:3">
      <c r="B119" s="26"/>
      <c r="C119"/>
    </row>
    <row r="120" spans="2:3">
      <c r="B120" s="26"/>
      <c r="C120"/>
    </row>
    <row r="121" spans="2:3">
      <c r="B121" s="26"/>
      <c r="C121"/>
    </row>
    <row r="122" spans="2:3">
      <c r="B122" s="26"/>
      <c r="C122"/>
    </row>
    <row r="123" spans="2:3">
      <c r="B123" s="26"/>
      <c r="C123"/>
    </row>
    <row r="124" spans="2:3">
      <c r="B124" s="26"/>
      <c r="C124"/>
    </row>
    <row r="125" spans="2:3">
      <c r="B125" s="26"/>
      <c r="C125"/>
    </row>
    <row r="126" spans="2:3">
      <c r="B126" s="26"/>
      <c r="C126"/>
    </row>
    <row r="127" spans="2:3">
      <c r="B127" s="26"/>
      <c r="C127"/>
    </row>
    <row r="128" spans="2:3">
      <c r="B128" s="26"/>
      <c r="C128"/>
    </row>
    <row r="129" spans="2:3">
      <c r="B129" s="26"/>
      <c r="C129"/>
    </row>
    <row r="130" spans="2:3">
      <c r="B130" s="26"/>
      <c r="C130"/>
    </row>
    <row r="131" spans="2:3">
      <c r="B131" s="26"/>
      <c r="C131"/>
    </row>
    <row r="132" spans="2:3">
      <c r="B132" s="26"/>
      <c r="C132"/>
    </row>
    <row r="133" spans="2:3">
      <c r="B133" s="26"/>
      <c r="C133"/>
    </row>
    <row r="134" spans="2:3">
      <c r="B134" s="26"/>
      <c r="C134"/>
    </row>
    <row r="135" spans="2:3">
      <c r="B135" s="26"/>
      <c r="C135"/>
    </row>
    <row r="136" spans="2:3">
      <c r="B136" s="26"/>
      <c r="C136"/>
    </row>
    <row r="137" spans="2:3">
      <c r="B137" s="26"/>
      <c r="C137"/>
    </row>
    <row r="138" spans="2:3">
      <c r="B138" s="26"/>
      <c r="C138"/>
    </row>
    <row r="139" spans="2:3">
      <c r="B139" s="26"/>
      <c r="C139"/>
    </row>
    <row r="140" spans="2:3">
      <c r="B140" s="26"/>
      <c r="C140"/>
    </row>
    <row r="141" spans="2:3">
      <c r="B141" s="26"/>
      <c r="C141"/>
    </row>
    <row r="142" spans="2:3">
      <c r="B142" s="26"/>
      <c r="C142"/>
    </row>
    <row r="143" spans="2:3">
      <c r="B143" s="26"/>
      <c r="C143"/>
    </row>
    <row r="144" spans="2:3">
      <c r="B144" s="26"/>
      <c r="C144"/>
    </row>
    <row r="145" spans="2:3">
      <c r="B145" s="26"/>
      <c r="C145"/>
    </row>
    <row r="146" spans="2:3">
      <c r="B146" s="26"/>
      <c r="C146"/>
    </row>
    <row r="147" spans="2:3">
      <c r="B147" s="26"/>
      <c r="C147"/>
    </row>
    <row r="148" spans="2:3">
      <c r="B148" s="26"/>
      <c r="C148"/>
    </row>
    <row r="149" spans="2:3">
      <c r="B149" s="26"/>
      <c r="C149"/>
    </row>
    <row r="150" spans="2:3">
      <c r="B150" s="26"/>
      <c r="C150"/>
    </row>
    <row r="151" spans="2:3">
      <c r="B151" s="26"/>
      <c r="C151"/>
    </row>
    <row r="152" spans="2:3">
      <c r="B152" s="26"/>
      <c r="C152"/>
    </row>
    <row r="153" spans="2:3">
      <c r="B153" s="26"/>
      <c r="C153"/>
    </row>
    <row r="154" spans="2:3">
      <c r="B154" s="26"/>
      <c r="C154"/>
    </row>
    <row r="155" spans="2:3">
      <c r="B155" s="26"/>
      <c r="C155"/>
    </row>
    <row r="156" spans="2:3">
      <c r="B156" s="26"/>
      <c r="C156"/>
    </row>
    <row r="157" spans="2:3">
      <c r="B157" s="26"/>
      <c r="C157"/>
    </row>
    <row r="158" spans="2:3">
      <c r="B158" s="26"/>
      <c r="C158"/>
    </row>
    <row r="159" spans="2:3">
      <c r="B159" s="26"/>
      <c r="C159"/>
    </row>
    <row r="160" spans="2:3">
      <c r="B160" s="26"/>
      <c r="C160"/>
    </row>
    <row r="161" spans="2:3">
      <c r="B161" s="26"/>
      <c r="C161"/>
    </row>
    <row r="162" spans="2:3">
      <c r="B162" s="26"/>
      <c r="C162"/>
    </row>
    <row r="163" spans="2:3">
      <c r="B163" s="26"/>
      <c r="C163"/>
    </row>
    <row r="164" spans="2:3">
      <c r="B164" s="26"/>
      <c r="C164"/>
    </row>
    <row r="165" spans="2:3">
      <c r="B165" s="26"/>
      <c r="C165"/>
    </row>
    <row r="166" spans="2:3">
      <c r="B166" s="26"/>
      <c r="C166"/>
    </row>
    <row r="167" spans="2:3">
      <c r="B167" s="26"/>
      <c r="C167"/>
    </row>
    <row r="168" spans="2:3">
      <c r="B168" s="26"/>
      <c r="C168"/>
    </row>
    <row r="169" spans="2:3">
      <c r="B169" s="26"/>
      <c r="C169"/>
    </row>
    <row r="170" spans="2:3">
      <c r="B170" s="26"/>
      <c r="C170"/>
    </row>
    <row r="171" spans="2:3">
      <c r="B171" s="26"/>
      <c r="C171"/>
    </row>
    <row r="172" spans="2:3">
      <c r="B172" s="26"/>
      <c r="C172"/>
    </row>
    <row r="173" spans="2:3">
      <c r="B173" s="26"/>
      <c r="C173"/>
    </row>
    <row r="174" spans="2:3">
      <c r="B174" s="26"/>
      <c r="C174"/>
    </row>
    <row r="175" spans="2:3">
      <c r="B175" s="26"/>
      <c r="C175"/>
    </row>
    <row r="176" spans="2:3">
      <c r="B176" s="26"/>
      <c r="C176"/>
    </row>
    <row r="177" spans="2:3">
      <c r="B177" s="26"/>
      <c r="C177"/>
    </row>
    <row r="178" spans="2:3">
      <c r="B178" s="26"/>
      <c r="C178"/>
    </row>
    <row r="179" spans="2:3">
      <c r="B179" s="26"/>
      <c r="C179"/>
    </row>
    <row r="180" spans="2:3">
      <c r="B180" s="26"/>
      <c r="C180"/>
    </row>
    <row r="181" spans="2:3">
      <c r="B181" s="26"/>
      <c r="C181"/>
    </row>
    <row r="182" spans="2:3">
      <c r="B182" s="26"/>
      <c r="C182"/>
    </row>
    <row r="183" spans="2:3">
      <c r="B183" s="26"/>
      <c r="C183"/>
    </row>
    <row r="184" spans="2:3">
      <c r="B184" s="26"/>
      <c r="C184"/>
    </row>
    <row r="185" spans="2:3">
      <c r="B185" s="26"/>
      <c r="C185"/>
    </row>
    <row r="186" spans="2:3">
      <c r="B186" s="26"/>
      <c r="C186"/>
    </row>
    <row r="187" spans="2:3">
      <c r="B187" s="26"/>
      <c r="C187"/>
    </row>
    <row r="188" spans="2:3">
      <c r="B188" s="26"/>
      <c r="C188"/>
    </row>
    <row r="189" spans="2:3">
      <c r="B189" s="26"/>
      <c r="C189"/>
    </row>
    <row r="190" spans="2:3">
      <c r="B190" s="26"/>
      <c r="C190"/>
    </row>
    <row r="191" spans="2:3">
      <c r="B191" s="26"/>
      <c r="C191"/>
    </row>
    <row r="192" spans="2:3">
      <c r="B192" s="26"/>
      <c r="C192"/>
    </row>
    <row r="193" spans="2:3">
      <c r="B193" s="26"/>
      <c r="C193"/>
    </row>
    <row r="194" spans="2:3">
      <c r="B194" s="26"/>
      <c r="C194"/>
    </row>
    <row r="195" spans="2:3">
      <c r="B195" s="26"/>
      <c r="C195"/>
    </row>
    <row r="196" spans="2:3">
      <c r="B196" s="26"/>
      <c r="C196"/>
    </row>
    <row r="197" spans="2:3">
      <c r="B197" s="26"/>
      <c r="C197"/>
    </row>
    <row r="198" spans="2:3">
      <c r="B198" s="26"/>
      <c r="C198"/>
    </row>
    <row r="199" spans="2:3">
      <c r="B199" s="26"/>
      <c r="C199"/>
    </row>
    <row r="200" spans="2:3">
      <c r="B200" s="26"/>
      <c r="C200"/>
    </row>
    <row r="201" spans="2:3">
      <c r="B201" s="26"/>
      <c r="C201"/>
    </row>
    <row r="202" spans="2:3">
      <c r="B202" s="26"/>
      <c r="C202"/>
    </row>
    <row r="203" spans="2:3">
      <c r="B203" s="26"/>
      <c r="C203"/>
    </row>
    <row r="204" spans="2:3">
      <c r="B204" s="26"/>
      <c r="C204"/>
    </row>
    <row r="205" spans="2:3">
      <c r="B205" s="26"/>
      <c r="C205"/>
    </row>
    <row r="206" spans="2:3">
      <c r="B206" s="26"/>
      <c r="C206"/>
    </row>
    <row r="207" spans="2:3">
      <c r="B207" s="26"/>
      <c r="C207"/>
    </row>
    <row r="208" spans="2:3">
      <c r="B208" s="26"/>
      <c r="C208"/>
    </row>
    <row r="209" spans="2:3">
      <c r="B209" s="26"/>
      <c r="C209"/>
    </row>
    <row r="210" spans="2:3">
      <c r="B210" s="26"/>
      <c r="C210"/>
    </row>
    <row r="211" spans="2:3">
      <c r="B211" s="26"/>
      <c r="C211"/>
    </row>
    <row r="212" spans="2:3">
      <c r="B212" s="26"/>
      <c r="C212"/>
    </row>
    <row r="213" spans="2:3">
      <c r="B213" s="26"/>
      <c r="C213"/>
    </row>
    <row r="214" spans="2:3">
      <c r="B214" s="26"/>
      <c r="C214"/>
    </row>
    <row r="215" spans="2:3">
      <c r="B215" s="26"/>
      <c r="C215"/>
    </row>
    <row r="216" spans="2:3">
      <c r="B216" s="26"/>
      <c r="C216"/>
    </row>
    <row r="217" spans="2:3">
      <c r="B217" s="26"/>
      <c r="C217"/>
    </row>
    <row r="218" spans="2:3">
      <c r="B218" s="26"/>
      <c r="C218"/>
    </row>
    <row r="219" spans="2:3">
      <c r="B219" s="26"/>
      <c r="C219"/>
    </row>
    <row r="220" spans="2:3">
      <c r="B220" s="26"/>
      <c r="C220"/>
    </row>
    <row r="221" spans="2:3">
      <c r="B221" s="26"/>
      <c r="C221"/>
    </row>
    <row r="222" spans="2:3">
      <c r="B222" s="26"/>
      <c r="C222"/>
    </row>
    <row r="223" spans="2:3">
      <c r="B223" s="26"/>
      <c r="C223"/>
    </row>
    <row r="224" spans="2:3">
      <c r="B224" s="26"/>
      <c r="C224"/>
    </row>
    <row r="225" spans="2:3">
      <c r="B225" s="26"/>
      <c r="C225"/>
    </row>
    <row r="226" spans="2:3">
      <c r="B226" s="26"/>
      <c r="C226"/>
    </row>
    <row r="227" spans="2:3">
      <c r="B227" s="26"/>
      <c r="C227"/>
    </row>
    <row r="228" spans="2:3">
      <c r="B228" s="26"/>
      <c r="C228"/>
    </row>
    <row r="229" spans="2:3">
      <c r="B229" s="26"/>
      <c r="C229"/>
    </row>
    <row r="230" spans="2:3">
      <c r="B230" s="26"/>
      <c r="C230"/>
    </row>
    <row r="231" spans="2:3">
      <c r="B231" s="26"/>
      <c r="C231"/>
    </row>
    <row r="232" spans="2:3">
      <c r="B232" s="26"/>
      <c r="C232"/>
    </row>
    <row r="233" spans="2:3">
      <c r="B233" s="26"/>
      <c r="C233"/>
    </row>
    <row r="234" spans="2:3">
      <c r="B234" s="26"/>
      <c r="C234"/>
    </row>
    <row r="235" spans="2:3">
      <c r="B235" s="26"/>
      <c r="C235"/>
    </row>
    <row r="236" spans="2:3">
      <c r="B236" s="26"/>
      <c r="C236"/>
    </row>
    <row r="237" spans="2:3">
      <c r="B237" s="26"/>
      <c r="C237"/>
    </row>
    <row r="238" spans="2:3">
      <c r="B238" s="26"/>
      <c r="C238" s="26" t="s">
        <v>70</v>
      </c>
    </row>
    <row r="239" spans="2:3">
      <c r="B239" s="26"/>
      <c r="C239" s="26" t="s">
        <v>71</v>
      </c>
    </row>
    <row r="240" spans="2:3">
      <c r="B240" s="26"/>
      <c r="C240"/>
    </row>
    <row r="241" spans="2:3">
      <c r="B241" s="26"/>
      <c r="C241"/>
    </row>
    <row r="242" spans="2:3">
      <c r="B242" s="26"/>
      <c r="C242"/>
    </row>
    <row r="243" spans="2:3">
      <c r="B243" s="26"/>
      <c r="C243"/>
    </row>
    <row r="244" spans="2:3">
      <c r="B244" s="26"/>
      <c r="C244"/>
    </row>
    <row r="245" spans="2:3">
      <c r="B245" s="26"/>
      <c r="C245"/>
    </row>
    <row r="246" spans="2:3">
      <c r="B246" s="26"/>
      <c r="C246"/>
    </row>
    <row r="247" spans="2:3">
      <c r="B247" s="26"/>
      <c r="C247"/>
    </row>
    <row r="248" spans="2:3">
      <c r="B248" s="26"/>
      <c r="C248"/>
    </row>
    <row r="249" spans="2:3">
      <c r="B249" s="26"/>
      <c r="C249"/>
    </row>
    <row r="250" spans="2:3">
      <c r="B250" s="26"/>
      <c r="C250"/>
    </row>
    <row r="251" spans="2:3">
      <c r="B251" s="26"/>
      <c r="C251"/>
    </row>
    <row r="252" spans="2:3">
      <c r="B252" s="26"/>
      <c r="C252"/>
    </row>
    <row r="253" spans="2:3">
      <c r="B253" s="26"/>
      <c r="C253"/>
    </row>
    <row r="254" spans="2:3">
      <c r="B254" s="26"/>
      <c r="C254"/>
    </row>
    <row r="255" spans="2:3">
      <c r="B255" s="26"/>
      <c r="C255"/>
    </row>
    <row r="256" spans="2:3">
      <c r="B256" s="26"/>
      <c r="C256"/>
    </row>
    <row r="257" spans="2:3">
      <c r="B257" s="26"/>
      <c r="C257"/>
    </row>
    <row r="258" spans="2:3">
      <c r="B258" s="26"/>
      <c r="C258"/>
    </row>
    <row r="259" spans="2:3">
      <c r="B259" s="26"/>
      <c r="C259"/>
    </row>
    <row r="260" spans="2:3">
      <c r="B260" s="26"/>
      <c r="C260"/>
    </row>
    <row r="261" spans="2:3">
      <c r="B261" s="26"/>
      <c r="C261"/>
    </row>
    <row r="262" spans="2:3">
      <c r="B262" s="26"/>
      <c r="C262"/>
    </row>
    <row r="263" spans="2:3">
      <c r="B263" s="26"/>
      <c r="C263"/>
    </row>
    <row r="264" spans="2:3">
      <c r="B264" s="26"/>
      <c r="C264"/>
    </row>
    <row r="265" spans="2:3">
      <c r="B265" s="26"/>
      <c r="C265"/>
    </row>
    <row r="266" spans="2:3">
      <c r="B266" s="26"/>
      <c r="C266"/>
    </row>
    <row r="267" spans="2:3">
      <c r="B267" s="26"/>
      <c r="C267"/>
    </row>
    <row r="268" spans="2:3">
      <c r="B268" s="26"/>
      <c r="C268"/>
    </row>
    <row r="269" spans="2:3">
      <c r="B269" s="26"/>
      <c r="C269"/>
    </row>
    <row r="270" spans="2:3">
      <c r="B270" s="26"/>
      <c r="C270"/>
    </row>
    <row r="271" spans="2:3">
      <c r="B271" s="26"/>
      <c r="C271"/>
    </row>
    <row r="272" spans="2:3">
      <c r="B272" s="26"/>
      <c r="C272"/>
    </row>
    <row r="273" spans="2:3">
      <c r="B273" s="26"/>
      <c r="C273"/>
    </row>
    <row r="274" spans="2:3">
      <c r="B274" s="26"/>
      <c r="C274"/>
    </row>
    <row r="275" spans="2:3">
      <c r="B275" s="26"/>
      <c r="C275"/>
    </row>
    <row r="276" spans="2:3">
      <c r="B276" s="26"/>
      <c r="C276"/>
    </row>
    <row r="277" spans="2:3">
      <c r="B277" s="26"/>
      <c r="C277"/>
    </row>
    <row r="278" spans="2:3">
      <c r="B278" s="26"/>
      <c r="C278"/>
    </row>
    <row r="279" spans="2:3">
      <c r="B279" s="26"/>
      <c r="C279"/>
    </row>
    <row r="280" spans="2:3">
      <c r="B280" s="26"/>
      <c r="C280"/>
    </row>
    <row r="281" spans="2:3">
      <c r="B281" s="26"/>
      <c r="C281"/>
    </row>
    <row r="282" spans="2:3">
      <c r="B282" s="26"/>
      <c r="C282"/>
    </row>
    <row r="283" spans="2:3">
      <c r="B283" s="26"/>
      <c r="C283"/>
    </row>
    <row r="284" spans="2:3">
      <c r="B284" s="26"/>
      <c r="C284"/>
    </row>
    <row r="285" spans="2:3">
      <c r="B285" s="26"/>
      <c r="C285"/>
    </row>
    <row r="286" spans="2:3">
      <c r="B286" s="26"/>
      <c r="C286"/>
    </row>
    <row r="287" spans="2:3">
      <c r="B287" s="26"/>
      <c r="C287"/>
    </row>
    <row r="288" spans="2:3">
      <c r="B288" s="26"/>
      <c r="C288"/>
    </row>
    <row r="289" spans="2:3">
      <c r="B289" s="26"/>
      <c r="C289"/>
    </row>
    <row r="290" spans="2:3">
      <c r="B290" s="26"/>
      <c r="C290"/>
    </row>
    <row r="291" spans="2:3">
      <c r="B291" s="26"/>
      <c r="C291"/>
    </row>
    <row r="292" spans="2:3">
      <c r="B292" s="26"/>
      <c r="C292"/>
    </row>
    <row r="293" spans="2:3">
      <c r="B293" s="26"/>
      <c r="C293"/>
    </row>
    <row r="294" spans="2:3">
      <c r="B294" s="26"/>
      <c r="C294"/>
    </row>
    <row r="295" spans="2:3">
      <c r="B295" s="26"/>
      <c r="C295"/>
    </row>
    <row r="296" spans="2:3">
      <c r="B296" s="26"/>
      <c r="C296"/>
    </row>
    <row r="297" spans="2:3">
      <c r="B297" s="26"/>
      <c r="C297"/>
    </row>
    <row r="298" spans="2:3">
      <c r="B298" s="26"/>
      <c r="C298"/>
    </row>
    <row r="299" spans="2:3">
      <c r="B299" s="26"/>
      <c r="C299"/>
    </row>
    <row r="300" spans="2:3">
      <c r="B300" s="26"/>
      <c r="C300"/>
    </row>
    <row r="301" spans="2:3">
      <c r="B301" s="26"/>
      <c r="C301"/>
    </row>
    <row r="302" spans="2:3">
      <c r="B302" s="26"/>
      <c r="C302"/>
    </row>
    <row r="303" spans="2:3">
      <c r="B303" s="26"/>
      <c r="C303"/>
    </row>
    <row r="304" spans="2:3">
      <c r="B304" s="26"/>
      <c r="C304"/>
    </row>
    <row r="305" spans="2:3">
      <c r="B305" s="26"/>
      <c r="C305"/>
    </row>
    <row r="306" spans="2:3">
      <c r="B306" s="26"/>
      <c r="C306"/>
    </row>
    <row r="307" spans="2:3">
      <c r="B307" s="26"/>
      <c r="C307"/>
    </row>
    <row r="308" spans="2:3">
      <c r="B308" s="26"/>
      <c r="C308"/>
    </row>
    <row r="309" spans="2:3">
      <c r="B309" s="26"/>
      <c r="C309"/>
    </row>
    <row r="310" spans="2:3">
      <c r="B310" s="26"/>
      <c r="C310"/>
    </row>
    <row r="311" spans="2:3">
      <c r="B311" s="26"/>
      <c r="C311"/>
    </row>
    <row r="312" spans="2:3">
      <c r="B312" s="26"/>
      <c r="C312"/>
    </row>
    <row r="313" spans="2:3">
      <c r="B313" s="26"/>
      <c r="C313"/>
    </row>
    <row r="314" spans="2:3">
      <c r="B314" s="26"/>
      <c r="C314"/>
    </row>
    <row r="315" spans="2:3">
      <c r="B315" s="26"/>
      <c r="C315"/>
    </row>
    <row r="316" spans="2:3">
      <c r="B316" s="26"/>
      <c r="C316"/>
    </row>
    <row r="317" spans="2:3">
      <c r="B317" s="26"/>
      <c r="C317"/>
    </row>
    <row r="318" spans="2:3">
      <c r="B318" s="26"/>
      <c r="C318"/>
    </row>
    <row r="319" spans="2:3">
      <c r="B319" s="26"/>
      <c r="C319"/>
    </row>
    <row r="320" spans="2:3">
      <c r="B320" s="26"/>
      <c r="C320" s="26" t="s">
        <v>72</v>
      </c>
    </row>
    <row r="321" spans="2:3">
      <c r="B321" s="26"/>
      <c r="C321"/>
    </row>
    <row r="322" spans="2:3">
      <c r="B322" s="26"/>
      <c r="C322"/>
    </row>
    <row r="323" spans="2:3">
      <c r="B323" s="26"/>
      <c r="C323"/>
    </row>
    <row r="324" spans="2:3">
      <c r="B324" s="26"/>
      <c r="C324"/>
    </row>
    <row r="325" spans="2:3">
      <c r="B325" s="26"/>
      <c r="C325"/>
    </row>
    <row r="326" spans="2:3">
      <c r="B326" s="26"/>
      <c r="C326"/>
    </row>
    <row r="327" spans="2:3">
      <c r="B327" s="26"/>
      <c r="C327"/>
    </row>
    <row r="328" spans="2:3">
      <c r="B328" s="26"/>
      <c r="C328"/>
    </row>
    <row r="329" spans="2:3">
      <c r="B329" s="26"/>
      <c r="C329"/>
    </row>
    <row r="330" spans="2:3">
      <c r="B330" s="26"/>
      <c r="C330"/>
    </row>
    <row r="331" spans="2:3">
      <c r="B331" s="26"/>
      <c r="C331"/>
    </row>
    <row r="332" spans="2:3">
      <c r="B332" s="26"/>
      <c r="C332"/>
    </row>
    <row r="333" spans="2:3">
      <c r="B333" s="26"/>
      <c r="C333"/>
    </row>
    <row r="334" spans="2:3">
      <c r="B334" s="26"/>
      <c r="C334"/>
    </row>
    <row r="335" spans="2:3">
      <c r="B335" s="26"/>
      <c r="C335"/>
    </row>
    <row r="336" spans="2:3">
      <c r="B336" s="26"/>
      <c r="C336"/>
    </row>
    <row r="337" spans="2:3">
      <c r="B337" s="26"/>
      <c r="C337"/>
    </row>
    <row r="338" spans="2:3">
      <c r="B338" s="26"/>
      <c r="C338"/>
    </row>
    <row r="339" spans="2:3">
      <c r="B339" s="26"/>
      <c r="C339"/>
    </row>
    <row r="340" spans="2:3">
      <c r="B340" s="26"/>
      <c r="C340"/>
    </row>
    <row r="341" spans="2:3">
      <c r="B341" s="26"/>
      <c r="C341"/>
    </row>
    <row r="342" spans="2:3">
      <c r="B342" s="26"/>
      <c r="C342"/>
    </row>
    <row r="343" spans="2:3">
      <c r="B343" s="26"/>
      <c r="C343"/>
    </row>
    <row r="344" spans="2:3">
      <c r="B344" s="26"/>
      <c r="C344"/>
    </row>
    <row r="345" spans="2:3">
      <c r="B345" s="26"/>
      <c r="C345"/>
    </row>
    <row r="346" spans="2:3">
      <c r="B346" s="26"/>
      <c r="C346"/>
    </row>
    <row r="347" spans="2:3">
      <c r="B347" s="26"/>
      <c r="C347"/>
    </row>
    <row r="348" spans="2:3">
      <c r="B348" s="26"/>
      <c r="C348"/>
    </row>
    <row r="349" spans="2:3">
      <c r="B349" s="26"/>
      <c r="C349"/>
    </row>
    <row r="350" spans="2:3">
      <c r="B350" s="26"/>
      <c r="C350"/>
    </row>
    <row r="351" spans="2:3">
      <c r="B351" s="26"/>
      <c r="C351"/>
    </row>
    <row r="352" spans="2:3">
      <c r="B352" s="26"/>
      <c r="C352"/>
    </row>
    <row r="353" spans="2:3">
      <c r="B353" s="26"/>
      <c r="C353"/>
    </row>
    <row r="354" spans="2:3">
      <c r="B354" s="26"/>
      <c r="C354"/>
    </row>
    <row r="355" spans="2:3">
      <c r="B355" s="26"/>
      <c r="C355"/>
    </row>
    <row r="356" spans="2:3">
      <c r="B356" s="26"/>
      <c r="C356"/>
    </row>
    <row r="357" spans="2:3">
      <c r="B357" s="26"/>
      <c r="C357"/>
    </row>
    <row r="358" spans="2:3">
      <c r="B358" s="26"/>
      <c r="C358"/>
    </row>
    <row r="359" spans="2:3">
      <c r="B359" s="26"/>
      <c r="C359"/>
    </row>
    <row r="360" spans="2:3">
      <c r="B360" s="26"/>
      <c r="C360"/>
    </row>
    <row r="361" spans="2:3">
      <c r="B361" s="26"/>
      <c r="C361"/>
    </row>
    <row r="362" spans="2:3">
      <c r="B362" s="26"/>
      <c r="C362"/>
    </row>
    <row r="363" spans="2:3">
      <c r="B363" s="26"/>
      <c r="C363"/>
    </row>
    <row r="364" spans="2:3">
      <c r="B364" s="26"/>
      <c r="C364"/>
    </row>
    <row r="365" spans="2:3">
      <c r="B365" s="26"/>
      <c r="C365"/>
    </row>
    <row r="366" spans="2:3">
      <c r="B366" s="26"/>
      <c r="C366"/>
    </row>
    <row r="367" spans="2:3">
      <c r="B367" s="26"/>
      <c r="C367"/>
    </row>
    <row r="368" spans="2:3">
      <c r="B368" s="26"/>
      <c r="C368"/>
    </row>
    <row r="369" spans="2:3">
      <c r="B369" s="26"/>
      <c r="C369"/>
    </row>
    <row r="370" spans="2:3">
      <c r="B370" s="26"/>
      <c r="C370"/>
    </row>
    <row r="371" spans="2:3">
      <c r="B371" s="26"/>
      <c r="C371"/>
    </row>
    <row r="372" spans="2:3">
      <c r="B372" s="26"/>
      <c r="C372"/>
    </row>
    <row r="373" spans="2:3">
      <c r="B373" s="26"/>
      <c r="C373"/>
    </row>
    <row r="374" spans="2:3">
      <c r="B374" s="26"/>
      <c r="C374"/>
    </row>
    <row r="375" spans="2:3">
      <c r="B375" s="26"/>
      <c r="C375"/>
    </row>
    <row r="376" spans="2:3">
      <c r="B376" s="26"/>
      <c r="C376"/>
    </row>
    <row r="377" spans="2:3">
      <c r="B377" s="26"/>
      <c r="C377"/>
    </row>
    <row r="378" spans="2:3">
      <c r="B378" s="26"/>
      <c r="C378"/>
    </row>
    <row r="379" spans="2:3">
      <c r="B379" s="26"/>
      <c r="C379"/>
    </row>
    <row r="380" spans="2:3">
      <c r="B380" s="26"/>
      <c r="C380"/>
    </row>
    <row r="381" spans="2:3">
      <c r="B381" s="26"/>
      <c r="C381"/>
    </row>
    <row r="382" spans="2:3">
      <c r="B382" s="26"/>
      <c r="C382"/>
    </row>
    <row r="383" spans="2:3">
      <c r="B383" s="26"/>
      <c r="C383"/>
    </row>
    <row r="384" spans="2:3">
      <c r="B384" s="26"/>
      <c r="C384"/>
    </row>
    <row r="385" spans="2:3">
      <c r="B385" s="26"/>
      <c r="C385"/>
    </row>
    <row r="386" spans="2:3">
      <c r="B386" s="26"/>
      <c r="C386"/>
    </row>
    <row r="387" spans="2:3">
      <c r="B387" s="26"/>
      <c r="C387"/>
    </row>
    <row r="388" spans="2:3">
      <c r="B388" s="26"/>
      <c r="C388"/>
    </row>
    <row r="389" spans="2:3">
      <c r="B389" s="26"/>
      <c r="C389"/>
    </row>
    <row r="390" spans="2:3">
      <c r="B390" s="26"/>
      <c r="C390"/>
    </row>
    <row r="391" spans="2:3">
      <c r="B391" s="26"/>
      <c r="C391"/>
    </row>
    <row r="392" spans="2:3">
      <c r="B392" s="26"/>
      <c r="C392"/>
    </row>
    <row r="393" spans="2:3">
      <c r="B393" s="26"/>
      <c r="C393"/>
    </row>
    <row r="394" spans="2:3">
      <c r="B394" s="26"/>
      <c r="C394"/>
    </row>
    <row r="395" spans="2:3">
      <c r="B395" s="26"/>
      <c r="C395"/>
    </row>
    <row r="396" spans="2:3">
      <c r="B396" s="26"/>
      <c r="C396"/>
    </row>
    <row r="397" spans="2:3">
      <c r="B397" s="26"/>
      <c r="C397"/>
    </row>
    <row r="398" spans="2:3">
      <c r="B398" s="26"/>
      <c r="C398"/>
    </row>
    <row r="399" spans="2:3">
      <c r="B399" s="26"/>
      <c r="C399"/>
    </row>
    <row r="400" spans="2:3">
      <c r="B400" s="26"/>
      <c r="C400"/>
    </row>
    <row r="401" spans="2:3">
      <c r="B401" s="26"/>
      <c r="C401"/>
    </row>
    <row r="402" spans="2:3">
      <c r="B402" s="26"/>
      <c r="C402"/>
    </row>
    <row r="403" spans="2:3">
      <c r="B403" s="26"/>
      <c r="C403"/>
    </row>
    <row r="404" spans="2:3">
      <c r="B404" s="26"/>
      <c r="C404"/>
    </row>
    <row r="405" spans="2:3">
      <c r="B405" s="26"/>
      <c r="C405"/>
    </row>
    <row r="406" spans="2:3">
      <c r="B406" s="26"/>
      <c r="C406"/>
    </row>
    <row r="407" spans="2:3">
      <c r="B407" s="26"/>
      <c r="C407"/>
    </row>
    <row r="408" spans="2:3">
      <c r="B408" s="26"/>
      <c r="C408"/>
    </row>
    <row r="409" spans="2:3">
      <c r="B409" s="26"/>
      <c r="C409"/>
    </row>
    <row r="410" spans="2:3">
      <c r="B410" s="26"/>
      <c r="C410"/>
    </row>
    <row r="411" spans="2:3">
      <c r="B411" s="26"/>
      <c r="C411"/>
    </row>
    <row r="412" spans="2:3">
      <c r="B412" s="26"/>
      <c r="C412"/>
    </row>
    <row r="413" spans="2:3">
      <c r="B413" s="26"/>
      <c r="C413"/>
    </row>
    <row r="414" spans="2:3">
      <c r="B414" s="26"/>
      <c r="C414"/>
    </row>
    <row r="415" spans="2:3">
      <c r="B415" s="26"/>
      <c r="C415"/>
    </row>
    <row r="416" spans="2:3">
      <c r="B416" s="26"/>
      <c r="C416"/>
    </row>
    <row r="417" spans="2:3">
      <c r="B417" s="26"/>
      <c r="C417"/>
    </row>
    <row r="418" spans="2:3">
      <c r="B418" s="26"/>
      <c r="C418"/>
    </row>
    <row r="419" spans="2:3">
      <c r="B419" s="26"/>
      <c r="C419"/>
    </row>
    <row r="420" spans="2:3">
      <c r="B420" s="26"/>
      <c r="C420"/>
    </row>
    <row r="421" spans="2:3">
      <c r="B421" s="26"/>
      <c r="C421"/>
    </row>
    <row r="422" spans="2:3">
      <c r="B422" s="26"/>
      <c r="C422"/>
    </row>
    <row r="423" spans="2:3">
      <c r="B423" s="26"/>
      <c r="C423"/>
    </row>
    <row r="424" spans="2:3">
      <c r="B424" s="26"/>
      <c r="C424"/>
    </row>
    <row r="425" spans="2:3">
      <c r="B425" s="26"/>
      <c r="C425"/>
    </row>
    <row r="426" spans="2:3">
      <c r="B426" s="26"/>
      <c r="C426"/>
    </row>
    <row r="427" spans="2:3">
      <c r="B427" s="26"/>
      <c r="C427"/>
    </row>
  </sheetData>
  <pageMargins left="0.7" right="0.7" top="0.75" bottom="0.75" header="0.3" footer="0.3"/>
  <pageSetup paperSize="9"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input</vt:lpstr>
      <vt:lpstr>results</vt:lpstr>
      <vt:lpstr>manual</vt:lpstr>
      <vt:lpstr>teo</vt:lpstr>
      <vt:lpstr>c.char</vt:lpstr>
      <vt:lpstr>endtime</vt:lpstr>
      <vt:lpstr>fi.len</vt:lpstr>
      <vt:lpstr>logonmode</vt:lpstr>
      <vt:lpstr>projectname</vt:lpstr>
      <vt:lpstr>starttime</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Oleg Levchun</dc:creator>
  <cp:lastModifiedBy>plpool</cp:lastModifiedBy>
  <cp:lastPrinted>2015-05-04T09:22:28Z</cp:lastPrinted>
  <dcterms:created xsi:type="dcterms:W3CDTF">2014-11-18T17:16:50Z</dcterms:created>
  <dcterms:modified xsi:type="dcterms:W3CDTF">2019-04-17T08:58:45Z</dcterms:modified>
</cp:coreProperties>
</file>